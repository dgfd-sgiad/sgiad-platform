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ahba\Desktop\2026\ZONE1\AFD\Revue portefeuille AFD du 31 07 2025\Dernières_versions_disponibles_des_fichiers revue AFD 31 07 2026 recommandations\"/>
    </mc:Choice>
  </mc:AlternateContent>
  <xr:revisionPtr revIDLastSave="0" documentId="13_ncr:1_{63C6E37C-9E59-4025-A31D-CD928CD2D494}" xr6:coauthVersionLast="47" xr6:coauthVersionMax="47" xr10:uidLastSave="{00000000-0000-0000-0000-000000000000}"/>
  <bookViews>
    <workbookView xWindow="-110" yWindow="-110" windowWidth="19420" windowHeight="11500" xr2:uid="{00000000-000D-0000-FFFF-FFFF00000000}"/>
  </bookViews>
  <sheets>
    <sheet name="diligences fichier global aout " sheetId="1" r:id="rId1"/>
  </sheets>
  <definedNames>
    <definedName name="_xlnm._FilterDatabase" localSheetId="0" hidden="1">'diligences fichier global aout '!$E$1:$E$58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1" l="1"/>
  <c r="H26" i="1"/>
  <c r="H7" i="1" l="1"/>
  <c r="H8" i="1"/>
  <c r="H9" i="1"/>
  <c r="H10" i="1"/>
  <c r="H11" i="1"/>
  <c r="H12" i="1"/>
  <c r="H13" i="1"/>
  <c r="H14" i="1"/>
  <c r="H15" i="1"/>
  <c r="H16" i="1"/>
  <c r="H17" i="1"/>
  <c r="H18" i="1"/>
  <c r="H19" i="1"/>
  <c r="H20" i="1"/>
  <c r="H21" i="1"/>
  <c r="H22" i="1"/>
  <c r="H23" i="1"/>
  <c r="H24" i="1"/>
  <c r="H25" i="1"/>
  <c r="H28" i="1"/>
  <c r="H29" i="1"/>
  <c r="H30" i="1"/>
  <c r="H31" i="1"/>
  <c r="H32" i="1"/>
  <c r="H33" i="1"/>
  <c r="H34" i="1"/>
  <c r="H35" i="1"/>
  <c r="H37" i="1"/>
  <c r="H38" i="1"/>
  <c r="H39" i="1"/>
  <c r="H40" i="1"/>
  <c r="H44" i="1"/>
  <c r="H45" i="1"/>
  <c r="H46" i="1"/>
  <c r="H47" i="1"/>
  <c r="H48" i="1"/>
  <c r="H49" i="1"/>
  <c r="H50" i="1"/>
  <c r="H51" i="1"/>
  <c r="H52" i="1"/>
  <c r="H53" i="1"/>
  <c r="H54" i="1"/>
  <c r="H55" i="1"/>
  <c r="H56" i="1"/>
  <c r="H57" i="1"/>
  <c r="H58" i="1"/>
  <c r="H5" i="1"/>
</calcChain>
</file>

<file path=xl/sharedStrings.xml><?xml version="1.0" encoding="utf-8"?>
<sst xmlns="http://schemas.openxmlformats.org/spreadsheetml/2006/main" count="280" uniqueCount="178">
  <si>
    <t>N°</t>
  </si>
  <si>
    <t>Difficultés</t>
  </si>
  <si>
    <t>Actions</t>
  </si>
  <si>
    <t>Délai</t>
  </si>
  <si>
    <t>DGFD</t>
  </si>
  <si>
    <t>AFD</t>
  </si>
  <si>
    <t>ADET</t>
  </si>
  <si>
    <t>PROFAR 1</t>
  </si>
  <si>
    <t>ACISE</t>
  </si>
  <si>
    <t>Responsable direct</t>
  </si>
  <si>
    <t>Associé</t>
  </si>
  <si>
    <t>Finalisation du macro-planning d'ouverture des EPFA de Malanville et Ségbana</t>
  </si>
  <si>
    <t>ADET
ACISE</t>
  </si>
  <si>
    <t>PROFAR 2</t>
  </si>
  <si>
    <t>Signature du contrat pour le lot 1 par toutes les parties prenantes et introduction à l'approbation du MMG</t>
  </si>
  <si>
    <t>AFD
ADET</t>
  </si>
  <si>
    <t>Réalisation des audits 2024 et 2025 sur le ProFAR2</t>
  </si>
  <si>
    <t>PROFAR 3</t>
  </si>
  <si>
    <t>Chronogramme de revue de la matrice à évaluer en septembre 2026 pour espérer un décaissement en novembre 2026</t>
  </si>
  <si>
    <t>CSPEF</t>
  </si>
  <si>
    <t>Vérifier que chacune des recommandations contenues dans l'aide-mémoire de la mission de l'AFD concernant les critères d'évaluation de la matrice de FBPP a été traitée</t>
  </si>
  <si>
    <t>CSPEF
ADET</t>
  </si>
  <si>
    <t>PCT ProFAR 3</t>
  </si>
  <si>
    <t>CSPEF (M. HESSOU)</t>
  </si>
  <si>
    <t>DEFI-Pro</t>
  </si>
  <si>
    <t>Soumission des TDR de la mission d'audit à l'ANO de l'AFD en mettant le Pôle de Suivi du MEF (DGFD, CAGD, CTA-SEP) en copie</t>
  </si>
  <si>
    <t>Production des rapports d'audit S1 2025, S2 2025 et S1 2026</t>
  </si>
  <si>
    <t>Obtention de l'ANO de l'AFD sur les TDR</t>
  </si>
  <si>
    <t>CSPEF
DGFD</t>
  </si>
  <si>
    <t>Cabinet d'audit</t>
  </si>
  <si>
    <t>PCT FBPP CULTURE</t>
  </si>
  <si>
    <t>Exécution des activités prévues au PTAB de l'ADAC</t>
  </si>
  <si>
    <t xml:space="preserve">Elaboration d'un mémo au DG sur les sujets relevant de l'ADAC dans le cadre du FBPP Culture </t>
  </si>
  <si>
    <t>ADG</t>
  </si>
  <si>
    <t>CTA-SEP</t>
  </si>
  <si>
    <t>Obtention de l'ANO de l'AFD sur le PV de la séance de négociation avec l'auditeur SIG Conseil</t>
  </si>
  <si>
    <t>UGP</t>
  </si>
  <si>
    <t>Finalisation des audits S1 2025, S2 2025 et S1 2026 et transmission à l'ANO de l'AFD</t>
  </si>
  <si>
    <t>Lot 1: Marché d'acquisition d'équipements pédagogiques et techniques de BTP au profit du Lycée Technique de BTP de Sodohomè</t>
  </si>
  <si>
    <t>Enclenchement du processus de signature de l'avenant</t>
  </si>
  <si>
    <t>MOE HIRAM</t>
  </si>
  <si>
    <t>Lot 2: Marché d'acquisition des matériels informatiques et audiovisuels au profit du Lycée Technique de BTP de Sodohomè</t>
  </si>
  <si>
    <t>Lot 3: Marché d'acquisition de mobiliers divers au profit du Lycée Technique de BTP de Sodohomè</t>
  </si>
  <si>
    <t>Lot 4: Marché d'acquisition d'équipements pédagogiques et techniques dans les métiers d'énergie au profit du Lycée Technique de BTP de Sodohomè</t>
  </si>
  <si>
    <t>ACISE
UGP</t>
  </si>
  <si>
    <t>Suivi à faire au niveau de la DNC</t>
  </si>
  <si>
    <t>UGP
DGFD</t>
  </si>
  <si>
    <t>Suivi de l'approbation du MBFP à obtenir sur le contrat du LOT 1</t>
  </si>
  <si>
    <t>Suivi de l'approbation du MBFP à obtenir sur l'avenant</t>
  </si>
  <si>
    <t>Délivrance de l'ordre de service de démarrage à l'entreprise attributaire</t>
  </si>
  <si>
    <t xml:space="preserve">Elaboration d'un nouveau chronogramme d'ouverture du Lycée de BTP de Sodohomè </t>
  </si>
  <si>
    <t>Finalisation de la construction et de l'équipement du Lycée de BTP de Sodohomè</t>
  </si>
  <si>
    <t>PADIAP</t>
  </si>
  <si>
    <t xml:space="preserve">Acquisition de 32 motos au profit des TS des Cellules Communales du PDA4 et de  16 motos au profit des conseillers des PSNF du FNDA </t>
  </si>
  <si>
    <t>Envoi au DG pour appui auprès de la DGML les références de la demande d'autorisation introduite depuis avril 2026</t>
  </si>
  <si>
    <t>Réalisation des études socio foncières et des EIES des sous projets communaux de catégorie B</t>
  </si>
  <si>
    <t>Elaboration d'une lettre à l'attention de la DG/CAGD pour la préparation d'une mission d'audit d'acquisition sur cette activité</t>
  </si>
  <si>
    <t>Production de tous les documents relatifs à cette activité (TDR, rapports d'activités, etc…)</t>
  </si>
  <si>
    <t>ACISE (COE)</t>
  </si>
  <si>
    <t>POINT DES RECOMMANDATIONS DE LA REVUE TECHNIQUE DES PROJETS DE L'AFD)/DMRB du 31 07 2026</t>
  </si>
  <si>
    <t>Réévaluation des offres à faire en prenant en compte les observations de l'AFD et réintrodution</t>
  </si>
  <si>
    <t>Délivrance de l'ANO sur les rapports d'audit définitifs des années 2023, 2024 et 2025</t>
  </si>
  <si>
    <t>Transmission du rapport d'audit définitif à l'AFD pour ANO</t>
  </si>
  <si>
    <t xml:space="preserve">Projets </t>
  </si>
  <si>
    <t>Demande d'ANO de l'AFD sur le projet de contrat</t>
  </si>
  <si>
    <t>Retard dans le recrutement des BET pour le suivi et le contrôle technique des travaux de construction des EPFA de Malanville et Ségbana</t>
  </si>
  <si>
    <t>Retard dans le recrutement des BCT pour le contrôle des travaux de construction des EPFA de Malanville et Ségbana</t>
  </si>
  <si>
    <t>Obtention de l'ANO de l'AFD sur le nouveau rapport d'évaluation</t>
  </si>
  <si>
    <t>Obtention de l'ANO de l''AFD sur le nouveau rapport d'évaluation</t>
  </si>
  <si>
    <t>Retard dans l'élaboration du Macro-planning d’ouverture des EPFA de Malanville et Ségbana (Condition suspensive de versements futurs par l’AFD)</t>
  </si>
  <si>
    <t>Introduction de la demande de renouvellement de la subvention pour le recrutement du cabinet</t>
  </si>
  <si>
    <t xml:space="preserve">Réévaluation des offres à faire en prenant en compte les observations de l'AFD et réintroduction </t>
  </si>
  <si>
    <t>Relance du DAOI pour le lot2 après prise en compte des observations de l'AFD</t>
  </si>
  <si>
    <t>Elaboration d'une lettre à envoyer à l'AFD pour reporter la mission d'évaluation de la matrice prévue en septembre 2026 à décembre</t>
  </si>
  <si>
    <t>Réalisation des rapports d'audit de l'année 2025</t>
  </si>
  <si>
    <t>Signature de l'Avenant n°02 du contrat du maitre d'œuvre HIRAM  en charge du suivi et du contrôle des travaux de construction  des infrastructures du LTP de BTP et de conduite d'engins lourds de Sodohomè (Bohicon)</t>
  </si>
  <si>
    <t>Approbation de l'Avenant au contrat du groupement d’entreprises en charge des travaux de construction des infrastructures du Lycée Technique de BTP de Sodohomè</t>
  </si>
  <si>
    <t>UGP/ABE</t>
  </si>
  <si>
    <t>Pool de suivi</t>
  </si>
  <si>
    <t xml:space="preserve">Finaliser la version révisée de l'APD </t>
  </si>
  <si>
    <t xml:space="preserve">Accélérer la prise en charge par IED/DEPP/DG SBEE des dossiers APD, DAO kits de branchement et DAO travaux 
Transmission de l'APD par IED prévue le 14/08/2026/Révision par la DEPP: 16/08/2026
Transmission à l'AFD pour ANO: 20/08/2026
Intervention du DG SBEE pour comprendre la dynamique IED/DEPP/DAF/PRMP/et expliquer les retards importants notés </t>
  </si>
  <si>
    <t>UGP/IED/DEPP</t>
  </si>
  <si>
    <t>DG SBEE</t>
  </si>
  <si>
    <t>PEDER</t>
  </si>
  <si>
    <t xml:space="preserve">Démarrage des Travaux complémentaires sur les lots 1-2-3 </t>
  </si>
  <si>
    <t>UGP/PRMP</t>
  </si>
  <si>
    <t xml:space="preserve">AFD </t>
  </si>
  <si>
    <t>voir le chronogramme</t>
  </si>
  <si>
    <t xml:space="preserve">Redevabilité </t>
  </si>
  <si>
    <t>UGP/ PRMP</t>
  </si>
  <si>
    <t>PEDER+</t>
  </si>
  <si>
    <t>Recrutement de l’Ingénieur Conseil</t>
  </si>
  <si>
    <t xml:space="preserve">Lancer l'AMI pour le recrutement de l'IC 
 les difficultés évoquées par la PRMP semblent levéees/ verifier et transmettre la date de publication de l'AMI </t>
  </si>
  <si>
    <t xml:space="preserve">sans délai </t>
  </si>
  <si>
    <t>Conception du manuel de procédures du PEDER+</t>
  </si>
  <si>
    <r>
      <t>Finaliser les taches pour produire le manuel de procédures et la transmettre à l'AFD pour ANO/</t>
    </r>
    <r>
      <rPr>
        <b/>
        <sz val="12"/>
        <color theme="1"/>
        <rFont val="Bookman Old Style"/>
        <family val="1"/>
      </rPr>
      <t xml:space="preserve"> 
</t>
    </r>
    <r>
      <rPr>
        <b/>
        <sz val="12"/>
        <color theme="9"/>
        <rFont val="Bookman Old Style"/>
        <family val="1"/>
      </rPr>
      <t>Réunion de validation en interne du document: semaine du 03 août 2026</t>
    </r>
    <r>
      <rPr>
        <sz val="12"/>
        <color theme="1"/>
        <rFont val="Bookman Old Style"/>
        <family val="1"/>
      </rPr>
      <t xml:space="preserve">
Transmission du document à l'AFD pour ANO: 15/08/2026 au plus tard</t>
    </r>
  </si>
  <si>
    <t>UGP/DEPP SBEE</t>
  </si>
  <si>
    <t>Mise en œuvre de la formulation du projet</t>
  </si>
  <si>
    <t>Transmettre un chronogramme actualisé et un rapport de mise en œuvre détaillé des activités du projet</t>
  </si>
  <si>
    <t>Avenant au contrat d'interconnexion</t>
  </si>
  <si>
    <r>
      <t>Faire le suivi pour une régularisation par le prestataire de sa caution de garantie expirée et du certificat de non engagement de sa banque/Problème de changement de RIB bancaire et d'engagement .</t>
    </r>
    <r>
      <rPr>
        <b/>
        <sz val="12"/>
        <color theme="1"/>
        <rFont val="Bookman Old Style"/>
        <family val="1"/>
      </rPr>
      <t xml:space="preserve">
</t>
    </r>
    <r>
      <rPr>
        <sz val="12"/>
        <color theme="1"/>
        <rFont val="Bookman Old Style"/>
        <family val="1"/>
      </rPr>
      <t xml:space="preserve">
Soumettre le dossier une fois complet à la CCMP pour avis , </t>
    </r>
  </si>
  <si>
    <t xml:space="preserve">UGP/ DAF </t>
  </si>
  <si>
    <t>Aout 2026</t>
  </si>
  <si>
    <t>Recrutement de l'AMOA</t>
  </si>
  <si>
    <t>UGP
DG/SBEE</t>
  </si>
  <si>
    <t xml:space="preserve">veiller à ce que les décomptes et factures à payer pour 2026 soient effectives </t>
  </si>
  <si>
    <t xml:space="preserve">UGP/PRMP/DAF </t>
  </si>
  <si>
    <t>BESS 50MW</t>
  </si>
  <si>
    <r>
      <t xml:space="preserve">Organiser la tenue de l'atelier tripartite EY/SBPE/AFD préalable 
</t>
    </r>
    <r>
      <rPr>
        <b/>
        <sz val="12"/>
        <color theme="1"/>
        <rFont val="Bookman Old Style"/>
        <family val="1"/>
      </rPr>
      <t>Transmettre à l'AFD les données et documents livrables techniques attendus en prélude à la mission des consultants annoncés pour la semaine du 10 août 2026</t>
    </r>
  </si>
  <si>
    <t>UGP/DG SBPE/ direct Technique</t>
  </si>
  <si>
    <t>FORSUN SOLAIRE</t>
  </si>
  <si>
    <t>Avenant n°1 au contrat de l'AMO EGNON et n° 2 au contrat EPC de RMT</t>
  </si>
  <si>
    <t xml:space="preserve">UGP/PRMP/AFD/DG SBPE </t>
  </si>
  <si>
    <t>Rapport d'audits unique 2022-2025 
à produire</t>
  </si>
  <si>
    <r>
      <t>S'assurer de la transmission du rapport d'audit par le cabinet</t>
    </r>
    <r>
      <rPr>
        <b/>
        <sz val="12"/>
        <color rgb="FFFF0000"/>
        <rFont val="Bookman Old Style"/>
        <family val="1"/>
      </rPr>
      <t xml:space="preserve"> attendu le 31/07/2026 </t>
    </r>
  </si>
  <si>
    <t xml:space="preserve">UGP/DAF/CABINET </t>
  </si>
  <si>
    <t xml:space="preserve"> AFD </t>
  </si>
  <si>
    <r>
      <t>Faire le suivi auprès de l'ABE pour l'obtention du certificat de conformité environnemental/</t>
    </r>
    <r>
      <rPr>
        <b/>
        <sz val="12"/>
        <color theme="9"/>
        <rFont val="Bookman Old Style"/>
        <family val="1"/>
      </rPr>
      <t xml:space="preserve"> 
RDV confirmé pour les 11-13 aout 2026 par le comité de validation des études de l'ABE </t>
    </r>
  </si>
  <si>
    <t xml:space="preserve">BESS 5MW/décaissement non bailleur </t>
  </si>
  <si>
    <r>
      <t xml:space="preserve">RMT pour confirmer </t>
    </r>
    <r>
      <rPr>
        <b/>
        <sz val="12"/>
        <color theme="1"/>
        <rFont val="Bookman Old Style"/>
        <family val="1"/>
      </rPr>
      <t xml:space="preserve">la disponibilité de sa caution de garantie 
Transmettre caution à DAF et PRMP pour actions 
</t>
    </r>
    <r>
      <rPr>
        <sz val="12"/>
        <color theme="1"/>
        <rFont val="Bookman Old Style"/>
        <family val="1"/>
      </rPr>
      <t xml:space="preserve"> 
</t>
    </r>
    <r>
      <rPr>
        <b/>
        <sz val="12"/>
        <color theme="1"/>
        <rFont val="Bookman Old Style"/>
        <family val="1"/>
      </rPr>
      <t xml:space="preserve">Veiller aux paiements des décomptes en attente </t>
    </r>
    <r>
      <rPr>
        <sz val="12"/>
        <color theme="1"/>
        <rFont val="Bookman Old Style"/>
        <family val="1"/>
      </rPr>
      <t xml:space="preserve">
</t>
    </r>
  </si>
  <si>
    <t>Commentaires</t>
  </si>
  <si>
    <t xml:space="preserve">veiller au respect des engagements pris lors du passage de la mission de formulation </t>
  </si>
  <si>
    <r>
      <rPr>
        <sz val="12"/>
        <rFont val="Bookman Old Style"/>
        <family val="1"/>
      </rPr>
      <t xml:space="preserve">audit 2024 à finaliser 
mission 2025 à commencer
un projet d'avenant est en cours de finalisation/ retour après observations à AFD le 07/08/2026 </t>
    </r>
    <r>
      <rPr>
        <sz val="12"/>
        <color theme="1"/>
        <rFont val="Bookman Old Style"/>
        <family val="1"/>
      </rPr>
      <t xml:space="preserve">
</t>
    </r>
    <r>
      <rPr>
        <b/>
        <sz val="12"/>
        <color theme="9"/>
        <rFont val="Bookman Old Style"/>
        <family val="1"/>
      </rPr>
      <t>Rapports d'exécution T1 et T2 à transmettre à AFD le 05/08/2026</t>
    </r>
  </si>
  <si>
    <t>Finalisation du rapport d'exécution T2 en cours.
Transmission à l'AFD prévue le 05/08/2026</t>
  </si>
  <si>
    <t xml:space="preserve">Le chronogramme actualisé a été transmis au pool de suivi le 03/08/2026
</t>
  </si>
  <si>
    <t>Par courriel en date du 03/08/2026, la PRMP a été saisie aux fins d’engager le processus d’inscription de l’AMI dans le PPM global révisé de la SBEE et de procéder à sa publication sur les canaux requis</t>
  </si>
  <si>
    <t>Retard de finalisation du contrat de maintenance Perform</t>
  </si>
  <si>
    <t>Cabinet SIG Conseils</t>
  </si>
  <si>
    <t xml:space="preserve">En attente de la disponibilité du rapport de réévaluation des offres </t>
  </si>
  <si>
    <t>En attente des étapes précédentes</t>
  </si>
  <si>
    <t>La COE est en travaux actuellement. Les mêmes acteurs sont mobilisés sur plusieurs dossiers. La prise en charge de cette recommandation est prévue pour débuter la semaine prochaine</t>
  </si>
  <si>
    <t>Réintroduction du rapport d'évaluation des offres après prise en compte des observations de l'AFD</t>
  </si>
  <si>
    <t>Obtention de l'ANO de l'AFD sur le rapport de réévaluation</t>
  </si>
  <si>
    <t>En attente de la réintroduction du rapport de réévaluation</t>
  </si>
  <si>
    <t>Echanges en cours entre l'ADET et l'ACISE</t>
  </si>
  <si>
    <t>En attente de l'ANO de l'AFD sur les rapports d'audit</t>
  </si>
  <si>
    <t>Réalisation des audits 2023, 2024 et 2025 sur le ProFAR1</t>
  </si>
  <si>
    <t>Retard dans le recrutement de l'entreprise devant exécutée les travaux de construction de l'EPFA d'Adjohoun</t>
  </si>
  <si>
    <t>Retard dans le recrutement de l'entreprise devant exécutée les travaux de construction du LTA d'Avrankou</t>
  </si>
  <si>
    <t>Elaboration de la lettre en cours. En attente d'un échange avec la CSPEF sur les implications budgétaires éventuelles d'un tel report</t>
  </si>
  <si>
    <t xml:space="preserve">Un point est en cours d'élaboration </t>
  </si>
  <si>
    <t>TDR élaborés et soumis à l'ANO de l'AFD le 03/08/2026</t>
  </si>
  <si>
    <t>En attente de l'ANO de l'AFD et de la suite de la procédure de contractualisation</t>
  </si>
  <si>
    <t>Pas d'information (rappel à faire à Mme do Rego)</t>
  </si>
  <si>
    <t>Pas d'information (rappel à faire au DG)</t>
  </si>
  <si>
    <t>L'AFD a fait des observations sur le PV de négociation. En raison des retards pris sur les différentes contractualisations, l'AFD anticipe un non-achèvement des travaux en décembre 2026. Elle recommande d'inclure dès à présent l'année 2027 dans la période d'audit.</t>
  </si>
  <si>
    <t>En attente de l'ANO de l'AFD et de la poursuite de la procédure</t>
  </si>
  <si>
    <t>Chronogramme élaboré et partagé avec la DGFD le 03 août 2026</t>
  </si>
  <si>
    <t>Références transférées au DG le 03 août 2026</t>
  </si>
  <si>
    <t>Lettre élaborée et introduite à la signature du DG</t>
  </si>
  <si>
    <r>
      <t xml:space="preserve">Un suivi a été fait cette semaine par l'ACISE. Visa du DNC obtenu, </t>
    </r>
    <r>
      <rPr>
        <b/>
        <sz val="13"/>
        <rFont val="Bookman Old Style"/>
        <family val="1"/>
      </rPr>
      <t>en attente de l'approbation du MBFP</t>
    </r>
  </si>
  <si>
    <t>en attente de l'approbation du MBFP</t>
  </si>
  <si>
    <t>Pièces administratives produites par l'attributaire définitif du marché; Contrat transmis à ce dernier pour signature le lundi 03 août 2026</t>
  </si>
  <si>
    <t>Retard dans le recrutement des BET pour le suivi et le contrôle technique des travaux de construction de  l'EPFA d'Adjohoun et du LTA d'Avrankou</t>
  </si>
  <si>
    <t>Retard dans le recrutement des BCT pour le contrôle des travaux de construction  de l'EPFA d'Adjohoun et du LTA d'Avrankou</t>
  </si>
  <si>
    <t>Retard dans le recrutement des entreprises devant exécuter les travaux de construction des EPFA de Malanville et Ségbana</t>
  </si>
  <si>
    <t>Avenant  transmis à la CAGD pour VISA et approbation par le MEF</t>
  </si>
  <si>
    <t>Un suivi a été fait cette semaine par l'ACISE. Visa du DNC obtenu. En attente d'approbation du MMG</t>
  </si>
  <si>
    <t>Statut</t>
  </si>
  <si>
    <t>Exécuté</t>
  </si>
  <si>
    <r>
      <t xml:space="preserve">Le premier rapport d'évaluation soumis à l'ANO de l'AFD conclut à une infructuosité de la procédure en raison du fait qu'aucun des soumissionnaires ne satisfait pleinement aux exigences de sûreté prévues dans le DAOI. Le 29 juillet 2026, l'AFD autorise à titre exceptionnel, la COE à procéder à la qualification, pour chacun des lots, de l’entreprise la moins-disante sur le seul volet travaux. Les aspects relatifs à la sûreté feront l’objet d’une négociation lors de la phase de contractualisation avec chacun des adjudicataires. </t>
    </r>
    <r>
      <rPr>
        <b/>
        <sz val="13"/>
        <rFont val="Bookman Old Style"/>
        <family val="1"/>
      </rPr>
      <t>En attente du retour de l'ACISE</t>
    </r>
  </si>
  <si>
    <t>L'AFD a promis donner l'ANO sous réserve avant le vendredi 14 août  2026, en raison de plusieurs vices de procédure relevés par l'auditeur dans son rapport.</t>
  </si>
  <si>
    <t>L'AFD a promis donner l'ANO sous réserve avant le vendredi 14 août 2026, en raison de plusieurs vices de procédure relevés par l'auditeur dans son rapport.</t>
  </si>
  <si>
    <t>L'AFD a fait un premier retour le 06/08/2026 sur les TDR préalablement transmis. Elle demande par ailleurs de les reformater en utilisant les modèles standards AFD (TDR complets audits projet, excepté le volet E&amp;S) et de les soumettre à nouveau à l'ANO de l'AFD</t>
  </si>
  <si>
    <t>Echanges à faire avec le Ministre de la Culture avant son départ en vacances sur l'impact de la suppression de l'ADAC sur les activités qu'elle devait conduire</t>
  </si>
  <si>
    <t>Obtenir le Certificat de Conformité Environnemental</t>
  </si>
  <si>
    <t xml:space="preserve">Revoir le chronogramme proposé afin de réduire les délais 
PRMP pour écrire aux entreprises pour la demande de DP
Finaliser les négociations avec les entreprises 
Accélérer la préparation et la signature des contrats en entente directe
garder à l'esprit que la négociation est une formalité à ce stade pour éviter un long processus </t>
  </si>
  <si>
    <r>
      <t>PRMP pour finaliser le traitement du dossier d'examen du projet de contrat à transmettre pour ANO à AFD/</t>
    </r>
    <r>
      <rPr>
        <b/>
        <sz val="12"/>
        <color theme="1"/>
        <rFont val="Bookman Old Style"/>
        <family val="1"/>
      </rPr>
      <t xml:space="preserve"> prévision 7 août 2026</t>
    </r>
    <r>
      <rPr>
        <sz val="12"/>
        <color theme="1"/>
        <rFont val="Bookman Old Style"/>
        <family val="1"/>
      </rPr>
      <t xml:space="preserve">
attirer l'attention du DG SBEE
</t>
    </r>
  </si>
  <si>
    <r>
      <t>Accélérer la signature du contrat transmis au DG/SBEE depuis le 17/07/2026/</t>
    </r>
    <r>
      <rPr>
        <b/>
        <sz val="12"/>
        <color rgb="FFFF0000"/>
        <rFont val="Bookman Old Style"/>
        <family val="1"/>
      </rPr>
      <t xml:space="preserve"> 
</t>
    </r>
  </si>
  <si>
    <t xml:space="preserve">Contrat signe le 31 juillet 2026 par le DG </t>
  </si>
  <si>
    <r>
      <t xml:space="preserve">Des lettres d’information ont été transmises à la SBEE et à la CEB afin de leur permettre de préparer les données requises et de prendre les dispositions nécessaires en vue de leur participation aux travaux de la mission.
</t>
    </r>
    <r>
      <rPr>
        <b/>
        <sz val="12"/>
        <color theme="1"/>
        <rFont val="Bookman Old Style"/>
        <family val="1"/>
      </rPr>
      <t>Les 06 livrables attendus sont:</t>
    </r>
    <r>
      <rPr>
        <sz val="12"/>
        <color theme="1"/>
        <rFont val="Bookman Old Style"/>
        <family val="1"/>
      </rPr>
      <t xml:space="preserve"> 
'- L1 : Note de diagnostic finalisée et validée ;
- L2 étude de faisabilité : observations de la SBPE à envoyer aux consultants le 04/08/2026 (en cours de consolidation)
- L3 : Structuration contractuelle, financière et de gouvernance
- L4 :Feuille de route nationale
- L5 : DAO Fourniture et travaux 
- L6: TDRs pour le recrutement de  l'Ingénieur conseil
Les dates de transmission des livrables 3, 4, 5 et 6 seront confirmées avec le consultants lors de la mission prévue à partir du </t>
    </r>
    <r>
      <rPr>
        <sz val="12"/>
        <color rgb="FFFF0000"/>
        <rFont val="Bookman Old Style"/>
        <family val="1"/>
      </rPr>
      <t>10/08/2026</t>
    </r>
  </si>
  <si>
    <t xml:space="preserve">Finaliser la décision de prise ou non d'un avenant pour proroger la date de clôture du projet pour réaliser les travaux genie civil et voieries  (note technique pour AFD) 
projet d'avenant pour EGNON à finaliser car son contrat est échu au mois de décembre 2026/ délai de travaux complémentaires à inclure et utilisation du reliquat disponible pour la construction de la centrale </t>
  </si>
  <si>
    <r>
      <rPr>
        <sz val="12"/>
        <color theme="9"/>
        <rFont val="Bookman Old Style"/>
        <family val="1"/>
      </rPr>
      <t>La réunion de validation en interne au sein de l'UGP du manuel de procédures a eu lieu le 06/08/2026</t>
    </r>
    <r>
      <rPr>
        <sz val="12"/>
        <rFont val="Bookman Old Style"/>
        <family val="1"/>
      </rPr>
      <t>.                                  Transmission du document du manuel de procédure à l'AFD pour ANO est prévue le 15/08/2026 au plus tard</t>
    </r>
  </si>
  <si>
    <t xml:space="preserve"> chronogramme actualisé et un rapport de mise en œuvre détaillé des activités du projet sont transmis le 07 août 2026.</t>
  </si>
  <si>
    <t>DEFISSOL SI</t>
  </si>
  <si>
    <t>Un mail de sommation a été envoyé le 03/08/2026 à RMT leur indiquant le caractère bloquant du paiement si les observations ne sont pas prises en compte d'ici le 07/08/2026. Caution de garantie signée en attente</t>
  </si>
  <si>
    <r>
      <t xml:space="preserve">Diligences en cours: 
'- Élaboration et validation des TDR pour la mise en place d'une plateforme de suivi-évaluation. </t>
    </r>
    <r>
      <rPr>
        <sz val="12"/>
        <color theme="9"/>
        <rFont val="Bookman Old Style"/>
        <family val="1"/>
      </rPr>
      <t>Exécutée le 12/08/2026</t>
    </r>
    <r>
      <rPr>
        <sz val="12"/>
        <color theme="1"/>
        <rFont val="Bookman Old Style"/>
        <family val="1"/>
      </rPr>
      <t xml:space="preserve">
- Transmission des TDRs et projet d'avenant au contrat de Egnon 17/08/2026</t>
    </r>
  </si>
  <si>
    <r>
      <t>La lettre d’affirmation relative aux informations financières et administratives fournies à l’auditeur a été transmise au cabinet d’audit le 03/08/2026.</t>
    </r>
    <r>
      <rPr>
        <sz val="12"/>
        <color theme="9"/>
        <rFont val="Bookman Old Style"/>
        <family val="1"/>
      </rPr>
      <t xml:space="preserve"> Rapport final d’audit est transmis 12 août</t>
    </r>
    <r>
      <rPr>
        <sz val="12"/>
        <color theme="1"/>
        <rFont val="Bookman Old Style"/>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</si>
</sst>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ed]#&quot;Jours de retard&quot;;[Blue]#&quot;Jours restants&quot;;[Green]&quot;Aujourd'hui&quot;"/>
  </numFmts>
  <fonts count="17" x14ac:knownFonts="1">
    <font>
      <sz val="11"/>
      <color theme="1"/>
      <name val="Calibri"/>
      <family val="2"/>
      <scheme val="minor"/>
    </font>
    <font>
      <sz val="22"/>
      <color theme="1"/>
      <name val="Calibri"/>
      <family val="2"/>
      <scheme val="minor"/>
    </font>
    <font>
      <sz val="22"/>
      <color theme="1"/>
      <name val="Bookman Old Style"/>
      <family val="1"/>
    </font>
    <font>
      <b/>
      <sz val="22"/>
      <name val="Bookman Old Style"/>
      <family val="1"/>
    </font>
    <font>
      <sz val="24"/>
      <color theme="1"/>
      <name val="Bookman Old Style"/>
      <family val="1"/>
    </font>
    <font>
      <b/>
      <sz val="22"/>
      <color theme="1"/>
      <name val="Calibri"/>
      <family val="2"/>
      <scheme val="minor"/>
    </font>
    <font>
      <b/>
      <sz val="13"/>
      <name val="Bookman Old Style"/>
      <family val="1"/>
    </font>
    <font>
      <sz val="13"/>
      <name val="Bookman Old Style"/>
      <family val="1"/>
    </font>
    <font>
      <b/>
      <sz val="12"/>
      <color theme="1"/>
      <name val="Bookman Old Style"/>
      <family val="1"/>
    </font>
    <font>
      <sz val="12"/>
      <color theme="1"/>
      <name val="Bookman Old Style"/>
      <family val="1"/>
    </font>
    <font>
      <sz val="12"/>
      <name val="Bookman Old Style"/>
      <family val="1"/>
    </font>
    <font>
      <b/>
      <sz val="12"/>
      <color theme="9"/>
      <name val="Bookman Old Style"/>
      <family val="1"/>
    </font>
    <font>
      <b/>
      <sz val="12"/>
      <name val="Bookman Old Style"/>
      <family val="1"/>
    </font>
    <font>
      <sz val="12"/>
      <color theme="1"/>
      <name val="Calibri"/>
      <family val="2"/>
      <scheme val="minor"/>
    </font>
    <font>
      <b/>
      <sz val="12"/>
      <color rgb="FFFF0000"/>
      <name val="Bookman Old Style"/>
      <family val="1"/>
    </font>
    <font>
      <sz val="12"/>
      <color rgb="FFFF0000"/>
      <name val="Bookman Old Style"/>
      <family val="1"/>
    </font>
    <font>
      <sz val="12"/>
      <color theme="9"/>
      <name val="Bookman Old Style"/>
      <family val="1"/>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auto="1"/>
      </left>
      <right/>
      <top style="medium">
        <color auto="1"/>
      </top>
      <bottom/>
      <diagonal/>
    </border>
    <border>
      <left style="medium">
        <color auto="1"/>
      </left>
      <right/>
      <top style="medium">
        <color auto="1"/>
      </top>
      <bottom style="medium">
        <color auto="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medium">
        <color auto="1"/>
      </top>
      <bottom style="medium">
        <color auto="1"/>
      </bottom>
      <diagonal/>
    </border>
    <border>
      <left/>
      <right/>
      <top style="medium">
        <color auto="1"/>
      </top>
      <bottom/>
      <diagonal/>
    </border>
    <border>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vertical="center"/>
    </xf>
    <xf numFmtId="0" fontId="2" fillId="0" borderId="0" xfId="0" applyFont="1"/>
    <xf numFmtId="0" fontId="5" fillId="0" borderId="0" xfId="0" applyFont="1"/>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 fillId="0" borderId="0" xfId="0" applyFont="1" applyAlignment="1">
      <alignment horizontal="left" wrapText="1"/>
    </xf>
    <xf numFmtId="14" fontId="3" fillId="0" borderId="0" xfId="0" applyNumberFormat="1" applyFont="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wrapText="1"/>
    </xf>
    <xf numFmtId="0" fontId="2" fillId="0" borderId="1" xfId="0" applyFont="1" applyBorder="1" applyAlignment="1">
      <alignment vertical="center"/>
    </xf>
    <xf numFmtId="14" fontId="3" fillId="0" borderId="0" xfId="0" applyNumberFormat="1" applyFont="1" applyAlignment="1">
      <alignment horizontal="center" vertical="center" wrapText="1"/>
    </xf>
    <xf numFmtId="0" fontId="7" fillId="0" borderId="5"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quotePrefix="1" applyFont="1" applyBorder="1" applyAlignment="1">
      <alignment horizontal="left" vertical="center" wrapText="1"/>
    </xf>
    <xf numFmtId="0" fontId="7" fillId="0" borderId="11" xfId="0" quotePrefix="1" applyFont="1" applyBorder="1" applyAlignment="1">
      <alignment horizontal="left" vertical="center" wrapText="1"/>
    </xf>
    <xf numFmtId="0" fontId="1" fillId="0" borderId="0" xfId="0" applyFont="1" applyAlignment="1">
      <alignment horizont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 xfId="0" quotePrefix="1" applyFont="1" applyFill="1" applyBorder="1" applyAlignment="1">
      <alignment horizontal="left" vertical="center" wrapText="1"/>
    </xf>
    <xf numFmtId="0" fontId="7" fillId="2" borderId="1" xfId="0" applyFont="1" applyFill="1" applyBorder="1" applyAlignment="1">
      <alignment horizontal="center" vertical="center" wrapText="1"/>
    </xf>
    <xf numFmtId="14" fontId="7" fillId="2" borderId="10" xfId="0" applyNumberFormat="1" applyFont="1" applyFill="1" applyBorder="1" applyAlignment="1">
      <alignment horizontal="center" vertical="center" wrapText="1"/>
    </xf>
    <xf numFmtId="0" fontId="7" fillId="2" borderId="5" xfId="0" applyFont="1" applyFill="1" applyBorder="1" applyAlignment="1">
      <alignment horizontal="left" vertical="center" wrapText="1"/>
    </xf>
    <xf numFmtId="164" fontId="7" fillId="3" borderId="1" xfId="0" applyNumberFormat="1" applyFont="1" applyFill="1" applyBorder="1" applyAlignment="1">
      <alignment horizontal="center" vertical="center" wrapText="1"/>
    </xf>
    <xf numFmtId="0" fontId="1" fillId="3" borderId="0" xfId="0" applyFont="1" applyFill="1" applyAlignment="1">
      <alignment horizontal="center" wrapText="1"/>
    </xf>
    <xf numFmtId="14" fontId="3" fillId="3" borderId="0" xfId="0" applyNumberFormat="1" applyFont="1" applyFill="1" applyAlignment="1">
      <alignment horizontal="center" vertical="center" wrapText="1"/>
    </xf>
    <xf numFmtId="14" fontId="7" fillId="3" borderId="12" xfId="0" applyNumberFormat="1" applyFont="1" applyFill="1" applyBorder="1" applyAlignment="1">
      <alignment horizontal="center" vertical="center" wrapText="1"/>
    </xf>
    <xf numFmtId="14" fontId="7" fillId="3" borderId="10" xfId="0" applyNumberFormat="1" applyFont="1" applyFill="1" applyBorder="1" applyAlignment="1">
      <alignment horizontal="center" vertical="center" wrapText="1"/>
    </xf>
    <xf numFmtId="14" fontId="7" fillId="3" borderId="13" xfId="0" applyNumberFormat="1" applyFont="1" applyFill="1" applyBorder="1" applyAlignment="1">
      <alignment horizontal="center" vertical="center" wrapText="1"/>
    </xf>
    <xf numFmtId="0" fontId="1" fillId="3" borderId="0" xfId="0" applyFont="1" applyFill="1" applyAlignment="1">
      <alignment wrapText="1"/>
    </xf>
    <xf numFmtId="164" fontId="7" fillId="2" borderId="1" xfId="0" applyNumberFormat="1" applyFont="1" applyFill="1" applyBorder="1" applyAlignment="1">
      <alignment horizontal="center" vertical="center" wrapText="1"/>
    </xf>
    <xf numFmtId="164" fontId="7" fillId="3" borderId="5" xfId="0" applyNumberFormat="1"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3" borderId="17"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center" vertical="center"/>
    </xf>
    <xf numFmtId="14" fontId="10" fillId="3" borderId="14"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10" fillId="3" borderId="14" xfId="0" applyFont="1" applyFill="1" applyBorder="1" applyAlignment="1">
      <alignment horizontal="center" vertical="center" wrapText="1"/>
    </xf>
    <xf numFmtId="0" fontId="9" fillId="0" borderId="8" xfId="0" applyFont="1" applyBorder="1" applyAlignment="1">
      <alignment horizontal="center" vertical="center" wrapText="1"/>
    </xf>
    <xf numFmtId="0" fontId="10"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11" xfId="0" applyFont="1" applyBorder="1" applyAlignment="1">
      <alignment horizontal="center" vertical="center"/>
    </xf>
    <xf numFmtId="0" fontId="10" fillId="3" borderId="15" xfId="0" applyFont="1" applyFill="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14" fontId="10" fillId="3" borderId="10" xfId="0" applyNumberFormat="1" applyFont="1" applyFill="1" applyBorder="1" applyAlignment="1">
      <alignment horizontal="center" vertical="center" wrapText="1"/>
    </xf>
    <xf numFmtId="0" fontId="13" fillId="3" borderId="14" xfId="0" applyFont="1" applyFill="1" applyBorder="1" applyAlignment="1">
      <alignment horizontal="center" vertical="center" wrapText="1"/>
    </xf>
    <xf numFmtId="15" fontId="9" fillId="0" borderId="1" xfId="0" applyNumberFormat="1" applyFont="1" applyBorder="1" applyAlignment="1">
      <alignment horizontal="center" vertical="center" wrapText="1"/>
    </xf>
    <xf numFmtId="14" fontId="8" fillId="3" borderId="14" xfId="0" applyNumberFormat="1" applyFont="1" applyFill="1" applyBorder="1" applyAlignment="1">
      <alignment horizontal="center" vertical="center" wrapText="1"/>
    </xf>
    <xf numFmtId="14" fontId="9" fillId="3" borderId="14" xfId="0" applyNumberFormat="1" applyFont="1" applyFill="1" applyBorder="1" applyAlignment="1">
      <alignment horizontal="center" vertical="center" wrapText="1"/>
    </xf>
    <xf numFmtId="0" fontId="9" fillId="3" borderId="15" xfId="0" applyFont="1" applyFill="1" applyBorder="1" applyAlignment="1">
      <alignment horizontal="center" vertical="center" wrapText="1"/>
    </xf>
    <xf numFmtId="0" fontId="4" fillId="0" borderId="0" xfId="0" applyFont="1" applyAlignment="1">
      <alignment vertical="center"/>
    </xf>
    <xf numFmtId="0" fontId="9" fillId="0" borderId="10" xfId="0" applyFont="1" applyBorder="1" applyAlignment="1">
      <alignment horizontal="center" vertical="center" wrapText="1"/>
    </xf>
    <xf numFmtId="0" fontId="13" fillId="3" borderId="16" xfId="0" applyFont="1" applyFill="1" applyBorder="1" applyAlignment="1">
      <alignment horizontal="center" vertical="center"/>
    </xf>
    <xf numFmtId="0" fontId="8" fillId="0" borderId="1" xfId="0" applyFont="1" applyBorder="1" applyAlignment="1">
      <alignment horizontal="left" vertical="center" wrapText="1"/>
    </xf>
    <xf numFmtId="0" fontId="12" fillId="0" borderId="1" xfId="0" applyFont="1" applyBorder="1" applyAlignment="1">
      <alignment horizontal="left" vertical="center" wrapText="1"/>
    </xf>
    <xf numFmtId="17" fontId="10" fillId="3" borderId="14" xfId="0" applyNumberFormat="1" applyFont="1" applyFill="1" applyBorder="1" applyAlignment="1">
      <alignment horizontal="center" vertical="center" wrapText="1"/>
    </xf>
    <xf numFmtId="0" fontId="10"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15" fontId="9" fillId="4" borderId="1" xfId="0" applyNumberFormat="1" applyFont="1" applyFill="1" applyBorder="1" applyAlignment="1">
      <alignment horizontal="center" vertical="center" wrapText="1"/>
    </xf>
    <xf numFmtId="0" fontId="8" fillId="4" borderId="14" xfId="0"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14" fontId="3" fillId="0" borderId="0" xfId="0" applyNumberFormat="1" applyFont="1" applyAlignment="1">
      <alignment horizontal="center" vertical="center"/>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6" fillId="0" borderId="5" xfId="0" applyFont="1" applyBorder="1" applyAlignment="1">
      <alignment horizontal="left" vertical="center" wrapText="1"/>
    </xf>
    <xf numFmtId="0" fontId="6" fillId="0" borderId="11" xfId="0" applyFont="1" applyBorder="1" applyAlignment="1">
      <alignment horizontal="left" vertical="center" wrapText="1"/>
    </xf>
    <xf numFmtId="0" fontId="6" fillId="3" borderId="11" xfId="0" applyFont="1" applyFill="1" applyBorder="1" applyAlignment="1">
      <alignment horizontal="left" vertical="center" wrapText="1"/>
    </xf>
    <xf numFmtId="0" fontId="6" fillId="3" borderId="21" xfId="0" applyFont="1" applyFill="1" applyBorder="1" applyAlignment="1">
      <alignment horizontal="left" vertical="center" wrapText="1"/>
    </xf>
    <xf numFmtId="0" fontId="6" fillId="3" borderId="5" xfId="0" applyFont="1" applyFill="1" applyBorder="1" applyAlignment="1">
      <alignment horizontal="left" vertical="center" wrapText="1"/>
    </xf>
    <xf numFmtId="0" fontId="12" fillId="0" borderId="11" xfId="0" applyFont="1" applyBorder="1" applyAlignment="1">
      <alignment horizontal="left" vertical="center" wrapText="1"/>
    </xf>
    <xf numFmtId="0" fontId="12" fillId="0" borderId="5" xfId="0" applyFont="1" applyBorder="1" applyAlignment="1">
      <alignment horizontal="left" vertical="center" wrapText="1"/>
    </xf>
    <xf numFmtId="0" fontId="8" fillId="0" borderId="11" xfId="0" applyFont="1" applyBorder="1" applyAlignment="1">
      <alignment horizontal="left" vertical="center" wrapText="1"/>
    </xf>
    <xf numFmtId="0" fontId="8" fillId="0" borderId="5" xfId="0" applyFont="1" applyBorder="1" applyAlignment="1">
      <alignment horizontal="left" vertical="center" wrapText="1"/>
    </xf>
    <xf numFmtId="0" fontId="8" fillId="0" borderId="2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
  <sheetViews>
    <sheetView tabSelected="1" view="pageBreakPreview" topLeftCell="E57" zoomScaleNormal="48" zoomScaleSheetLayoutView="100" workbookViewId="0">
      <selection activeCell="I58" sqref="I58"/>
    </sheetView>
  </sheetViews>
  <sheetFormatPr baseColWidth="10" defaultColWidth="41.453125" defaultRowHeight="28.5" x14ac:dyDescent="0.65"/>
  <cols>
    <col min="1" max="1" width="11" style="1" customWidth="1"/>
    <col min="2" max="2" width="23.26953125" style="5" customWidth="1"/>
    <col min="3" max="3" width="53.1796875" style="13" customWidth="1"/>
    <col min="4" max="4" width="64.54296875" style="2" customWidth="1"/>
    <col min="5" max="5" width="24" style="23" customWidth="1"/>
    <col min="6" max="6" width="22.453125" style="2" customWidth="1"/>
    <col min="7" max="7" width="23.26953125" style="31" customWidth="1"/>
    <col min="8" max="8" width="25.1796875" style="36" customWidth="1"/>
    <col min="9" max="9" width="70" style="1" customWidth="1"/>
    <col min="10" max="16384" width="41.453125" style="1"/>
  </cols>
  <sheetData>
    <row r="1" spans="1:9" ht="39.75" customHeight="1" x14ac:dyDescent="0.65"/>
    <row r="2" spans="1:9" s="3" customFormat="1" ht="27.75" customHeight="1" x14ac:dyDescent="0.35">
      <c r="A2" s="73" t="s">
        <v>59</v>
      </c>
      <c r="B2" s="73"/>
      <c r="C2" s="73"/>
      <c r="D2" s="73"/>
      <c r="E2" s="73"/>
      <c r="F2" s="73"/>
      <c r="G2" s="73"/>
      <c r="H2" s="73"/>
      <c r="I2" s="73"/>
    </row>
    <row r="3" spans="1:9" s="3" customFormat="1" ht="28" thickBot="1" x14ac:dyDescent="0.4">
      <c r="A3" s="18"/>
      <c r="B3" s="18"/>
      <c r="C3" s="14"/>
      <c r="D3" s="18"/>
      <c r="E3" s="18"/>
      <c r="F3" s="18"/>
      <c r="G3" s="32"/>
      <c r="H3" s="32"/>
      <c r="I3" s="18"/>
    </row>
    <row r="4" spans="1:9" s="4" customFormat="1" ht="49.5" customHeight="1" thickTop="1" thickBot="1" x14ac:dyDescent="0.6">
      <c r="A4" s="6" t="s">
        <v>0</v>
      </c>
      <c r="B4" s="7" t="s">
        <v>63</v>
      </c>
      <c r="C4" s="7" t="s">
        <v>1</v>
      </c>
      <c r="D4" s="7" t="s">
        <v>2</v>
      </c>
      <c r="E4" s="7" t="s">
        <v>9</v>
      </c>
      <c r="F4" s="7" t="s">
        <v>10</v>
      </c>
      <c r="G4" s="39" t="s">
        <v>3</v>
      </c>
      <c r="H4" s="41" t="s">
        <v>158</v>
      </c>
      <c r="I4" s="40" t="s">
        <v>120</v>
      </c>
    </row>
    <row r="5" spans="1:9" s="3" customFormat="1" ht="66" x14ac:dyDescent="0.35">
      <c r="A5" s="8">
        <v>1</v>
      </c>
      <c r="B5" s="74" t="s">
        <v>7</v>
      </c>
      <c r="C5" s="19" t="s">
        <v>65</v>
      </c>
      <c r="D5" s="19" t="s">
        <v>60</v>
      </c>
      <c r="E5" s="9" t="s">
        <v>58</v>
      </c>
      <c r="F5" s="9" t="s">
        <v>4</v>
      </c>
      <c r="G5" s="33">
        <v>46248</v>
      </c>
      <c r="H5" s="38">
        <f ca="1">TODAY()-G5</f>
        <v>-1</v>
      </c>
      <c r="I5" s="19" t="s">
        <v>130</v>
      </c>
    </row>
    <row r="6" spans="1:9" s="3" customFormat="1" ht="33" x14ac:dyDescent="0.35">
      <c r="A6" s="10">
        <v>2</v>
      </c>
      <c r="B6" s="75"/>
      <c r="C6" s="20"/>
      <c r="D6" s="20" t="s">
        <v>68</v>
      </c>
      <c r="E6" s="11" t="s">
        <v>5</v>
      </c>
      <c r="F6" s="11" t="s">
        <v>4</v>
      </c>
      <c r="G6" s="34">
        <v>46255</v>
      </c>
      <c r="H6" s="30">
        <f ca="1">TODAY()-G6</f>
        <v>-8</v>
      </c>
      <c r="I6" s="20" t="s">
        <v>128</v>
      </c>
    </row>
    <row r="7" spans="1:9" s="3" customFormat="1" ht="27.5" x14ac:dyDescent="0.35">
      <c r="A7" s="10">
        <v>3</v>
      </c>
      <c r="B7" s="75"/>
      <c r="C7" s="20"/>
      <c r="D7" s="20" t="s">
        <v>64</v>
      </c>
      <c r="E7" s="11" t="s">
        <v>8</v>
      </c>
      <c r="F7" s="11" t="s">
        <v>5</v>
      </c>
      <c r="G7" s="34">
        <v>46265</v>
      </c>
      <c r="H7" s="30">
        <f t="shared" ref="H7:H58" ca="1" si="0">TODAY()-G7</f>
        <v>-18</v>
      </c>
      <c r="I7" s="20" t="s">
        <v>129</v>
      </c>
    </row>
    <row r="8" spans="1:9" s="3" customFormat="1" ht="66" x14ac:dyDescent="0.35">
      <c r="A8" s="10">
        <v>4</v>
      </c>
      <c r="B8" s="75"/>
      <c r="C8" s="20" t="s">
        <v>66</v>
      </c>
      <c r="D8" s="20" t="s">
        <v>60</v>
      </c>
      <c r="E8" s="11" t="s">
        <v>8</v>
      </c>
      <c r="F8" s="11" t="s">
        <v>4</v>
      </c>
      <c r="G8" s="34">
        <v>46248</v>
      </c>
      <c r="H8" s="30">
        <f t="shared" ca="1" si="0"/>
        <v>-1</v>
      </c>
      <c r="I8" s="20" t="s">
        <v>130</v>
      </c>
    </row>
    <row r="9" spans="1:9" s="3" customFormat="1" ht="33" x14ac:dyDescent="0.35">
      <c r="A9" s="10">
        <v>5</v>
      </c>
      <c r="B9" s="75"/>
      <c r="C9" s="20"/>
      <c r="D9" s="20" t="s">
        <v>67</v>
      </c>
      <c r="E9" s="11" t="s">
        <v>5</v>
      </c>
      <c r="F9" s="11" t="s">
        <v>4</v>
      </c>
      <c r="G9" s="34">
        <v>46255</v>
      </c>
      <c r="H9" s="30">
        <f t="shared" ca="1" si="0"/>
        <v>-8</v>
      </c>
      <c r="I9" s="20" t="s">
        <v>128</v>
      </c>
    </row>
    <row r="10" spans="1:9" s="3" customFormat="1" ht="27.5" x14ac:dyDescent="0.35">
      <c r="A10" s="10">
        <v>6</v>
      </c>
      <c r="B10" s="75"/>
      <c r="C10" s="20"/>
      <c r="D10" s="20" t="s">
        <v>64</v>
      </c>
      <c r="E10" s="11" t="s">
        <v>8</v>
      </c>
      <c r="F10" s="11" t="s">
        <v>5</v>
      </c>
      <c r="G10" s="34">
        <v>46265</v>
      </c>
      <c r="H10" s="30">
        <f t="shared" ca="1" si="0"/>
        <v>-18</v>
      </c>
      <c r="I10" s="20" t="s">
        <v>129</v>
      </c>
    </row>
    <row r="11" spans="1:9" s="3" customFormat="1" ht="181.5" x14ac:dyDescent="0.35">
      <c r="A11" s="10">
        <v>7</v>
      </c>
      <c r="B11" s="75"/>
      <c r="C11" s="20" t="s">
        <v>155</v>
      </c>
      <c r="D11" s="20" t="s">
        <v>131</v>
      </c>
      <c r="E11" s="11" t="s">
        <v>8</v>
      </c>
      <c r="F11" s="11" t="s">
        <v>5</v>
      </c>
      <c r="G11" s="34">
        <v>46241</v>
      </c>
      <c r="H11" s="30">
        <f t="shared" ca="1" si="0"/>
        <v>6</v>
      </c>
      <c r="I11" s="19" t="s">
        <v>160</v>
      </c>
    </row>
    <row r="12" spans="1:9" s="3" customFormat="1" ht="33" x14ac:dyDescent="0.35">
      <c r="A12" s="10">
        <v>8</v>
      </c>
      <c r="B12" s="75"/>
      <c r="C12" s="20"/>
      <c r="D12" s="20" t="s">
        <v>132</v>
      </c>
      <c r="E12" s="11" t="s">
        <v>5</v>
      </c>
      <c r="F12" s="11" t="s">
        <v>44</v>
      </c>
      <c r="G12" s="34">
        <v>46249</v>
      </c>
      <c r="H12" s="30">
        <f t="shared" ca="1" si="0"/>
        <v>-2</v>
      </c>
      <c r="I12" s="19" t="s">
        <v>133</v>
      </c>
    </row>
    <row r="13" spans="1:9" s="3" customFormat="1" ht="66" x14ac:dyDescent="0.35">
      <c r="A13" s="10">
        <v>9</v>
      </c>
      <c r="B13" s="75"/>
      <c r="C13" s="20" t="s">
        <v>69</v>
      </c>
      <c r="D13" s="20" t="s">
        <v>11</v>
      </c>
      <c r="E13" s="11" t="s">
        <v>12</v>
      </c>
      <c r="F13" s="11" t="s">
        <v>5</v>
      </c>
      <c r="G13" s="34">
        <v>46251</v>
      </c>
      <c r="H13" s="30">
        <f t="shared" ca="1" si="0"/>
        <v>-4</v>
      </c>
      <c r="I13" s="19" t="s">
        <v>134</v>
      </c>
    </row>
    <row r="14" spans="1:9" s="3" customFormat="1" ht="49.5" x14ac:dyDescent="0.35">
      <c r="A14" s="10">
        <v>10</v>
      </c>
      <c r="B14" s="75"/>
      <c r="C14" s="20" t="s">
        <v>136</v>
      </c>
      <c r="D14" s="20" t="s">
        <v>61</v>
      </c>
      <c r="E14" s="11" t="s">
        <v>5</v>
      </c>
      <c r="F14" s="11" t="s">
        <v>4</v>
      </c>
      <c r="G14" s="34">
        <v>46237</v>
      </c>
      <c r="H14" s="30">
        <f t="shared" ca="1" si="0"/>
        <v>10</v>
      </c>
      <c r="I14" s="19" t="s">
        <v>161</v>
      </c>
    </row>
    <row r="15" spans="1:9" s="3" customFormat="1" ht="34.5" customHeight="1" x14ac:dyDescent="0.35">
      <c r="A15" s="10">
        <v>11</v>
      </c>
      <c r="B15" s="76"/>
      <c r="C15" s="20"/>
      <c r="D15" s="20" t="s">
        <v>70</v>
      </c>
      <c r="E15" s="11" t="s">
        <v>6</v>
      </c>
      <c r="F15" s="11"/>
      <c r="G15" s="34">
        <v>46241</v>
      </c>
      <c r="H15" s="30">
        <f t="shared" ca="1" si="0"/>
        <v>6</v>
      </c>
      <c r="I15" s="19" t="s">
        <v>135</v>
      </c>
    </row>
    <row r="16" spans="1:9" s="3" customFormat="1" ht="66" x14ac:dyDescent="0.35">
      <c r="A16" s="10">
        <v>12</v>
      </c>
      <c r="B16" s="77" t="s">
        <v>13</v>
      </c>
      <c r="C16" s="20" t="s">
        <v>153</v>
      </c>
      <c r="D16" s="20" t="s">
        <v>71</v>
      </c>
      <c r="E16" s="11" t="s">
        <v>8</v>
      </c>
      <c r="F16" s="11" t="s">
        <v>4</v>
      </c>
      <c r="G16" s="34">
        <v>46248</v>
      </c>
      <c r="H16" s="30">
        <f t="shared" ca="1" si="0"/>
        <v>-1</v>
      </c>
      <c r="I16" s="20" t="s">
        <v>130</v>
      </c>
    </row>
    <row r="17" spans="1:9" s="3" customFormat="1" ht="33" x14ac:dyDescent="0.35">
      <c r="A17" s="10">
        <v>13</v>
      </c>
      <c r="B17" s="75"/>
      <c r="C17" s="20"/>
      <c r="D17" s="20" t="s">
        <v>67</v>
      </c>
      <c r="E17" s="11" t="s">
        <v>5</v>
      </c>
      <c r="F17" s="11" t="s">
        <v>4</v>
      </c>
      <c r="G17" s="34">
        <v>46255</v>
      </c>
      <c r="H17" s="30">
        <f t="shared" ca="1" si="0"/>
        <v>-8</v>
      </c>
      <c r="I17" s="20" t="s">
        <v>128</v>
      </c>
    </row>
    <row r="18" spans="1:9" s="3" customFormat="1" ht="27.5" x14ac:dyDescent="0.35">
      <c r="A18" s="10">
        <v>14</v>
      </c>
      <c r="B18" s="75"/>
      <c r="C18" s="20"/>
      <c r="D18" s="20" t="s">
        <v>64</v>
      </c>
      <c r="E18" s="11" t="s">
        <v>8</v>
      </c>
      <c r="F18" s="11" t="s">
        <v>5</v>
      </c>
      <c r="G18" s="34">
        <v>46265</v>
      </c>
      <c r="H18" s="30">
        <f t="shared" ca="1" si="0"/>
        <v>-18</v>
      </c>
      <c r="I18" s="20" t="s">
        <v>129</v>
      </c>
    </row>
    <row r="19" spans="1:9" s="3" customFormat="1" ht="66" x14ac:dyDescent="0.35">
      <c r="A19" s="10">
        <v>15</v>
      </c>
      <c r="B19" s="75"/>
      <c r="C19" s="20" t="s">
        <v>154</v>
      </c>
      <c r="D19" s="20" t="s">
        <v>71</v>
      </c>
      <c r="E19" s="11" t="s">
        <v>8</v>
      </c>
      <c r="F19" s="11" t="s">
        <v>4</v>
      </c>
      <c r="G19" s="34">
        <v>46248</v>
      </c>
      <c r="H19" s="30">
        <f t="shared" ca="1" si="0"/>
        <v>-1</v>
      </c>
      <c r="I19" s="20" t="s">
        <v>130</v>
      </c>
    </row>
    <row r="20" spans="1:9" s="3" customFormat="1" ht="33" x14ac:dyDescent="0.35">
      <c r="A20" s="10">
        <v>16</v>
      </c>
      <c r="B20" s="75"/>
      <c r="C20" s="20"/>
      <c r="D20" s="20" t="s">
        <v>67</v>
      </c>
      <c r="E20" s="11" t="s">
        <v>5</v>
      </c>
      <c r="F20" s="11" t="s">
        <v>4</v>
      </c>
      <c r="G20" s="34">
        <v>46255</v>
      </c>
      <c r="H20" s="30">
        <f t="shared" ca="1" si="0"/>
        <v>-8</v>
      </c>
      <c r="I20" s="20" t="s">
        <v>128</v>
      </c>
    </row>
    <row r="21" spans="1:9" s="3" customFormat="1" ht="27.5" x14ac:dyDescent="0.35">
      <c r="A21" s="10">
        <v>17</v>
      </c>
      <c r="B21" s="75"/>
      <c r="C21" s="20"/>
      <c r="D21" s="20" t="s">
        <v>64</v>
      </c>
      <c r="E21" s="11" t="s">
        <v>8</v>
      </c>
      <c r="F21" s="11" t="s">
        <v>5</v>
      </c>
      <c r="G21" s="34">
        <v>46265</v>
      </c>
      <c r="H21" s="30">
        <f t="shared" ca="1" si="0"/>
        <v>-18</v>
      </c>
      <c r="I21" s="20" t="s">
        <v>129</v>
      </c>
    </row>
    <row r="22" spans="1:9" s="3" customFormat="1" ht="49.5" x14ac:dyDescent="0.35">
      <c r="A22" s="10">
        <v>18</v>
      </c>
      <c r="B22" s="75"/>
      <c r="C22" s="20" t="s">
        <v>137</v>
      </c>
      <c r="D22" s="20" t="s">
        <v>14</v>
      </c>
      <c r="E22" s="11" t="s">
        <v>8</v>
      </c>
      <c r="F22" s="11" t="s">
        <v>6</v>
      </c>
      <c r="G22" s="34">
        <v>46248</v>
      </c>
      <c r="H22" s="30">
        <f t="shared" ca="1" si="0"/>
        <v>-1</v>
      </c>
      <c r="I22" s="19" t="s">
        <v>152</v>
      </c>
    </row>
    <row r="23" spans="1:9" s="3" customFormat="1" ht="66" x14ac:dyDescent="0.35">
      <c r="A23" s="10">
        <v>19</v>
      </c>
      <c r="B23" s="75"/>
      <c r="C23" s="20" t="s">
        <v>138</v>
      </c>
      <c r="D23" s="20" t="s">
        <v>72</v>
      </c>
      <c r="E23" s="11" t="s">
        <v>8</v>
      </c>
      <c r="F23" s="11" t="s">
        <v>15</v>
      </c>
      <c r="G23" s="34">
        <v>46265</v>
      </c>
      <c r="H23" s="30">
        <f t="shared" ca="1" si="0"/>
        <v>-18</v>
      </c>
      <c r="I23" s="20" t="s">
        <v>130</v>
      </c>
    </row>
    <row r="24" spans="1:9" s="3" customFormat="1" ht="73.5" customHeight="1" x14ac:dyDescent="0.35">
      <c r="A24" s="10">
        <v>20</v>
      </c>
      <c r="B24" s="76"/>
      <c r="C24" s="20" t="s">
        <v>16</v>
      </c>
      <c r="D24" s="20" t="s">
        <v>61</v>
      </c>
      <c r="E24" s="11" t="s">
        <v>5</v>
      </c>
      <c r="F24" s="11" t="s">
        <v>4</v>
      </c>
      <c r="G24" s="34">
        <v>46237</v>
      </c>
      <c r="H24" s="30">
        <f t="shared" ca="1" si="0"/>
        <v>10</v>
      </c>
      <c r="I24" s="19" t="s">
        <v>162</v>
      </c>
    </row>
    <row r="25" spans="1:9" s="3" customFormat="1" ht="81" customHeight="1" x14ac:dyDescent="0.35">
      <c r="A25" s="10">
        <v>21</v>
      </c>
      <c r="B25" s="77" t="s">
        <v>17</v>
      </c>
      <c r="C25" s="20" t="s">
        <v>18</v>
      </c>
      <c r="D25" s="20" t="s">
        <v>73</v>
      </c>
      <c r="E25" s="11" t="s">
        <v>4</v>
      </c>
      <c r="F25" s="11" t="s">
        <v>19</v>
      </c>
      <c r="G25" s="34">
        <v>46241</v>
      </c>
      <c r="H25" s="30">
        <f t="shared" ca="1" si="0"/>
        <v>6</v>
      </c>
      <c r="I25" s="19" t="s">
        <v>139</v>
      </c>
    </row>
    <row r="26" spans="1:9" s="3" customFormat="1" ht="66" x14ac:dyDescent="0.35">
      <c r="A26" s="10">
        <v>22</v>
      </c>
      <c r="B26" s="76"/>
      <c r="C26" s="20"/>
      <c r="D26" s="20" t="s">
        <v>20</v>
      </c>
      <c r="E26" s="11" t="s">
        <v>21</v>
      </c>
      <c r="F26" s="11" t="s">
        <v>4</v>
      </c>
      <c r="G26" s="34">
        <v>46356</v>
      </c>
      <c r="H26" s="30">
        <f t="shared" ca="1" si="0"/>
        <v>-109</v>
      </c>
      <c r="I26" s="19" t="s">
        <v>140</v>
      </c>
    </row>
    <row r="27" spans="1:9" s="4" customFormat="1" ht="60.75" customHeight="1" x14ac:dyDescent="0.55000000000000004">
      <c r="A27" s="24">
        <v>23</v>
      </c>
      <c r="B27" s="78" t="s">
        <v>22</v>
      </c>
      <c r="C27" s="25" t="s">
        <v>74</v>
      </c>
      <c r="D27" s="26" t="s">
        <v>25</v>
      </c>
      <c r="E27" s="27" t="s">
        <v>23</v>
      </c>
      <c r="F27" s="27" t="s">
        <v>4</v>
      </c>
      <c r="G27" s="28">
        <v>46237</v>
      </c>
      <c r="H27" s="37" t="s">
        <v>159</v>
      </c>
      <c r="I27" s="29" t="s">
        <v>141</v>
      </c>
    </row>
    <row r="28" spans="1:9" s="4" customFormat="1" ht="82.5" x14ac:dyDescent="0.55000000000000004">
      <c r="A28" s="10">
        <v>24</v>
      </c>
      <c r="B28" s="79"/>
      <c r="C28" s="20"/>
      <c r="D28" s="21" t="s">
        <v>27</v>
      </c>
      <c r="E28" s="11" t="s">
        <v>5</v>
      </c>
      <c r="F28" s="11" t="s">
        <v>28</v>
      </c>
      <c r="G28" s="34">
        <v>46239</v>
      </c>
      <c r="H28" s="30">
        <f t="shared" ca="1" si="0"/>
        <v>8</v>
      </c>
      <c r="I28" s="19" t="s">
        <v>163</v>
      </c>
    </row>
    <row r="29" spans="1:9" s="4" customFormat="1" ht="33" x14ac:dyDescent="0.55000000000000004">
      <c r="A29" s="10">
        <v>25</v>
      </c>
      <c r="B29" s="80"/>
      <c r="C29" s="20"/>
      <c r="D29" s="21" t="s">
        <v>62</v>
      </c>
      <c r="E29" s="11" t="s">
        <v>19</v>
      </c>
      <c r="F29" s="11" t="s">
        <v>29</v>
      </c>
      <c r="G29" s="34">
        <v>46295</v>
      </c>
      <c r="H29" s="30">
        <f t="shared" ca="1" si="0"/>
        <v>-48</v>
      </c>
      <c r="I29" s="19" t="s">
        <v>142</v>
      </c>
    </row>
    <row r="30" spans="1:9" s="4" customFormat="1" ht="37.5" customHeight="1" x14ac:dyDescent="0.55000000000000004">
      <c r="A30" s="10">
        <v>26</v>
      </c>
      <c r="B30" s="77" t="s">
        <v>30</v>
      </c>
      <c r="C30" s="20" t="s">
        <v>31</v>
      </c>
      <c r="D30" s="21" t="s">
        <v>32</v>
      </c>
      <c r="E30" s="11" t="s">
        <v>33</v>
      </c>
      <c r="F30" s="11" t="s">
        <v>34</v>
      </c>
      <c r="G30" s="34">
        <v>46241</v>
      </c>
      <c r="H30" s="30">
        <f t="shared" ca="1" si="0"/>
        <v>6</v>
      </c>
      <c r="I30" s="19" t="s">
        <v>143</v>
      </c>
    </row>
    <row r="31" spans="1:9" s="4" customFormat="1" ht="58.5" customHeight="1" x14ac:dyDescent="0.55000000000000004">
      <c r="A31" s="10">
        <v>27</v>
      </c>
      <c r="B31" s="76"/>
      <c r="C31" s="20"/>
      <c r="D31" s="21" t="s">
        <v>164</v>
      </c>
      <c r="E31" s="11" t="s">
        <v>4</v>
      </c>
      <c r="F31" s="11"/>
      <c r="G31" s="34">
        <v>46241</v>
      </c>
      <c r="H31" s="30">
        <f t="shared" ca="1" si="0"/>
        <v>6</v>
      </c>
      <c r="I31" s="19" t="s">
        <v>144</v>
      </c>
    </row>
    <row r="32" spans="1:9" s="4" customFormat="1" ht="82.5" x14ac:dyDescent="0.55000000000000004">
      <c r="A32" s="10">
        <v>28</v>
      </c>
      <c r="B32" s="77" t="s">
        <v>24</v>
      </c>
      <c r="C32" s="21" t="s">
        <v>26</v>
      </c>
      <c r="D32" s="20" t="s">
        <v>35</v>
      </c>
      <c r="E32" s="11" t="s">
        <v>5</v>
      </c>
      <c r="F32" s="11" t="s">
        <v>36</v>
      </c>
      <c r="G32" s="34">
        <v>46241</v>
      </c>
      <c r="H32" s="30">
        <f t="shared" ca="1" si="0"/>
        <v>6</v>
      </c>
      <c r="I32" s="19" t="s">
        <v>145</v>
      </c>
    </row>
    <row r="33" spans="1:9" s="4" customFormat="1" ht="45" customHeight="1" x14ac:dyDescent="0.55000000000000004">
      <c r="A33" s="10">
        <v>29</v>
      </c>
      <c r="B33" s="75"/>
      <c r="C33" s="21"/>
      <c r="D33" s="20" t="s">
        <v>37</v>
      </c>
      <c r="E33" s="11" t="s">
        <v>36</v>
      </c>
      <c r="F33" s="11" t="s">
        <v>127</v>
      </c>
      <c r="G33" s="34">
        <v>46295</v>
      </c>
      <c r="H33" s="30">
        <f t="shared" ca="1" si="0"/>
        <v>-48</v>
      </c>
      <c r="I33" s="19" t="s">
        <v>146</v>
      </c>
    </row>
    <row r="34" spans="1:9" s="3" customFormat="1" ht="99.75" customHeight="1" x14ac:dyDescent="0.35">
      <c r="A34" s="10">
        <v>30</v>
      </c>
      <c r="B34" s="75"/>
      <c r="C34" s="20" t="s">
        <v>75</v>
      </c>
      <c r="D34" s="20" t="s">
        <v>39</v>
      </c>
      <c r="E34" s="11" t="s">
        <v>8</v>
      </c>
      <c r="F34" s="11" t="s">
        <v>40</v>
      </c>
      <c r="G34" s="34">
        <v>46248</v>
      </c>
      <c r="H34" s="30">
        <f t="shared" ca="1" si="0"/>
        <v>-1</v>
      </c>
      <c r="I34" s="19" t="s">
        <v>156</v>
      </c>
    </row>
    <row r="35" spans="1:9" s="3" customFormat="1" ht="57.75" customHeight="1" x14ac:dyDescent="0.35">
      <c r="A35" s="10">
        <v>31</v>
      </c>
      <c r="B35" s="75"/>
      <c r="C35" s="21" t="s">
        <v>38</v>
      </c>
      <c r="D35" s="20" t="s">
        <v>47</v>
      </c>
      <c r="E35" s="11" t="s">
        <v>8</v>
      </c>
      <c r="F35" s="11" t="s">
        <v>36</v>
      </c>
      <c r="G35" s="34">
        <v>46241</v>
      </c>
      <c r="H35" s="30">
        <f t="shared" ca="1" si="0"/>
        <v>6</v>
      </c>
      <c r="I35" s="19" t="s">
        <v>150</v>
      </c>
    </row>
    <row r="36" spans="1:9" s="3" customFormat="1" ht="76.5" customHeight="1" x14ac:dyDescent="0.35">
      <c r="A36" s="10">
        <v>32</v>
      </c>
      <c r="B36" s="75"/>
      <c r="C36" s="26" t="s">
        <v>76</v>
      </c>
      <c r="D36" s="25" t="s">
        <v>45</v>
      </c>
      <c r="E36" s="27" t="s">
        <v>8</v>
      </c>
      <c r="F36" s="27" t="s">
        <v>46</v>
      </c>
      <c r="G36" s="28">
        <v>46237</v>
      </c>
      <c r="H36" s="37" t="s">
        <v>159</v>
      </c>
      <c r="I36" s="29" t="s">
        <v>157</v>
      </c>
    </row>
    <row r="37" spans="1:9" s="3" customFormat="1" ht="33" x14ac:dyDescent="0.35">
      <c r="A37" s="10">
        <v>33</v>
      </c>
      <c r="B37" s="75"/>
      <c r="C37" s="21"/>
      <c r="D37" s="20" t="s">
        <v>48</v>
      </c>
      <c r="E37" s="11" t="s">
        <v>8</v>
      </c>
      <c r="F37" s="11" t="s">
        <v>36</v>
      </c>
      <c r="G37" s="34">
        <v>46241</v>
      </c>
      <c r="H37" s="30">
        <f t="shared" ca="1" si="0"/>
        <v>6</v>
      </c>
      <c r="I37" s="19" t="s">
        <v>151</v>
      </c>
    </row>
    <row r="38" spans="1:9" s="3" customFormat="1" ht="69.75" customHeight="1" x14ac:dyDescent="0.35">
      <c r="A38" s="10">
        <v>34</v>
      </c>
      <c r="B38" s="75"/>
      <c r="C38" s="21" t="s">
        <v>41</v>
      </c>
      <c r="D38" s="20" t="s">
        <v>49</v>
      </c>
      <c r="E38" s="11" t="s">
        <v>8</v>
      </c>
      <c r="F38" s="11" t="s">
        <v>36</v>
      </c>
      <c r="G38" s="34">
        <v>46249</v>
      </c>
      <c r="H38" s="30">
        <f t="shared" ca="1" si="0"/>
        <v>-2</v>
      </c>
      <c r="I38" s="19" t="s">
        <v>151</v>
      </c>
    </row>
    <row r="39" spans="1:9" s="3" customFormat="1" ht="68.25" customHeight="1" x14ac:dyDescent="0.35">
      <c r="A39" s="10">
        <v>35</v>
      </c>
      <c r="B39" s="75"/>
      <c r="C39" s="21" t="s">
        <v>42</v>
      </c>
      <c r="D39" s="20" t="s">
        <v>49</v>
      </c>
      <c r="E39" s="11" t="s">
        <v>8</v>
      </c>
      <c r="F39" s="11" t="s">
        <v>36</v>
      </c>
      <c r="G39" s="34">
        <v>46249</v>
      </c>
      <c r="H39" s="30">
        <f t="shared" ca="1" si="0"/>
        <v>-2</v>
      </c>
      <c r="I39" s="19" t="s">
        <v>151</v>
      </c>
    </row>
    <row r="40" spans="1:9" s="3" customFormat="1" ht="66.75" customHeight="1" x14ac:dyDescent="0.35">
      <c r="A40" s="10">
        <v>36</v>
      </c>
      <c r="B40" s="75"/>
      <c r="C40" s="21" t="s">
        <v>43</v>
      </c>
      <c r="D40" s="20" t="s">
        <v>49</v>
      </c>
      <c r="E40" s="11" t="s">
        <v>8</v>
      </c>
      <c r="F40" s="11" t="s">
        <v>36</v>
      </c>
      <c r="G40" s="34">
        <v>46249</v>
      </c>
      <c r="H40" s="30">
        <f t="shared" ca="1" si="0"/>
        <v>-2</v>
      </c>
      <c r="I40" s="19" t="s">
        <v>151</v>
      </c>
    </row>
    <row r="41" spans="1:9" s="3" customFormat="1" ht="41.25" customHeight="1" x14ac:dyDescent="0.35">
      <c r="A41" s="24">
        <v>37</v>
      </c>
      <c r="B41" s="76"/>
      <c r="C41" s="26" t="s">
        <v>51</v>
      </c>
      <c r="D41" s="25" t="s">
        <v>50</v>
      </c>
      <c r="E41" s="27" t="s">
        <v>36</v>
      </c>
      <c r="F41" s="27" t="s">
        <v>44</v>
      </c>
      <c r="G41" s="28">
        <v>46237</v>
      </c>
      <c r="H41" s="37" t="s">
        <v>159</v>
      </c>
      <c r="I41" s="29" t="s">
        <v>147</v>
      </c>
    </row>
    <row r="42" spans="1:9" s="3" customFormat="1" ht="57" customHeight="1" x14ac:dyDescent="0.35">
      <c r="A42" s="24">
        <v>38</v>
      </c>
      <c r="B42" s="78" t="s">
        <v>52</v>
      </c>
      <c r="C42" s="26" t="s">
        <v>53</v>
      </c>
      <c r="D42" s="25" t="s">
        <v>54</v>
      </c>
      <c r="E42" s="27" t="s">
        <v>4</v>
      </c>
      <c r="F42" s="27" t="s">
        <v>36</v>
      </c>
      <c r="G42" s="28">
        <v>46237</v>
      </c>
      <c r="H42" s="37" t="s">
        <v>159</v>
      </c>
      <c r="I42" s="29" t="s">
        <v>148</v>
      </c>
    </row>
    <row r="43" spans="1:9" s="3" customFormat="1" ht="49.5" x14ac:dyDescent="0.35">
      <c r="A43" s="24">
        <v>39</v>
      </c>
      <c r="B43" s="79"/>
      <c r="C43" s="26" t="s">
        <v>55</v>
      </c>
      <c r="D43" s="25" t="s">
        <v>56</v>
      </c>
      <c r="E43" s="27" t="s">
        <v>4</v>
      </c>
      <c r="F43" s="27" t="s">
        <v>33</v>
      </c>
      <c r="G43" s="28">
        <v>46239</v>
      </c>
      <c r="H43" s="37" t="s">
        <v>159</v>
      </c>
      <c r="I43" s="29" t="s">
        <v>149</v>
      </c>
    </row>
    <row r="44" spans="1:9" s="3" customFormat="1" ht="44.25" customHeight="1" thickBot="1" x14ac:dyDescent="0.4">
      <c r="A44" s="12">
        <v>40</v>
      </c>
      <c r="B44" s="79"/>
      <c r="C44" s="22"/>
      <c r="D44" s="15" t="s">
        <v>57</v>
      </c>
      <c r="E44" s="16" t="s">
        <v>36</v>
      </c>
      <c r="F44" s="16" t="s">
        <v>4</v>
      </c>
      <c r="G44" s="35">
        <v>46239</v>
      </c>
      <c r="H44" s="30">
        <f t="shared" ca="1" si="0"/>
        <v>8</v>
      </c>
      <c r="I44" s="19"/>
    </row>
    <row r="45" spans="1:9" s="3" customFormat="1" ht="102.75" customHeight="1" thickBot="1" x14ac:dyDescent="0.4">
      <c r="A45" s="42">
        <v>41</v>
      </c>
      <c r="B45" s="79"/>
      <c r="C45" s="43" t="s">
        <v>165</v>
      </c>
      <c r="D45" s="44" t="s">
        <v>117</v>
      </c>
      <c r="E45" s="45" t="s">
        <v>77</v>
      </c>
      <c r="F45" s="43" t="s">
        <v>78</v>
      </c>
      <c r="G45" s="46">
        <v>46249</v>
      </c>
      <c r="H45" s="30">
        <f t="shared" ca="1" si="0"/>
        <v>-2</v>
      </c>
      <c r="I45" s="19"/>
    </row>
    <row r="46" spans="1:9" s="3" customFormat="1" ht="155.5" thickBot="1" x14ac:dyDescent="0.4">
      <c r="A46" s="42">
        <v>42</v>
      </c>
      <c r="B46" s="80"/>
      <c r="C46" s="43" t="s">
        <v>79</v>
      </c>
      <c r="D46" s="44" t="s">
        <v>80</v>
      </c>
      <c r="E46" s="47" t="s">
        <v>81</v>
      </c>
      <c r="F46" s="43" t="s">
        <v>82</v>
      </c>
      <c r="G46" s="67">
        <v>46235</v>
      </c>
      <c r="H46" s="30">
        <f t="shared" ca="1" si="0"/>
        <v>12</v>
      </c>
      <c r="I46" s="19"/>
    </row>
    <row r="47" spans="1:9" s="3" customFormat="1" ht="170.5" x14ac:dyDescent="0.35">
      <c r="A47" s="49">
        <v>43</v>
      </c>
      <c r="B47" s="83" t="s">
        <v>83</v>
      </c>
      <c r="C47" s="50" t="s">
        <v>84</v>
      </c>
      <c r="D47" s="51" t="s">
        <v>166</v>
      </c>
      <c r="E47" s="52" t="s">
        <v>85</v>
      </c>
      <c r="F47" s="51" t="s">
        <v>86</v>
      </c>
      <c r="G47" s="53" t="s">
        <v>87</v>
      </c>
      <c r="H47" s="30" t="e">
        <f t="shared" ca="1" si="0"/>
        <v>#VALUE!</v>
      </c>
      <c r="I47" s="68" t="s">
        <v>124</v>
      </c>
    </row>
    <row r="48" spans="1:9" s="3" customFormat="1" ht="155.5" customHeight="1" thickBot="1" x14ac:dyDescent="0.4">
      <c r="A48" s="47">
        <v>44</v>
      </c>
      <c r="B48" s="84"/>
      <c r="C48" s="54" t="s">
        <v>88</v>
      </c>
      <c r="D48" s="55" t="s">
        <v>122</v>
      </c>
      <c r="E48" s="47" t="s">
        <v>89</v>
      </c>
      <c r="F48" s="55" t="s">
        <v>78</v>
      </c>
      <c r="G48" s="56">
        <v>46241</v>
      </c>
      <c r="H48" s="30">
        <f t="shared" ca="1" si="0"/>
        <v>6</v>
      </c>
      <c r="I48" s="44" t="s">
        <v>123</v>
      </c>
    </row>
    <row r="49" spans="1:9" s="3" customFormat="1" ht="79.5" customHeight="1" thickBot="1" x14ac:dyDescent="0.4">
      <c r="A49" s="42">
        <v>45</v>
      </c>
      <c r="B49" s="83" t="s">
        <v>90</v>
      </c>
      <c r="C49" s="43" t="s">
        <v>91</v>
      </c>
      <c r="D49" s="43" t="s">
        <v>92</v>
      </c>
      <c r="E49" s="45" t="s">
        <v>89</v>
      </c>
      <c r="F49" s="43" t="s">
        <v>86</v>
      </c>
      <c r="G49" s="48" t="s">
        <v>93</v>
      </c>
      <c r="H49" s="30" t="e">
        <f t="shared" ca="1" si="0"/>
        <v>#VALUE!</v>
      </c>
      <c r="I49" s="44" t="s">
        <v>125</v>
      </c>
    </row>
    <row r="50" spans="1:9" s="3" customFormat="1" ht="124.5" thickBot="1" x14ac:dyDescent="0.4">
      <c r="A50" s="42">
        <v>46</v>
      </c>
      <c r="B50" s="85"/>
      <c r="C50" s="43" t="s">
        <v>94</v>
      </c>
      <c r="D50" s="43" t="s">
        <v>95</v>
      </c>
      <c r="E50" s="47" t="s">
        <v>96</v>
      </c>
      <c r="F50" s="43"/>
      <c r="G50" s="46">
        <v>46249</v>
      </c>
      <c r="H50" s="30">
        <f t="shared" ca="1" si="0"/>
        <v>-2</v>
      </c>
      <c r="I50" s="44" t="s">
        <v>172</v>
      </c>
    </row>
    <row r="51" spans="1:9" s="3" customFormat="1" ht="58.5" customHeight="1" thickBot="1" x14ac:dyDescent="0.4">
      <c r="A51" s="42">
        <v>47</v>
      </c>
      <c r="B51" s="85"/>
      <c r="C51" s="43" t="s">
        <v>97</v>
      </c>
      <c r="D51" s="43" t="s">
        <v>98</v>
      </c>
      <c r="E51" s="47" t="s">
        <v>96</v>
      </c>
      <c r="F51" s="43" t="s">
        <v>86</v>
      </c>
      <c r="G51" s="46">
        <v>46241</v>
      </c>
      <c r="H51" s="30">
        <f t="shared" ca="1" si="0"/>
        <v>6</v>
      </c>
      <c r="I51" s="44" t="s">
        <v>173</v>
      </c>
    </row>
    <row r="52" spans="1:9" s="3" customFormat="1" ht="109" thickBot="1" x14ac:dyDescent="0.4">
      <c r="A52" s="42">
        <v>48</v>
      </c>
      <c r="B52" s="85" t="s">
        <v>174</v>
      </c>
      <c r="C52" s="44" t="s">
        <v>99</v>
      </c>
      <c r="D52" s="43" t="s">
        <v>100</v>
      </c>
      <c r="E52" s="47" t="s">
        <v>101</v>
      </c>
      <c r="F52" s="43" t="s">
        <v>78</v>
      </c>
      <c r="G52" s="57" t="s">
        <v>102</v>
      </c>
      <c r="H52" s="30" t="e">
        <f t="shared" ca="1" si="0"/>
        <v>#VALUE!</v>
      </c>
      <c r="I52" s="17"/>
    </row>
    <row r="53" spans="1:9" s="3" customFormat="1" ht="93.5" thickBot="1" x14ac:dyDescent="0.4">
      <c r="A53" s="42">
        <v>49</v>
      </c>
      <c r="B53" s="85"/>
      <c r="C53" s="43" t="s">
        <v>103</v>
      </c>
      <c r="D53" s="43" t="s">
        <v>167</v>
      </c>
      <c r="E53" s="58" t="s">
        <v>85</v>
      </c>
      <c r="F53" s="43" t="s">
        <v>78</v>
      </c>
      <c r="G53" s="59">
        <v>46241</v>
      </c>
      <c r="H53" s="30">
        <f t="shared" ca="1" si="0"/>
        <v>6</v>
      </c>
      <c r="I53" s="17"/>
    </row>
    <row r="54" spans="1:9" s="3" customFormat="1" ht="47" thickBot="1" x14ac:dyDescent="0.4">
      <c r="A54" s="42">
        <v>50</v>
      </c>
      <c r="B54" s="84"/>
      <c r="C54" s="69" t="s">
        <v>126</v>
      </c>
      <c r="D54" s="69" t="s">
        <v>168</v>
      </c>
      <c r="E54" s="70" t="s">
        <v>104</v>
      </c>
      <c r="F54" s="69" t="s">
        <v>4</v>
      </c>
      <c r="G54" s="71" t="s">
        <v>93</v>
      </c>
      <c r="H54" s="72" t="e">
        <f t="shared" ca="1" si="0"/>
        <v>#VALUE!</v>
      </c>
      <c r="I54" s="69" t="s">
        <v>169</v>
      </c>
    </row>
    <row r="55" spans="1:9" s="3" customFormat="1" ht="124.5" thickBot="1" x14ac:dyDescent="0.4">
      <c r="A55" s="42">
        <v>51</v>
      </c>
      <c r="B55" s="65" t="s">
        <v>118</v>
      </c>
      <c r="C55" s="43" t="s">
        <v>105</v>
      </c>
      <c r="D55" s="43" t="s">
        <v>119</v>
      </c>
      <c r="E55" s="47" t="s">
        <v>106</v>
      </c>
      <c r="F55" s="43" t="s">
        <v>86</v>
      </c>
      <c r="G55" s="57" t="s">
        <v>93</v>
      </c>
      <c r="H55" s="30" t="e">
        <f t="shared" ca="1" si="0"/>
        <v>#VALUE!</v>
      </c>
      <c r="I55" s="43" t="s">
        <v>175</v>
      </c>
    </row>
    <row r="56" spans="1:9" s="3" customFormat="1" ht="318.64999999999998" customHeight="1" thickBot="1" x14ac:dyDescent="0.4">
      <c r="A56" s="42">
        <v>52</v>
      </c>
      <c r="B56" s="66" t="s">
        <v>107</v>
      </c>
      <c r="C56" s="43" t="s">
        <v>121</v>
      </c>
      <c r="D56" s="43" t="s">
        <v>108</v>
      </c>
      <c r="E56" s="47" t="s">
        <v>109</v>
      </c>
      <c r="F56" s="43" t="s">
        <v>86</v>
      </c>
      <c r="G56" s="60">
        <v>46238</v>
      </c>
      <c r="H56" s="30">
        <f t="shared" ca="1" si="0"/>
        <v>9</v>
      </c>
      <c r="I56" s="43" t="s">
        <v>170</v>
      </c>
    </row>
    <row r="57" spans="1:9" s="62" customFormat="1" ht="168" customHeight="1" x14ac:dyDescent="0.35">
      <c r="A57" s="49">
        <v>53</v>
      </c>
      <c r="B57" s="81" t="s">
        <v>110</v>
      </c>
      <c r="C57" s="43" t="s">
        <v>111</v>
      </c>
      <c r="D57" s="43" t="s">
        <v>171</v>
      </c>
      <c r="E57" s="47" t="s">
        <v>112</v>
      </c>
      <c r="F57" s="43" t="s">
        <v>86</v>
      </c>
      <c r="G57" s="61" t="s">
        <v>93</v>
      </c>
      <c r="H57" s="30" t="e">
        <f t="shared" ca="1" si="0"/>
        <v>#VALUE!</v>
      </c>
      <c r="I57" s="43" t="s">
        <v>176</v>
      </c>
    </row>
    <row r="58" spans="1:9" s="62" customFormat="1" ht="144" customHeight="1" x14ac:dyDescent="0.35">
      <c r="A58" s="63">
        <v>54</v>
      </c>
      <c r="B58" s="82"/>
      <c r="C58" s="43" t="s">
        <v>113</v>
      </c>
      <c r="D58" s="43" t="s">
        <v>114</v>
      </c>
      <c r="E58" s="47" t="s">
        <v>115</v>
      </c>
      <c r="F58" s="43" t="s">
        <v>116</v>
      </c>
      <c r="G58" s="64" t="s">
        <v>93</v>
      </c>
      <c r="H58" s="30" t="e">
        <f t="shared" ca="1" si="0"/>
        <v>#VALUE!</v>
      </c>
      <c r="I58" s="43" t="s">
        <v>177</v>
      </c>
    </row>
  </sheetData>
  <autoFilter ref="E1:E58" xr:uid="{00000000-0009-0000-0000-000000000000}"/>
  <mergeCells count="12">
    <mergeCell ref="B57:B58"/>
    <mergeCell ref="B30:B31"/>
    <mergeCell ref="B32:B41"/>
    <mergeCell ref="B42:B46"/>
    <mergeCell ref="B47:B48"/>
    <mergeCell ref="B49:B51"/>
    <mergeCell ref="B52:B54"/>
    <mergeCell ref="A2:I2"/>
    <mergeCell ref="B5:B15"/>
    <mergeCell ref="B16:B24"/>
    <mergeCell ref="B25:B26"/>
    <mergeCell ref="B27:B29"/>
  </mergeCells>
  <pageMargins left="0.27559055118110237" right="0.19685039370078741" top="0.47244094488188981" bottom="0.47244094488188981" header="0.31496062992125984" footer="0.31496062992125984"/>
  <pageSetup paperSize="8" scale="65" orientation="landscape" r:id="rId1"/>
  <rowBreaks count="2" manualBreakCount="2">
    <brk id="22" max="8" man="1"/>
    <brk id="3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diligences fichier global aout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HOUNSA</dc:creator>
  <cp:lastModifiedBy>Rahimath BABA</cp:lastModifiedBy>
  <cp:lastPrinted>2026-08-07T11:25:03Z</cp:lastPrinted>
  <dcterms:created xsi:type="dcterms:W3CDTF">2026-08-03T07:29:31Z</dcterms:created>
  <dcterms:modified xsi:type="dcterms:W3CDTF">2026-08-13T08:07:07Z</dcterms:modified>
</cp:coreProperties>
</file>