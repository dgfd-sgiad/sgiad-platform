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51f93a2b0abb5c92/Desktop/SGIAD_Projet/"/>
    </mc:Choice>
  </mc:AlternateContent>
  <xr:revisionPtr revIDLastSave="0" documentId="14_{453448B2-8DBD-4319-8E70-676349E45A0B}" xr6:coauthVersionLast="47" xr6:coauthVersionMax="47" xr10:uidLastSave="{00000000-0000-0000-0000-000000000000}"/>
  <bookViews>
    <workbookView xWindow="-120" yWindow="-120" windowWidth="29040" windowHeight="15720" tabRatio="500" activeTab="4" xr2:uid="{00000000-000D-0000-FFFF-FFFF00000000}"/>
  </bookViews>
  <sheets>
    <sheet name="Projets" sheetId="1" r:id="rId1"/>
    <sheet name="Localisation" sheetId="2" r:id="rId2"/>
    <sheet name="Paramètres" sheetId="3" r:id="rId3"/>
    <sheet name="Suivi_Trimestriel" sheetId="4" r:id="rId4"/>
    <sheet name="Accords_consolides" sheetId="5" r:id="rId5"/>
  </sheets>
  <definedNames>
    <definedName name="_xlnm._FilterDatabase" localSheetId="4" hidden="1">Accords_consolides!$B$6:$AK$6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72" i="5" l="1"/>
  <c r="D871" i="5"/>
  <c r="D870" i="5"/>
  <c r="D869" i="5"/>
  <c r="D868" i="5"/>
  <c r="D867" i="5"/>
  <c r="D866" i="5"/>
  <c r="D865" i="5"/>
  <c r="D864" i="5"/>
  <c r="D863" i="5"/>
  <c r="D862" i="5"/>
  <c r="D861" i="5"/>
  <c r="D860" i="5"/>
  <c r="D859" i="5"/>
  <c r="D858" i="5"/>
  <c r="D857" i="5"/>
  <c r="D856" i="5"/>
  <c r="D855" i="5"/>
  <c r="D854" i="5"/>
  <c r="D853" i="5"/>
  <c r="D852" i="5"/>
  <c r="D851" i="5"/>
  <c r="D850" i="5"/>
  <c r="D849" i="5"/>
  <c r="D848" i="5"/>
  <c r="D847" i="5"/>
  <c r="D846" i="5"/>
  <c r="D845" i="5"/>
  <c r="D844" i="5"/>
  <c r="D843" i="5"/>
  <c r="D842" i="5"/>
  <c r="D841" i="5"/>
  <c r="D840" i="5"/>
  <c r="D839" i="5"/>
  <c r="D838" i="5"/>
  <c r="D837" i="5"/>
  <c r="D836" i="5"/>
  <c r="D835" i="5"/>
  <c r="D834" i="5"/>
  <c r="D833" i="5"/>
  <c r="D832" i="5"/>
  <c r="D831" i="5"/>
  <c r="D830" i="5"/>
  <c r="D829" i="5"/>
  <c r="D828" i="5"/>
  <c r="D827" i="5"/>
  <c r="D826" i="5"/>
  <c r="D825" i="5"/>
  <c r="D824" i="5"/>
  <c r="D823" i="5"/>
  <c r="D822" i="5"/>
  <c r="D821" i="5"/>
  <c r="D820" i="5"/>
  <c r="D819" i="5"/>
  <c r="D818" i="5"/>
  <c r="D817" i="5"/>
  <c r="D816" i="5"/>
  <c r="D815" i="5"/>
  <c r="D814" i="5"/>
  <c r="D813" i="5"/>
  <c r="D812" i="5"/>
  <c r="D811" i="5"/>
  <c r="D810" i="5"/>
  <c r="D809" i="5"/>
  <c r="D808" i="5"/>
  <c r="D807" i="5"/>
  <c r="D806" i="5"/>
  <c r="D805" i="5"/>
  <c r="D804" i="5"/>
  <c r="D803" i="5"/>
  <c r="D802" i="5"/>
  <c r="D801" i="5"/>
  <c r="D800" i="5"/>
  <c r="D799" i="5"/>
  <c r="D798" i="5"/>
  <c r="D797" i="5"/>
  <c r="D796" i="5"/>
  <c r="D795" i="5"/>
  <c r="D794" i="5"/>
  <c r="D793" i="5"/>
  <c r="D792" i="5"/>
  <c r="D791" i="5"/>
  <c r="D790" i="5"/>
  <c r="D789" i="5"/>
  <c r="D788" i="5"/>
  <c r="D787" i="5"/>
  <c r="D786" i="5"/>
  <c r="D785" i="5"/>
  <c r="D784" i="5"/>
  <c r="D783" i="5"/>
  <c r="D782" i="5"/>
  <c r="D781" i="5"/>
  <c r="D780" i="5"/>
  <c r="D779" i="5"/>
  <c r="D778" i="5"/>
  <c r="D777" i="5"/>
  <c r="D776" i="5"/>
  <c r="D775" i="5"/>
  <c r="D774" i="5"/>
  <c r="D773" i="5"/>
  <c r="D772" i="5"/>
  <c r="D771" i="5"/>
  <c r="D770" i="5"/>
  <c r="D769" i="5"/>
  <c r="D768" i="5"/>
  <c r="D767" i="5"/>
  <c r="D766" i="5"/>
  <c r="D765" i="5"/>
  <c r="D764" i="5"/>
  <c r="D763" i="5"/>
  <c r="D762" i="5"/>
  <c r="D761" i="5"/>
  <c r="D760" i="5"/>
  <c r="D759" i="5"/>
  <c r="D758" i="5"/>
  <c r="D757" i="5"/>
  <c r="D756" i="5"/>
  <c r="D755" i="5"/>
  <c r="D754" i="5"/>
  <c r="D753" i="5"/>
  <c r="D752" i="5"/>
  <c r="D751" i="5"/>
  <c r="D750" i="5"/>
  <c r="D749" i="5"/>
  <c r="D748" i="5"/>
  <c r="D747" i="5"/>
  <c r="D746" i="5"/>
  <c r="D745" i="5"/>
  <c r="D744" i="5"/>
  <c r="D743" i="5"/>
  <c r="D742" i="5"/>
  <c r="D741" i="5"/>
  <c r="D740" i="5"/>
  <c r="D739" i="5"/>
  <c r="D738" i="5"/>
  <c r="D737" i="5"/>
  <c r="D736" i="5"/>
  <c r="D735" i="5"/>
  <c r="D734" i="5"/>
  <c r="D733" i="5"/>
  <c r="D732" i="5"/>
  <c r="D731" i="5"/>
  <c r="D730" i="5"/>
  <c r="D729" i="5"/>
  <c r="D728" i="5"/>
  <c r="D727" i="5"/>
  <c r="D726" i="5"/>
  <c r="D725" i="5"/>
  <c r="D724" i="5"/>
  <c r="D723" i="5"/>
  <c r="D722" i="5"/>
  <c r="D721" i="5"/>
  <c r="D720" i="5"/>
  <c r="D719" i="5"/>
  <c r="D718" i="5"/>
  <c r="D717" i="5"/>
  <c r="D716" i="5"/>
  <c r="D715" i="5"/>
  <c r="D714" i="5"/>
  <c r="D713" i="5"/>
  <c r="D712" i="5"/>
  <c r="D711" i="5"/>
  <c r="D710" i="5"/>
  <c r="D709" i="5"/>
  <c r="D708" i="5"/>
  <c r="D707" i="5"/>
  <c r="D706" i="5"/>
  <c r="D705" i="5"/>
  <c r="D704" i="5"/>
  <c r="D703" i="5"/>
  <c r="D702" i="5"/>
  <c r="D701" i="5"/>
  <c r="D700" i="5"/>
  <c r="D699" i="5"/>
  <c r="D698" i="5"/>
  <c r="D697" i="5"/>
  <c r="D696" i="5"/>
  <c r="D695" i="5"/>
  <c r="D694" i="5"/>
  <c r="D693" i="5"/>
  <c r="D692" i="5"/>
  <c r="D691" i="5"/>
  <c r="D690" i="5"/>
  <c r="D689" i="5"/>
  <c r="D688" i="5"/>
  <c r="D687" i="5"/>
  <c r="D686" i="5"/>
  <c r="D685" i="5"/>
  <c r="D684" i="5"/>
  <c r="D683" i="5"/>
  <c r="D682" i="5"/>
  <c r="D681" i="5"/>
  <c r="D680" i="5"/>
  <c r="D679" i="5"/>
  <c r="D678" i="5"/>
  <c r="D677" i="5"/>
  <c r="D676" i="5"/>
  <c r="D675" i="5"/>
  <c r="D674" i="5"/>
  <c r="D673" i="5"/>
  <c r="D672" i="5"/>
  <c r="D671" i="5"/>
  <c r="D670" i="5"/>
  <c r="D669" i="5"/>
  <c r="D668" i="5"/>
  <c r="D667" i="5"/>
  <c r="D666" i="5"/>
  <c r="D665" i="5"/>
  <c r="D664" i="5"/>
  <c r="D663" i="5"/>
  <c r="D662" i="5"/>
  <c r="D661" i="5"/>
  <c r="D660" i="5"/>
  <c r="D659" i="5"/>
  <c r="D658" i="5"/>
  <c r="D657" i="5"/>
  <c r="D656" i="5"/>
  <c r="D655" i="5"/>
  <c r="D654" i="5"/>
  <c r="D653" i="5"/>
  <c r="D652" i="5"/>
  <c r="D651" i="5"/>
  <c r="D650" i="5"/>
  <c r="D649" i="5"/>
  <c r="D648" i="5"/>
  <c r="D647" i="5"/>
  <c r="D646" i="5"/>
  <c r="D645" i="5"/>
  <c r="D644" i="5"/>
  <c r="D643" i="5"/>
  <c r="D642" i="5"/>
  <c r="D641" i="5"/>
  <c r="D640" i="5"/>
  <c r="D639" i="5"/>
  <c r="D638" i="5"/>
  <c r="D637" i="5"/>
  <c r="D636" i="5"/>
  <c r="D635" i="5"/>
  <c r="D634" i="5"/>
  <c r="D633" i="5"/>
  <c r="D632" i="5"/>
  <c r="D631" i="5"/>
  <c r="D630" i="5"/>
  <c r="D629" i="5"/>
  <c r="D628" i="5"/>
  <c r="D627" i="5"/>
  <c r="D626" i="5"/>
  <c r="D625" i="5"/>
  <c r="D624" i="5"/>
  <c r="D623" i="5"/>
  <c r="D622" i="5"/>
  <c r="D621" i="5"/>
  <c r="D620" i="5"/>
  <c r="D619" i="5"/>
  <c r="D618" i="5"/>
  <c r="D617" i="5"/>
  <c r="D616" i="5"/>
  <c r="D615" i="5"/>
  <c r="D614" i="5"/>
  <c r="D613" i="5"/>
  <c r="D612" i="5"/>
  <c r="D611" i="5"/>
  <c r="D610" i="5"/>
  <c r="D609" i="5"/>
  <c r="D608" i="5"/>
  <c r="D607" i="5"/>
  <c r="D606" i="5"/>
  <c r="D605" i="5"/>
  <c r="D604" i="5"/>
  <c r="D603" i="5"/>
  <c r="D602" i="5"/>
  <c r="D601" i="5"/>
  <c r="D600" i="5"/>
  <c r="D599" i="5"/>
  <c r="D598" i="5"/>
  <c r="D597" i="5"/>
  <c r="D596" i="5"/>
  <c r="D595" i="5"/>
  <c r="D594" i="5"/>
  <c r="D593" i="5"/>
  <c r="D592" i="5"/>
  <c r="D591" i="5"/>
  <c r="D590" i="5"/>
  <c r="D589" i="5"/>
  <c r="D588" i="5"/>
  <c r="D587" i="5"/>
  <c r="D586" i="5"/>
  <c r="D585" i="5"/>
  <c r="D584" i="5"/>
  <c r="D583" i="5"/>
  <c r="D582" i="5"/>
  <c r="D581" i="5"/>
  <c r="D580" i="5"/>
  <c r="D579" i="5"/>
  <c r="D578" i="5"/>
  <c r="D577" i="5"/>
  <c r="D576" i="5"/>
  <c r="D575" i="5"/>
  <c r="D574" i="5"/>
  <c r="D573" i="5"/>
  <c r="D572" i="5"/>
  <c r="D571" i="5"/>
  <c r="D570" i="5"/>
  <c r="D569" i="5"/>
  <c r="D568" i="5"/>
  <c r="D567" i="5"/>
  <c r="D566" i="5"/>
  <c r="D565" i="5"/>
  <c r="D564" i="5"/>
  <c r="D563" i="5"/>
  <c r="D562" i="5"/>
  <c r="D561" i="5"/>
  <c r="D560" i="5"/>
  <c r="D559" i="5"/>
  <c r="D558" i="5"/>
  <c r="D557" i="5"/>
  <c r="D556" i="5"/>
  <c r="D555" i="5"/>
  <c r="D554" i="5"/>
  <c r="D553" i="5"/>
  <c r="D552" i="5"/>
  <c r="D551" i="5"/>
  <c r="D550" i="5"/>
  <c r="D549" i="5"/>
  <c r="D548" i="5"/>
  <c r="D547" i="5"/>
  <c r="D546" i="5"/>
  <c r="D545" i="5"/>
  <c r="D544" i="5"/>
  <c r="D543" i="5"/>
  <c r="D542" i="5"/>
  <c r="D541" i="5"/>
  <c r="D540" i="5"/>
  <c r="D539" i="5"/>
  <c r="D538" i="5"/>
  <c r="D537" i="5"/>
  <c r="D536" i="5"/>
  <c r="D535" i="5"/>
  <c r="D534" i="5"/>
  <c r="D533" i="5"/>
  <c r="D532" i="5"/>
  <c r="D531" i="5"/>
  <c r="D530" i="5"/>
  <c r="D529" i="5"/>
  <c r="D528" i="5"/>
  <c r="D527" i="5"/>
  <c r="D526" i="5"/>
  <c r="D525" i="5"/>
  <c r="D524" i="5"/>
  <c r="D523" i="5"/>
  <c r="D522" i="5"/>
  <c r="D521" i="5"/>
  <c r="D520" i="5"/>
  <c r="D519" i="5"/>
  <c r="D518" i="5"/>
  <c r="D517" i="5"/>
  <c r="D516" i="5"/>
  <c r="D515" i="5"/>
  <c r="D514" i="5"/>
  <c r="D513" i="5"/>
  <c r="D512" i="5"/>
  <c r="D511" i="5"/>
  <c r="D510" i="5"/>
  <c r="D509" i="5"/>
  <c r="D508" i="5"/>
  <c r="D507" i="5"/>
  <c r="D506" i="5"/>
  <c r="D505" i="5"/>
  <c r="D504" i="5"/>
  <c r="D503" i="5"/>
  <c r="D502" i="5"/>
  <c r="D501" i="5"/>
  <c r="D500" i="5"/>
  <c r="D499" i="5"/>
  <c r="D498" i="5"/>
  <c r="D497" i="5"/>
  <c r="D496" i="5"/>
  <c r="D495" i="5"/>
  <c r="D494" i="5"/>
  <c r="D493" i="5"/>
  <c r="D492" i="5"/>
  <c r="D491" i="5"/>
  <c r="D490" i="5"/>
  <c r="D489" i="5"/>
  <c r="D488" i="5"/>
  <c r="D487" i="5"/>
  <c r="D486" i="5"/>
  <c r="D485" i="5"/>
  <c r="D484" i="5"/>
  <c r="D483" i="5"/>
  <c r="D482" i="5"/>
  <c r="D481" i="5"/>
  <c r="D480" i="5"/>
  <c r="D479" i="5"/>
  <c r="D478" i="5"/>
  <c r="D477" i="5"/>
  <c r="D476" i="5"/>
  <c r="D475" i="5"/>
  <c r="D474" i="5"/>
  <c r="D473" i="5"/>
  <c r="D472" i="5"/>
  <c r="D471" i="5"/>
  <c r="D470" i="5"/>
  <c r="D469" i="5"/>
  <c r="D468" i="5"/>
  <c r="D467" i="5"/>
  <c r="D466" i="5"/>
  <c r="D465" i="5"/>
  <c r="D464" i="5"/>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8" i="5"/>
  <c r="D427" i="5"/>
  <c r="D426" i="5"/>
  <c r="D425" i="5"/>
  <c r="D424" i="5"/>
  <c r="D423" i="5"/>
  <c r="D422" i="5"/>
  <c r="D421" i="5"/>
  <c r="D420" i="5"/>
  <c r="D419" i="5"/>
  <c r="D418" i="5"/>
  <c r="D417" i="5"/>
  <c r="D416" i="5"/>
  <c r="D415" i="5"/>
  <c r="D414" i="5"/>
  <c r="D413" i="5"/>
  <c r="D412" i="5"/>
  <c r="D411" i="5"/>
  <c r="D410"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N101" i="4"/>
  <c r="J101" i="4"/>
  <c r="I101" i="4"/>
  <c r="F101" i="4"/>
  <c r="N100" i="4"/>
  <c r="J100" i="4"/>
  <c r="I100" i="4"/>
  <c r="F100" i="4"/>
  <c r="N99" i="4"/>
  <c r="J99" i="4"/>
  <c r="I99" i="4"/>
  <c r="F99" i="4"/>
  <c r="N98" i="4"/>
  <c r="J98" i="4"/>
  <c r="I98" i="4"/>
  <c r="F98" i="4"/>
  <c r="N97" i="4"/>
  <c r="J97" i="4"/>
  <c r="I97" i="4"/>
  <c r="F97" i="4"/>
  <c r="N96" i="4"/>
  <c r="J96" i="4"/>
  <c r="I96" i="4"/>
  <c r="F96" i="4"/>
  <c r="N95" i="4"/>
  <c r="J95" i="4"/>
  <c r="I95" i="4"/>
  <c r="F95" i="4"/>
  <c r="N94" i="4"/>
  <c r="J94" i="4"/>
  <c r="I94" i="4"/>
  <c r="F94" i="4"/>
  <c r="N93" i="4"/>
  <c r="J93" i="4"/>
  <c r="I93" i="4"/>
  <c r="F93" i="4"/>
  <c r="N92" i="4"/>
  <c r="J92" i="4"/>
  <c r="I92" i="4"/>
  <c r="F92" i="4"/>
  <c r="N91" i="4"/>
  <c r="J91" i="4"/>
  <c r="I91" i="4"/>
  <c r="F91" i="4"/>
  <c r="N90" i="4"/>
  <c r="J90" i="4"/>
  <c r="I90" i="4"/>
  <c r="F90" i="4"/>
  <c r="N89" i="4"/>
  <c r="J89" i="4"/>
  <c r="I89" i="4"/>
  <c r="F89" i="4"/>
  <c r="N88" i="4"/>
  <c r="J88" i="4"/>
  <c r="I88" i="4"/>
  <c r="F88" i="4"/>
  <c r="N87" i="4"/>
  <c r="J87" i="4"/>
  <c r="I87" i="4"/>
  <c r="F87" i="4"/>
  <c r="N86" i="4"/>
  <c r="J86" i="4"/>
  <c r="I86" i="4"/>
  <c r="F86" i="4"/>
  <c r="N85" i="4"/>
  <c r="J85" i="4"/>
  <c r="I85" i="4"/>
  <c r="F85" i="4"/>
  <c r="N84" i="4"/>
  <c r="J84" i="4"/>
  <c r="I84" i="4"/>
  <c r="F84" i="4"/>
  <c r="N83" i="4"/>
  <c r="J83" i="4"/>
  <c r="I83" i="4"/>
  <c r="F83" i="4"/>
  <c r="N82" i="4"/>
  <c r="J82" i="4"/>
  <c r="I82" i="4"/>
  <c r="F82" i="4"/>
  <c r="N81" i="4"/>
  <c r="J81" i="4"/>
  <c r="I81" i="4"/>
  <c r="F81" i="4"/>
  <c r="N80" i="4"/>
  <c r="J80" i="4"/>
  <c r="I80" i="4"/>
  <c r="F80" i="4"/>
  <c r="N79" i="4"/>
  <c r="J79" i="4"/>
  <c r="I79" i="4"/>
  <c r="F79" i="4"/>
  <c r="N78" i="4"/>
  <c r="J78" i="4"/>
  <c r="I78" i="4"/>
  <c r="F78" i="4"/>
  <c r="N77" i="4"/>
  <c r="J77" i="4"/>
  <c r="I77" i="4"/>
  <c r="F77" i="4"/>
  <c r="N76" i="4"/>
  <c r="J76" i="4"/>
  <c r="I76" i="4"/>
  <c r="F76" i="4"/>
  <c r="N75" i="4"/>
  <c r="J75" i="4"/>
  <c r="I75" i="4"/>
  <c r="F75" i="4"/>
  <c r="N74" i="4"/>
  <c r="J74" i="4"/>
  <c r="I74" i="4"/>
  <c r="F74" i="4"/>
  <c r="N73" i="4"/>
  <c r="J73" i="4"/>
  <c r="I73" i="4"/>
  <c r="F73" i="4"/>
  <c r="N72" i="4"/>
  <c r="J72" i="4"/>
  <c r="I72" i="4"/>
  <c r="F72" i="4"/>
  <c r="N71" i="4"/>
  <c r="J71" i="4"/>
  <c r="I71" i="4"/>
  <c r="F71" i="4"/>
  <c r="N70" i="4"/>
  <c r="J70" i="4"/>
  <c r="I70" i="4"/>
  <c r="F70" i="4"/>
  <c r="N69" i="4"/>
  <c r="J69" i="4"/>
  <c r="I69" i="4"/>
  <c r="F69" i="4"/>
  <c r="N68" i="4"/>
  <c r="J68" i="4"/>
  <c r="I68" i="4"/>
  <c r="F68" i="4"/>
  <c r="N67" i="4"/>
  <c r="J67" i="4"/>
  <c r="I67" i="4"/>
  <c r="F67" i="4"/>
  <c r="N66" i="4"/>
  <c r="J66" i="4"/>
  <c r="I66" i="4"/>
  <c r="F66" i="4"/>
  <c r="N65" i="4"/>
  <c r="J65" i="4"/>
  <c r="I65" i="4"/>
  <c r="F65" i="4"/>
  <c r="N64" i="4"/>
  <c r="J64" i="4"/>
  <c r="I64" i="4"/>
  <c r="F64" i="4"/>
  <c r="N63" i="4"/>
  <c r="J63" i="4"/>
  <c r="I63" i="4"/>
  <c r="F63" i="4"/>
  <c r="N62" i="4"/>
  <c r="J62" i="4"/>
  <c r="I62" i="4"/>
  <c r="F62" i="4"/>
  <c r="N61" i="4"/>
  <c r="J61" i="4"/>
  <c r="I61" i="4"/>
  <c r="F61" i="4"/>
  <c r="N60" i="4"/>
  <c r="J60" i="4"/>
  <c r="I60" i="4"/>
  <c r="F60" i="4"/>
  <c r="N59" i="4"/>
  <c r="J59" i="4"/>
  <c r="I59" i="4"/>
  <c r="F59" i="4"/>
  <c r="N58" i="4"/>
  <c r="J58" i="4"/>
  <c r="I58" i="4"/>
  <c r="F58" i="4"/>
  <c r="N57" i="4"/>
  <c r="J57" i="4"/>
  <c r="I57" i="4"/>
  <c r="F57" i="4"/>
  <c r="N56" i="4"/>
  <c r="J56" i="4"/>
  <c r="I56" i="4"/>
  <c r="F56" i="4"/>
  <c r="N55" i="4"/>
  <c r="J55" i="4"/>
  <c r="I55" i="4"/>
  <c r="F55" i="4"/>
  <c r="N54" i="4"/>
  <c r="J54" i="4"/>
  <c r="I54" i="4"/>
  <c r="F54" i="4"/>
  <c r="N53" i="4"/>
  <c r="J53" i="4"/>
  <c r="I53" i="4"/>
  <c r="F53" i="4"/>
  <c r="N52" i="4"/>
  <c r="J52" i="4"/>
  <c r="I52" i="4"/>
  <c r="F52" i="4"/>
  <c r="N51" i="4"/>
  <c r="J51" i="4"/>
  <c r="I51" i="4"/>
  <c r="F51" i="4"/>
  <c r="N50" i="4"/>
  <c r="J50" i="4"/>
  <c r="I50" i="4"/>
  <c r="F50" i="4"/>
  <c r="N49" i="4"/>
  <c r="J49" i="4"/>
  <c r="I49" i="4"/>
  <c r="F49" i="4"/>
  <c r="N48" i="4"/>
  <c r="J48" i="4"/>
  <c r="I48" i="4"/>
  <c r="F48" i="4"/>
  <c r="N47" i="4"/>
  <c r="J47" i="4"/>
  <c r="I47" i="4"/>
  <c r="F47" i="4"/>
  <c r="N46" i="4"/>
  <c r="J46" i="4"/>
  <c r="I46" i="4"/>
  <c r="F46" i="4"/>
  <c r="N45" i="4"/>
  <c r="J45" i="4"/>
  <c r="I45" i="4"/>
  <c r="F45" i="4"/>
  <c r="N44" i="4"/>
  <c r="J44" i="4"/>
  <c r="I44" i="4"/>
  <c r="F44" i="4"/>
  <c r="N43" i="4"/>
  <c r="J43" i="4"/>
  <c r="I43" i="4"/>
  <c r="F43" i="4"/>
  <c r="N42" i="4"/>
  <c r="J42" i="4"/>
  <c r="I42" i="4"/>
  <c r="F42" i="4"/>
  <c r="N41" i="4"/>
  <c r="J41" i="4"/>
  <c r="I41" i="4"/>
  <c r="F41" i="4"/>
  <c r="N40" i="4"/>
  <c r="J40" i="4"/>
  <c r="I40" i="4"/>
  <c r="F40" i="4"/>
  <c r="N39" i="4"/>
  <c r="J39" i="4"/>
  <c r="I39" i="4"/>
  <c r="F39" i="4"/>
  <c r="N38" i="4"/>
  <c r="J38" i="4"/>
  <c r="I38" i="4"/>
  <c r="F38" i="4"/>
  <c r="N37" i="4"/>
  <c r="J37" i="4"/>
  <c r="I37" i="4"/>
  <c r="F37" i="4"/>
  <c r="N36" i="4"/>
  <c r="J36" i="4"/>
  <c r="I36" i="4"/>
  <c r="F36" i="4"/>
  <c r="N35" i="4"/>
  <c r="J35" i="4"/>
  <c r="I35" i="4"/>
  <c r="F35" i="4"/>
  <c r="N34" i="4"/>
  <c r="J34" i="4"/>
  <c r="I34" i="4"/>
  <c r="F34" i="4"/>
  <c r="N33" i="4"/>
  <c r="J33" i="4"/>
  <c r="I33" i="4"/>
  <c r="F33" i="4"/>
  <c r="N32" i="4"/>
  <c r="J32" i="4"/>
  <c r="I32" i="4"/>
  <c r="F32" i="4"/>
  <c r="N31" i="4"/>
  <c r="J31" i="4"/>
  <c r="I31" i="4"/>
  <c r="F31" i="4"/>
  <c r="N30" i="4"/>
  <c r="J30" i="4"/>
  <c r="I30" i="4"/>
  <c r="F30" i="4"/>
  <c r="N29" i="4"/>
  <c r="J29" i="4"/>
  <c r="I29" i="4"/>
  <c r="F29" i="4"/>
  <c r="N28" i="4"/>
  <c r="J28" i="4"/>
  <c r="I28" i="4"/>
  <c r="F28" i="4"/>
  <c r="N27" i="4"/>
  <c r="J27" i="4"/>
  <c r="I27" i="4"/>
  <c r="F27" i="4"/>
  <c r="N26" i="4"/>
  <c r="J26" i="4"/>
  <c r="I26" i="4"/>
  <c r="F26" i="4"/>
  <c r="N25" i="4"/>
  <c r="J25" i="4"/>
  <c r="I25" i="4"/>
  <c r="F25" i="4"/>
  <c r="N24" i="4"/>
  <c r="J24" i="4"/>
  <c r="I24" i="4"/>
  <c r="F24" i="4"/>
  <c r="N23" i="4"/>
  <c r="J23" i="4"/>
  <c r="I23" i="4"/>
  <c r="F23" i="4"/>
  <c r="N22" i="4"/>
  <c r="J22" i="4"/>
  <c r="I22" i="4"/>
  <c r="F22" i="4"/>
  <c r="N21" i="4"/>
  <c r="J21" i="4"/>
  <c r="I21" i="4"/>
  <c r="F21" i="4"/>
  <c r="N20" i="4"/>
  <c r="J20" i="4"/>
  <c r="I20" i="4"/>
  <c r="F20" i="4"/>
  <c r="N19" i="4"/>
  <c r="J19" i="4"/>
  <c r="I19" i="4"/>
  <c r="F19" i="4"/>
  <c r="N18" i="4"/>
  <c r="J18" i="4"/>
  <c r="I18" i="4"/>
  <c r="F18" i="4"/>
  <c r="N17" i="4"/>
  <c r="J17" i="4"/>
  <c r="I17" i="4"/>
  <c r="F17" i="4"/>
  <c r="N16" i="4"/>
  <c r="J16" i="4"/>
  <c r="I16" i="4"/>
  <c r="F16" i="4"/>
  <c r="N15" i="4"/>
  <c r="J15" i="4"/>
  <c r="I15" i="4"/>
  <c r="F15" i="4"/>
  <c r="N14" i="4"/>
  <c r="J14" i="4"/>
  <c r="I14" i="4"/>
  <c r="F14" i="4"/>
  <c r="N13" i="4"/>
  <c r="J13" i="4"/>
  <c r="I13" i="4"/>
  <c r="F13" i="4"/>
  <c r="N12" i="4"/>
  <c r="J12" i="4"/>
  <c r="I12" i="4"/>
  <c r="F12" i="4"/>
  <c r="N11" i="4"/>
  <c r="J11" i="4"/>
  <c r="I11" i="4"/>
  <c r="F11" i="4"/>
  <c r="N10" i="4"/>
  <c r="J10" i="4"/>
  <c r="I10" i="4"/>
  <c r="F10" i="4"/>
  <c r="N9" i="4"/>
  <c r="J9" i="4"/>
  <c r="I9" i="4"/>
  <c r="F9" i="4"/>
  <c r="N8" i="4"/>
  <c r="J8" i="4"/>
  <c r="I8" i="4"/>
  <c r="F8" i="4"/>
  <c r="N7" i="4"/>
  <c r="J7" i="4"/>
  <c r="I7" i="4"/>
  <c r="F7" i="4"/>
  <c r="N6" i="4"/>
  <c r="J6" i="4"/>
  <c r="I6" i="4"/>
  <c r="F6" i="4"/>
  <c r="N5" i="4"/>
  <c r="J5" i="4"/>
  <c r="I5" i="4"/>
  <c r="F5" i="4"/>
  <c r="N4" i="4"/>
  <c r="J4" i="4"/>
  <c r="I4" i="4"/>
  <c r="F4" i="4"/>
  <c r="N3" i="4"/>
  <c r="J3" i="4"/>
  <c r="I3" i="4"/>
  <c r="F3" i="4"/>
  <c r="N2" i="4"/>
  <c r="J2" i="4"/>
  <c r="I2" i="4"/>
  <c r="F2" i="4"/>
</calcChain>
</file>

<file path=xl/sharedStrings.xml><?xml version="1.0" encoding="utf-8"?>
<sst xmlns="http://schemas.openxmlformats.org/spreadsheetml/2006/main" count="54151" uniqueCount="9739">
  <si>
    <t>PROJETS (reconstruit à partir d'Accords_consolides — fusion sans doublon)</t>
  </si>
  <si>
    <t>Code_Projet</t>
  </si>
  <si>
    <t>Intitule_Projet</t>
  </si>
  <si>
    <t>Annee_Collecte</t>
  </si>
  <si>
    <t>Categorie</t>
  </si>
  <si>
    <t>Envergure</t>
  </si>
  <si>
    <t>Secteur_Activite_1</t>
  </si>
  <si>
    <t>Secteur_Activite_2</t>
  </si>
  <si>
    <t>Secteur_Activite_3</t>
  </si>
  <si>
    <t>Sous_Secteur</t>
  </si>
  <si>
    <t>Tutelle</t>
  </si>
  <si>
    <t>Agence_Exécution</t>
  </si>
  <si>
    <t>Contexte_Justification</t>
  </si>
  <si>
    <t>Problematique</t>
  </si>
  <si>
    <t>Objectif_Global</t>
  </si>
  <si>
    <t>Objectifs_Specifiques</t>
  </si>
  <si>
    <t>Principaux_Resultats</t>
  </si>
  <si>
    <t>Composantes_Projet</t>
  </si>
  <si>
    <t>Activites_Principales</t>
  </si>
  <si>
    <t>Beneficiaires_Directs</t>
  </si>
  <si>
    <t>Beneficiaires_Indirects</t>
  </si>
  <si>
    <t>Departement</t>
  </si>
  <si>
    <t>Commune</t>
  </si>
  <si>
    <t>Arrondissement</t>
  </si>
  <si>
    <t>Village_Quartier</t>
  </si>
  <si>
    <t>Coordonnees_GPS</t>
  </si>
  <si>
    <t>Date_Approbation</t>
  </si>
  <si>
    <t>Date_Signature</t>
  </si>
  <si>
    <t>Date_Vigueur</t>
  </si>
  <si>
    <t>Date_Demarrage</t>
  </si>
  <si>
    <t>Date_Cloture</t>
  </si>
  <si>
    <t>Duree_Initiale_Mois</t>
  </si>
  <si>
    <t>Est_Proroge</t>
  </si>
  <si>
    <t>Date_Prorogation</t>
  </si>
  <si>
    <t>Motif_Prorogation</t>
  </si>
  <si>
    <t>Nouvelle_Date_Cloture</t>
  </si>
  <si>
    <t>Nb_Prorogations</t>
  </si>
  <si>
    <t>Cout_Total_USD</t>
  </si>
  <si>
    <t>Devise</t>
  </si>
  <si>
    <t>Taux_Change</t>
  </si>
  <si>
    <t>Cout_Total_FCFA</t>
  </si>
  <si>
    <t>Milliards_FCFA</t>
  </si>
  <si>
    <t>Contrepartie_BN_USD</t>
  </si>
  <si>
    <t>Contrepartie_BN_FCFA</t>
  </si>
  <si>
    <t>Don_Attendu_FCFA</t>
  </si>
  <si>
    <t>Pret_Attendu_FCFA</t>
  </si>
  <si>
    <t>PPP_Attendu_FCFA</t>
  </si>
  <si>
    <t>Contribution_Benef_FCFA</t>
  </si>
  <si>
    <t>Gap_Financement</t>
  </si>
  <si>
    <t>Pourcentage_Acquis</t>
  </si>
  <si>
    <t>Source_Financement</t>
  </si>
  <si>
    <t>APD_Oui_Non</t>
  </si>
  <si>
    <t>Type_Financement</t>
  </si>
  <si>
    <t>Contributeur</t>
  </si>
  <si>
    <t>Sigle_Partenaire</t>
  </si>
  <si>
    <t>Type_Contributeur</t>
  </si>
  <si>
    <t>Co_Partenaire_1</t>
  </si>
  <si>
    <t>Co_Partenaire_2</t>
  </si>
  <si>
    <t>Co_Partenaire_3</t>
  </si>
  <si>
    <t>Co_Partenaire_4</t>
  </si>
  <si>
    <t>Co_Partenaire_5</t>
  </si>
  <si>
    <t>Co_Partenaire_6</t>
  </si>
  <si>
    <t>Co_Partenaire_7</t>
  </si>
  <si>
    <t>Statut_Projet</t>
  </si>
  <si>
    <t>Secteur_PAG</t>
  </si>
  <si>
    <t>Pilier_PAG</t>
  </si>
  <si>
    <t>Axe_PAG</t>
  </si>
  <si>
    <t>ODD</t>
  </si>
  <si>
    <t>Cible_ODD</t>
  </si>
  <si>
    <t>Pilier_National</t>
  </si>
  <si>
    <t>Resp_Banque_Nom</t>
  </si>
  <si>
    <t>Resp_Banque_Tel1</t>
  </si>
  <si>
    <t>Resp_Banque_Tel2</t>
  </si>
  <si>
    <t>Resp_Banque_Email</t>
  </si>
  <si>
    <t>Coord_Projet_Nom</t>
  </si>
  <si>
    <t>Coord_Projet_Tel1</t>
  </si>
  <si>
    <t>Coord_Projet_Tel2</t>
  </si>
  <si>
    <t>Coord_Projet_Email</t>
  </si>
  <si>
    <t>RAF_Nom</t>
  </si>
  <si>
    <t>RAF_Tel1</t>
  </si>
  <si>
    <t>RAF_Tel2</t>
  </si>
  <si>
    <t>RAF_Email</t>
  </si>
  <si>
    <t>Resp_SE_Nom</t>
  </si>
  <si>
    <t>Resp_SE_Tel1</t>
  </si>
  <si>
    <t>Resp_SE_Tel2</t>
  </si>
  <si>
    <t>Resp_SE_Email</t>
  </si>
  <si>
    <t>Niveau_Maturite</t>
  </si>
  <si>
    <t>Etude_Faisabilite</t>
  </si>
  <si>
    <t>Etude_Environnementale</t>
  </si>
  <si>
    <t>Plan_Affaires</t>
  </si>
  <si>
    <t>Dossier_Technique</t>
  </si>
  <si>
    <t>Categorie_Env</t>
  </si>
  <si>
    <t>Theme_Genre</t>
  </si>
  <si>
    <t>Theme_Inclusion</t>
  </si>
  <si>
    <t>Theme_Climat</t>
  </si>
  <si>
    <t>Theme_Emploi_Jeunes</t>
  </si>
  <si>
    <t>Risques_Identifies</t>
  </si>
  <si>
    <t>Mesures_Attenuation</t>
  </si>
  <si>
    <t>Niveau_Risque</t>
  </si>
  <si>
    <t>Date_Soumission</t>
  </si>
  <si>
    <t>Avis_Technique</t>
  </si>
  <si>
    <t>Avis_DGFD</t>
  </si>
  <si>
    <t>Avis_Ministere</t>
  </si>
  <si>
    <t>Decision_Comite</t>
  </si>
  <si>
    <t>Date_Validation</t>
  </si>
  <si>
    <t>Note_Conceptuelle</t>
  </si>
  <si>
    <t>Cadre_Logique</t>
  </si>
  <si>
    <t>Budget_Detaille</t>
  </si>
  <si>
    <t>Cartographie</t>
  </si>
  <si>
    <t>Lettre_Demande</t>
  </si>
  <si>
    <t>Zone_intervention</t>
  </si>
  <si>
    <t>Modalite_Intervention</t>
  </si>
  <si>
    <t>Nature_Financement</t>
  </si>
  <si>
    <t>Instrument_Financement</t>
  </si>
  <si>
    <t>Source_Verifiable</t>
  </si>
  <si>
    <t>Montant_Devise_Origine</t>
  </si>
  <si>
    <t>P-0001-BIDC-2011</t>
  </si>
  <si>
    <t>Projet d'électrification rurale de soixante sept (67) localités en République du Bénin</t>
  </si>
  <si>
    <t>ÉNERGIE</t>
  </si>
  <si>
    <t>Accroître le taux d'accès à l'électricité en milieu rural en raccordant 67 localités isolées au réseau électrique de la SBEE pour stimuler l'économie locale et améliorer les services sociaux de base.</t>
  </si>
  <si>
    <t>Alibori, Borgou, Collines, Zou, Couffo, Mono, Atlantique, Ouémé, Plateau</t>
  </si>
  <si>
    <t>Banikoara, Gogounou, Kandi, Malanville, Segbana, Bembérèké, Kalalé, N'Dali, Nikki, Parakou, Pérére, Sinendé, Tchaourou, Bantè, Dassa-Zoumé, Glazoué, Ouèssè, Savalou, Savè, Abomey, Agbangnizoun, Bohicon, Covè, Djidja, Ouinhi, Za-Kpota, Zagnanado, Zogbodomey, Aplahoué, Djakotomey, Dogbo, Klouékanmè, Lalo, Toviklin, Athiémé, Bopa, Comè, Grand-Popo, Houéyogbé, Lokossa, Abomey-Calavi, Allada, Kpomassè, Ouidah, Sô-Ava, Toffo, Tori-Bossito, Zè, Adjarra, Adjohoun, Agégué, Akpro-Missérété, Avrankou, Bonou, Dangbo, Porto-Novo, Sèmè-Podji, Adja-Ouéré, Ifangni, Kétou, Pobè, Sakété</t>
  </si>
  <si>
    <t>EUR</t>
  </si>
  <si>
    <t>Banque d’Investissement et de Développement de la CEDEAO</t>
  </si>
  <si>
    <t>BIDC</t>
  </si>
  <si>
    <t>MULTILATERAUX</t>
  </si>
  <si>
    <t>Projet d'investissement</t>
  </si>
  <si>
    <t>Prêt</t>
  </si>
  <si>
    <t>Prêt non concessionnel</t>
  </si>
  <si>
    <t>https://evaluation.gouv.bj</t>
  </si>
  <si>
    <t>P-0002-BOAD-2011</t>
  </si>
  <si>
    <t>Projet de construction de la ligne d'interconnexion électrique 161 KV Bembèrèkè-Kandi-Malanville</t>
  </si>
  <si>
    <t>Sécuriser et accroître l'approvisionnement en énergie électrique des localités septentrionales du Bénin et faciliter l'interconnexion avec le réseau du Niger grâce à la construction d'une ligne de transport haute tension.</t>
  </si>
  <si>
    <t>Borgou, Alibori</t>
  </si>
  <si>
    <t>Bembérèké, Gogounou, Kandi, Malanville</t>
  </si>
  <si>
    <t>Bembérèké Centre, Gogounou Centre, Bagou, Gounarou, Kandi I, Kandi II, Donwari, Sam, Malanville Centre, Guéné, Garou</t>
  </si>
  <si>
    <t>XOF</t>
  </si>
  <si>
    <t>Banque Ouest Africaine de Développement</t>
  </si>
  <si>
    <t>BOAD</t>
  </si>
  <si>
    <t>https://boad.org</t>
  </si>
  <si>
    <t>P-0003-OFID/OPEP-2011</t>
  </si>
  <si>
    <t>Projet de construction de la route Kandi-Ségbana-Frontière du Nigeria</t>
  </si>
  <si>
    <t>INFRASTRUCTURES ROUTIERES ET TRANSPORT</t>
  </si>
  <si>
    <t>Améliorer le niveau de service de l'axe routier reliant Kandi à la frontière du Nigeria afin de réduire les coûts de transport, désenclaver les zones agricoles traversées et dynamiser le commerce transfrontalier.</t>
  </si>
  <si>
    <t>Alibori</t>
  </si>
  <si>
    <t>Kandi, Ségbana</t>
  </si>
  <si>
    <t>Kandi I, Ségbana Centre, Liboussou, Lougou, Sokotindji</t>
  </si>
  <si>
    <t>Samia</t>
  </si>
  <si>
    <t>Fonds de l’OPEP pour le Développement International</t>
  </si>
  <si>
    <t>OFID/OPEP</t>
  </si>
  <si>
    <t>Prêt concessionnel</t>
  </si>
  <si>
    <t>https://documentation-anbenin.org</t>
  </si>
  <si>
    <t>P-0004-FND-2011</t>
  </si>
  <si>
    <t>Projet de Développement de l'Accès à l'Energie Moderne par la Biomasse</t>
  </si>
  <si>
    <t>Promouvoir l'utilisation de technologies énergétiques durables basées sur la biomasse, réduire la pression sur les ressources forestières à travers la diffusion de foyers améliorés et renforcer les capacités des acteurs de la filière bois-énergie.</t>
  </si>
  <si>
    <t>Collines, Zou, Borgou</t>
  </si>
  <si>
    <t>Savalou, Dassa-Zoumé, Glazoué, Ouèssè, Djidja, Tchaourou</t>
  </si>
  <si>
    <t>Fonds Nordique de Développement</t>
  </si>
  <si>
    <t>FND</t>
  </si>
  <si>
    <t>Don</t>
  </si>
  <si>
    <t>https://direction-energie.gouv.bj</t>
  </si>
  <si>
    <t>P-0005-BID-2011</t>
  </si>
  <si>
    <t>Assistance technique au profit du Ministère de la Prospective, du Développement, de l'Evaluation des Politiques Publiques et de la Coordination de l'Action Gouvernementale</t>
  </si>
  <si>
    <t>GOUVERNANCE</t>
  </si>
  <si>
    <t>Renforcer les capacités institutionnelles et techniques du ministère dans la formulation des politiques de développement, la planification stratégique à long terme et l'évaluation d'impact des politiques publiques.</t>
  </si>
  <si>
    <t>Littoral</t>
  </si>
  <si>
    <t>Cotonou</t>
  </si>
  <si>
    <t>DI</t>
  </si>
  <si>
    <t>Banque Islamique de Développement</t>
  </si>
  <si>
    <t>BID</t>
  </si>
  <si>
    <t>Assistance technique / Renforcement institutionnel</t>
  </si>
  <si>
    <t>Assistance technique</t>
  </si>
  <si>
    <t>https://gouv.bj</t>
  </si>
  <si>
    <t>P-0006-BM-2011</t>
  </si>
  <si>
    <t>Financement supplémentaire au sixième Crédit d'Appui à la Réduction de la Pauvreté (PRSC-6)</t>
  </si>
  <si>
    <t>Soutenir la mise en œuvre de la stratégie de croissance pour la réduction de la pauvreté en améliorant la gestion des finances publiques, l'efficacité de la dépense sociale et le climat des investissements.</t>
  </si>
  <si>
    <t>National</t>
  </si>
  <si>
    <t>DTS</t>
  </si>
  <si>
    <t>Banque mondiale</t>
  </si>
  <si>
    <t>BM</t>
  </si>
  <si>
    <t>Appui budgétaire sectoriel</t>
  </si>
  <si>
    <t>https://banquemondiale.org</t>
  </si>
  <si>
    <t>P-0007-BOAD-2011</t>
  </si>
  <si>
    <t>Projet d'Aménagement et de Bitumage de la route Ouidah-Allada et de la bretelle Pahou-Tori.</t>
  </si>
  <si>
    <t>Assurer la liaison routière moderne entre les communes de Ouidah et d'Allada afin de faciliter la circulation des personnes et des biens, de désenclaver les zones de production agricole et de soutenir l'axe touristique de l'Atlantique.</t>
  </si>
  <si>
    <t>Atlantique</t>
  </si>
  <si>
    <t>Ouidah, Tori-Bossito, Allada</t>
  </si>
  <si>
    <t>Ouidah I, Ouidah II, Savi, Tori-Cada, Tori-Gbégamey, Tori-Bossito Centre, Allada Centre, Lon-Agonmey, Hinvi</t>
  </si>
  <si>
    <t>P-0008-BM-2011</t>
  </si>
  <si>
    <t>Projet de Productivité Agricole en Afrique de l'Ouest (PPAAO)</t>
  </si>
  <si>
    <t>AGRICULTURE</t>
  </si>
  <si>
    <t>Générer et diffuser des technologies agricoles améliorées dans les filières prioritaires du Bénin, tout en renforçant les systèmes de recherche agricole et la coopération scientifique régionale en Afrique de l'Ouest.</t>
  </si>
  <si>
    <t>Borgou, Atlantique, Ouémé</t>
  </si>
  <si>
    <t>Bembérèké, Allada, Adjohoun, Bonou, Dangbo</t>
  </si>
  <si>
    <t>Ina, Niaouli</t>
  </si>
  <si>
    <t>P-0009-BM-2011</t>
  </si>
  <si>
    <t>Projet d'Appui à la Diversification Agricole (PADA)</t>
  </si>
  <si>
    <t>Restaurer et améliorer la productivité et la compétitivité des filières agricoles cibles (notamment le riz, le maïs, l'anacarde et l'ananas) pour accroître les revenus des petits producteurs et sécuriser la souveraineté alimentaire.</t>
  </si>
  <si>
    <t>Ouémé, Zou, Collines, Atlantique</t>
  </si>
  <si>
    <t>Dangbo, Adjohoun, Bonou, Abomey, Bohicon, Zakpota, Dassa-Zoumé, Savalou, Abomey-Calavi, Zè</t>
  </si>
  <si>
    <t>DTS | EUR</t>
  </si>
  <si>
    <t>Don | Prêt</t>
  </si>
  <si>
    <t>Fonds fiduciaire (Trust Fund) | Prêt concessionnel</t>
  </si>
  <si>
    <t>P-0010-BM-2011</t>
  </si>
  <si>
    <t>Projet d'Appui à la Gestion des Aires Protégées</t>
  </si>
  <si>
    <t>CADRE DE VIE</t>
  </si>
  <si>
    <t>Consolider et étendre les investissements destinés à la structuration des chaînes de valeur agricoles afin d'amplifier l'accès aux marchés des groupements de producteurs et d'améliorer la commercialisation des produits locaux.</t>
  </si>
  <si>
    <t>Don | Fonds fiduciaire (Trust Fund)</t>
  </si>
  <si>
    <t>P-0011-BM-2011</t>
  </si>
  <si>
    <t>Projet d'Urgence de Gestion Environnementale en Milieu Urbain</t>
  </si>
  <si>
    <t>Améliorer la gestion durable des écosystèmes des parcs nationaux du W et de la Pendjari, renforcer la conservation de la biodiversité et impliquer les communautés locales dans la gouvernance des ressources naturelles.</t>
  </si>
  <si>
    <t>Atacora, Alibori</t>
  </si>
  <si>
    <t>Tanguiéta, Kérou, Banikoara</t>
  </si>
  <si>
    <t>Tanguiéta Centre, Banikoara Centre</t>
  </si>
  <si>
    <t>P-0012-BM-2011</t>
  </si>
  <si>
    <t>Projet de Nutrition Communautaire</t>
  </si>
  <si>
    <t>SANTÉ</t>
  </si>
  <si>
    <t>Réduire la vulnérabilité des populations du Grand Nokoué face aux inondations récurrentes, améliorer les infrastructures d'assainissement pluvial et optimiser la gestion des déchets solides ménagers.</t>
  </si>
  <si>
    <t>Littoral, Atlantique, Ouémé</t>
  </si>
  <si>
    <t>Cotonou, Abomey-Calavi, Ouidah, Porto-Novo, Sèmè-Podji</t>
  </si>
  <si>
    <t>Du 1er au 13ème, Godomey, Abomey-Calavi Centre, Akassato, Du 1er au 5ème</t>
  </si>
  <si>
    <t>P-0013-BOAD-2011</t>
  </si>
  <si>
    <t>Projet de pavage de rues et d'assainissement dans la Commune d'Abomey-Calavi</t>
  </si>
  <si>
    <t>Moderniser la voirie urbaine des arrondissements centraux d'Abomey-Calavi par le pavage et la construction de collecteurs d'eaux pluviales afin d'améliorer les conditions de circulation et d'hygiène des populations.</t>
  </si>
  <si>
    <t>Abomey-Calavi</t>
  </si>
  <si>
    <t>Abomey-Calavi Centre, Godomey, Akassato, Zinvié</t>
  </si>
  <si>
    <t>P-0014-BM-2011</t>
  </si>
  <si>
    <t>Projet d'appui institutionnel au profit du Ministère du Développement, de l'Analyse Economique et de la Prospective et de la Primature</t>
  </si>
  <si>
    <t>Renforcer les compétences techniques des cadres de l'administration centrale pour améliorer le suivi des indicateurs macroéconomiques, l'évaluation des politiques sectorielles et la coordination gouvernementale.</t>
  </si>
  <si>
    <t>Appui institutionnel</t>
  </si>
  <si>
    <t>P-0015-BOAD-2011</t>
  </si>
  <si>
    <t>Avance de fonds pour le financement des études de faisabilité du projet de développement d'infrastructures socio-économiques et de sécurité alimentaire dans le bassin du Niger</t>
  </si>
  <si>
    <t>Réaliser les études techniques, environnementales et sociales préalables requises pour concevoir des aménagements hydro-agricoles et de stockage visant la sécurité alimentaire dans les communes du bassin du Niger.</t>
  </si>
  <si>
    <t>Alibori, Borgou, Atacora, Donga</t>
  </si>
  <si>
    <t>Banikoara, Karimama, Malanville, Bembérèké, Kalalé, Ndali, Nikki, Sinendé, Kérou, Kouandé, Péhunco, Tanguiéta, Djougou</t>
  </si>
  <si>
    <t>Étude / Préparation</t>
  </si>
  <si>
    <t>Avance de préparation de projet</t>
  </si>
  <si>
    <t>P-0016-FKDEA-2011</t>
  </si>
  <si>
    <t>Financement des micro et petites entreprises agricoles au Bénin.</t>
  </si>
  <si>
    <t>Faciliter l'accès aux crédits de campagne et d'équipement pour les petits exploitants et groupements agricoles à travers le refinancement des systèmes financiers décentralisés.</t>
  </si>
  <si>
    <t>Fonds Koweïtien pour le Développement Économique Arabe</t>
  </si>
  <si>
    <t>FKDEA</t>
  </si>
  <si>
    <t>BILATERAUX</t>
  </si>
  <si>
    <t>P-0017-BM-2011</t>
  </si>
  <si>
    <t>Projet Régional de Facilitation du Commerce-Phase II</t>
  </si>
  <si>
    <t>INDUSTRIE ET COMMERCE</t>
  </si>
  <si>
    <t>Réduire les barrières commerciales le long des corridors d'échanges, moderniser les procédures douanières aux frontières et simplifier le transit des marchandises pour stimuler l'intégration économique régionale.</t>
  </si>
  <si>
    <t>Littoral, Atlantique, Zou, Collines, Borgou, Alibori, Ouémé</t>
  </si>
  <si>
    <t>Cotonou, Allada, Bohicon, Savalou, Tchaourou, Parakou, Kandi, Malanville, Porto-Novo</t>
  </si>
  <si>
    <t>Malanville Centre</t>
  </si>
  <si>
    <t>P-0018-BM-2011</t>
  </si>
  <si>
    <t>Projet d'Appui à la Promotion Apicole (PAPA)</t>
  </si>
  <si>
    <t>Soutenir les filières horticoles et maraîchères en fournissant des intrants de qualité, en structurant les coopératives et en développant de petites infrastructures de marché dans les zones de production.</t>
  </si>
  <si>
    <t>Ouémé, Plateau, Zou, Collines</t>
  </si>
  <si>
    <t>Adjohoun, Bonou, Dangbo, Pobè, Kétou, Abomey, Bohicon, Zakpota, Dassa-Zoumé, Savalou</t>
  </si>
  <si>
    <t>P-0019-BM-2011</t>
  </si>
  <si>
    <t>Projet de Développement de l'Accès à l'Energie Moderne (DAEM)</t>
  </si>
  <si>
    <t>Élargir l'accès aux services électriques et aux solutions de cuisson propres dans les zones rurales et périurbaines à travers des mécanismes de financement adaptés et la promotion des énergies renouvelables.</t>
  </si>
  <si>
    <t>Collines, Zou, Borgou, Donga</t>
  </si>
  <si>
    <t>Dassa-Zoumé, Savalou, Bohicon, Djidja, Tchaourou, Parakou, Djougou</t>
  </si>
  <si>
    <t>Fonds fiduciaire (Trust Fund)</t>
  </si>
  <si>
    <t>P-0020-Allemagne-2011</t>
  </si>
  <si>
    <t>Augmentation cofinancement pots communs de l'alimentation en eau potable</t>
  </si>
  <si>
    <t>EAU ET ASSAINISSEMENT</t>
  </si>
  <si>
    <t>Accroître la desserte en eau potable en milieu rural et semi-urbain dans l'Atacora et la Donga par la réhabilitation et l'extension de systèmes d'adduction d'eau villageoise.</t>
  </si>
  <si>
    <t>Atacora, Donga</t>
  </si>
  <si>
    <t>Natitingou, Boukoumbé, Toucountouna, Tanguiéta, Djougou, Copargo, Ouaké</t>
  </si>
  <si>
    <t>Allemagne</t>
  </si>
  <si>
    <t>Cofinancement</t>
  </si>
  <si>
    <t>P-0021-BAD-2011</t>
  </si>
  <si>
    <t>Projet de réhabilitation de la route Lomé-Cotonou et de facilitation du transport sur le corridor Abidjan-Lagos-phase I</t>
  </si>
  <si>
    <t>Consolider les investissements d'aménagement routier sur le corridor côtier, incluant les travaux de protection de l'infrastructure contre l'érosion marine sur les segments critiques.</t>
  </si>
  <si>
    <t>Mono, Atlantique, Littoral</t>
  </si>
  <si>
    <t>Grand-Popo, Ouidah, Cotonou</t>
  </si>
  <si>
    <t>Agoué</t>
  </si>
  <si>
    <t>Agoué, Hillacondji</t>
  </si>
  <si>
    <t>UC</t>
  </si>
  <si>
    <t>Banque Africaine de Développement</t>
  </si>
  <si>
    <t>BAD</t>
  </si>
  <si>
    <t>Don | Prêt concessionnel</t>
  </si>
  <si>
    <t>P-0022-Allemagne-2011</t>
  </si>
  <si>
    <t>Financement de la phase II du Fonds d'Appui au Développement des Communes (FADEC)</t>
  </si>
  <si>
    <t>DÉCENTRALISATION</t>
  </si>
  <si>
    <t>Assurer le transfert effectif de ressources financières aux collectivités locales pour le financement de leurs infrastructures sociocommunautaires (écoles, dispensaires, marchés).</t>
  </si>
  <si>
    <t>Fonds commun</t>
  </si>
  <si>
    <t>P-0023-BM-2011</t>
  </si>
  <si>
    <t>Septième don d'appui à la réduction de la pauvreté (PRSG-7)</t>
  </si>
  <si>
    <t>Appuyer les réformes macroéconomiques sectorielles de l'État visant la transparence budgétaire, la stabilité fiscale et le financement adéquat des services sociaux essentiels.</t>
  </si>
  <si>
    <t>P-0024-BOAD-2011</t>
  </si>
  <si>
    <t>Projet de pavage et d'assainissement de rues dans les villes de Kétou, Tchaourou et Savè</t>
  </si>
  <si>
    <t>Améliorer le cadre de vie urbain dans les trois communes bénéficiaires par le revêtement des voies secondaires et la construction d'ouvrages de drainage des eaux pluviales.</t>
  </si>
  <si>
    <t>Plateau, Borgou, Collines</t>
  </si>
  <si>
    <t>Kétou, Tchaourou, Savè</t>
  </si>
  <si>
    <t>P-0003-FSD-2012</t>
  </si>
  <si>
    <t>Cofinancer les travaux de terrassement et de bitumage de l'axe routier reliant Kandi à la frontière nigériane pour soutenir le transit sous-régional des marchandises.</t>
  </si>
  <si>
    <t>Ségbana Centre</t>
  </si>
  <si>
    <t>SAR</t>
  </si>
  <si>
    <t>Fonds Saoudien de Développement</t>
  </si>
  <si>
    <t>FSD</t>
  </si>
  <si>
    <t>P-0025-BADEA-2012</t>
  </si>
  <si>
    <t>Projet de pont sur le fleuve "Mono"</t>
  </si>
  <si>
    <t>Faciliter les échanges transfrontaliers et sécuriser la liaison permanente entre le Bénin et le Togo par la construction d'un ouvrage de franchissement moderne sur le fleuve Mono à Athiémé.</t>
  </si>
  <si>
    <t>Mono</t>
  </si>
  <si>
    <t>Athiémé</t>
  </si>
  <si>
    <t>Athiémé Centre</t>
  </si>
  <si>
    <t>Banque Arabe pour le Développement Économique en Afrique</t>
  </si>
  <si>
    <t>BADEA</t>
  </si>
  <si>
    <t>P-0026-Danemark-2012</t>
  </si>
  <si>
    <t>Contribution au Fonds d'Appui au Développement des Communes (FADEC)</t>
  </si>
  <si>
    <t>Contribuer à la réduction de la pauvreté et à l'amélioration durable des conditions de vie des populations par le renforcement de la décentralisation et le financement des investissements des collectivités territoriales, afin d'améliorer la fourniture des services publics locaux.</t>
  </si>
  <si>
    <t>DKK</t>
  </si>
  <si>
    <t>Danemark</t>
  </si>
  <si>
    <t>Programme d'appui danois à la décentralisation (Danida) et FADeC - Ministère de la Décentralisation ; documentation du FADeC</t>
  </si>
  <si>
    <t>P-0027-Danemark-2012</t>
  </si>
  <si>
    <t>Programme d'appui au sous-secteur de l'enseignement primaire au Bénin</t>
  </si>
  <si>
    <t>ÉDUCATION</t>
  </si>
  <si>
    <t>Renforcer les capacités financières locales des communes à travers des transferts budgétaires dédiés au développement d'infrastructures de base sous maîtrise d'ouvrage communale.</t>
  </si>
  <si>
    <t>Programme d'investissement</t>
  </si>
  <si>
    <t>P-0028-Danemark-2012</t>
  </si>
  <si>
    <t>Programme d'appui au sous-secteur du transport rural au Bénin</t>
  </si>
  <si>
    <t>Améliorer la qualité et l'accès à l'éducation primaire publique en milieu rural, notamment dans les départements du Nord, à travers la construction de salles de classe et la formation des enseignants.</t>
  </si>
  <si>
    <t>Alibori, Atacora, Borgou, Donga</t>
  </si>
  <si>
    <t>P-0028-PAYS-BAS-2012</t>
  </si>
  <si>
    <t>Co-investir dans l'extension des linéaires de pistes de desserte rurale réhabilitées dans les bassins de production agricole pour optimiser les circuits de commercialisation.</t>
  </si>
  <si>
    <t>Royaume des Pays-Bas / Coopération néerlandaise</t>
  </si>
  <si>
    <t>PAYS-BAS</t>
  </si>
  <si>
    <t>evaluation.gouv.bj</t>
  </si>
  <si>
    <t>P-0029-BOAD-2012</t>
  </si>
  <si>
    <t>Etudes de faisabilité technique et d'impact environnemental et social du projet d'aménagement et de bitumage de la route Lalo-Agbangnizoun-Abomey-Djidja-Agouna-Tchetti-Doumè-Ottola-Bantè</t>
  </si>
  <si>
    <t>Réaliser les études techniques détaillées et d'ingénierie nécessaires pour la future construction et le bitumage de cet axe routier transversal reliant les départements du Couffo, du Zou et des Collines.</t>
  </si>
  <si>
    <t>Couffo, Zou, Collines</t>
  </si>
  <si>
    <t>Lalo, Agbangnizoun, Abomey, Djidja, Savalou</t>
  </si>
  <si>
    <t>Agouna, Tchetti) ; Savè(Dovè, Obola</t>
  </si>
  <si>
    <t>P-0030-AFD-2012</t>
  </si>
  <si>
    <t>Programme d'Appui à la Santé Maternelle et Infantile (PASMI)</t>
  </si>
  <si>
    <t>Réduire la mortalité maternelle et néonatale dans les zones cibles en améliorant la qualité des soins obstétricaux d'urgence et en équipant les maternités des hôpitaux de zone.</t>
  </si>
  <si>
    <t>Porto-Novo, Akpro-Missérété, Avrankou, Pobè, Adja-Ouéré, Kétou, Abomey, Bohicon, Dassa-Zoumé, Savalou</t>
  </si>
  <si>
    <t>Agence Française de Développement</t>
  </si>
  <si>
    <t>AFD</t>
  </si>
  <si>
    <t>P-0031-BM-2012</t>
  </si>
  <si>
    <t>Projet de services décentralisées conduits par les communautés (PSDCC)</t>
  </si>
  <si>
    <t>Améliorer l'accès des communautés vulnérables à des infrastructures socio-économiques de base gérées de façon participative et renforcer le système national de filets sociaux.</t>
  </si>
  <si>
    <t>P-0032-BIDC-2012</t>
  </si>
  <si>
    <t>Projet d'équipement et de réhabilitation de formations sanitaires</t>
  </si>
  <si>
    <t>Moderniser le plateau technique de plusieurs hôpitaux de référence au Bénin par l'acquisition de matériels d'imagerie, de laboratoire et de réanimation médicale.</t>
  </si>
  <si>
    <t>Littoral, Borgou, Ouémé, Atacora</t>
  </si>
  <si>
    <t>Cotonou, Parakou, Porto-Novo, Natitingou</t>
  </si>
  <si>
    <t>P-0033-BOAD-2012</t>
  </si>
  <si>
    <t>Projet d'aménagement de la route des pêches</t>
  </si>
  <si>
    <t>Développer le potentiel touristique et halieutique de la zone côtière par la construction d'une route bitumée reliant Cotonou à Ouidah le long du littoral.</t>
  </si>
  <si>
    <t>Littoral, Atlantique</t>
  </si>
  <si>
    <t>Cotonou, Abomey-Calavi</t>
  </si>
  <si>
    <t>Fidjrossè, Godomey(Togbin)) ; Ouidah(Avlékété, Houakpè-Daho</t>
  </si>
  <si>
    <t>boad.org</t>
  </si>
  <si>
    <t>P-0034-Chine-2012</t>
  </si>
  <si>
    <t>Financement de divers projets</t>
  </si>
  <si>
    <t>Appuyer l'État béninois dans la réalisation d'infrastructures administratives et d'équipements socioculturels définis dans le cadre des accords bilatéraux de coopération.</t>
  </si>
  <si>
    <t>CNY</t>
  </si>
  <si>
    <t>Chine</t>
  </si>
  <si>
    <t>P-0035-EXIMBANK INDE-2012</t>
  </si>
  <si>
    <t>Projet d'installation d'une usine de montage de tracteurs et d'équipements agricoles à Ouidah</t>
  </si>
  <si>
    <t>Promouvoir la mécanisation de l'agriculture béninoise par la mise en place d'une unité industrielle de montage de tracteurs et de machines agricoles afin de réduire la pénibilité du travail de terre.</t>
  </si>
  <si>
    <t>Ouidah</t>
  </si>
  <si>
    <t>Pahou</t>
  </si>
  <si>
    <t>Export-Import Bank of India</t>
  </si>
  <si>
    <t>EXIMBANK INDE</t>
  </si>
  <si>
    <t>documentation-anbenin.org</t>
  </si>
  <si>
    <t>P-0036-BM-2012</t>
  </si>
  <si>
    <t>Première phase du Programme Régional Ouest Africain d'Infrastructures de Communication-Projet Bénin</t>
  </si>
  <si>
    <t>NUMÉRIQUE</t>
  </si>
  <si>
    <t>Accroître la connectivité numérique internationale du Bénin et réduire les coûts des services de télécommunications à large bande grâce à l'extension du réseau de fibre optique.</t>
  </si>
  <si>
    <t>Cotonou, Abomey-Calavi, Porto-Novo</t>
  </si>
  <si>
    <t>banquemondiale.org</t>
  </si>
  <si>
    <t>P-0037-BM-2012</t>
  </si>
  <si>
    <t>Financement additionnel du Projet de Renforcement de la Performance du Système de Santé (PRPSS)</t>
  </si>
  <si>
    <t>Améliorer la qualité des soins de santé maternelle et infantile en étendant le mécanisme de financement basé sur les résultats aux formations sanitaires des départements sélectionnés.</t>
  </si>
  <si>
    <t>Atacora, Donga, Borgou, Alibori, Zou, Collines</t>
  </si>
  <si>
    <t>P-0038-Chine-2012</t>
  </si>
  <si>
    <t>Projet de réhabilitation de la route Akassato-Bohicon (Accord cadre)</t>
  </si>
  <si>
    <t>Moderniser et élargir l'axe routier central RNIE 2 reliant l'agglomération de Cotonou au centre du pays afin d'améliorer la sécurité routière et de fluidifier le transport de marchandises.</t>
  </si>
  <si>
    <t>Atlantique, Zou</t>
  </si>
  <si>
    <t>Abomey-Calavi, Zè, Toffo, Zogbodomey, Bohicon</t>
  </si>
  <si>
    <t>Akassato</t>
  </si>
  <si>
    <t>P-0039-BAD-2012</t>
  </si>
  <si>
    <t>Programme d'Appui aux Réformes Economiques et Financières (PAREF)</t>
  </si>
  <si>
    <t>Soutenir les réformes de l'administration publique visant à renforcer l'efficacité de la mobilisation des recettes fiscales et à améliorer la gouvernance des entreprises publiques.</t>
  </si>
  <si>
    <t>P-0040-Iran-2012</t>
  </si>
  <si>
    <t>Projet de construction et d'équipement d'un bloc pédagogique de type R+2 à l'Université d'Abomey-Calavi</t>
  </si>
  <si>
    <t>Accroître les capacités d'accueil des étudiants à l'Université d'Abomey-Calavi par l'érection de salles de cours et d'amphithéâtres modernes équipés.</t>
  </si>
  <si>
    <t>Iran</t>
  </si>
  <si>
    <t>P-0041-AFD-2012</t>
  </si>
  <si>
    <t>Projet d'Appui à la Décentralisation et à la Déconcentration au Bénin (PA2D)</t>
  </si>
  <si>
    <t>Renforcer la gouvernance locale et l'efficacité des préfectures et des mairies dans la planification du développement du territoire et la gestion budgétaire.</t>
  </si>
  <si>
    <t>P-0042-PAYS-BAS-2012</t>
  </si>
  <si>
    <t>Programme Pluriannuel d'appui au secteur Eau et Assainissement-Phase 2</t>
  </si>
  <si>
    <t>Fournir un accès durable à l'eau potable et à des infrastructures d'assainissement adéquates pour les populations rurales à travers des réformes sectorielles intégrées.</t>
  </si>
  <si>
    <t>P-0043-BOAD-2013</t>
  </si>
  <si>
    <t>Avance de fonds pour le financement des études technico-économique, environnementales et sociales du projet de reconstruction en 2x2 voies de la traversée et du contournement de la ville de Parakou</t>
  </si>
  <si>
    <t>Élaborer les dossiers d'avant-projet détaillé et d'impact environnemental pour la modernisation routière de la traversée urbaine de Parakou.</t>
  </si>
  <si>
    <t>Borgou</t>
  </si>
  <si>
    <t>Parakou</t>
  </si>
  <si>
    <t>P-0044-BIDC-2013</t>
  </si>
  <si>
    <t>Projet de pavage de rues et d'assainissement dans les communes de Ouidah, Bohicon, Pobè, Sakété et Dassa-Zoumé</t>
  </si>
  <si>
    <t>Améliorer les conditions environnementales et sanitaires dans les centres urbains de cinq communes par le pavage de voies et la pose de collecteurs d'égouts.</t>
  </si>
  <si>
    <t>Atlantique, Zou, Plateau, Collines</t>
  </si>
  <si>
    <t>Ouidah, Bohicon, Pobè, Sakété, Dassa-Zoumé</t>
  </si>
  <si>
    <t>P-0045-BID-2013</t>
  </si>
  <si>
    <t>Projet de construction du pont de Tovégbamè</t>
  </si>
  <si>
    <t>Assurer la continuité territoriale et désenclaver les localités riveraines de la vallée de l'Ouémé à Adjohoun en construisant un ouvrage de franchissement permanent.</t>
  </si>
  <si>
    <t>Ouémé</t>
  </si>
  <si>
    <t>Adjohoun</t>
  </si>
  <si>
    <t>P-0046-BID-2013</t>
  </si>
  <si>
    <t>Programme d'amélioration de la productivité agricole des petits exploitants (PAPAPE)</t>
  </si>
  <si>
    <t>Accroître les rendements rizicoles et maraîchers des petits producteurs par l'aménagement de bas-fonds irrigués et la fourniture d'équipements de transformation post-récolte. ; Financer de petits périmètres maraîchers et pastoraux pour renforcer l'autonomie économique des femmes et jeunes ruraux dans les zones de production. ; Développer les capacités logistiques et de stockage des coopératives agricoles pour réduire les pertes après récolte des céréales et des produits vivriers. ; Renforcer les services de conseil agricole de proximité et l'accès aux intrants certifiés pour optimiser les performances agropastorales régionales.</t>
  </si>
  <si>
    <t>Borgou, Alibori, Atacora, Donga, Zou, Collines</t>
  </si>
  <si>
    <t>Istisna'a | Prêt (FISD) | Prêt (vente à tempérament) | Prêt concessionnel</t>
  </si>
  <si>
    <t>P-0047-BM-2013</t>
  </si>
  <si>
    <t>Financement additionnel du Projet de gestion des Forêts et Terroirs Riverains (PGFTR)</t>
  </si>
  <si>
    <t>Renforcer les investissements communautaires dans la réhabilitation des forêts classées et promouvoir des activités génératrices de revenus alternatives durables pour réduire le déboisement.</t>
  </si>
  <si>
    <t>Alibori, Atacora, Borgou</t>
  </si>
  <si>
    <t>Banikoara, Karimama, Tanguiéta, Kérou, Tchaourou</t>
  </si>
  <si>
    <t>P-0047-FEM / GEF-2013</t>
  </si>
  <si>
    <t>Appuyer l'atténuation du changement climatique par la conservation du carbone forestier et l'amélioration de la gestion intégrée des écosystèmes forestiers riverains.</t>
  </si>
  <si>
    <t>Fonds pour l’Environnement Mondial</t>
  </si>
  <si>
    <t>FEM / GEF</t>
  </si>
  <si>
    <t>P-0048-BM-2013</t>
  </si>
  <si>
    <t>Huitième financement d'appui à la réduction de la pauvreté (PRSC-8)</t>
  </si>
  <si>
    <t>Consolider les performances de gestion macroéconomique, améliorer le cadre de passation des marchés publics et accroître l'efficience budgétaire dans les secteurs sociaux.</t>
  </si>
  <si>
    <t>P-0049-Allemagne-2013</t>
  </si>
  <si>
    <t>Fonds Commun Budgétaire - Programme Education-phase 3</t>
  </si>
  <si>
    <t>Appuyer la mise en œuvre de la stratégie sectorielle de l'éducation en cofinançant les plans nationaux pour l'universalisation de la scolarisation primaire de qualité.</t>
  </si>
  <si>
    <t>P-0050-BAD-2013</t>
  </si>
  <si>
    <t>Projet d'amélioration de la gestion des boues de vidange du Grand-Nokoué</t>
  </si>
  <si>
    <t>Assainir l'environnement urbain du Grand Nokoué en construisant des stations d'épuration des boues de vidange et en structurant la filière de collecte et de traitement. ; Améliorer les conditions d'assainissement de la zone côtière par la mise en place d'infrastructures adéquates de collecte, de transport et de traitement écologique des boues sanitaires.</t>
  </si>
  <si>
    <t>P-0051-BOAD-2013</t>
  </si>
  <si>
    <t>Avance de fonds pour le financement de l'étude de faisabilité du volet pistes rurales du Projet d'Appui à la Croissance Economique Rurale (PACER)</t>
  </si>
  <si>
    <t>Définir la cartographie technique et économique des réseaux de pistes de desserte rurale prioritaires à réhabiliter au sein des communes agricoles du Bénin.</t>
  </si>
  <si>
    <t>P-0052-ECOBANK-Bénin-2013</t>
  </si>
  <si>
    <t>Financement des travaux d'achèvement de la construction de l'aéroport de Tourou (Parakou)</t>
  </si>
  <si>
    <t>Mener à bien les infrastructures terminales, de piste et de balisage de la plateforme aéroportuaire de Tourou afin de doter le Septentrion d'un aéroport moderne opérationnel.</t>
  </si>
  <si>
    <t>Tourou</t>
  </si>
  <si>
    <t>ECOBANK-Bénin</t>
  </si>
  <si>
    <t>PRIVE</t>
  </si>
  <si>
    <t>Prêt commercial</t>
  </si>
  <si>
    <t>P-0053-FIDA / IFAD-2013</t>
  </si>
  <si>
    <t>Projet d'appui à la promotion des services financiers ruraux adaptés (PAPSFRA)</t>
  </si>
  <si>
    <t>MICROFINANCE</t>
  </si>
  <si>
    <t>Améliorer les conditions de vie des populations rurales pauvres en favorisant leur accès durable à des services financiers de microfinance diversifiés et adaptés à l'agriculture. ; Consolider les capacités de gouvernance des mutuelles de crédit et appuyer l'innovation technologique pour le déploiement de produits d'épargne rurale.</t>
  </si>
  <si>
    <t>Fonds International de Développement Agricole</t>
  </si>
  <si>
    <t>FIDA / IFAD</t>
  </si>
  <si>
    <t>P-0054-BOAD-2013</t>
  </si>
  <si>
    <t>Avance de fonds pour le financement des études économique, technique détaillée, d'impact environnemental et social et l'élaboration du dossier d'appel d'offres relatives au projet d'aménagement et de bitumage de la route Bétérou-Tchaourou-Frontière du Nigeria et de construction du pont sur le fleuve Okpara au Bénin.</t>
  </si>
  <si>
    <t>Préparer l'ingénierie et l'évaluation environnementale complexes nécessaires au bitumage de cet axe routier international stratégique.</t>
  </si>
  <si>
    <t>Tchaourou</t>
  </si>
  <si>
    <t>Bétérou, Tchaourou Centre</t>
  </si>
  <si>
    <t>P-0055-BOAD-2013</t>
  </si>
  <si>
    <t>Projet de pavage de rues et d'assainissement dans les communes de Kandi et Savalou et de construction d'un collecteur d'assainissement de crête à Bohicon</t>
  </si>
  <si>
    <t>Améliorer la mobilité urbaine à Kandi et Savalou, et résoudre durablement les problèmes d'érosion et d'inondations pluviales à Bohicon par un collecteur de crête majeur.</t>
  </si>
  <si>
    <t>Alibori, Collines, Zou</t>
  </si>
  <si>
    <t>Kandi, Savalou, Bohicon</t>
  </si>
  <si>
    <t>P-0056-BOAD-2013</t>
  </si>
  <si>
    <t>Projet de pavage de rues et d'assainissement dans les communes de Kétou, Tchaourou, Savè (phase 2) et de Kpomassè</t>
  </si>
  <si>
    <t>Étendre le réseau de voirie assainie dans les quartiers centraux des quatre communes afin de valoriser l'habitat urbain et de faciliter le transport local.</t>
  </si>
  <si>
    <t>Plateau, Borgou, Collines, Atlantique</t>
  </si>
  <si>
    <t>Kétou, Tchaourou, Savè, Kpomassè</t>
  </si>
  <si>
    <t>P-0057-BM-2013</t>
  </si>
  <si>
    <t>Projet d'Appui au Renforcement de la Capacité de Pilotage et d'Administration des Politiques et Programmes de l'Alimentation et de la Nutrition</t>
  </si>
  <si>
    <t>Structurer la réponse multisectorielle face à la malnutrition chronique à travers un appui institutionnel au CAN et la mise en œuvre de plans de suivi de nutrition déconcentrés.</t>
  </si>
  <si>
    <t>P-0058-EXIMBANK DE CHINE-2013</t>
  </si>
  <si>
    <t>Projet de réhabilitation de la route Akassato-Bohicon-Lot 3</t>
  </si>
  <si>
    <t>Achever la réhabilitation lourde et le calibrage de la section routière centrale reliant Toffo à Bohicon afin d'assurer la sécurité sur le corridor de transport international.</t>
  </si>
  <si>
    <t>Banque chinoise d’import-export</t>
  </si>
  <si>
    <t>EXIMBANK DE CHINE</t>
  </si>
  <si>
    <t>P-0059-EXIMBANK INDE-2013</t>
  </si>
  <si>
    <t>Projet de renforcement du système d'adduction d'eau dans 69 villages</t>
  </si>
  <si>
    <t>Améliorer significativement le taux de desserte en eau potable en milieu rural par le forage et la construction de réseaux complets d'adduction d'eau villageoise dans 69 localités.</t>
  </si>
  <si>
    <t>P-0060-BM-2013</t>
  </si>
  <si>
    <t>Projet d'aménagement urbain et d'appui à la décentralisation (PAURAD)</t>
  </si>
  <si>
    <t>Rehausser la capacité de gestion financière et d'investissement des municipalités béninoises clés et cofinancer des infrastructures urbaines de voirie et de drainage.</t>
  </si>
  <si>
    <t>Littoral, Atlantique, Ouémé, Borgou, Zou, Atacora, Donga, Mono, Couffo, Plateau, Collines</t>
  </si>
  <si>
    <t>Cotonou, Abomey-Calavi, Porto-Novo, Parakou, Abomey, Bohicon, Natitingou, Djougou, Lokossa, Aplahoué, Pobè, Dassa-Zoumé</t>
  </si>
  <si>
    <t>P-0061-Pays-Bas-2013</t>
  </si>
  <si>
    <t>Projet de consolidation des acquis et des actions de sécurisation foncière</t>
  </si>
  <si>
    <t>Soutenir la mise en place du cadre légal et opérationnel du nouveau code foncier et domanial, et appuyer l'ANDF pour sécuriser les transactions foncières urbaines et rurales.</t>
  </si>
  <si>
    <t>Pays-Bas</t>
  </si>
  <si>
    <t>P-0062-BOAD-2013</t>
  </si>
  <si>
    <t>Projet de réhabilitation et de renforcement de la route Parakou-Djougou</t>
  </si>
  <si>
    <t>Améliorer la liaison transversale RNIE 3 entre Parakou et Djougou en renforçant la chaussée routière pour supporter le trafic croissant de transit et régional.</t>
  </si>
  <si>
    <t>Borgou, Donga</t>
  </si>
  <si>
    <t>Parakou, Djougou</t>
  </si>
  <si>
    <t>P-0063-BOAD-2013</t>
  </si>
  <si>
    <t>Projet de renforcement du système d'alimentation en eau potable du centre secondaire de Djougou et des localités de Tchaourou, Savè et Tanguiéta en République du Bénin</t>
  </si>
  <si>
    <t>Sécuriser et accroître la production d'eau potable de la SONEB dans quatre centres urbains intermédiaires par la rénovation des stations de pompage et l'extension du réseau.</t>
  </si>
  <si>
    <t>Donga, Borgou, Collines, Atacora</t>
  </si>
  <si>
    <t>Djougou, Tchaourou, Savè, Tanguiéta</t>
  </si>
  <si>
    <t>P-0064-BIDC-2013</t>
  </si>
  <si>
    <t>Projet de pavage de rues et d'assainissement dans les communes de Ouidah, Bohicon, Pobè, Sakété et Dassa-Zoumé, Phase 2</t>
  </si>
  <si>
    <t>densifier les interventions d'assainissement routier urbain dans les quartiers à forte densité des cinq municipalités bénéficiaires.</t>
  </si>
  <si>
    <t>P-0062-BIDC-2014</t>
  </si>
  <si>
    <t>Financer les couches de roulement en béton bitumineux pour garantir la pérennité structurelle de la chaussée reliant le Borgou à la Donga.</t>
  </si>
  <si>
    <t>P-0065-BAD-2014</t>
  </si>
  <si>
    <t>Projet d'appui aux infrastructures agricoles dans la vallée de l'Ouémé (PAIA-VO)</t>
  </si>
  <si>
    <t>Améliorer la productivité et la production rizicoles et maraîchères de la vallée par l'aménagement de périmètres irrigués sous maîtrise d'eau et de pistes rurales connexes. ; Financer des infrastructures collectives de commercialisation, de stockage et d'équipements de transformation agroalimentaire gérées par les coopératives locales.</t>
  </si>
  <si>
    <t>Ouémé, Atlantique</t>
  </si>
  <si>
    <t>Adjohoun, Bonou, Dangbo, Agégué, Zè</t>
  </si>
  <si>
    <t>P-0065-FEM / GEF-2014</t>
  </si>
  <si>
    <t>Promouvoir des pratiques de gestion durable des terres, d'adaptation climatique et de résilience des systèmes agricoles basés sur les zones humides de la vallée.</t>
  </si>
  <si>
    <t>P-0066-BM-2014</t>
  </si>
  <si>
    <t>Projet multisectoriel de l'alimentation, de la santé et de la nutrition</t>
  </si>
  <si>
    <t>Améliorer les pratiques de nutrition communautaire et accroître l'utilisation des services de santé et d'alimentation essentiels dans les communes rurales vulnérables.</t>
  </si>
  <si>
    <t>P-0067-BM-2014</t>
  </si>
  <si>
    <t>Projet de Partenariat Mondial pour l'Education (PPME)</t>
  </si>
  <si>
    <t>Améliorer l'accès équitable à l'enseignement de base, accroître la rétention scolaire des filles et renforcer la qualité des apprentissages dans les zones d'apprentissage défavorisées.</t>
  </si>
  <si>
    <t>P-0068-BOAD-2014</t>
  </si>
  <si>
    <t>Projet de transport urbain à Parakou : Reconstruction de la traversée et du contournement de la ville</t>
  </si>
  <si>
    <t>Améliorer la fluidité du trafic et la sécurité des transports urbains au sein de la ville de Parakou par l'aménagement de voies de contournement en double voie.</t>
  </si>
  <si>
    <t>P-0069-BOAD-2014</t>
  </si>
  <si>
    <t>Projet d'aménagement et de bitumage de routes structurantes : (i) Comé – Lokossa – Dogbo et Bretelle Zounhouè - Athiémé – frontière du Togo (71 km), (ii) Savalou – Tchetti – frontière du Togo (42 km) et Bretelle Logozohè – Glazoué (17 km) et (iii) Djèrègbè – Dja - Owodé Frontière du Nigéria (9,67 km)</t>
  </si>
  <si>
    <t>Assurer le bitumage de trois axes routiers hautement stratégiques pour interconnecter les pôles de développement internes aux pays voisins (Togo et Nigeria).</t>
  </si>
  <si>
    <t>Mono, Couffo, Collines, Ouémé, Plateau</t>
  </si>
  <si>
    <t>Comè, Lokossa, Athiémé, Dogbo, Savalou, Glazoué, Sèmè-Podji, Ifangni</t>
  </si>
  <si>
    <t>P-0070-BM-2014</t>
  </si>
  <si>
    <t>Financement additionnel du projet de Services Décentralisés Conduits par les Communautés</t>
  </si>
  <si>
    <t>Amplifier le programme de transferts monétaires directs aux ménages extrêmement pauvres et accroître la couverture des infrastructures communautaires villageoises de base.</t>
  </si>
  <si>
    <t>P-0071-BM-2014</t>
  </si>
  <si>
    <t>Projet Emploi des Jeunes</t>
  </si>
  <si>
    <t>PROTECTION SOCIALE ET EMPLOI</t>
  </si>
  <si>
    <t>Améliorer l'accès des jeunes sous-employés ou peu qualifiés à des opportunités d'emploi à travers des formations techniques de courte durée et l'octroi d'appuis financiers à l'auto-emploi.</t>
  </si>
  <si>
    <t>P-0072-BM-2014</t>
  </si>
  <si>
    <t>Neuvième Crédit d'Appui à la Stratégie de Réduction de la Pauvreté (PRSC-9)</t>
  </si>
  <si>
    <t>Soutenir la consolidation de la gouvernance économique nationale en finançant la mise en œuvre de réformes clés pour l'efficience des dépenses de santé et d'éducation.</t>
  </si>
  <si>
    <t>P-0073-BADEA-2014</t>
  </si>
  <si>
    <t>Projet de construction et d'équipement de l'école normale supérieure de l'enseignement technique de Lokossa</t>
  </si>
  <si>
    <t>Améliorer la formation des enseignants de l'enseignement technique au Bénin en érigeant et dotant de laboratoires spécialisés l'infrastructure académique de l'ENSET à Lokossa.</t>
  </si>
  <si>
    <t>Lokossa</t>
  </si>
  <si>
    <t>P-0074-AFD-2014</t>
  </si>
  <si>
    <t>Programme d'appui à la formation professionnelle et à l'insertion des jeunes (AFPIJe)</t>
  </si>
  <si>
    <t>Développer l'offre de formation par alternance et apprentissage de type dual pour adapter les qualifications professionnelles des jeunes aux besoins réels des entreprises privées et artisanales.</t>
  </si>
  <si>
    <t>P-0075-BID-2014</t>
  </si>
  <si>
    <t>Financement additionnel du projet d'appui au développement du système de santé</t>
  </si>
  <si>
    <t>Étendre les services de santé de base de qualité et renforcer la surveillance épidémiologique dans les zones frontalières des départements septentrionaux.</t>
  </si>
  <si>
    <t>Atacora, Donga, Borgou, Alibori</t>
  </si>
  <si>
    <t>P-0076-BM-2014</t>
  </si>
  <si>
    <t>Projet de centres d'excellence d'enseignement supérieur en Afrique</t>
  </si>
  <si>
    <t>Appuyer l'émergence de pôles d'excellence académique régionaux à l'Université d'Abomey-Calavi dans les filières de sciences mathématiques et d'ingénierie appliquée.</t>
  </si>
  <si>
    <t>P-0077-BM-2014</t>
  </si>
  <si>
    <t>Financement additionnel du projet d'Urgence de Gestion Environnementale en Milieu Urbain</t>
  </si>
  <si>
    <t>Financer des travaux complémentaires d'urgence pour la sécurisation de collecteurs pluviaux majeurs et l'éradication de points noirs d'inondations dans l'agglomération de Cotonou.</t>
  </si>
  <si>
    <t>P-0078-BID-2014</t>
  </si>
  <si>
    <t>Projet de Développement de l'Education de Base-Phase IV</t>
  </si>
  <si>
    <t>Accroître la capacité d'accueil et la mixité du système scolaire par la construction d'infrastructures de collèges ruraux intégrés équipés de blocs sanitaires adaptés. ; Acquérir et distribuer des manuels scolaires et des guides didactiques et renforcer la formation pédagogique continue des instituteurs et enseignants contractuels.</t>
  </si>
  <si>
    <t>DI | EUR</t>
  </si>
  <si>
    <t>Istisna'a</t>
  </si>
  <si>
    <t>P-0079-BID-2014</t>
  </si>
  <si>
    <t>Projet BID-UEMOA d'hydraulique et d'assainissement en milieu rural</t>
  </si>
  <si>
    <t>ACCÈS À L’EAU POTABLE</t>
  </si>
  <si>
    <t>Approvisionner durablement en eau potable les localités rurales cibles des départements du Bénin à travers la réalisation de forages équipés de pompes manuelles ou solaires.</t>
  </si>
  <si>
    <t>APD</t>
  </si>
  <si>
    <t>PRÊT</t>
  </si>
  <si>
    <t>en cours</t>
  </si>
  <si>
    <t>PILIER 3</t>
  </si>
  <si>
    <t>AXE 6</t>
  </si>
  <si>
    <t>ODD 6</t>
  </si>
  <si>
    <t>Environnemental</t>
  </si>
  <si>
    <t>P-0080-UEMOA-2014</t>
  </si>
  <si>
    <t>Bonification du taux d'intérêt du prêt relatif au financement partiel du Projet de renforcement du système d'alimentation en eau potable dans 69 villages</t>
  </si>
  <si>
    <t>Réduire le coût financier global de la dette contractée pour les infrastructures d'adduction d'eau villageoise au profit de la viabilité budgétaire du programme.</t>
  </si>
  <si>
    <t>Union Économique et Monétaire Ouest Africaine</t>
  </si>
  <si>
    <t>UEMOA</t>
  </si>
  <si>
    <t>P-0081-AFD-2014</t>
  </si>
  <si>
    <t>Projet d'appui au renforcement des acteurs du secteur privé</t>
  </si>
  <si>
    <t>Mettre en œuvre des programmes d'appui à la mise à niveau des entreprises industrielles locales et faciliter leur accès aux financements de trésorerie et d'investissement.</t>
  </si>
  <si>
    <t>P-0081-UE-2014</t>
  </si>
  <si>
    <t>Améliorer la compétitivité des micro, petites et moyennes entreprises en renforçant l'offre de services d'appui-conseil de la Chambre de Commerce et d'Industrie du Bénin.</t>
  </si>
  <si>
    <t>Union Européenne</t>
  </si>
  <si>
    <t>UE</t>
  </si>
  <si>
    <t>P-0082-BOA-BENIN-2014</t>
  </si>
  <si>
    <t>Projet d'aménagement et de bitumage de la route Djèrègbè – Dja - Owodé Frontière du Nigéria (9,67 km)</t>
  </si>
  <si>
    <t>Apporter le concours financier complémentaire requis pour le bitumage et la signalisation sécurisée de l'axe frontalier commercial de Dja.</t>
  </si>
  <si>
    <t>Ouémé, Plateau</t>
  </si>
  <si>
    <t>Sèmè-Podji, Ifangni</t>
  </si>
  <si>
    <t>Bank of Africa – Bénin</t>
  </si>
  <si>
    <t>BOA-BENIN</t>
  </si>
  <si>
    <t>P-0082-ECOBANK-Bénin-2014</t>
  </si>
  <si>
    <t>Financer de façon syndiquée les travaux de voirie lourde sur cet axe routier commercial majeur reliant l'Ouémé au marché nigérian.</t>
  </si>
  <si>
    <t>P-0083-BOAD-2014</t>
  </si>
  <si>
    <t>Projet d'Appui à l'assurance Mutuelle Agricole du Bénin (AMAB) pour la mise en place d'une assurance récolte des filières coton et Riz au Bénin</t>
  </si>
  <si>
    <t>Sécuriser les investissements des petits exploitants agricoles face aux aléas climatiques (sécheresses, inondations) en développant des produits d'assurance récolte indicielle. ; Sécuriser les investissements des petits exploitants agricoles face aux aléas climatiques (sécheresse, inondations) en structurant et en lançant un produit d'assurance récolte indicielle.</t>
  </si>
  <si>
    <t>Alibori, Borgou, Atacora, Donga, Zou, Collines, Ouémé</t>
  </si>
  <si>
    <t>boad.org ; https://boad.org</t>
  </si>
  <si>
    <t>P-0084-BOAD-2014</t>
  </si>
  <si>
    <t>Projet de pavage de rues et d'assainissement dans les villes d'Athiémé, d'Avrankou, d'Azovè, de Calavi (phase 2), de Kérou, de Malanville et de Zogbodomey et de Projet de construction d'un pont sur la traversée lagunaire de Djonou entre Cocotomey et Womey</t>
  </si>
  <si>
    <t>Améliorer la voirie dans sept agglomérations et résoudre l'enclavement critique du quartier Womey par l'érection du pont de franchissement sur la lagune de Djonou.</t>
  </si>
  <si>
    <t>Mono, Ouémé, Couffo, Atlantique, Atacora, Alibori, Zou, Littoral</t>
  </si>
  <si>
    <t>Athiémé, Avrankou, Aplahoué, Abomey-Calavi, Kérou, Malanville, Zogbodomey, Cotonou</t>
  </si>
  <si>
    <t>Azovè, Womey, Abomey-Calavi Centre</t>
  </si>
  <si>
    <t>P-0085-BADEA-2014</t>
  </si>
  <si>
    <t>Etudes environnementale et sociale du Projet de protection de la côte ouest de la ville de Cotonou (littoral Hillacondji-Grand-Popo)</t>
  </si>
  <si>
    <t>Réaliser les analyses d'impact et d'ingénierie côtière requises pour concevoir des ouvrages de stabilisation du trait de côte face à l'avancée de la mer sur le littoral ouest.</t>
  </si>
  <si>
    <t>Mono, Littoral</t>
  </si>
  <si>
    <t>Grand-Popo, Cotonou</t>
  </si>
  <si>
    <t>Hillacondji</t>
  </si>
  <si>
    <t>P-0086-BADEA-2014</t>
  </si>
  <si>
    <t>Financement additionnel du projet de protection de la côte à l'Est de la ville de Cotonou</t>
  </si>
  <si>
    <t>Participer au financement de la construction d'un système d'épis rocheux et de rechargement en sable pour stabiliser la plage Est de Cotonou contre l'érosion marine accélérée.</t>
  </si>
  <si>
    <t>Littoral, Ouémé</t>
  </si>
  <si>
    <t>Cotonou, Sèmè-Podji</t>
  </si>
  <si>
    <t>P-0086-FKDEA-2014</t>
  </si>
  <si>
    <t>Cofinancer les travaux de génie civil côtier lourds pour protéger les infrastructures portuaires et les zones habitées de la bande littorale Est de Cotonou.</t>
  </si>
  <si>
    <t>KWD</t>
  </si>
  <si>
    <t>P-0086-OPEP-2014</t>
  </si>
  <si>
    <t>Apporter les ressources budgétaires complémentaires pour étendre la couverture de la protection côtière par épis rocheux vers le secteur de Sèmè-Podji.</t>
  </si>
  <si>
    <t>OPEP</t>
  </si>
  <si>
    <t>P-0087-BAD-2014</t>
  </si>
  <si>
    <t>Projet de transport urbain à Parakou : Reconstruction de la traversée et du contournement de la ville en République du Bénin</t>
  </si>
  <si>
    <t>Financer les travaux d'infrastructures lourdes de dédoublement de la chaussée urbaine centrale et d'aménagement de voies cyclables et piétonnes à Parakou.</t>
  </si>
  <si>
    <t>P-0087-FAD/FEM-2014</t>
  </si>
  <si>
    <t>Réduire les émissions de gaz à effet de serre du transport urbain à Parakou en favorisant la fluidité du trafic par des aménagements d'espaces verts et d'intersections optimisées.</t>
  </si>
  <si>
    <t>Fonds Africain de Développement – financement associé au Fonds pour l’Environnement Mondial</t>
  </si>
  <si>
    <t>FAD/FEM</t>
  </si>
  <si>
    <t>P-0088-BAD-2014</t>
  </si>
  <si>
    <t>Aide d'urgence à Malanville et à Karimanan</t>
  </si>
  <si>
    <t>Fournir une assistance d'urgence humanitaire et de réhabilitation rapide des infrastructures d'eau et de santé dégradées à la suite des inondations catastrophiques du fleuve Niger.</t>
  </si>
  <si>
    <t>Malanville, Karimama</t>
  </si>
  <si>
    <t>USD</t>
  </si>
  <si>
    <t>Aide humanitaire</t>
  </si>
  <si>
    <t>P-0089-Pays-Bas-2014</t>
  </si>
  <si>
    <t>Plan intégré de travail annuel (PITA) 2014</t>
  </si>
  <si>
    <t>Financer à l'échelle sectorielle le programme national annuel de gestion intégrée des ressources en eau et d'assainissement liquide rural.</t>
  </si>
  <si>
    <t>P-0090-Pays-Bas-2014</t>
  </si>
  <si>
    <t>Projet d'arrangement pour l'acquisition de contraceptifs gratuits dans le cadre du repositionnement et de la planification familiale 2014-2018 au Bénin et à la Stratégie Nationale Multisectorielles de Santé Sexuelle et de la Reproduction des adolescents et des Jeunes y compris le VIH/SIDA au Bénin 2011-2015</t>
  </si>
  <si>
    <t>Garantir la disponibilité continue et gratuite de produits de planification familiale pour améliorer la santé sexuelle et reproductive des adolescents et jeunes.</t>
  </si>
  <si>
    <t>P-0091-Allemagne-2014</t>
  </si>
  <si>
    <t>Fonds d'appui pour le développement des communes (FADEC III)</t>
  </si>
  <si>
    <t>Transférer les concours budgétaires de l'Allemagne vers les budgets locaux des mairies pour financer de manière pérenne les services sociaux décentralisés.</t>
  </si>
  <si>
    <t>P-0092-Allemagne-2014</t>
  </si>
  <si>
    <t>Projet de gestion durable des réserves de faune au nord du Bénin: Fondation des savanes ouest africaines</t>
  </si>
  <si>
    <t>Assurer le cofinancement durable à long terme de la conservation des parcs du complexe W-Arly-Pendjari en alimentant le fonds fiduciaire de la FSOA.</t>
  </si>
  <si>
    <t>Tanguiéta, Banikoara</t>
  </si>
  <si>
    <t>P-0093-Allemagne-2014</t>
  </si>
  <si>
    <t>Projet de réhabilitation de la centrale hydroléléctrique de Nangbéto</t>
  </si>
  <si>
    <t>Moderniser les turbines et les systèmes de régulation de la centrale hydroélectrique binationale de Nangbéto afin de restaurer et fiabiliser sa puissance de production d'énergie.</t>
  </si>
  <si>
    <t>P-0094-BIDC-2014</t>
  </si>
  <si>
    <t>Projet de réhabilitaion des marchés de Savalou et de Glazoué</t>
  </si>
  <si>
    <t>Rénover et étendre les infrastructures marchandes de Savalou et Glazoué par la construction de hangars modernes, de magasins de stockage et de blocs sanitaires.</t>
  </si>
  <si>
    <t>Collines</t>
  </si>
  <si>
    <t>Savalou, Glazoué</t>
  </si>
  <si>
    <t>P-0095-EXIMBANK DE CHINE-2014</t>
  </si>
  <si>
    <t>Accord de coopération économique et technique</t>
  </si>
  <si>
    <t>Apporter un appui financier sous forme de don pour la réalisation de grands chantiers d'infrastructures publiques prioritaires programmés par le gouvernement. ; Ouvrir des lignes de crédit concessionnelles pour appuyer le financement d'équipements technologiques et de télécommunications pour les services de l'État.</t>
  </si>
  <si>
    <t>Non spécifiée</t>
  </si>
  <si>
    <t>P-0096-BID-2014</t>
  </si>
  <si>
    <t>Projet de construction d'une Centrale thermique de 120 MW à MARIA GLETA (PHASE I) en République du Bénin</t>
  </si>
  <si>
    <t>Réduire le déficit national en production d'électricité en construisant une centrale thermique moderne de 120 MW fonctionnant en cycle combiné dual à Maria-Gléta.</t>
  </si>
  <si>
    <t>Togba</t>
  </si>
  <si>
    <t>Maria-Gléta</t>
  </si>
  <si>
    <t>Crédit-bail</t>
  </si>
  <si>
    <t>P-0097-BID-2014</t>
  </si>
  <si>
    <t>Projet d'Aménagement et de bitumage de la route Banikoara-Kérémou-Frontière du Burkina-Faso</t>
  </si>
  <si>
    <t>Assurer le bitumage de cet axe routier stratégique de la zone cotonnière pour faciliter le désenclavement des communes du Nord-Ouest et l'interconnexion avec le Burkina Faso.</t>
  </si>
  <si>
    <t>Alibori, Atacora</t>
  </si>
  <si>
    <t>Banikoara, Kérou</t>
  </si>
  <si>
    <t>P-0098-BOAD-2014</t>
  </si>
  <si>
    <t>Projet de pavage de rues et d'assainissement dans les villes de Bembèrèkè, Bonou, Bopa, Dogbo, Ifangni, Kalalé, Karimama, Tanguiéta, Zakpota et Zè (10 villes)</t>
  </si>
  <si>
    <t>Rehausser l'attractivité et l'hygiène urbaine de dix chefs-lieux de communes intermédiaires par l'exécution de programmes de pavage et de drainage pluvial.</t>
  </si>
  <si>
    <t>Borgou, Ouémé, Mono, Couffo, Plateau, Alibori, Atacora, Zou, Atlantique</t>
  </si>
  <si>
    <t>Bembérèké, Kalalé, Bonou, Bopa, Dogbo, Ifangni, Karimama, Tanguiéta, Zakpota, Zè</t>
  </si>
  <si>
    <t>P-0099-UEMOA-2014</t>
  </si>
  <si>
    <t>Convention d'appui à la mise en œuvre du projet de développement de la filière maïs</t>
  </si>
  <si>
    <t>Intensifier la production de maïs par la diffusion de semences améliorées, l'appui aux plateformes d'égrenage et la facilitation de la commercialisation au sein de l'espace communautaire.</t>
  </si>
  <si>
    <t>P-0100-UEMOA-2014</t>
  </si>
  <si>
    <t>Convention d'appui à la structuration de la filière riz</t>
  </si>
  <si>
    <t>Améliorer la qualité du riz local étuvé béninois à travers la modernisation des petites unités de transformation et le renforcement des capacités des coopératives de producteurs.</t>
  </si>
  <si>
    <t>P-0062-ATLANTIQUE BANK-2015</t>
  </si>
  <si>
    <t>Participer au pool bancaire national pour préfinancer les tranches de travaux urgents d'élargissement de la route d'interconnexion Parakou-Djougou.</t>
  </si>
  <si>
    <t>Banque Atlantique Bénin</t>
  </si>
  <si>
    <t>ATLANTIQUE BANK</t>
  </si>
  <si>
    <t>P-0062-BOA-BENIN-2015</t>
  </si>
  <si>
    <t>Mobiliser les ressources du marché financier bancaire local pour sécuriser le bouclage budgétaire du projet de renforcement de la RNIE 3.</t>
  </si>
  <si>
    <t>P-0062-ECOBANK-Bénin-2015</t>
  </si>
  <si>
    <t>Apporter le concours financier bancaire commercial local requis pour la libération des emprises et le paiement des entreprises de travaux routiers.</t>
  </si>
  <si>
    <t>P-0086-FSD-2015</t>
  </si>
  <si>
    <t>Apporter les ressources du Fonds Saoudien pour achever la construction de la barrière d'épis rocheux protectrice de la zone industrielle littorale de Cotonou.</t>
  </si>
  <si>
    <t>P-0101-AFD-2015</t>
  </si>
  <si>
    <t>Projet de restructuration et d'extension du réseau de la SBEE dans la commune d'Abomey-Calavi et le département de l'Atlantique</t>
  </si>
  <si>
    <t>Fiabiliser et moderniser le réseau de distribution électrique basse et moyenne tension de l'Atlantique, réduire les pertes techniques et raccorder de nouveaux abonnés ménagers. ; Construire de nouveaux sous-postes d'injection électrique haute tension pour sécuriser l'alimentation de la commune en pleine croissance démographique d'Abomey-Calavi.</t>
  </si>
  <si>
    <t>Abomey-Calavi, Allada, Kpomassè, Ouidah, Sô-Ava, Toffo, Tori-Bossito, Zè</t>
  </si>
  <si>
    <t>P-0101-BEI-2015</t>
  </si>
  <si>
    <t>Financer l'acquisition de compteurs à prépaiement intelligents et le déploiement de lignes de distribution électrique aériennes et souterraines dans l'Atlantique.</t>
  </si>
  <si>
    <t>Banque Européenne d’Investissement</t>
  </si>
  <si>
    <t>BEI</t>
  </si>
  <si>
    <t>P-0102-AFD-2015</t>
  </si>
  <si>
    <t>Projet d'Appui au Développement Agricole des Collines</t>
  </si>
  <si>
    <t>Accroître de manière durable les revenus des exploitants agricoles du département des Collines en développant les filières porteuses (anacarde, manioc, maïs). ; Financer les infrastructures marchandes agricoles locales (magasins d'anacarde, marchés d'arrondissement) et appuyer l'intercommunalité du département.</t>
  </si>
  <si>
    <t>Bantè, Dassa-Zoumé, Glazoué, Ouèssè, Savalou, Savè</t>
  </si>
  <si>
    <t>P-0103-BADEA-2015</t>
  </si>
  <si>
    <t>Projet d'extension de l'Institut de Mathématiques et de Sciences Physiques (IMSP) de Dangbo (Phase 2)</t>
  </si>
  <si>
    <t>Développer les capacités de recherche scientifique et de formation post-universitaire de l'IMSP à Dangbo par la construction de blocs pédagogiques, de laboratoires et de résidences universitaires.</t>
  </si>
  <si>
    <t>Dangbo</t>
  </si>
  <si>
    <t>P-0104-EXIMBANK DE CHINE-2015</t>
  </si>
  <si>
    <t>Projet de Développement des Infrastructures des Télécommunications et des Technologies de l'Information et de la Communication Large Bande Nationale</t>
  </si>
  <si>
    <t>Déployer un réseau dorsal (backbone) national en fibre optique de plus de 2000 km pour interconnecter les chefs-lieux du Bénin au haut débit internet.</t>
  </si>
  <si>
    <t>P-0105-BOAD-2015</t>
  </si>
  <si>
    <t>Projet de construction d'une centrale thermique duale de 120 MW à MARIA GLETA (Première phase de la centrale thermique de 400 MW)</t>
  </si>
  <si>
    <t>Renforcer l'autonomie énergétique du réseau électrique béninois par l'implantation d'une centrale moderne de production de base de 120 MW à Maria-Gléta.</t>
  </si>
  <si>
    <t>P-0106-BOAD-2015</t>
  </si>
  <si>
    <t>Projet de renforcement du système d'AEP dans la ville de Parakou et environs</t>
  </si>
  <si>
    <t>Moderniser et étendre le réseau d'AEP de Parakou par l'installation d'une nouvelle station de traitement des eaux et le renouvellement des conduites de distribution de la SONEB. ; Résorber le déficit structurel de distribution d'eau à Parakou en agrandissant la station de pompage d'Okpara, en étendant les usines de traitement et les canalisations urbaines.</t>
  </si>
  <si>
    <t>P-0107-ORABANK-2015</t>
  </si>
  <si>
    <t>Projet de valorisation de l'énergie solaire (Phase 1) : Acquisition de panneaux solaires photovoltaiques (1er tirage)</t>
  </si>
  <si>
    <t>Réduire les charges de consommation électrique des bâtiments publics et administratifs par l'acquisition et le déploiement de kits solaires photovoltaïques.</t>
  </si>
  <si>
    <t>GROUPE ORABANK</t>
  </si>
  <si>
    <t>ORABANK</t>
  </si>
  <si>
    <t>P-0108-ITFC-2015</t>
  </si>
  <si>
    <t>Accord-Cadre 2015-2017 pour le financement de divers projets de développement</t>
  </si>
  <si>
    <t>Mettre en œuvre une ligne de financement commerciale flexible destinée à soutenir l'importation de produits énergétiques stratégiques et d'intrants pour l'agriculture.</t>
  </si>
  <si>
    <t>Société Internationale Islamique de Financement du Commerce (International</t>
  </si>
  <si>
    <t>ITFC</t>
  </si>
  <si>
    <t>Mourabaha</t>
  </si>
  <si>
    <t>P-0109-ITFC-2015</t>
  </si>
  <si>
    <t>Acquisition d'intrants agricoles au titre de la campagne agricole 2015-2016</t>
  </si>
  <si>
    <t>Sécuriser la productivité de la filière cotonnière et vivrière en finançant l'achat en volume d'engrais et de produits phytosanitaires de qualité pour les producteurs.</t>
  </si>
  <si>
    <t>P-0110-BID-2015</t>
  </si>
  <si>
    <t>Projet de Développement des Périmètres Irrigués en Milieu Rural (PDPIM)</t>
  </si>
  <si>
    <t>Améliorer la sécurité alimentaire des zones rurales cibles en aménageant des plaines alluviales pour la riziculture maîtrisée et le maraîchage. ; Renforcer l'organisation des coopératives d'usagers de l'eau à travers des formations en gestion d'ouvrages hydro-agricoles et l'appui aux équipements de récolte.</t>
  </si>
  <si>
    <t>Alibori, Borgou, Zou, Couffo, Ouémé</t>
  </si>
  <si>
    <t>Malanville, Karimama, Tchaourou, Ouinhi, Dogbo, Lalo, Adjohoun, Dangbo</t>
  </si>
  <si>
    <t>P-0111-BM-2015</t>
  </si>
  <si>
    <t>Deuxième financement additionnel du projet d'urgence de gestion environnementale en milieu urbain</t>
  </si>
  <si>
    <t>Intensifier les chantiers de construction de collecteurs d'assainissement pluvial urbain et appuyer la modernisation de la gouvernance de la filière déchets.</t>
  </si>
  <si>
    <t>P-0112-AFD-2015</t>
  </si>
  <si>
    <t>Projet d'Appui à l'Enseignement Secondaire au Bénin</t>
  </si>
  <si>
    <t>Améliorer les conditions d'apprentissage dans les collèges publics par l'érection de modules de classes, de laboratoires de sciences et l'appui à la formation des enseignants de mathématiques et de sciences physiques.</t>
  </si>
  <si>
    <t>P-0113-ATLANTIQUE BANK-2015</t>
  </si>
  <si>
    <t>Transition numérique au Bénin</t>
  </si>
  <si>
    <t>Apporter un soutien financier commercial pour accélérer la modernisation des réseaux de diffusion et de télécommunications de l'État béninois.</t>
  </si>
  <si>
    <t>P-0113-BGFI-2015</t>
  </si>
  <si>
    <t>Structurer le financement à moyen terme destiné aux investissements lourds de numérisation de l'administration et des médias publics.</t>
  </si>
  <si>
    <t>BGFI BANK Bénin</t>
  </si>
  <si>
    <t>BGFI</t>
  </si>
  <si>
    <t>P-0113-BOA-BENIN-2015</t>
  </si>
  <si>
    <t>Mobiliser le financement nécessaire au déploiement des infrastructures techniques de la Télévision Numérique Terrestre (TNT) au Bénin.</t>
  </si>
  <si>
    <t>P-0113-ECOBANK-Bénin-2015</t>
  </si>
  <si>
    <t>Participer au pool bancaire national pour le préfinancement des équipements de transmission numérique requis pour la mise en œuvre de la TNT.</t>
  </si>
  <si>
    <t>P-0114-BOAD-2015</t>
  </si>
  <si>
    <t>Projet de pavage de rues et d'assainissement dans les villes d'Allada, Banikoara, Bantè, Bassila, Covè, Djidja, Glazoué, Gogounou, Matéri, Ouèssè, Ségbana et Toffo (12 villes)</t>
  </si>
  <si>
    <t>Réduire l'insalubrité urbaine et améliorer les conditions de mobilité locale dans douze communes secondaires par l'aménagement de voiries urbaines pavées.</t>
  </si>
  <si>
    <t>Atlantique, Alibori, Collines, Donga, Zou, Atacora</t>
  </si>
  <si>
    <t>Allada, Toffo, Banikoara, Gogounou, Ségbana, Bantè, Glazoué, Ouèssè, Bassila, Covè, Djidja, Matéri</t>
  </si>
  <si>
    <t>P-0115-FKDEA-2015</t>
  </si>
  <si>
    <t>Projet de construction et d'équipement de l'hôpital de zone de Tchaourou et de six centres de santé</t>
  </si>
  <si>
    <t>Améliorer la couverture sanitaire de référence dans la commune de Tchaourou par l'érection d'un hôpital de zone moderne équipé et la mise à niveau de dispensaires ruraux.</t>
  </si>
  <si>
    <t>Borgou, Alibori, Atacora, Donga</t>
  </si>
  <si>
    <t>P-0116-BOA-BENIN-2015</t>
  </si>
  <si>
    <t>Financement des travaux d'amélioration et complémentaires pour l'achèvement de la construction et de l'équipement de l'aéroport de Tourou</t>
  </si>
  <si>
    <t>Réaliser les derniers chantiers de voirie, de sécurité incendie et de sécurisation périphérique de l'enceinte aéroportuaire de Tourou à Parakou.</t>
  </si>
  <si>
    <t>P-0117-ATLANTIQUE BANK-2015</t>
  </si>
  <si>
    <t>Projet de valorisation de l'énergie solaire (Phase 1) : Acquisition de panneaux solaires photovoltaïques (2ème et 3ème tirages)</t>
  </si>
  <si>
    <t>Financer de façon ciblée l'électrification solaire autonome de centres de santé ruraux isolés pour sécuriser les chaînes de froid médicales.</t>
  </si>
  <si>
    <t>P-0117-BGFI-2015</t>
  </si>
  <si>
    <t>Structurer le crédit nécessaire au déploiement de l'éclairage public solaire autonome le long d'axes de circulation dans des localités raccordées ou non au réseau SBEE.</t>
  </si>
  <si>
    <t>P-0117-BIA Togo-2015</t>
  </si>
  <si>
    <t>Apporter le concours financier régional pour l'acquisition en volume de kits d'éclairage solaire destinés aux infrastructures publiques d'enseignement.</t>
  </si>
  <si>
    <t>Banque Internationale pour l’Afrique au Togo</t>
  </si>
  <si>
    <t>BIA Togo</t>
  </si>
  <si>
    <t>P-0118-MCA/MCC-2015</t>
  </si>
  <si>
    <t>Financement du deuxième programme du Bénin pour le Millennium Challenge Account (MCA)</t>
  </si>
  <si>
    <t>Accroître la productivité et stimuler les investissements privés au Bénin en modernisant le système d'énergie électrique (production, distribution et réformes de la SBEE).</t>
  </si>
  <si>
    <t>Millennium Challenge Corporation</t>
  </si>
  <si>
    <t>MCA/MCC</t>
  </si>
  <si>
    <t>P-0119-BAD-2015</t>
  </si>
  <si>
    <t>Financement complémentaire du projet de transport urbain à Parakou</t>
  </si>
  <si>
    <t>Assurer la couverture financière des avenants techniques requis pour l'achèvement qualitatif des travaux de doublement de la traversée urbaine de Parakou.</t>
  </si>
  <si>
    <t>P-0119-UBA-Bénin-2015</t>
  </si>
  <si>
    <t>Consolider le plan de financement pour la réhabilitation lourde et le doublement des voies de contournement routier de la ville de Parakou.</t>
  </si>
  <si>
    <t>UBA-Bénin</t>
  </si>
  <si>
    <t>P-0120-BOA-BENIN-2015</t>
  </si>
  <si>
    <t>Renforcement du Programme des Micro crédits aux Plus Pauvres - Nouvelle génération</t>
  </si>
  <si>
    <t>Accroître les capacités financières du Fonds National de la Microfinance pour étendre les lignes de crédit de subsistance à très faible taux d'intérêt aux femmes et artisans vulnérables.</t>
  </si>
  <si>
    <t>P-0121-BM-2015</t>
  </si>
  <si>
    <t>Dixième Crédit d'Appui à la Réduction de la Pauvreté (PRSC-10)</t>
  </si>
  <si>
    <t>Fournir l'appui budgétaire pour sécuriser l'exécution des réformes de transparence financière publique et pérenniser le financement direct des programmes sociaux prioritaires de santé de base.</t>
  </si>
  <si>
    <t>P-0122-BADEA-2015</t>
  </si>
  <si>
    <t>Deuxième ligne de crédit au profit du Fonds National de la Microfinance</t>
  </si>
  <si>
    <t>Diversifier et densifier les ressources financières des institutions de microfinance pour soutenir le financement d'activités génératrices de revenus portées par des groupements féminins ruraux.</t>
  </si>
  <si>
    <t>Ligne de crédit</t>
  </si>
  <si>
    <t>P-0123-AFD-2015</t>
  </si>
  <si>
    <t>Deuxième Fonds d'Etudes et de Renforcement des Capacités (FERC II)</t>
  </si>
  <si>
    <t>Mettre à disposition des ministères des financements d'expertise technique pour la maturation des projets structurants du Programme d'Action du Gouvernement.</t>
  </si>
  <si>
    <t>P-0124-BGFI-2015</t>
  </si>
  <si>
    <t>Financement des travaux de réfection du Marché International de Dantokpa</t>
  </si>
  <si>
    <t>Réhabiliter les réseaux d'assainissement et moderniser les zones à risque d'incendie du marché de Dantokpa pour sécuriser les commerçants et fluidifier les transactions de la sous-région.</t>
  </si>
  <si>
    <t>P-0125-BAD-2015</t>
  </si>
  <si>
    <t>Projet de réduction des pertes d'eau et amélioration de la viabilité des systèmes d'AEP de Cotonou, Porto-Novo et leurs agglomérations</t>
  </si>
  <si>
    <t>Améliorer l'efficacité de la distribution d'eau potable de la SONEB par la détection des fuites, le renouvellement des conduites vétustes et la modernisation du comptage des abonnés du Grand Nokoué.</t>
  </si>
  <si>
    <t>Littoral, Ouémé, Atlantique</t>
  </si>
  <si>
    <t>Cotonou, Porto-Novo, Sèmè-Podji, Abomey-Calavi</t>
  </si>
  <si>
    <t>P-0126-BAD-2015</t>
  </si>
  <si>
    <t>Projet d'Appui à la Production Vivrière et au Renforcement de la résilience dans les départements de l'Alibori, du Borgou et des Collines (PAPVIRE-ABC)</t>
  </si>
  <si>
    <t>Accroître de manière durable la productivité des filières maïs, riz et manioc et renforcer la résilience climatique des exploitations familiales du Centre et du Nord par des infrastructures de maîtrise de l'eau.</t>
  </si>
  <si>
    <t>Alibori, Borgou, Collines</t>
  </si>
  <si>
    <t>P-0127-BAD-2015</t>
  </si>
  <si>
    <t>Programme d'Adhésion des pays membres régionaux à l'Assurance du Commerce en Afrique (ACA)</t>
  </si>
  <si>
    <t>Permettre au Bénin de finaliser son adhésion à l'ACA afin de sécuriser et d'assurer les investissements directs étrangers contre les risques politiques et souverains majeurs.</t>
  </si>
  <si>
    <t>P-0128-UBA-Bénin-2015</t>
  </si>
  <si>
    <t>Projet d'aménagement des aires de jeux de football en gazon synthétique de huit (08) stades omnisports à Djougou, Kandi, Tchaourou, Djakotomey, Zakpota, Bohicon, Lokossa et à l'Université d'Abomey-Calavi</t>
  </si>
  <si>
    <t>SPORTS ET LOISIRS</t>
  </si>
  <si>
    <t>Doter huit communes de pelouses synthétiques modernes conformes aux normes sportives nationales pour favoriser la détection des jeunes talents et dynamiser le sport à la base.</t>
  </si>
  <si>
    <t>Donga, Alibori, Borgou, Couffo, Zou, Mono, Atlantique</t>
  </si>
  <si>
    <t>Djougou, Kandi, Tchaourou, Djakotomey, Zakpota, Bohicon, Lokossa, Abomey-Calavi</t>
  </si>
  <si>
    <t>P-0129-UBA-Bénin-2015</t>
  </si>
  <si>
    <t>Projet de valorisation de l'énergie solaire (Phase 2) : Acquisition et installation de 105 microcentrales solaires photovoltaïques (1er tirage)</t>
  </si>
  <si>
    <t>Électrifier de manière autonome 105 villages et centres d'intérêt économique isolés par la construction de mini-centrales photovoltaïques indépendantes de proximité.</t>
  </si>
  <si>
    <t>P-0130-ATLANTIQUE BANK-2015</t>
  </si>
  <si>
    <t>Financement par ADEOTI des travaux d'aménagement et de bitumage des tronçons Lalo-Klouékanmè (30,80 Km) et Dogbo-Toviklin-Klouékanmè-Adjahonmè (07,85 Km)</t>
  </si>
  <si>
    <t>Assurer la mobilisation de la ligne de crédit pour le bitumage et la modernisation géométrique de deux liaisons routières clés traversant le département du Couffo.</t>
  </si>
  <si>
    <t>Couffo, Mono</t>
  </si>
  <si>
    <t>Lalo, Klouékanmè, Dogbo, Toviklin, Djakotomey</t>
  </si>
  <si>
    <t>Adjahonmè</t>
  </si>
  <si>
    <t>P-0131-COOPERATION SUISSE-2015</t>
  </si>
  <si>
    <t>Projet d'électrification de 300 localités rurales en République du Bénin (1ère phase)</t>
  </si>
  <si>
    <t>Raccorder les zones rurales prioritaires au réseau électrique ou via des mini-réseaux isolés pour accroître le taux d'accès à l'énergie hors des grands centres urbains.</t>
  </si>
  <si>
    <t>Coopération Suisse</t>
  </si>
  <si>
    <t>COOPERATION SUISSE</t>
  </si>
  <si>
    <t>Crédit acheteur</t>
  </si>
  <si>
    <t>P-0132-EXIMBANK DE CHINE-2015</t>
  </si>
  <si>
    <t>Projet de construction du barrage hydroélectrique d'Adjarala</t>
  </si>
  <si>
    <t>Valoriser le potentiel énergétique du fleuve Mono par l'édification d'un barrage hydroélectrique d'envergure régionale pour augmenter l'offre d'énergie propre.</t>
  </si>
  <si>
    <t>Couffo</t>
  </si>
  <si>
    <t>Aplahoué</t>
  </si>
  <si>
    <t>P-0133-Allemagne-2015</t>
  </si>
  <si>
    <t>Promotion de Agriculture-Fonds d'Investissement Agriculture Phase III</t>
  </si>
  <si>
    <t>Financer les infrastructures marchandes, de stockage et de transformation gérées par les filières porteuses nationales pour accroître la valeur ajoutée locale.</t>
  </si>
  <si>
    <t>P-0134-Allemagne-2015</t>
  </si>
  <si>
    <t>Contrat de financement et d'exécution du Programme de Renforcement des Structures Centrales de Gouvernance (PRSCG)</t>
  </si>
  <si>
    <t>Optimiser la gestion interne des ministères clés à travers le renforcement de la transparence budgétaire et des outils informatisés de programmation.</t>
  </si>
  <si>
    <t>P-0135-ECOBANK-Bénin-2015</t>
  </si>
  <si>
    <t>Préfinancement par EBOMAF du projet d'aménagement et de bitumage des tronçons de route Ouègbo-Toffo (12,25 km) et Tangbo-Zè (17 km)</t>
  </si>
  <si>
    <t>Financer les travaux d'asphaltage et de désenclavement routier de pôles de production agricole hautement stratégiques au sein du département de l'Atlantique.</t>
  </si>
  <si>
    <t>Toffo, Zè</t>
  </si>
  <si>
    <t>Ouègbo, Toffo Centre, Tangbo, Zè Centre</t>
  </si>
  <si>
    <t>Préfinancement</t>
  </si>
  <si>
    <t>P-0746-AFD-2015</t>
  </si>
  <si>
    <t>Projet d'Appui au Développement Agricole des Collines (PADAC)</t>
  </si>
  <si>
    <t>Contribuer au développement économique des territoires du département des Collines en renforçant le rôle des communes dans le développement rural, en finançant des investissements agricoles durables et en améliorant durablement les conditions de vie des petits producteurs.</t>
  </si>
  <si>
    <t>6 communes du département des Collines</t>
  </si>
  <si>
    <t>Bantè, Dassa Zouè, Glazoué, Ouessè, Savalou, Savè</t>
  </si>
  <si>
    <t>Évaluation officielle du PADAC (AFD, 2024) ; fiche projet AFD</t>
  </si>
  <si>
    <t>P-0132-EXIMBANK DE CHINE-2016</t>
  </si>
  <si>
    <t>Consolider le budget de génie civil lourd alloué au complexe hydroélectrique binationale d'Adjarala pour assurer la poursuite des grands travaux de retenue.</t>
  </si>
  <si>
    <t>P-0136-BIDC-2016</t>
  </si>
  <si>
    <t>Lettre d'Accord relative à l'avance de fonds pour la préparation du projet d'appui à la gestion des investissements publics et à la gouvernance (PAGIPG)</t>
  </si>
  <si>
    <t>Réaliser les études et appuyer la formulation technique des réformes visant à améliorer l'efficacité et la sélection de la programmation budgétaire de l'État.</t>
  </si>
  <si>
    <t>https://evaluation.gouv.bj/57</t>
  </si>
  <si>
    <t>P-0137-BGFI-2016</t>
  </si>
  <si>
    <t>Projet d'Appui au Développement du Maraîchage (PADMAR)</t>
  </si>
  <si>
    <t>PRODUCTION AGRICOLE</t>
  </si>
  <si>
    <t>Améliorer les rendements et faciliter l'accès au marché des groupements de maraîchers par des aménagements hydro-agricoles de proximité et des intrants spécialisés.</t>
  </si>
  <si>
    <t>Ouémé, Plateau, Atlantique, Littoral, Mono, Couffo, Zou, Collines</t>
  </si>
  <si>
    <t>PRÊT + DON</t>
  </si>
  <si>
    <t>Non trouvé</t>
  </si>
  <si>
    <t>PILIER 2</t>
  </si>
  <si>
    <t>AXE 4</t>
  </si>
  <si>
    <t>ODD 2</t>
  </si>
  <si>
    <t>Économique</t>
  </si>
  <si>
    <t>P-0137-BIDC-2016</t>
  </si>
  <si>
    <t>Mettre en place des lignes de microfinance agricole adaptées aux cycles de production des petits maraîchers, en priorité les coopératives de femmes ruraux.</t>
  </si>
  <si>
    <t>P-0137-BOAD-2016</t>
  </si>
  <si>
    <t>Développer les plateformes de commercialisation et de conservation pour réduire de façon structurelle les pertes post-récolte des exploitants maraîchers.</t>
  </si>
  <si>
    <t>P-0137-OPEP-2016</t>
  </si>
  <si>
    <t>Soutenir le déploiement d'équipements de micro-irrigation et l'organisation des filières de distribution pour valoriser la production maraîchère nationale.</t>
  </si>
  <si>
    <t>P-0138-BM-2016</t>
  </si>
  <si>
    <t>Lettre d'Accord relative à l'avance de fonds pour la préparation du projet de Compétitivité du Tourisme Transfrontalier (PCTT)</t>
  </si>
  <si>
    <t>CULTURE ET TOURISME</t>
  </si>
  <si>
    <t>Financer les expertises préalables et la structuration des projets de valorisation du patrimoine touristique de Ouidah et de la zone littorale.</t>
  </si>
  <si>
    <t>Atlantique, Littoral, Mono</t>
  </si>
  <si>
    <t>Ouidah, Cotonou, Grand-Popo</t>
  </si>
  <si>
    <t>P-0139-BID-2016</t>
  </si>
  <si>
    <t>Faitière des Caisses d'Epargne et de Crédit Agricole Mutuel du Bénin (FECECAM)</t>
  </si>
  <si>
    <t>Renforcer les capacités financières de la FECECAM par une ligne de refinancement dédiée à l'octroi de crédits de production à destination des paysans.</t>
  </si>
  <si>
    <t>DON</t>
  </si>
  <si>
    <t>P-0140-BID-2016</t>
  </si>
  <si>
    <t>Préfinancement par SOGEA SATOM du projet d'aménagement et de bitumage de la route Bétérou-Tchaourou-Frontière du Nigeria</t>
  </si>
  <si>
    <t>Permettre le lancement sans délai des opérations de terrassement et d'asphaltage lourd sur cet axe de transport transfrontalier hautement stratégique.</t>
  </si>
  <si>
    <t>P-0141-BOAD-2016</t>
  </si>
  <si>
    <t>Travaux d'aménagement et de bitumage du tronçon Savalou – Tchetti – frontière du Togo (42 km) et Bretelle Logozohè – Glazoué (17 km)</t>
  </si>
  <si>
    <t>Asphaltage de l'axe Savalou-Tchetti pour désenclaver les communes agricoles frontalières et fluidifier les liaisons commerciales avec le Togo.</t>
  </si>
  <si>
    <t>Tchetti, Logozohé</t>
  </si>
  <si>
    <t>P-0142-JICA-2016</t>
  </si>
  <si>
    <t>Projet d'approvisionnement en eau potable à partir des eaux souterraines des communes de Glazoué et de Dassa</t>
  </si>
  <si>
    <t>Résorber durablement la pénurie d'eau potable dans le département des Collines en mobilisant les ressources hydriques souterraines pour alimenter les foyers urbains.</t>
  </si>
  <si>
    <t>Glazoué, Dassa-Zoumé</t>
  </si>
  <si>
    <t>Agence Japonaise de Coopération Internationale</t>
  </si>
  <si>
    <t>JICA</t>
  </si>
  <si>
    <t>P-0143-BID-2016</t>
  </si>
  <si>
    <t>Projet de construction de l'Université Polytechnique d'Abomey et de la deuxième phase du projet de construction de l'Université d'Agriculture de Kétou (PADES)</t>
  </si>
  <si>
    <t>ENSEIGNEMENT SUPÉRIEUR</t>
  </si>
  <si>
    <t>Édifier des complexes universitaires modernes équipés de laboratoires pour accroître la qualité de la formation professionnelle supérieure scientifique et agricole. ; Doter les deux pôles universitaires thématiques d'infrastructures de recherche avancée et de logements adéquats au profit des étudiants.</t>
  </si>
  <si>
    <t>Zou, Plateau</t>
  </si>
  <si>
    <t>Abomey, Kétou</t>
  </si>
  <si>
    <t>AXE 5</t>
  </si>
  <si>
    <t>ODD 4</t>
  </si>
  <si>
    <t>Social</t>
  </si>
  <si>
    <t>Ijara | Istisna'a</t>
  </si>
  <si>
    <t>P-0144-BID-2016</t>
  </si>
  <si>
    <t>Deuxième phase du programme intégré d'Appui à la Microfinance (PIAMF II)</t>
  </si>
  <si>
    <t>Améliorer le cadre opérationnel des SFD et étendre l'accès aux micro-crédits productifs de subsistance au bénéfice des ménages vivant sous le seuil de pauvreté.</t>
  </si>
  <si>
    <t>Mudarabah</t>
  </si>
  <si>
    <t>P-0144-FSID-2016</t>
  </si>
  <si>
    <t>Consolider l'inclusion financière rurale par des dotations d'appui ciblant l'auto-emploi des femmes et le financement de petites activités artisanales.</t>
  </si>
  <si>
    <t>Fonds de Solidarité Islamique pour le Développement</t>
  </si>
  <si>
    <t>FSID</t>
  </si>
  <si>
    <t>P-0145-Allemagne-2016</t>
  </si>
  <si>
    <t>Projet d'AEP des zones périurbaines de Grand Cotonou et de Porto-Novo</t>
  </si>
  <si>
    <t>Étendre de manière significative le réseau de distribution d'eau potable de la SONEB au sein des agglomérations périphériques en pleine expansion démographique.</t>
  </si>
  <si>
    <t>Cotonou, Abomey-Calavi, Sô-Ava, Porto-Novo, Sèmè-Podji, Akpro-Missérété</t>
  </si>
  <si>
    <t>P-0146-AFD-2016</t>
  </si>
  <si>
    <t>Projet "Soutien à l'Enseignement Secondaire au Bénin (SEnS)"</t>
  </si>
  <si>
    <t>Améliorer la gouvernance et le niveau d'encadrement pédagogique des collèges publics d'enseignement général au sein des départements ciblés du Nord-Bénin. ; Financer la réhabilitation, l'équipement de bibliothèques et de blocs de sciences pour rehausser les performances scolaires des élèves du secondaire.</t>
  </si>
  <si>
    <t>P-0147-AFD-2016</t>
  </si>
  <si>
    <t>Troisième Fonds d'Etudes et de Renforcement de Capacités (FERC-3)</t>
  </si>
  <si>
    <t>Apporter l'expertise technique et financière requise aux administrations de l'État pour mener à bien les phases préparatoires des grands chantiers publics.</t>
  </si>
  <si>
    <t>P-0148-ATLANTIQUE BANK-2016</t>
  </si>
  <si>
    <t>Préfinancement complémentaire du projet d'aménagement et de bitumage des tronçons de route Zinvié-Sèdjèdénou-Zè, RNIE1-Cococodji-Hèvié-Ouèdo, Missésinto-Zinvié et Calavi Kpota-Ouèdo</t>
  </si>
  <si>
    <t>Fluidifier la circulation inter-quartiers au sein de la commune d'Abomey-Calavi par l'asphaltage accéléré d'axes de raccordement urbains et périurbains à forte densité.</t>
  </si>
  <si>
    <t>Abomey-Calavi, Zè</t>
  </si>
  <si>
    <t>Hèvié, Ouèdo, Zinvié, Sédjèdenou, Zè Centre</t>
  </si>
  <si>
    <t>P-0149-BID-2016</t>
  </si>
  <si>
    <t>Projet de construction de la route Bétérou-Tchaourou-Frontière du Nigeria</t>
  </si>
  <si>
    <t>Désenclaver la zone agricole et assurer la liaison moderne bitumée entre l'axe de la RNIE 2 et le réseau frontalier pour stimuler le trafic d'échange régional. ; Financer la pose des couches de roulement lourdes et ériger les ponts d'assainissement d'eau requis le long de l'itinéraire transversal de Tchaourou.</t>
  </si>
  <si>
    <t>P-0150-BGFI-2016</t>
  </si>
  <si>
    <t>Financement partiel du projet d'aménagement et de bitumage de la route Comé-Lokossa-Dogbo et de la Bretelle Zounhouè-Athiémé-Frontière du Togo (71 km)</t>
  </si>
  <si>
    <t>Apporter le cofinancement de marché requis pour moderniser et asphalter de façon durable cet axe routier structurant liant les départements du Mono et du Couffo.</t>
  </si>
  <si>
    <t>Mono, Couffo</t>
  </si>
  <si>
    <t>Comè, Lokossa, Athiémé, Dogbo</t>
  </si>
  <si>
    <t>P-0151-BM-2016</t>
  </si>
  <si>
    <t>Projet de Compétitivité du Tourisme Transfrontalier (PCTT)</t>
  </si>
  <si>
    <t>TOURISME</t>
  </si>
  <si>
    <t>Diversifier l'économie nationale par la valorisation de la destination Ouidah et de sa Route des Esclaves, en modernisant les infrastructures culturelles et en appuyant les MPME locales.</t>
  </si>
  <si>
    <t>ODD 11</t>
  </si>
  <si>
    <t>P-0152-Pays-Bas-2016</t>
  </si>
  <si>
    <t>Projet "Fonds de Transition Eau"</t>
  </si>
  <si>
    <t>Assurer la continuité et l'ancrage institutionnel des investissements hydrauliques décentralisés au profit des communes pendant la phase de restructuration sectorielle.</t>
  </si>
  <si>
    <t>P-0153-BM-2016</t>
  </si>
  <si>
    <t>Projet d'appui à la gestion des investissements publics et de la gouvernance (PAGIPG)</t>
  </si>
  <si>
    <t>Optimiser l'allocation et le suivi des ressources de l'État en automatisant les processus de sélection, de programmation et d'évaluation des projets d'investissements publics.</t>
  </si>
  <si>
    <t>P-0154-Pays-Bas-2016</t>
  </si>
  <si>
    <t>Programme OmiDelta</t>
  </si>
  <si>
    <t>Assurer de manière durable l'accès à l'eau potable et à l'assainissement dans le delta de l'Ouémé à travers une approche de gestion intégrée des ressources en eau (GIRE).</t>
  </si>
  <si>
    <t>Ouémé, Plateau, Atlantique, Littoral, Mono, Couffo</t>
  </si>
  <si>
    <t>P-0155-BEI-2016</t>
  </si>
  <si>
    <t>Projet Eau et Assainissement Cotonou Phase III</t>
  </si>
  <si>
    <t>ASSAINISSEMENT LIQUIDE ET SOLIDE</t>
  </si>
  <si>
    <t>Moderniser l'usine de traitement d'eau et étendre le réseau de canalisations d'eau potable de la ville de Cotonou pour faire face à la croissance démographique.</t>
  </si>
  <si>
    <t>P-0156-Allemagne-2016</t>
  </si>
  <si>
    <t>Fonds d'appui pour le développement des communes (FADEC IV)</t>
  </si>
  <si>
    <t>Transférer les concours financiers annuels aux budgets locaux pour permettre aux communes de doter leurs localités d'infrastructures de services de base d'intérêt direct.</t>
  </si>
  <si>
    <t>P-0157-BIDC-2016</t>
  </si>
  <si>
    <t>Première phase du projet de construction d'une centrale thermique de 400 MW à MARIA GLETA</t>
  </si>
  <si>
    <t>Sécuriser la production énergétique de l'agglomération de Cotonou par la construction de la tranche initiale de la centrale de Maria-Gléta dotée d'équipements modernes à haut rendement.</t>
  </si>
  <si>
    <t>P-0368-UE-2016</t>
  </si>
  <si>
    <t>POLITIQUE NATIONALE DE DÉCENTRALISATION ET DÉCONCENTRATION (PONADEC)_APPUYER L'ÉTAT ET L’ADMINISTRATION TERRITORIALE - DÉCONCENTRÉE ET DÉCENTRALISÉE - POUR L’OPÉRATIONNALISATION</t>
  </si>
  <si>
    <t>RÉFORMES INSTITUTIONNELLES</t>
  </si>
  <si>
    <t>Renforcer l'autonomie financière et opérationnelle des communes du Bénin en appuyant le transfert de compétences et le développement des administrations locales.</t>
  </si>
  <si>
    <t>PILIER 1</t>
  </si>
  <si>
    <t>AXE 1</t>
  </si>
  <si>
    <t>P-0369-UE-2016</t>
  </si>
  <si>
    <t>CONSTRUCTION DE L'OUVRAGE DE FRANCHISSEMENT DU BAS-FONDS DE WOMEY, DANS LA COMMUNE D'ABOMEY-CALAVI</t>
  </si>
  <si>
    <t>INFRASTRUCTURES ROUTIÈRES ET AUTOROUTIÈRES</t>
  </si>
  <si>
    <t>Ériger l'ouvrage d'art de Womey pour désenclaver une zone périurbaine majeure à forte croissance démographique et sécuriser la mobilité locale.</t>
  </si>
  <si>
    <t>Womey</t>
  </si>
  <si>
    <t>ODD 9</t>
  </si>
  <si>
    <t>P-0373-UE-2016</t>
  </si>
  <si>
    <t>ASSURER DE FAÇON DURABLE LA SOUVERAINETÉ ALIMENTAIRE ET NUTRITIONNELLE, DE CONTRIBUER AU DÉVELOPPEMENT ÉCONOMIQUE ET SOCIAL DES HOMMES ET DES FEMMES DU BÉNIN, AINSI QU'À L'ATTEINTE DES OBJECTIFS DE DÉVELOPPEMENT DURABLE.</t>
  </si>
  <si>
    <t>SÉCURITÉ ALIMENTAIRE ET NUTRITION</t>
  </si>
  <si>
    <t>Réduire la vulnérabilité alimentaire et la malnutrition infantile chronique dans le septentrion en diversifiant les cultures de subsistance et en améliorant l'accès à l'eau potable.</t>
  </si>
  <si>
    <t>P-0383-UE-2016</t>
  </si>
  <si>
    <t>PROGRAMME D'APPUI AU DÉVELOPPEMENT TERRITORIAL (PADT)</t>
  </si>
  <si>
    <t>PLANIFICATION TERRITORIALE / GOUVERNANCE LOCALE ET PARTICIPATION CITOYENNE</t>
  </si>
  <si>
    <t>Soutenir l'aménagement équilibré du territoire national en accompagnant la planification stratégique décentralisée et la déconcentration des services publics.</t>
  </si>
  <si>
    <t>P-0393-Chine-2016</t>
  </si>
  <si>
    <t>PROJET MARINA OUIDAH</t>
  </si>
  <si>
    <t>INFRASTRUCTURES TOURISTIQUES</t>
  </si>
  <si>
    <t>Réaliser les études et appuyer les travaux d'infrastructures de base pour le déploiement du projet touristique et hôtelier majeur de la Marina de Ouidah.</t>
  </si>
  <si>
    <t>P-0396-Chine-2016</t>
  </si>
  <si>
    <t>RÉHABILIATION DU STADE D'AMITIÉ MATHIEU-KÉRÉKOU</t>
  </si>
  <si>
    <t>INFRASTRUCTURES SPORTIVES</t>
  </si>
  <si>
    <t>Moderniser le complexe sportif national de Kouhounou aux normes de la CAF et de la FIFA en rénovant la pelouse, les vestiaires, l'éclairage et les tribunes.</t>
  </si>
  <si>
    <t>Kouhounou</t>
  </si>
  <si>
    <t>ODD 3</t>
  </si>
  <si>
    <t>P-0399-BAD-2016</t>
  </si>
  <si>
    <t>FINANCEMENT DES MESURES URGENTES FACE À LA CRISE SANITAIRE LIÉE AU COVID 19.</t>
  </si>
  <si>
    <t>PRÉVENTION ET SOINS DE BASE</t>
  </si>
  <si>
    <t>Endiguer rapidement la propagation du virus Lassa en finançant l'achat de médicaments spécifiques, la logistique d'isolement et la formation d'urgence des personnels sanitaires cibles.</t>
  </si>
  <si>
    <t>Borgou, Alibori, Atacora</t>
  </si>
  <si>
    <t>Tchaourou, Kandi, Banikoara, Tanguiéta</t>
  </si>
  <si>
    <t>P-0401-Chine-2016</t>
  </si>
  <si>
    <t>PROJET DE RÉNOVATION DU LYCÉE TECHNIQUE D'AMITIÉ SINO-BÉNINOISE D'AKASSATO</t>
  </si>
  <si>
    <t>ÉDUCATION SECONDAIRE ET TECHNIQUE</t>
  </si>
  <si>
    <t>Moderniser les infrastructures d'apprentissage et réhabiliter les ateliers de formation technique afin d'offrir un environnement d'études aux normes industrielles.</t>
  </si>
  <si>
    <t>P-0427-Allemagne-2016</t>
  </si>
  <si>
    <t>PROJET DE SÉCURITÉ ALIMENTAIRE ET RENFORCEMENT DE LA RÉSILIENCE</t>
  </si>
  <si>
    <t>Réduire la vulnérabilité des petits exploitants agricoles face aux aléas climatiques en promouvant la diversification des cultures et des pratiques de stockage résilientes.</t>
  </si>
  <si>
    <t>Atacora, Donga, Alibori, Borgou</t>
  </si>
  <si>
    <t>P-0436-SNU-2016</t>
  </si>
  <si>
    <t>PROJET DE RESTAURATION DES ECOSYSTÈMES DE MANGROVE DU SITE DE RAMSAR 1017</t>
  </si>
  <si>
    <t>ENVIRONNEMENT ET BIODIVERSITÉ</t>
  </si>
  <si>
    <t>Sauvegarder l'équilibre de la zone humide côtière Ramsar par le reboisement intensif des forêts de mangroves et la protection des frayères halieutiques.</t>
  </si>
  <si>
    <t>Littoral, Atlantique, Mono, Ouémé</t>
  </si>
  <si>
    <t>Cotonou, Ouidah, Grand-Popo, Sèmè-Podji</t>
  </si>
  <si>
    <t>Système des Nations Unies</t>
  </si>
  <si>
    <t>SNU</t>
  </si>
  <si>
    <t>AXE 7</t>
  </si>
  <si>
    <t>P-0438-Allemagne-2016</t>
  </si>
  <si>
    <t>PROGRAMME EAU POTABLE ET ASSAINISSEMENT</t>
  </si>
  <si>
    <t>Accroître durablement l'accès à l'eau potable en milieu rural et périurbain par la construction de forages et l'implantation de bornes-fontaines communautaires.</t>
  </si>
  <si>
    <t>P-0467-USAID-2016</t>
  </si>
  <si>
    <t>VI KANXIXO</t>
  </si>
  <si>
    <t>ÉGALITÉ DE GENRE</t>
  </si>
  <si>
    <t>Consolider la veille nutritionnelle et le dépistage précoce de l'émaciation chez les enfants au niveau des centres de santé communautaires prioritaires.</t>
  </si>
  <si>
    <t>Agence des États-Unis pour le Développement International</t>
  </si>
  <si>
    <t>USAID</t>
  </si>
  <si>
    <t>ODD 1</t>
  </si>
  <si>
    <t>P-0468-USAID-2016</t>
  </si>
  <si>
    <t>PROGRAMME D'ACCÉLÉRATION DE LA SANTÉ NEO-NATALE, INFANTILE ET REPRODUCTIVE (ANCRE)</t>
  </si>
  <si>
    <t>SANTÉ MATERNELLE, NÉONATALE ET INFANTILE</t>
  </si>
  <si>
    <t>Moderniser la prise en charge des nouveau-nés au sein des centres de santé périphériques pour faire baisser durablement la mortalité infantile précoce.</t>
  </si>
  <si>
    <t>P-0469-Allemagne-2016</t>
  </si>
  <si>
    <t>PROGRAMME D’APPUI À LA DÉCENTRALISATION ET AU DÉVELOPPEMENT COMMUNAL, PHASE V</t>
  </si>
  <si>
    <t>RENFORCEMENT DES COMMUNES</t>
  </si>
  <si>
    <t>Structurer et pérenniser le transfert des compétences de l'État vers les communes et optimiser la transparence de la gestion budgétaire locale.</t>
  </si>
  <si>
    <t>P-0482-Allemagne-2016</t>
  </si>
  <si>
    <t>APPUI-CONSEIL MACROÉCONOMIQUE POUR LA RÉDUCTION DE LA PAUVRETÉ (ACMERP), PHASE IV</t>
  </si>
  <si>
    <t>GOUVERNANCE ÉCONOMIQUE ET FINANCIÈRE</t>
  </si>
  <si>
    <t>Apporter une expertise technique pour l'alignement des cadrages budgétaires sur la stratégie nationale de réduction de la pauvreté et de croissance économique inclusive.</t>
  </si>
  <si>
    <t>AXE 2</t>
  </si>
  <si>
    <t>ODD 16</t>
  </si>
  <si>
    <t>P-0507-MARCHE FINANCIER-2016</t>
  </si>
  <si>
    <t>EMPRUNT OBLIGATAIRE</t>
  </si>
  <si>
    <t>DIVERS SECTEURS</t>
  </si>
  <si>
    <t>FINANCEMENT TRANSVERSAL</t>
  </si>
  <si>
    <t>Mobiliser l'épargne institutionnelle régionale pour sécuriser la couverture budgétaire continue des investissements d'infrastructures physiques de l'État.</t>
  </si>
  <si>
    <t>Échéance obligataire lissée sur le long terme (Pas de fin de projet applicable)</t>
  </si>
  <si>
    <t>NON APD</t>
  </si>
  <si>
    <t>Marché financier</t>
  </si>
  <si>
    <t>MARCHE FINANCIER</t>
  </si>
  <si>
    <t>AXE 3</t>
  </si>
  <si>
    <t>ODD 17</t>
  </si>
  <si>
    <t>Gestion de la dette</t>
  </si>
  <si>
    <t>Emprunt obligataire UMOA</t>
  </si>
  <si>
    <t>P-0516-SNU-2016</t>
  </si>
  <si>
    <t>PROGRAMME DE RENFORCEMENT DE L’INFORMATION SUR LE CLIMAT ET LES SYSTÈMES D’ALERTE PRÉCOCE EN AFRIQUE POUR UN DÉVELOPPEMENT RÉSILIENT AU CLIMAT ET ADAPTATION AUX CHANGEMENTS CLIMATIQUES (SAP)</t>
  </si>
  <si>
    <t>CHANGEMENTS CLIMATIQUES</t>
  </si>
  <si>
    <t>Densifier le réseau d'acquisition des données hydro-climatiques pour prémunir les communes agricoles contre les inondations ou sécheresses brutales.</t>
  </si>
  <si>
    <t>P-0523-USAID-2016</t>
  </si>
  <si>
    <t>PROJET DINDJI (CORRIDOR ABIDJAN-LAGOS)</t>
  </si>
  <si>
    <t>Assurer la continuité des actions de sensibilisation de proximité et de dépistage des IST/VIH le long de l'axe de transit à fort trafic routier.</t>
  </si>
  <si>
    <t>Cotonou, Abomey-Calavi, Sèmè-Podji</t>
  </si>
  <si>
    <t>P-0524-USAID-2016</t>
  </si>
  <si>
    <t>PROMOTION DE LA QUALITÉ DES MÉDICAMENTS (PQM/USP)</t>
  </si>
  <si>
    <t>MÉDICAMENTS ET VACCINS</t>
  </si>
  <si>
    <t>Financer l'acquisition de réactifs complexes de laboratoire pour certifier la conformité des intrants médicaux importés sur le territoire national.</t>
  </si>
  <si>
    <t>P-0525-USAID-2016</t>
  </si>
  <si>
    <t>PROMOTION DU PARTENARIAT AVEC LES COMMUNAUTÉS POUR LA PLANIFICATION FAMILIALE (APC)</t>
  </si>
  <si>
    <t>SYSTÈMES DE SANTÉ ET GOUVERNANCE SANITAIRE</t>
  </si>
  <si>
    <t>Renforcer l'offre décentralisée et la gratuité de la contraception au sein des centres médicaux gérés en concertation avec les comités villageois de santé.</t>
  </si>
  <si>
    <t>P-0531-Allemagne-2016</t>
  </si>
  <si>
    <t>PROMOTION D'UNE POLITIQUE FONCIÈRE RESPONSABLE AU BÉNIN (PROPFR)</t>
  </si>
  <si>
    <t>GESTION FONCIÈRE DURABLE</t>
  </si>
  <si>
    <t>Garantir la paix sociale rurale et sécuriser l'investissement agricole en dotant les communes d'outils transparents de sécurisation des transactions foncières.</t>
  </si>
  <si>
    <t>P-0543-USAID-2016</t>
  </si>
  <si>
    <t>CENTRE DE RECHERCHE ENTOMOLOGIQUE DE COTONOU</t>
  </si>
  <si>
    <t>RECHERCHE ET SURVEILLANCE</t>
  </si>
  <si>
    <t>Appuyer l'infrastructure de recherche du CREC pour pister la mutation génétique des anophèles et adapter les molécules insecticides de santé publique.</t>
  </si>
  <si>
    <t>P-0544-USAID-2016</t>
  </si>
  <si>
    <t>CONSULTATIONS SUR LA GOUVERNANCE ET L'ANALYSE DES POLITIQUES</t>
  </si>
  <si>
    <t>PARTICIPATION CITOYENNE ET SOCIÉTÉ CIVILE</t>
  </si>
  <si>
    <t>Appuyer l'analyse technique des cadres réglementaires ministériels centraux pour introduire de meilleures pratiques de transparence administrative.</t>
  </si>
  <si>
    <t>P-0547-Allemagne-2016</t>
  </si>
  <si>
    <t>FONDS D’ETUDES ET D’EXPERTS</t>
  </si>
  <si>
    <t>ÉTUDES ET INITIATIVES PILOTES</t>
  </si>
  <si>
    <t>Financer le recrutement de consultants de haut niveau pour l'élaboration des études d'impact préalables à la formulation de nouveaux projets de développement.</t>
  </si>
  <si>
    <t>P-0594-SNU-2016</t>
  </si>
  <si>
    <t>PROJET D'APPUI À LA SURVEILLENCE DES DÉCÈS MATERNEL ET NÉONATAL CERRHUD</t>
  </si>
  <si>
    <t>Institutionnaliser les audits systématiques des urgences obstétricales au sein des hôpitaux pour corriger les dysfonctionnements et réduire la mortalité maternelle.</t>
  </si>
  <si>
    <t>P-0603-SNU-2016</t>
  </si>
  <si>
    <t>PROJET D’APPUI AU RENFORCEMENT DES CAPACITÉS ET À LA MODERNISATION DE L’ASSEMBLÉE NATIONALE (PARCMAN)</t>
  </si>
  <si>
    <t>RENFORCEMENT DE CAPACITÉ</t>
  </si>
  <si>
    <t>Rendre l'administration locale plus efficace par la dématérialisation et la sécurisation numérique des archives et des registres d'état civil communaux.</t>
  </si>
  <si>
    <t>P-0606-USAID-2016</t>
  </si>
  <si>
    <t>ACHAT GROUPÉ DES CONTRACEPTIF POUR LE MINISTÈRE DE LA SANTÉ</t>
  </si>
  <si>
    <t>SANTÉ REPRODUCTIVE ET DROITS SEXUELS</t>
  </si>
  <si>
    <t>Approvisionner la réserve stratégique de santé de la reproduction pour parer aux ruptures de stock de produits de planification au niveau des communes rurales.</t>
  </si>
  <si>
    <t>P-0608-USAID-2016</t>
  </si>
  <si>
    <t>FINANCEMENT DES MICRO-PROJETS COMMUNAUTAIRES DES VOLONTAIRES DU CORPS DE LA PAIX AU BENIN.</t>
  </si>
  <si>
    <t>DÉVELOPPEMENT COMMUNAUTAIRE</t>
  </si>
  <si>
    <t>Financer à la base de petites réalisations sociocommunautaires (puits, bibliothèques de village) portées de manière conjointe par les ruraux et les volontaires.</t>
  </si>
  <si>
    <t>P-0640-SNU-2016</t>
  </si>
  <si>
    <t>PROGRAMME PROTECTION DE L’ENFANCE</t>
  </si>
  <si>
    <t>PERSONNES VULNÉRABLES</t>
  </si>
  <si>
    <t>Prémunir les mineurs contre les violences et le trafic d'enfants en outillant les réseaux communautaires de protection et les CPS départementaux.</t>
  </si>
  <si>
    <t>P-0652-USAID-2016</t>
  </si>
  <si>
    <t>PULVÉRISATION INTRA-DOMICILIAIRE</t>
  </si>
  <si>
    <t>LUTTE CONTRE LES MALADIES TRANSMISSIBLES</t>
  </si>
  <si>
    <t>Financer la campagne de traitement insecticide des murs internes des concessions au sein des foyers hyper-endémiques du Nord du pays.</t>
  </si>
  <si>
    <t>Natitingou, Boukoumbé, Cobly, Kérou, Kouandé, Matéri, Tanguiéta, Toucountouna, Péhunco, Kandi</t>
  </si>
  <si>
    <t>P-0667-COOPERATION SUISSE-2016</t>
  </si>
  <si>
    <t>PROGRAMME APPUI À L’EDUCATION ET LA FORMATION DES EXCLUS (PAEFE)</t>
  </si>
  <si>
    <t>ÉDUCATION DE BASE</t>
  </si>
  <si>
    <t>Insérer socialement et économiquement les enfants et adolescents non scolarisés du Nord par l'apprentissage de métiers ruraux et artisanaux porteurs.</t>
  </si>
  <si>
    <t>CHF</t>
  </si>
  <si>
    <t>P-0671-COOPERATION SUISSE-2016</t>
  </si>
  <si>
    <t>PROGRAMME D’APPUI À LA GOUVERNANCE LOCALE ET DÉCENTRALISATION (ASGOL)</t>
  </si>
  <si>
    <t>GOUVERNANCE LOCALE ET PARTICIPATION CITOYENNE</t>
  </si>
  <si>
    <t>Accompagner l'ancrage institutionnel de la décentralisation en formant les cadres communaux aux techniques de budgétisation participative et de maîtrise d'ouvrage.</t>
  </si>
  <si>
    <t>P-0699-SNU-2016</t>
  </si>
  <si>
    <t>PROJET D'APPUI À LA RÉFORME ADMINISTRATIVE, INSTITUTIONNELLE ET À LA RÉFORME DE LA FONCTION PUBLIQUE (PARAIRFP)</t>
  </si>
  <si>
    <t>Assainir la gestion des affaires publiques en renforçant les outils de contrôle budgétaire interne et en appuyant les institutions anti-corruption de l'État.</t>
  </si>
  <si>
    <t>P-0703-USAID-2016</t>
  </si>
  <si>
    <t>CONTROLE ET PRÉVENTION DES MALADIES INFECTIEUSES</t>
  </si>
  <si>
    <t>Consolider le système national de détection rapide des virus émergents et subventionner les stocks d'équipements de protection pour les personnels soignants.</t>
  </si>
  <si>
    <t>P-0707-Allemagne-2016</t>
  </si>
  <si>
    <t>APPUI-CONSEIL MACROÉCONO-MIQUE POUR LA RÉDUCTION DE LA PAUVRETÉ DANS LE CONTEXTE DE L’AGENDA 2030 (ACMERP)</t>
  </si>
  <si>
    <t>Consolider les outils informatiques de simulation et d'aide à la décision du Ministère des Finances pour optimiser l'efficacité redistributive des dépenses publiques.</t>
  </si>
  <si>
    <t>P-0708-Canada-2016</t>
  </si>
  <si>
    <t>NUTRITION ET SANTÉ DES MÈRES, DES NOUVEAU-NÉS ET DES ENFANTS</t>
  </si>
  <si>
    <t>Améliorer la survie et le développement de la petite enfance en renforçant l'offre intégrée de soins de santé maternelle et de supplémentation nutritionnelle de base.</t>
  </si>
  <si>
    <t>CAD</t>
  </si>
  <si>
    <t>Canada</t>
  </si>
  <si>
    <t>P-0709-Canada-2016</t>
  </si>
  <si>
    <t>PROJET D'APPUI À L'ENTREPRENEURIAT FÉMININ AU SEIN DE LA FILIÈRE RIZ (PAEFFR)</t>
  </si>
  <si>
    <t>INCLUSION ET AUTONOMISATION</t>
  </si>
  <si>
    <t>Accroître l'autonomie financière et la productivité des groupements de femmes étuveuses de riz par l'introduction d'équipements de transformation performants.</t>
  </si>
  <si>
    <t>Ouémé, Zou, Collines, Alibori</t>
  </si>
  <si>
    <t>P-0710-Canada-2016</t>
  </si>
  <si>
    <t>PROJET DES SERVICES D'APPUI SUR LE TERRAIN AU BÉNIN</t>
  </si>
  <si>
    <t>Fiabiliser et optimiser l'exécution fiduciaire, technique et administrative de l'ensemble du portefeuille d'interventions canadiennes sur le territoire béninois.</t>
  </si>
  <si>
    <t>P-0711-Canada-2016</t>
  </si>
  <si>
    <t>PROGRAMME CANADIEN DE VOLONTAIRES : SERVICES D'ASSISTANCE CANADIENNE AUX ORGANISMES</t>
  </si>
  <si>
    <t>Renforcer la compétitivité et la gestion interne des coopératives et MPME locales grâce au transfert d'expertise technique par des conseillers volontaires.</t>
  </si>
  <si>
    <t>P-0714-COOPERATION SUISSE-2016</t>
  </si>
  <si>
    <t>FONDS D’APPUI AU DÉVELOPPEMENT DES COMMUNES (FADEC)</t>
  </si>
  <si>
    <t>FINANCES LOCALES</t>
  </si>
  <si>
    <t>Capitaliser le guichet FADeC pour transférer directement aux communes les ressources financières indispensables à l'édification de leurs infrastructures publiques de base.</t>
  </si>
  <si>
    <t>P-0726-Japon-2016</t>
  </si>
  <si>
    <t>PROJET DE CONSTRUCTION ET D'ÉQUIPEMENT DE SALLE DE CLASSES DANS LE DEPARTEMENT DE L'ATLANTIQUE</t>
  </si>
  <si>
    <t>INFRASTRUCTURES SCOLAIRES</t>
  </si>
  <si>
    <t>Améliorer les conditions d'apprentissage au primaire en construisant de nouveaux modules de classes équipés dans les zones rurales souffrant de sous-scolarisation.</t>
  </si>
  <si>
    <t>Japon</t>
  </si>
  <si>
    <t>P-0727-Japon-2016</t>
  </si>
  <si>
    <t>PROJET DE CONSTRUCTION D'INFRASTRUCTURES ET D'ÉQUIPEMENTS À L'EPP ZOUNGOUDO /C ET L'ÉCOLE MATERNELLE ZOUNGOUDO, OUIDAH</t>
  </si>
  <si>
    <t>Compléter les infrastructures d'accueil et d'hygiène de l'école primaire de Tokpa-Domè par l'érection de blocs pédagogiques et sanitaires équipés.</t>
  </si>
  <si>
    <t>Kpomassè</t>
  </si>
  <si>
    <t>Tokpa-Domè</t>
  </si>
  <si>
    <t>P-0728-Japon-2016</t>
  </si>
  <si>
    <t>PROJET DE CONSTRUCTION ET D'ÉQUIPEMENT AU CEG DE ZOUKOU, ZOGBODOMEY</t>
  </si>
  <si>
    <t>Faciliter l'accès à l'enseignement secondaire local de proximité par l'édification de bâtiments scolaires modernes et équipés au sein de la commune de Zogbodomey.</t>
  </si>
  <si>
    <t>Zou</t>
  </si>
  <si>
    <t>Zogbodomey</t>
  </si>
  <si>
    <t>Zoukou</t>
  </si>
  <si>
    <t>P-0729-Japon-2016</t>
  </si>
  <si>
    <t>PROJET DE CONSTRUCTION ET D’ÉQUIPEMENT DE SALLES DE CLASSE, DE LABORATOIRES ET DE LATRINES AU CEG DE COUSSI, TOFFO</t>
  </si>
  <si>
    <t>Renforcer les filières scientifiques d'élite de la région méridionale par la dotation du lycée scientifique de Porto-Novo en laboratoires expérimentaux complets.</t>
  </si>
  <si>
    <t>Porto-Novo</t>
  </si>
  <si>
    <t>P-0730-Japon-2016</t>
  </si>
  <si>
    <t>PROJET DE CONSTRUCTION ET D’ÉQUIPEMENT DE SALLES DE CLASSE, DE LABORATOIRES ET DE LATRINES AU CEG2 D’AGAMÈ, LOKOSSA</t>
  </si>
  <si>
    <t>Doter le pôle éducatif d'excellence du septentrion à Natitingou de blocs de laboratoires de physique-chimie modernes et outillés de matériels didactiques.</t>
  </si>
  <si>
    <t>Atacora</t>
  </si>
  <si>
    <t>Natitingou</t>
  </si>
  <si>
    <t>P-0731-Japon-2016</t>
  </si>
  <si>
    <t>PROJET DE LANTERNES SOLAIRES POUR L'ENSEIGNEMENT PRIMAIRE AU BÉNIN (PHASE PILOTE)</t>
  </si>
  <si>
    <t>ÉNERGIES RENOUVELABLES</t>
  </si>
  <si>
    <t>Favoriser le travail scolaire à domicile des enfants des localités non électrifiées par la distribution individuelle de lampes solaires rechargeables de base.</t>
  </si>
  <si>
    <t>ODD 7</t>
  </si>
  <si>
    <t>P-0732-SNU-2016</t>
  </si>
  <si>
    <t>AMÉLIORATION DE LA PRODUCTIVITÉ, DE LA COMPÉTITIVITÉ ET DÉVELOPPEMENT D'UNE INDICATION GÉOGRAPHIQUE DE L’ANANAS PAIN DE SUCRE DU BÉNIN</t>
  </si>
  <si>
    <t>CULTURES D’EXPORTATION</t>
  </si>
  <si>
    <t>Accroître la valeur ajoutée des exportations agricoles béninoises en accompagnant la structuration et la certification internationale des filières phares.</t>
  </si>
  <si>
    <t>P-0733-SNU-2016</t>
  </si>
  <si>
    <t>APPUI AUX STRATÉGIES DE DÉVELOPPEMENT</t>
  </si>
  <si>
    <t>Améliorer l'efficience de la dépense de l'État par la modernisation des outils analytiques de suivi d'impact du Ministère du Développement.</t>
  </si>
  <si>
    <t>P-0734-Turquie-2016</t>
  </si>
  <si>
    <t>BOURSES D'ETUDES SUPÉRIEURES EN TURQUIE</t>
  </si>
  <si>
    <t>Offrir des opportunités de formation universitaire technologique et médicale de haut niveau à l'étranger pour les étudiants béninois sélectionnés sur critères de mérite.</t>
  </si>
  <si>
    <t>Turquie</t>
  </si>
  <si>
    <t>P-0735-Turquie-2016</t>
  </si>
  <si>
    <t>FOURNISSEUR MATERIEL DE FOOTBALL(OBSSU)</t>
  </si>
  <si>
    <t>EQUIPEMENT SPORTIFS</t>
  </si>
  <si>
    <t>Dynamiser la pratique sportive en milieu scolaire par la dotation de l'OBSSU en ballons, maillots et matériels d'entraînement destinés aux collèges.</t>
  </si>
  <si>
    <t>P-0736-USAID-2016</t>
  </si>
  <si>
    <t>EDUCATION DES ENFANTS HANDICAPÉS</t>
  </si>
  <si>
    <t>ÉDUCATION INCLUSIVE</t>
  </si>
  <si>
    <t>Promouvoir l'éducation inclusive en finançant l'adaptation pédagogique de salles de classe et l'acquisition de matériels didactiques pour enfants à mobilité ou acuité réduite.</t>
  </si>
  <si>
    <t>P-0737-USAID-2016</t>
  </si>
  <si>
    <t>PROGRAMME NATIONAL DE LUTTE CONTRE LE PALUDISME_RENFORCEMENT</t>
  </si>
  <si>
    <t>Financer les campagnes nationales de distribution de moustiquaires à longue durée d'action (MILDA) pour immuniser les ménages face aux vecteurs de l'infection.</t>
  </si>
  <si>
    <t>P-0743-Allemagne-2016</t>
  </si>
  <si>
    <t>PROJET D’APPROVISIONNEMENT EN EAU POTABLE ET D’ASSAINISSEMENT EN ZONE PÉRIURBAINE III (KFW)</t>
  </si>
  <si>
    <t>Raccorder les localités rurales du Nord et du Centre à des systèmes d'eau collectifs viables et implanter des infrastructures d'assainissement de base.</t>
  </si>
  <si>
    <t>P-0158-BOAD-2017</t>
  </si>
  <si>
    <t>Projet d'Appui à la Croissance Economique Rurale (PACER)</t>
  </si>
  <si>
    <t>Rehausser la compétitivité rurale par l'aménagement de marchés d'envergure, de magasins de stockage et d'infrastructures d'appui aux filières agricoles porteuses.</t>
  </si>
  <si>
    <t>P-0159-BM-2017</t>
  </si>
  <si>
    <t>Projet d'approvisionnement en Eau Potable en milieu Rural et d'Assainissement des eaux Usées en milieu urbain (PEPRAU)</t>
  </si>
  <si>
    <t>Accroître l'accès durable aux services d'eau potable en milieu rural et périurbain et améliorer les systèmes d'évacuation des boues et des eaux usées urbaines.</t>
  </si>
  <si>
    <t>P-0160-ATLANTIQUE BANK-2017</t>
  </si>
  <si>
    <t>Financement de la mise en œuvre du Système Intégré du Registre National de la Population</t>
  </si>
  <si>
    <t>Doter le Bénin d'un fichier d'état civil national informatisé et d'un système d'identification biométrique sécurisé géré par l'ANIP pour l'ensemble des citoyens.</t>
  </si>
  <si>
    <t>P-0160-BOA-BENIN-2017</t>
  </si>
  <si>
    <t>Mobiliser la ligne de crédit commerciale requise pour accélérer l'enrôlement biométrique de la population (RAVIP) et structurer la base centrale informatique de l'ANIP.</t>
  </si>
  <si>
    <t>P-0161-BM-2017</t>
  </si>
  <si>
    <t>Financement additionnel du Programme régional pour la Productivité Agricole en Afrique de l'Ouest (PPAAO/WAPP-1c)</t>
  </si>
  <si>
    <t>Élargir la diffusion à grande échelle des technologies agricoles performantes générées pour accroître les rendements des petits exploitants et renforcer la sécurité alimentaire régionale.</t>
  </si>
  <si>
    <t>P-0162-BOAD-2017</t>
  </si>
  <si>
    <t>Projet de Développement des Infrastructures socio-économiques et de Sécurité Alimentaire (PDISSA) dans le bassin du Niger : Construction de quatre (04) barrages à buts multiples au Bénin</t>
  </si>
  <si>
    <t>GESTION INTÉGRÉE DES RESSOURCES EN EAU</t>
  </si>
  <si>
    <t>Assurer la disponibilité permanente des ressources en eau pour l'agriculture, l'élevage et l'aquaculture dans le bassin du Niger par l'édification de quatre barrages hydro-agricoles structurants.</t>
  </si>
  <si>
    <t>Alibori, Borgou</t>
  </si>
  <si>
    <t>Banikoara, Karimama, Malanville, Bembérèké</t>
  </si>
  <si>
    <t>P-0163-BAD-2017</t>
  </si>
  <si>
    <t>Financement des Etudes du projet de réhabilitation de la route Lomé-Cotonou (Phase 2) et de protection côtière</t>
  </si>
  <si>
    <t>Réaliser les études techniques, économiques et d'impact requises pour planifier l'asphaltage lourd de la section routière internationale et concevoir les futurs dispositifs de stabilisation du littoral.</t>
  </si>
  <si>
    <t>P-0164-BAD-2017</t>
  </si>
  <si>
    <t>Financement des études du corridor autoroutier Abidjan-Lagos</t>
  </si>
  <si>
    <t>Élaborer les conceptions techniques détaillées et les dossiers d'appel d'offres pour la construction de la section béninoise de l'autoroute à 2x3 voies reliant les capitales économiques de la sous-région.</t>
  </si>
  <si>
    <t>Mono, Atlantique, Littoral, Ouémé</t>
  </si>
  <si>
    <t>Grand-Popo, Ouidah, Abomey-Calavi, Cotonou, Sèmè-Podji</t>
  </si>
  <si>
    <t>P-0165-Diamond Bank Bénin-2017</t>
  </si>
  <si>
    <t>Financement de l'avenant N°2 au marché N°029/MEFPD/MTPT/DNCMP/SP du 08/02/2017 relatif aux travaux d'aménagement et de bitumage des tronçons de route : (i) Missésinto-Zinvié-Sèdjèdénou-Zè (32 km); (ii) RNIE1-Cococodji-Hèvié-Ouèdo (09 km) et (iii) Ouèdo-Calavi-Kpota (12,2 km)</t>
  </si>
  <si>
    <t>Couvrir les coûts additionnels des travaux d'infrastructure viaire pour parachever le bitumage et fluidifier les liaisons routières stratégiques au sein de la commune d'Abomey-Calavi.</t>
  </si>
  <si>
    <t>Diamond Bank Bénin</t>
  </si>
  <si>
    <t>P-0166-BM-2017</t>
  </si>
  <si>
    <t>Projet de renforcement des capacités statistiques</t>
  </si>
  <si>
    <t>Améliorer la qualité, la régularité et la production des données statistiques nationales en modernisant les outils techniques et institutionnels de l'INStaD (ex-INSAE).</t>
  </si>
  <si>
    <t>P-0167-AFD-2017</t>
  </si>
  <si>
    <t>Projet de Développement de l'Enseignement Technique, de la Formation et l'Insertion Professionnelle (DEFI-PRO)</t>
  </si>
  <si>
    <t>Rénover l'offre de formation agropastorale et industrielle en adaptant les programmes des lycées techniques aux exigences du marché de l'emploi pour insérer durablement les jeunes. ; Réhabiliter et équiper en matériels de pointe de type industriel les ateliers et les plateformes pédagogiques des établissements techniques cibles.</t>
  </si>
  <si>
    <t>P-0168-AFD-2017</t>
  </si>
  <si>
    <t>Projet de Central Solaire DEFISSOL</t>
  </si>
  <si>
    <t>Diversifier le mix énergétique national par la construction d'une centrale solaire photovoltaïque de grande envergure (25 MWc) à Pobè pour injecter de l'énergie propre sur le réseau.</t>
  </si>
  <si>
    <t>Plateau</t>
  </si>
  <si>
    <t>Pobè</t>
  </si>
  <si>
    <t>Onigbolo</t>
  </si>
  <si>
    <t>P-0169-BAD-2017</t>
  </si>
  <si>
    <t>Projet d'Appui à la Gestion Forêts Communales – Phase II (PAGEFCOM II)</t>
  </si>
  <si>
    <t>Accroître la résilience économique des communes par le développement des filières bois d'œuvre, la restauration des terres dégradées et l'aménagement participatif des plantations forestières. ; Renforcer les capacités de gouvernance environnementale locale des collectivités décentralisées pour sécuriser la gestion durable du domaine forestier communal.</t>
  </si>
  <si>
    <t>Atlantique, Zou, Collines, Borgou, Donga</t>
  </si>
  <si>
    <t>P-0169-FEM / GEF-2017</t>
  </si>
  <si>
    <t>Maximiser la conservation de la biodiversité locale et minimiser les émissions de carbone liées à la déforestation par l'application de techniques d'agroforesterie durable.</t>
  </si>
  <si>
    <t>P-0170-BAD-2017</t>
  </si>
  <si>
    <t>Première phase du Programme d'Appui budgétaire au Secteur de l'Energie au Bénin (PASEBE I)</t>
  </si>
  <si>
    <t>Appuyer les réformes structurelles visant à assainir la viabilité financière de la SBEE, à optimiser la gouvernance du secteur et à accroître l'efficience du transport d'électricité.</t>
  </si>
  <si>
    <t>Appui budgétaire</t>
  </si>
  <si>
    <t>P-0171-Pays-Bas-2017</t>
  </si>
  <si>
    <t>Financement de la deuxième phase du projet de protection de la côte à l'Est de Cotonou</t>
  </si>
  <si>
    <t>Intensifier le dispositif de défense contre la mer à l'est de Cotonou en raccordant les épis en enrochement et en procédant au rechargement mécanique des plages.</t>
  </si>
  <si>
    <t>P-0172-KBC/RABOBANK-2017</t>
  </si>
  <si>
    <t>Projet de protection de la côte à l'Ouest de Cotonou : conception et réalisation des travaux de protection et de valorisation du segment prioritaire de côte à AVLEKETE et DJEGBADJI dans la commune de Ouidah</t>
  </si>
  <si>
    <t>GESTION DES RISQUES ET CATASTROPHES NATURELLES</t>
  </si>
  <si>
    <t>Sécuriser la façade littorale ouest face à l'érosion marine par l'aménagement de brise-lames submergés afin de développer le pôle écotouristique d'Avlékété.</t>
  </si>
  <si>
    <t>Avlékété, Djègbadji</t>
  </si>
  <si>
    <t>KBC Group et Rabobank</t>
  </si>
  <si>
    <t>KBC/RABOBANK</t>
  </si>
  <si>
    <t>P-0173-BM-2017</t>
  </si>
  <si>
    <t>Financement additionnel du Projet d'Appui à la Diversification Agricole (PADA)</t>
  </si>
  <si>
    <t>Étendre et consolider le soutien financier accordé aux chaînes de valeur agricoles (ananas, anacarde) pour stimuler la productivité des petits exploitants et faciliter l'exportation.</t>
  </si>
  <si>
    <t>P-0174-Brésil-2017</t>
  </si>
  <si>
    <t>Projet d'aménagement et de bitumage de la route Kétou-Idigny-Igbodja-Savè (85 km) et Omou-illadji-Mossoukagbé-Ayékotonyan (26,6 km)</t>
  </si>
  <si>
    <t>Aménager et asphalter un réseau routier structurant reliant le département du Plateau à celui des Collines pour faciliter le transport des produits agropastoraux et sécuriser le trafic transfrontalier.</t>
  </si>
  <si>
    <t>Plateau, Collines, Zou</t>
  </si>
  <si>
    <t>Kétou, Savè</t>
  </si>
  <si>
    <t>Idigny, Igbodja, Omou, Illadji</t>
  </si>
  <si>
    <t>Brésil</t>
  </si>
  <si>
    <t>P-0175-BM-2017</t>
  </si>
  <si>
    <t>Projet d'Amélioration des Service Energétiques (PASE)</t>
  </si>
  <si>
    <t>PRODUCTION ET DISTRIBUTION D’ÉNERGIE</t>
  </si>
  <si>
    <t>Réduire les pannes et améliorer la qualité de la fourniture d'électricité par la réhabilitation lourde des sous-stations de transport et des lignes de distribution de la SBEE.</t>
  </si>
  <si>
    <t>P-0176-EXIMBANK DE CHINE-2017</t>
  </si>
  <si>
    <t>Projet de renforcement du système d'approvisionnement en eau potable à Savè, Dassa-Zoumé, Glazoué et leurs environs</t>
  </si>
  <si>
    <t>Résorber définitivement le manque récurrent d'eau potable dans les Collines par la construction d'une usine de traitement d'eau moderne à partir du fleuve Ouémé.</t>
  </si>
  <si>
    <t>Savè, Dassa-Zoumé, Glazoué</t>
  </si>
  <si>
    <t>P-0177-BM-2017</t>
  </si>
  <si>
    <t>Avance de fonds pour la préparation du projet d'investissement pour la résilience des côtes en Afrique de l'Ouest (WACA)</t>
  </si>
  <si>
    <t>Réaliser les bilans sédimentologiques et formuler l'architecture technique des futurs investissements régionaux de lutte contre l'érosion côtière.</t>
  </si>
  <si>
    <t>Littoral, Ouémé, Atlantique, Mono</t>
  </si>
  <si>
    <t>Cotonou, Sèmè-Podji, Ouidah, Grand-Popo</t>
  </si>
  <si>
    <t>P-0178-BM-2017</t>
  </si>
  <si>
    <t>Avance de fonds pour la préparation de la deuxième phase du Projet de services décentralisés conduits par les communautés (PSDCC II)</t>
  </si>
  <si>
    <t>Conduire les enquêtes de base et concevoir l'ancrage institutionnel destiné à élargir le programme des filets sociaux et micro-investissements communautaires.</t>
  </si>
  <si>
    <t>P-0179-BOAD-2017</t>
  </si>
  <si>
    <t>Projet de viabilisation du site et de construction de 1300 logements sociaux à Ouèdo dans la commune d'Abomey-Calavi</t>
  </si>
  <si>
    <t>HABITAT ET URBANISME</t>
  </si>
  <si>
    <t>Réaliser le terrassement, implanter les réseaux d'eau, d'électricité et ériger 1300 appartements sociaux pour faciliter l'accès au logement à coût maîtrisé.</t>
  </si>
  <si>
    <t>Ouèdo</t>
  </si>
  <si>
    <t>P-0180-BOAD-2017</t>
  </si>
  <si>
    <t>Projet d'aménagement et de bitumage de la route Lokossa-Dévé-Aplahoué-Frontière du Togo</t>
  </si>
  <si>
    <t>Moderniser le tracé routier traversant le Mono-Couffo pour fluidifier le transport des biens et personnes, réduire les coûts d'entretien et renforcer l'intégration avec le réseau routier du Togo.</t>
  </si>
  <si>
    <t>Lokossa, Aplahoué</t>
  </si>
  <si>
    <t>Devè</t>
  </si>
  <si>
    <t>P-0181-AFD-2017</t>
  </si>
  <si>
    <t>Projet d'Appui à la transition agro écologique dans les zones cotonnières du Bénin (TAZCO)</t>
  </si>
  <si>
    <t>Promouvoir l'adoption de pratiques agricoles durables (conservation des sols, intrants organiques) au sein des exploitations cotonnières pour restaurer la fertilité des sols.</t>
  </si>
  <si>
    <t>Alibori, Borgou, Atacora, Donga, Collines, Zou</t>
  </si>
  <si>
    <t>P-0182-AFD-2017</t>
  </si>
  <si>
    <t>Quatrième Fonds d'Etude et de Renforcement des Capacités (FERC 4)</t>
  </si>
  <si>
    <t>Financer les missions d'expertise technique de haut niveau requises pour la maturation conceptuelle et l'évaluation finale des projets du portefeuille d'aide.</t>
  </si>
  <si>
    <t>P-0183-BM-2017</t>
  </si>
  <si>
    <t>Avance de fonds pour la préparation du projet e-Agriculture</t>
  </si>
  <si>
    <t>Concevoir l'architecture numérique et les services applicatifs destinés à la collecte des données agricoles, à l'information des paysans et à la gestion électronique de la filière.</t>
  </si>
  <si>
    <t>P-0184-AFD-2017</t>
  </si>
  <si>
    <t>Projet d'Appui au Développement des Filières Protéiniques (PADéFIP)</t>
  </si>
  <si>
    <t>ÉLEVAGE ET PÊCHE</t>
  </si>
  <si>
    <t>Améliorer la sécurité nutritionnelle en stimulant la production et la structuration des marchés locaux des filières avicoles, de petits ruminants et de légumineuses.</t>
  </si>
  <si>
    <t>Borgou, Alibori, Zou, Collines</t>
  </si>
  <si>
    <t>P-0185-BOAD-2017</t>
  </si>
  <si>
    <t>Avance de fonds pour le financement des études du faisabilité et d'avant-projet détaillé de dix (10) incubateurs, pépinières et hôtels d'entreprises (IPHE) au Bénin</t>
  </si>
  <si>
    <t>Réaliser les études techniques et d'ingénierie d'affaires requises pour implanter dix centres régionaux d'incubation destinés à soutenir les start-ups et l'entrepreneuriat des jeunes.</t>
  </si>
  <si>
    <t>P-0186-BOAD-2017</t>
  </si>
  <si>
    <t>Avance de fonds pour le financement des études du projet de création d'un centre de formation dédié aux professionnels de la production, du transport et de la distribution d'électricité d'une part, d'eau potable et de l'assainissement d'autre part, ainsi que de la distribution du gaz à Porto-Novo au Bénin</t>
  </si>
  <si>
    <t>Définir les besoins infrastructurels et pédagogiques pour structurer un centre d'excellence technique destiné à renforcer le personnel de la SBEE, de la SONEB et du secteur.</t>
  </si>
  <si>
    <t>P-0187-AFD-2017</t>
  </si>
  <si>
    <t>Projet DEFISSOL : Construction d'une centrale solaire de 25 MWc et de modernisation du système d'informatisation de la SBEE)</t>
  </si>
  <si>
    <t>Augmenter la capacité nationale de production d'énergie propre par une centrale solaire à Pobè et fiabiliser la gestion commerciale de la SBEE grâce à la refonte de son système d'information.</t>
  </si>
  <si>
    <t>Plateau, Littoral</t>
  </si>
  <si>
    <t>Pobè, Cotonou</t>
  </si>
  <si>
    <t>Subvention</t>
  </si>
  <si>
    <t>P-0188-BM-2017</t>
  </si>
  <si>
    <t>Premier Financement à l'Appui de la Politique de Développement pour les Reformes Budgétaires et la Croissance (FRGC 1)</t>
  </si>
  <si>
    <t>Soutenir les réformes budgétaires structurelles de l'État afin d'optimiser la gestion de la dette publique, d'accroître la collecte des impôts intérieurs et de stimuler l'investissement privé.</t>
  </si>
  <si>
    <t>P-0366-BGFI-2017</t>
  </si>
  <si>
    <t>PROJET D'AMÉNAGEMENT ET DE BITUMAGE DE LA ROUTE COMÉ-LOKOSSA-DOGBO ET DE LA BRETELLE ZOUNHOUÈ-ATHIÉMÉ-FRONTIÈRE DU TOGO (71 KM)_FINANCEMENT PARTIEL</t>
  </si>
  <si>
    <t>Moderniser par un revêtement lourd la liaison routière reliant le Mono au Couffo afin de faciliter le transit de marchandises vers le marché togolais.</t>
  </si>
  <si>
    <t>P-0367-UE-2017</t>
  </si>
  <si>
    <t>CONTRAT DE BONNE GOUVERNANCE ET DE DÉVELOPPEMENT (CBGD) , APPUI BUDGÉTAIRE GÉNÉRAL (DÉVELOPPEMENT DURABLE)</t>
  </si>
  <si>
    <t>Soutenir la stabilité macroéconomique et l'exécution du budget de l'État en vue d'accélérer les réformes de la gestion des finances publiques et de renforcer l'état de droit.</t>
  </si>
  <si>
    <t>Appui budgétaire général</t>
  </si>
  <si>
    <t>P-0370-UE-2017</t>
  </si>
  <si>
    <t>PROMOUVOIR LE DÉVELOPPEMENT DE L'ÉCONOMIE VERTE AU BÉNIN GRÂCE À DES INVESTISSEMENTS STRUCTURANTS</t>
  </si>
  <si>
    <t>Préserver le capital naturel béninois en finançant la restauration des mangroves côtières, la protection des aires marines et la mise en place de filières de valorisation écologiques durables.</t>
  </si>
  <si>
    <t>P-0371-BAD-2017</t>
  </si>
  <si>
    <t>PROJET DE RENFORCEMENT DES INVESTISSEMENTS POUR UN DÉVELOPPEMENT RÉSILIENT AUX CHANGEMENTS CLIMATIQUES (RICC-PNE BENIN)- DON CDSF/BAD</t>
  </si>
  <si>
    <t>Accroître l'accès des populations vulnérables aux infrastructures sociales de base en finançant la réhabilitation d'écoles, de dispensaires ruraux et de réseaux d'eau.</t>
  </si>
  <si>
    <t>P-0391-Chine-2017</t>
  </si>
  <si>
    <t>PROJET DE CASERNE MILITAIRE</t>
  </si>
  <si>
    <t>SÉCURITÉ ET DÉFENSE</t>
  </si>
  <si>
    <t>DÉFENSE NATIONALE</t>
  </si>
  <si>
    <t>Améliorer les conditions de casernement, d'entraînement et de vie opérationnelle des forces armées béninoises par la construction d'infrastructures militaires modernes.</t>
  </si>
  <si>
    <t>Atlantique, Alibori</t>
  </si>
  <si>
    <t>Toffo, Kandi</t>
  </si>
  <si>
    <t>P-0394-Chine-2017</t>
  </si>
  <si>
    <t>QUATRIÈME MISSION D'APPUI TECHNIQUE AU MAEC</t>
  </si>
  <si>
    <t>Assurer la maintenance et optimiser la performance des infrastructures techniques du ministère pour appuyer le déploiement de la diplomatie béninoise.</t>
  </si>
  <si>
    <t>P-0398-BCI-2017</t>
  </si>
  <si>
    <t>PROJET ASSURANCE POUR LE RENFORCEMENT DU CAPITAL HUMAIN</t>
  </si>
  <si>
    <t>Financer le déploiement opérationnel initial de la phase pilote de l'assurance maladie ARCH au profit des populations identifiées pauvres extrêmes.</t>
  </si>
  <si>
    <t>Banque Commerciale Internationale</t>
  </si>
  <si>
    <t>BCI</t>
  </si>
  <si>
    <t>P-0413-FSD-2017</t>
  </si>
  <si>
    <t>PROJET DE CONSTRUCTION D'UN LYCÉE SCIENTIFIQUE À PORTO-NOVO ET D'UNE ÉCOLE NORMALE SUPÉRIEURE DE FORMATION DES INSTITUTEURS À PARAKOU</t>
  </si>
  <si>
    <t>Promouvoir l'excellence académique scientifique dès le secondaire en édifiant deux lycées pilotes d'élite dotés de laboratoires de pointe et d'infrastructures d'internat complètes.</t>
  </si>
  <si>
    <t>Ouémé, Atacora</t>
  </si>
  <si>
    <t>Porto-Novo, Natitingou</t>
  </si>
  <si>
    <t>P-0416-Pays-Bas-2017</t>
  </si>
  <si>
    <t>PROJET DE L'AMÉNAGEMENT DU LAC NOKOUÉ ET DE LA LAGUNE DE PORTO‑NOVO (2023-2025)</t>
  </si>
  <si>
    <t>Restaurer la qualité environnementale du complexe lagunaire, améliorer l'assainissement des localités riveraines et appuyer l'organisation des activités de pêche durable.</t>
  </si>
  <si>
    <t>Cotonou, Abomey-Calavi, Sô-Ava, Porto-Novo, Sèmè-Podji</t>
  </si>
  <si>
    <t>P-0418-FSD-2017</t>
  </si>
  <si>
    <t>MÉMORANDUM D'ENTENTE DU PROGRAMME SAOUDIEN DE FOURRAGES ET DE DÉVELOPPEMENT RURAL EN AFRIQUE (PHASE V)</t>
  </si>
  <si>
    <t>Sécuriser l'alimentation du bétail en saison sèche en développant des unités de production de fourrages et en aménageant des couloirs de transhumance viabilisés.</t>
  </si>
  <si>
    <t>P-0451-Allemagne-2017</t>
  </si>
  <si>
    <t>PROMOTION DU FINANCEMENT AGRICOLE (PROFINA)</t>
  </si>
  <si>
    <t>Améliorer le refinancement bancaire des petits exploitants et renforcer les capacités d'éducation financière rurale des promoteurs agropastoraux.</t>
  </si>
  <si>
    <t>P-0456-COOPERATION SUISSE-2017</t>
  </si>
  <si>
    <t>PROGRAMME D'APPUI AU PLAIDOYER DES FAÎTIÈRES DES ORGANISATIONS SOCIO PROFESSIONNELLES AGRICOLES(AP OSP)</t>
  </si>
  <si>
    <t>Renforcer le pouvoir de négociation des faîtières paysannes auprès des pouvoirs publics pour une meilleure intégration de leurs intérêts dans les politiques agricoles.</t>
  </si>
  <si>
    <t>P-0466-USAID-2017</t>
  </si>
  <si>
    <t>MISE EN OEUVRE DE LA COMPOSANTE COMMUNAUTAIRE DU PAQUET D'INTERVENTIONS (DE SANTÉ) À HAUT IMPACT</t>
  </si>
  <si>
    <t>Rapprocher les services de santé primaires des populations rurales isolées en s'appuyant sur un réseau d'agents de santé communautaires formés et équipés.</t>
  </si>
  <si>
    <t>P-0468-USAID-2017</t>
  </si>
  <si>
    <t>Optimiser la qualité des soins en néonatalogie et moderniser les plateaux techniques des maternités pour réduire significativement la mortalité périnatale.</t>
  </si>
  <si>
    <t>P-0469-Allemagne-2017</t>
  </si>
  <si>
    <t>Appuyer les communes pour la mise en œuvre de plans d'action budgétaires transparentes, de mobilisations fiscales locales et d'investissements d'intérêt public.</t>
  </si>
  <si>
    <t>P-0479-USAID-2017</t>
  </si>
  <si>
    <t>AMÉLIORATION DU CYCLE DE PROGRAMMATION</t>
  </si>
  <si>
    <t>Accroître l'efficacité de l'aide publique au développement en outillant les directions ministérielles pour une meilleure formulation, exécution et évaluation des programmes bilatéraux.</t>
  </si>
  <si>
    <t>P-0480-USAID-2017</t>
  </si>
  <si>
    <t>ASSISTANCE TECHNIQUE POUR LE RENFORCEMENT DE LA CHAINE D'APPROVISIONNEMENT EN MÉDICAMENTS ET CONSOMMABLES MÉDICAUX AU BÉNIN</t>
  </si>
  <si>
    <t>Éviter les ruptures de stock de produits de santé essentiels en optimisant la chaîne logistique, le stockage et la distribution de la CAME vers les zones sanitaires.</t>
  </si>
  <si>
    <t>P-0510-SNU-2017</t>
  </si>
  <si>
    <t>ELIMINATION DES POPS ET PESTICIDES OBSOLÈTES, RENFORCEMENT DE LA GESTION DU CYCLE DE VIE DES PESTICIDES</t>
  </si>
  <si>
    <t>Sécuriser et éliminer de façon écologique les stocks de polluants organiques persistants et de pesticides obsolètes issus des zones agricoles.</t>
  </si>
  <si>
    <t>P-0513-SNU-2017</t>
  </si>
  <si>
    <t>APPUI AU PROGRAMME 2014-2018</t>
  </si>
  <si>
    <t>Assurer la continuité opérationnelle des actions d'appui direct du SNU liées au renforcement des services sociaux de base communautaires.</t>
  </si>
  <si>
    <t>P-0516-SNU-2017</t>
  </si>
  <si>
    <t>Moderniser le maillage des stations météo nationales pour générer des données hydro-climatiques exploitables par les plans de prévention des crises.</t>
  </si>
  <si>
    <t>P-0518-SNU-2017</t>
  </si>
  <si>
    <t>PROJET D’APPUI À LA PRÉSERVATION ET AU DÉVELOPPEMENT DES FORÊTS GALERIES ET PRODUCTION DE CARTOGRAPHIE NUMÉRIQUE DE BASE (PAPDFGC)</t>
  </si>
  <si>
    <t>Protéger les ressources en sols et eau le long des cours d'eau majeurs par la délimitation et la reforestation participative des forêts galeries.</t>
  </si>
  <si>
    <t>Atacora, Alibori, Borgou, Zou, Collines</t>
  </si>
  <si>
    <t>P-0524-USAID-2017</t>
  </si>
  <si>
    <t>Sécuriser la santé des populations par l'amélioration de la surveillance du marché pharmaceutique et le renforcement des capacités de détection des médicaments contrefaits ou sous-standards.</t>
  </si>
  <si>
    <t>P-0525-USAID-2017</t>
  </si>
  <si>
    <t>Accroître le taux de prévalence contraceptive en levant les barrières socioculturelles à travers l'implication active des leaders d'opinion et des relais communautaires.</t>
  </si>
  <si>
    <t>P-0561-Canada-2017</t>
  </si>
  <si>
    <t>PROJET D'APPUI À LA STRUCTURATION D'UNE AGRICULTURE FAMILIALE RENTABLE, EQUITABLE ET DURABLE (PASAFRED)</t>
  </si>
  <si>
    <t>DÉVELOPPEMENT RURAL</t>
  </si>
  <si>
    <t>Professionnaliser les petites exploitations agricoles familiales en structurant leurs coopératives et en facilitant l'accès aux marchés.</t>
  </si>
  <si>
    <t>P-0567-Canada-2017</t>
  </si>
  <si>
    <t>PROJET D'APPUI AU DÉVELOPPEMENT, À L'ASSAINISSEMENT ET À LA PROFESSIONNALISATION DE LA MICROFINANCE (ADAPAMI)</t>
  </si>
  <si>
    <t>MICROFINANCE ET INCLUSION FINANCIÈRE</t>
  </si>
  <si>
    <t>Assurer la viabilité, l'assainissement réglementaire et la diversification de la gamme de services financiers des SFD au profit des populations à faibles revenus.</t>
  </si>
  <si>
    <t>P-0598-SNU-2017</t>
  </si>
  <si>
    <t>PROJET D’APPUI AU RENFORCEMENT DES CAPACITÉS INSTITUTIONNELLES ET TECHNIQUES DU MINISTÈRE DE LA SANTÉ POUR LE SUIVI ET LA COORDINATION DU PLAN D’ACTIONS DE MAPUTO (PROJET BEN08MOH)</t>
  </si>
  <si>
    <t>SANTÉ REPRODUCTIVE</t>
  </si>
  <si>
    <t>Moderniser les méthodes de travail et les outils de planification stratégique interne au niveau des directions des ministères sectoriels centraux.</t>
  </si>
  <si>
    <t>P-0603-SNU-2017</t>
  </si>
  <si>
    <t>Rehausser la performance de l'administration territoriale par la modernisation numérique des procédures de délivrance des prestations d'état civil.</t>
  </si>
  <si>
    <t>P-0605-USAID-2017</t>
  </si>
  <si>
    <t>ACHAT GROUPÉ DE MEDICAMENTS CONTRE LE PALUDISME POUR LE MINISTERE DE LA SANTÉ</t>
  </si>
  <si>
    <t>Assurer la gratuité et la disponibilité permanente des combinaisons thérapeutiques à base d'artémisinine (CTA) au sein de l'ensemble des formations sanitaires publiques.</t>
  </si>
  <si>
    <t>P-0612-Allemagne-2017</t>
  </si>
  <si>
    <t>PROTECTION ET RÉHABILITATION DES SOLS POUR AMÉLIORER LA SÉCURITÉ ALIMENTAIRE (PROSOL)</t>
  </si>
  <si>
    <t>Diffuser les bonnes pratiques de conservation et de restauration de la fertilité des sols pour enrayer l'érosion des terres au sein des zones productrices.</t>
  </si>
  <si>
    <t>P-0644-SNU-2017</t>
  </si>
  <si>
    <t>PROJET D'APPUI À LA SANTÉ DE REPRODUCTION DES JEUNES ET ADOLESCENTS OSV JORDAN</t>
  </si>
  <si>
    <t>PRÉVENTION ET SOINS DE BASE / SANTÉ MATERNELLE ET NÉONATALE</t>
  </si>
  <si>
    <t>Déployer des interventions d'éducation sexuelle et d'offre de soins de reproduction de base adaptées aux jeunes en milieu scolaire et associatif.</t>
  </si>
  <si>
    <t>P-0652-USAID-2017</t>
  </si>
  <si>
    <t>Réduire de manière drastique la transmission du paludisme dans les départements cibles à forte endémicité par l'aspersion murale résiduelle d'insecticide au sein des concessions.</t>
  </si>
  <si>
    <t>P-0655-Allemagne-2017</t>
  </si>
  <si>
    <t>PROMOTION DE L'AGRICULTURE (PROAGRI 3)</t>
  </si>
  <si>
    <t>Consolider la productivité des filières coton, riz, maïs et anacarde et structurer les organisations de producteurs pour maximiser l'accès aux intrants de qualité.</t>
  </si>
  <si>
    <t>P-0656-Allemagne-2017</t>
  </si>
  <si>
    <t>PROJET D’AEP DES ZONES PÉRIURBAINES DE GRAND COTONOU ET DE PORTO-NOVO</t>
  </si>
  <si>
    <t>Étendre de façon structurante le réseau de canalisations de la SONEB pour couvrir les besoins en eau potable des quartiers périphériques en forte expansion.</t>
  </si>
  <si>
    <t>P-0657-Belgique-2017</t>
  </si>
  <si>
    <t>PROGRAMME &lt;&lt;LEARNING ABOUT LIVING&gt;&gt;</t>
  </si>
  <si>
    <t>Développer des solutions numériques éducatives interactives au sein des collèges pour l'information des adolescents sur la santé de la reproduction.</t>
  </si>
  <si>
    <t>Belgique</t>
  </si>
  <si>
    <t>P-0658-Belgique-2017</t>
  </si>
  <si>
    <t>PROGRAMME DE LUTTE CONTRE LE MARIAGE DES ENFANTS</t>
  </si>
  <si>
    <t>Enrayer de façon structurelle le mariage précoce des filles par des plaidoyers communautaires, des appuis à la scolarisation et des veilles juridiques.</t>
  </si>
  <si>
    <t>P-0659-Belgique-2017</t>
  </si>
  <si>
    <t>PAORC (VOLET AGRICULTURE)</t>
  </si>
  <si>
    <t>Stimuler le développement des chaînes de valeur agricoles du Sud et Centre à travers la modernisation des petites infrastructures de commercialisation villageoises.</t>
  </si>
  <si>
    <t>Atacora, Donga, Mono, Couffo</t>
  </si>
  <si>
    <t>P-0660-Brésil-2017</t>
  </si>
  <si>
    <t>PROJET PILOTE DE RENFORCEMENT INSTITUTIONNEL DU SECTEUR PORTUAIRE DU BÉNIN</t>
  </si>
  <si>
    <t>INFRASTRUCTURES PORTUAIRES</t>
  </si>
  <si>
    <t>Transférer les outils de gestion d'ingénierie portuaire et de régulation maritime brésiliens pour accroître l'efficacité logistique du Port de Cotonou.</t>
  </si>
  <si>
    <t>P-0661-Canada-2017</t>
  </si>
  <si>
    <t>PROJET D'INSERTION DES DIPLÔMES DU SECTEUR AGROPASTORAL (IDDA)</t>
  </si>
  <si>
    <t>FORMATION AGROPASTORALE</t>
  </si>
  <si>
    <t>Accompagner l'installation autonome et le cofinancement des premiers plans d'affaires agropastoraux portés par de jeunes diplômés techniques nationaux.</t>
  </si>
  <si>
    <t>P-0662-Canada-2017</t>
  </si>
  <si>
    <t>PLAN POUR LES FILLES</t>
  </si>
  <si>
    <t>Promouvoir l'égalité des genres et l'autonomisation des filles en améliorant leur accès à l'éducation secondaire et en luttant contre les violences sexistes.</t>
  </si>
  <si>
    <t>P-0663-Canada-2017</t>
  </si>
  <si>
    <t>PROGRAMME CANADIEN DE VOLONTAIRES :ACCÈS INNOVATION</t>
  </si>
  <si>
    <t>Déployer des conseillers techniques volontaires pour renforcer la gestion et l'innovation au sein des organisations locales de développement.</t>
  </si>
  <si>
    <t>P-0664-Canada-2017</t>
  </si>
  <si>
    <t>PROGRAMME CANADIEN DE VOLONTAIRES :CUSO INTERNATIONAL</t>
  </si>
  <si>
    <t>Améliorer les opportunités économiques des jeunes et l'accès aux soins de santé maternelle grâce à l'assistance technique de coopérants volontaires.</t>
  </si>
  <si>
    <t>P-0665-Canada-2017</t>
  </si>
  <si>
    <t>SERVICES DE SANTÉ ESSENTIELS DES MÈRES ET DES ENFANTS</t>
  </si>
  <si>
    <t>Améliorer la qualité et la disponibilité des soins de santé primaires pour les femmes enceintes et les nouveau-nés dans les zones à faible couverture sanitaire.</t>
  </si>
  <si>
    <t>P-0666-Canada-2017</t>
  </si>
  <si>
    <t>VOIX ET LEADERSHIP DES FEMMES</t>
  </si>
  <si>
    <t>DÉVELOPPEMENT SOCIAL</t>
  </si>
  <si>
    <t>GENRE ET ÉQUITÉ</t>
  </si>
  <si>
    <t>Renforcer les capacités organisationnelles et financières des associations de défense des droits des femmes pour promouvoir l'égalité des genres.</t>
  </si>
  <si>
    <t>P-0667-COOPERATION SUISSE-2017</t>
  </si>
  <si>
    <t>Offrir une éducation alternative et une formation professionnelle adaptée aux enfants et jeunes exclus du système scolaire formel dans le Nord-Bénin.</t>
  </si>
  <si>
    <t>P-0668-COOPERATION SUISSE-2017</t>
  </si>
  <si>
    <t>PROGRAMME REDEVABILITÉ_ACCORD ENTRE LE BÉNIN ET LA SUISSE RELATIF À LA MISE EN ŒUVRE DU PROGRAMME</t>
  </si>
  <si>
    <t>TRANSPARENCE ET REDEVABILITÉ</t>
  </si>
  <si>
    <t>Améliorer la transparence publique et la gouvernance locale en renforçant les mécanismes de reddition de comptes et le contrôle citoyen.</t>
  </si>
  <si>
    <t>P-0669-COOPERATION SUISSE-2017</t>
  </si>
  <si>
    <t>APPUI AU RENFORCEMENT DES CAPACITÉS - EQUITÉ ET QUALITÉ POUR LE DÉVELOPPEMENT DES COMPÉTENCES (EQUDEC)</t>
  </si>
  <si>
    <t>FORMATION PROFESSIONNELLE ET DÉVELOPPEMENT DES COMPÉTENCES</t>
  </si>
  <si>
    <t>Optimiser les compétences techniques des administrations ruraux et appuyer la mise en œuvre équitable des plans de développement local.</t>
  </si>
  <si>
    <t>P-0670-COOPERATION SUISSE-2017</t>
  </si>
  <si>
    <t>ENTREPRENDRE SOLIDAIRE AVEC SON TERRITOIRE AU BÉNIN</t>
  </si>
  <si>
    <t>Stimuler le dynamisme des petites entreprises et groupements artisanaux ruraux en valorisant l'exploitation durable des ressources territoriales locales.</t>
  </si>
  <si>
    <t>P-0671-COOPERATION SUISSE-2017</t>
  </si>
  <si>
    <t>Consolider le processus de décentralisation dans les départements cibles par le renforcement de la gestion budgétaire et de la planification communale.</t>
  </si>
  <si>
    <t>P-0672-COOPERATION SUISSE-2017</t>
  </si>
  <si>
    <t>PROGRAMME D'APPUI À LA GESTION DÉCENTRALISÉE DE L'ALPHABÉTISATION (PAGEDA)</t>
  </si>
  <si>
    <t>Réduire l'analphabétisme en milieu rural, en particulier chez les femmes, à travers des programmes d'alphabétisation fonctionnelle liés aux métiers ruraux.</t>
  </si>
  <si>
    <t>P-0673-COOPERATION SUISSE-2017</t>
  </si>
  <si>
    <t>PROGRAMME D'APPUI À LA QUALITÉ DE L'EDUCATION  AU BÉNIN (PAQUE)</t>
  </si>
  <si>
    <t>PILOTAGE ET GOUVERNANCE DU SYSTÈME ÉDUCATIF</t>
  </si>
  <si>
    <t>Améliorer les performances des élèves à l'école primaire en renforçant la formation des instituteurs et l'évaluation pédagogique continue.</t>
  </si>
  <si>
    <t>P-0688-Japon-2017</t>
  </si>
  <si>
    <t>ASSISTANCE ALIMENTAIRE DE L'ANNÉE FISCALE 2016</t>
  </si>
  <si>
    <t>Stabiliser la disponibilité de denrées de base par la monétisation d'un don de céréales, générant un fonds d'appui aux microprojets sociaux ruraux.</t>
  </si>
  <si>
    <t>P-0689-Japon-2017</t>
  </si>
  <si>
    <t>PROJET D'APPROVISIONNEMENT EN EAU POTABLE À PARTIR DES EAUX SOUTERRAINES DES COMMUNES DE GLAZOUÉ ET DE DASSA</t>
  </si>
  <si>
    <t>Éliminer la pénurie structurelle d'eau dans les Collines en mobilisant les nappes souterraines pour alimenter les réseaux de distribution urbains.</t>
  </si>
  <si>
    <t>P-0690-Japon-2017</t>
  </si>
  <si>
    <t>PROJET DE CONSTRUCTION ET D'ÉQUIPEMENT DE CLASSES, DE LABAORATOIRE ET DE LATRINES AU COLÈGE D'ENSEIGNEMENT GÉNÉRAL DE DAN, DJIDJA</t>
  </si>
  <si>
    <t>Doter les lycées d'élite de modules de laboratoires scientifiques de physique-chimie modernes afin de renforcer la formation expérimentale pratique.</t>
  </si>
  <si>
    <t>P-0691-Japon-2017</t>
  </si>
  <si>
    <t>ASSISTANCE ALIMENTAIRE DE L’ANNÉE FISCALE 2019</t>
  </si>
  <si>
    <t>Contribuer à l'atténuation de la vulnérabilité nutritionnelle par le déploiement d'un stock stratégique céréalier d'appui aux communes prioritaires.</t>
  </si>
  <si>
    <t>P-0692-Japon-2017</t>
  </si>
  <si>
    <t>RENFORCEMENT DE GESTION DE FRONTIÈRE DANS LE NORD DU BÉNIN (REINFORCING OF BORDER MANAGEMENT IN NORTHEM BENIN)</t>
  </si>
  <si>
    <t>LUTTE CONTRE LES TRAFICS TRANSFRONTALIERS</t>
  </si>
  <si>
    <t>Optimiser le contrôle territorial et moderniser l'infrastructure des postes frontaliers cibles dans le septentrion face aux défis sécuritaires.</t>
  </si>
  <si>
    <t>Malanville, Karimama, Matéri</t>
  </si>
  <si>
    <t>Guéné, Porga</t>
  </si>
  <si>
    <t>P-0693-LuxDev-2017</t>
  </si>
  <si>
    <t>BEN/001 – APPUI À LA TRANSITION AGROÉCOLOGIQUE ET À LA MISE EN PLACE DE SYSTÈMES ALIMENTAIRES DURABLES (DELTA MONO)</t>
  </si>
  <si>
    <t>Promouvoir des modes de production agricoles durables et préserver la fertilité des terres par l'accompagnement technique de la transition agroécologique.</t>
  </si>
  <si>
    <t>Luxembourg</t>
  </si>
  <si>
    <t>LuxDev</t>
  </si>
  <si>
    <t>P-0694-LuxDev-2017</t>
  </si>
  <si>
    <t>BEN/003 – ÉCOLE DES MÉTIERS DU TOURISME, DE L'HÔTELLERIE ET DE LA RESTAURATION</t>
  </si>
  <si>
    <t>FORMATION PROFESSIONNELLE</t>
  </si>
  <si>
    <t>Construire et équiper un centre d'excellence de formation professionnelle moderne pour aligner les métiers de l'hôtellerie sur les standards internationaux.</t>
  </si>
  <si>
    <t>Atlantique, Littoral</t>
  </si>
  <si>
    <t>Ouidah, Cotonou</t>
  </si>
  <si>
    <t>P-0695-LuxDev-2017</t>
  </si>
  <si>
    <t>FINANCEMENT COMPLÉMENTAIRE ÉCOLE TOURISME HÔTELLERIE RESTAURATION</t>
  </si>
  <si>
    <t>Couvrir les besoins budgétaires additionnels d'équipement de pointe pour parachever les plateformes d'apprentissage pratique de l'ÉMTHR.</t>
  </si>
  <si>
    <t>P-0696-SNU-2017</t>
  </si>
  <si>
    <t>APPUI À LA PROFESSIONNALISATION DE LA FILIÈRE D’ELEVAGE CUNICOLE AU SUD-BÉNIN (APFECS)</t>
  </si>
  <si>
    <t>Diversifier les sources de revenus ruraux et améliorer la sécurité protéinique par le renforcement technique de la filière d'élevage de lapins.</t>
  </si>
  <si>
    <t>Atlantique, Ouémé, Mono</t>
  </si>
  <si>
    <t>Abomey-Calavi, Allada, Zè, Porto-Novo, Akpro-Missérété, Lokossa</t>
  </si>
  <si>
    <t>P-0697-SNU-2017</t>
  </si>
  <si>
    <t>PROGRAMME EDUCATION DE BASE</t>
  </si>
  <si>
    <t>Améliorer la qualité des apprentissages au primaire et soutenir l'équité d'accès scolaire au sein des localités ruraux défavorisées.</t>
  </si>
  <si>
    <t>P-0698-SNU-2017</t>
  </si>
  <si>
    <t>PROGRAMME SUIVIE ET DÉVELOPPEMENT DE L’ENFANT</t>
  </si>
  <si>
    <t>Assurer la protection holistique de la petite enfance face aux abus et à la déscolarisation via le réseau des centres de promotion sociale.</t>
  </si>
  <si>
    <t>P-0699-SNU-2017</t>
  </si>
  <si>
    <t>Fortifier les capacités de contrôle interne, assainir la gouvernance administrative et appuyer les organes de lutte contre la corruption publique.</t>
  </si>
  <si>
    <t>P-0700-SNU-2017</t>
  </si>
  <si>
    <t>PROJET D'APPUI AU MAINTIEN ET À LA CONSOLIDATION DE LA PAIX À TRAVERS LE RENFORCEMENT DES CAPACITÉS DU CENTRE DE PERFECTIONNEMENT AUX ACTIONS POST - CONFLICTUELLES DE DÉMINAGE ET DE DÉPOLLUTION (PAMCOPRC-CPADD) DE OUIDAH.</t>
  </si>
  <si>
    <t>RENFORCEMENT DES CAPACITÉS DES FORCES DE SÉCURITÉ</t>
  </si>
  <si>
    <t>Prévenir les risques de conflits locaux et consolider la cohésion sociale dans les zones frontalières par l'appui aux mécanismes de dialogue communautaire.</t>
  </si>
  <si>
    <t>P-0701-Turquie-2017</t>
  </si>
  <si>
    <t>FORMATION DE SAGE-FEMMES/INFIRMIÈRES EN TURQUIE</t>
  </si>
  <si>
    <t>Rehausser la qualité de la prise en charge obstétricale au Bénin en renforçant les compétences cliniques spécialisées des personnels de santé nationaux par des bourses de perfectionnement technique.</t>
  </si>
  <si>
    <t>P-0702-Turquie-2017</t>
  </si>
  <si>
    <t>FORMATION DES CADRES DU MINISTÈRE DES AFFAIRES ETRANGERES DU BÉNIN EN TURQUIE(DIPLOMATES)</t>
  </si>
  <si>
    <t>Optimiser l'efficacité de l'administration diplomatique béninoise à travers le renforcement des capacités des jeunes cadres du MAEC en négociation stratégique et en diplomatie économique.</t>
  </si>
  <si>
    <t>P-0703-USAID-2017</t>
  </si>
  <si>
    <t>Réduire l'incidence et contenir les risques d'épidémies en optimisant le système d'alerte épidémiologique et en formant les personnels hospitaliers aux protocoles de biosécurité.</t>
  </si>
  <si>
    <t>P-0704-USAID-2017</t>
  </si>
  <si>
    <t>ENQUÊTE DÉMOGRAPGHIQUE DE SANTÉ (EDS) 7</t>
  </si>
  <si>
    <t>Collecter et analyser des indicateurs statistiques nationaux fiables sur la démographie, la santé maternelle, infantile et la nutrition pour orienter les choix de politiques publiques.</t>
  </si>
  <si>
    <t>P-0705-USAID-2017</t>
  </si>
  <si>
    <t>PARTENARIAT AVEC LA FÉDÉRATION INTERNATIONALE DE LA CROIX ROUGE ET DU CROISSANT ROUGE</t>
  </si>
  <si>
    <t>Accroître la résilience des communautés face aux catastrophes climatiques en renforçant les dispositifs locaux de premiers secours et d'aide humanitaire d'urgence.</t>
  </si>
  <si>
    <t>P-0706-USAID-2017</t>
  </si>
  <si>
    <t>APPUI AUX SERVICES INTÉGRÉS DE SANTÉ AU BENIN</t>
  </si>
  <si>
    <t>PRÉVENTION ET SOINS DE BASE / SYSTÈMES DE SANTÉ ET GOUVERNANCE SANITAIRE</t>
  </si>
  <si>
    <t>Améliorer la gouvernance, la gestion clinique et la performance technique des hôpitaux de zone et des centres de santé dans les départements d'intervention cibles.</t>
  </si>
  <si>
    <t>Alibori, Borgou, Atacora, Donga, Ouémé, Plateau</t>
  </si>
  <si>
    <t>P-0712-Canada-2016</t>
  </si>
  <si>
    <t>PROGRAMME CANADIEN DES BOURSES DE LA FRANCOPHONIE (PCBF)</t>
  </si>
  <si>
    <t>Perfectionner l'encadrement supérieur au sein des ministères et universités du Bénin en offrant des bourses d'études de master et de doctorat au Canada.</t>
  </si>
  <si>
    <t>P-0713-Canada-2016</t>
  </si>
  <si>
    <t>PROJET D'AMÉLIORATION DE L'ACCÈS AU CRÉDIT POUR LES MICROENTREPRISES ET LES PETITES ENTREPRISES</t>
  </si>
  <si>
    <t>PME ET STARTUPS</t>
  </si>
  <si>
    <t>Stimuler le secteur privé local en octroyant des lignes de refinancement et en renforçant l'ingénierie de gestion des institutions de microfinance de base.</t>
  </si>
  <si>
    <t>P-0738-PAYS-BAS-2017</t>
  </si>
  <si>
    <t>PROGRAMME NÉERLANDAIS DE DÉVELOPPMENET DES CAPACITÉS DANS L'ENSEIGNEMENT POST-SECONDAIRE (NICHE)_AMENDEMENT AU PROTOCOLE D'ACCORD</t>
  </si>
  <si>
    <t>Élever la qualité de l'enseignement supérieur agronomique et technologique en finançant la modernisation des laboratoires de recherche de l'UAC et de l'UP.</t>
  </si>
  <si>
    <t>Atlantique, Borgou</t>
  </si>
  <si>
    <t>Abomey-Calavi, Parakou</t>
  </si>
  <si>
    <t>P-0189-AFD-2018</t>
  </si>
  <si>
    <t>Programme d'adaptation des villes aux changements climatiques (PAVICC)</t>
  </si>
  <si>
    <t>Renforcer la résilience des communes secondaires face aux risques climatiques par l'intégration de critères d'adaptation dans leurs outils de planification urbaine et le financement d'infrastructures d'assainissement ciblées. ; Mener à bien les investissements de génie civil et d'aménagement urbain pour la réhabilitation des bas-fonds et des réseaux de drainage pluvial dans les villes sélectionnées.</t>
  </si>
  <si>
    <t>Zou, Collines, Ouémé, Alibori</t>
  </si>
  <si>
    <t>Bohicon, Dassa-Zoumé, Comè, Kandi</t>
  </si>
  <si>
    <t>P-0190-AFD-2018</t>
  </si>
  <si>
    <t>Projet de Restructuration et d'Extension du Système de Répartition et de Distribution de la SBEE (PRESREDI)</t>
  </si>
  <si>
    <t>Co-financer la construction de nouvelles lignes de transport d'électricité moyenne tension souterraines et aériennes au sein de la commune d'Abomey-Calavi.</t>
  </si>
  <si>
    <t>P-0190-BAD-2018</t>
  </si>
  <si>
    <t>Améliorer la continuité et la fiabilité de la fourniture de l'électricité en modernisant les sous-stations de dispatching et en étendant les lignes de distribution de Cotonou et d'Abomey-Calavi. ; Accroître le taux de raccordement des usagers domestiques et industriels de la SBEE à travers la densification des transformateurs de basse et moyenne tension.</t>
  </si>
  <si>
    <t>P-0191-BID-2018</t>
  </si>
  <si>
    <t>Projet de réhabilitation du corridor Cotonou-Niamey : axe Béroubouay-Malanville (169,4 km)</t>
  </si>
  <si>
    <t>Moderniser et renforcer la structure de chaussée de la RNIE 2 sur le tronçon Béroubouay-Malanville pour sécuriser le trafic lourd régional vers le Niger et réduire le coût des transports. ; Financer la signalisation, les dispositifs de sécurité routière et les infrastructures douanières connexes nécessaires à la fluidification de ce corridor international.</t>
  </si>
  <si>
    <t>Bembérèké, Kandi, Malanville</t>
  </si>
  <si>
    <t>Béroubouay</t>
  </si>
  <si>
    <t>Vente à tempérament</t>
  </si>
  <si>
    <t>P-0192-FND-2018</t>
  </si>
  <si>
    <t>Projet d'investissement de résilience des zones côtières en Afrique de l'Ouest (WACA ResIP) Site de GBEKON</t>
  </si>
  <si>
    <t>Lutter contre l'avancée de la mer et l'inondation de la lagune côtière par des aménagements physiques spécifiques de stabilisation mécanique du site de Gbékon à Grand-Popo.</t>
  </si>
  <si>
    <t>Grand-Popo</t>
  </si>
  <si>
    <t>Gbékon</t>
  </si>
  <si>
    <t>P-0193-BM-2018</t>
  </si>
  <si>
    <t>Projet d'investissement de résilience des zones côtières en Afrique de l'Ouest (WACA ResIP)</t>
  </si>
  <si>
    <t>Protéger les communautés littorales vulnérables du Bénin et préserver les écosystèmes côtiers contre l'érosion marine et la pollution par une approche intégrée d'ingénierie côtière. ; Financer le renforcement des cadres réglementaires et institutionnels pour la gestion intégrée des zones côtières et la mise en œuvre de micro-projets de restauration environnementale.</t>
  </si>
  <si>
    <t>P-0193-FEM / GEF-2018</t>
  </si>
  <si>
    <t>Maximiser la conservation des zones humides, restaurer la biodiversité des mangroves dégradées et promouvoir la gestion durable des ressources halieutiques.</t>
  </si>
  <si>
    <t>P-0194-BGFI-2018</t>
  </si>
  <si>
    <t>Financement partiel par NICOLAS SROUJI ETABLISSEMENT COTE D'IVOIRE « NSE CI » des travaux d'aménagement et de bitumage des routes Toffo-Lalo (28,44 km), Lalo-Agbangnizoun-Abomey (32,51 km), avec les bretelles Agnagna-RNIE2 (2,4 km), Cana-Abomey (9,9 km), Abomey–Mougnon (6,5 km), Mougnon-CEG 2 Zakpo (8,20 km), CEG 2- Marché Bohicon (2,30 km) et Actel Bohicon (0,800 km), Mougnon-Djidja (16,5 km)</t>
  </si>
  <si>
    <t>Mobiliser les ressources bancaires pour l'exécution des travaux d'asphaltage de la liaison routière Toffo-Lalo afin de désenclaver cette importante zone de production agropastorale.</t>
  </si>
  <si>
    <t>Atlantique, Couffo</t>
  </si>
  <si>
    <t>Toffo, Lalo</t>
  </si>
  <si>
    <t>P-0195-BM-2018</t>
  </si>
  <si>
    <t>Projet Régional de Renforcement des Systèmes de Surveillance des Maladies en Afrique de l'Ouest (REDISSE III)</t>
  </si>
  <si>
    <t>Améliorer les capacités nationales et régionales du Bénin à détecter, notifier et riposter efficacement face aux menaces d'épidémies et de crises sanitaires majeures selon l'approche « Une seule santé ». ; Doter les laboratoires nationaux et les centres de santé de matériels de dépistage avancés et financer la formation continue des personnels épidémiologiques du pays.</t>
  </si>
  <si>
    <t>P-0196-BM-2018</t>
  </si>
  <si>
    <t>Programme d'accès Universel à l'Eau Potable en Milieu Rural AQUA-VIE</t>
  </si>
  <si>
    <t>Accélérer l'atteinte de l'accès universel à l'eau potable en milieu rural au Bénin par le financement et la construction à grande échelle de systèmes complexes d'AEP multi-villages. ; Confier l'exploitation technique et commerciale des adductions rurales à des opérateurs privés professionnels via un cadre d'affermage pour en assurer la pérennité.</t>
  </si>
  <si>
    <t>P-0197-BOAD-2018</t>
  </si>
  <si>
    <t>Tranche d'urgence du Programme d'Assainissement Pluvial de Cotonou</t>
  </si>
  <si>
    <t>Lancer de manière accélérée les travaux de construction des grands collecteurs d'eaux pluviales et de reconstruction de caniveaux dans les arrondissements les plus inondables de Cotonou.</t>
  </si>
  <si>
    <t>P-0198-BM-2018</t>
  </si>
  <si>
    <t>Projet de Nutrition et de Développement de la Petite Enfance (PNDPE).</t>
  </si>
  <si>
    <t>Améliorer l'accès à des services intégrés de nutrition, de santé de base et d'éveil de la petite enfance au sein des communes affichant une forte vulnérabilité communautaire.</t>
  </si>
  <si>
    <t>P-0199-BGFI-2018</t>
  </si>
  <si>
    <t>Financement par OFMAS INTERNATIONAL SA des travaux d'aménagement et de bitumage de la route Akpro Missérété – Pobè – Obèlè – frontière Nigeria (66,4km)</t>
  </si>
  <si>
    <t>Financer la modernisation et le bitumage lourd de cet axe routier stratégique reliant le département de l'Ouémé au Plateau et à la frontière nigériane afin de stimuler l'économie de transit.</t>
  </si>
  <si>
    <t>Akpro-Missérété, Pobè</t>
  </si>
  <si>
    <t>Obèlè</t>
  </si>
  <si>
    <t>P-0200-BM-2018</t>
  </si>
  <si>
    <t>Projet d'Appui aux Communes pour l'Expansion des Services Sociaux (ACCESS)</t>
  </si>
  <si>
    <t>Étendre le système de protection sociale de l'État par la distribution ciblée d'allocations monétaires (filets sociaux) et l'appui direct au financement des infrastructures sociales communales de base.</t>
  </si>
  <si>
    <t>P-0201-Allemagne-2018</t>
  </si>
  <si>
    <t>Projet d'asphaltage relatif à l'aménagement de routes à Cotonou (235 km), Porto-Novo (96Km) et Abomey-Calavi (235 km)</t>
  </si>
  <si>
    <t>Moderniser les réseaux de voirie urbaine des trois grandes municipalités du sud par le pavage/bitumage massif de rues, la pose de lampadaires solaires et la construction de collecteurs d'eaux.</t>
  </si>
  <si>
    <t>Cotonou, Porto-Novo, Abomey-Calavi</t>
  </si>
  <si>
    <t>P-0202-MUFG-2018</t>
  </si>
  <si>
    <t>Reprofilage de la dette intérieure du Bénin</t>
  </si>
  <si>
    <t>Optimiser la gestion des finances publiques de l'État béninois à travers le rachat de dettes de court terme à taux élevés et leur substitution par des lignes de crédit internationales de long terme à taux lissés.</t>
  </si>
  <si>
    <t>MUFG SECURITIES EMEA PLC</t>
  </si>
  <si>
    <t>MUFG</t>
  </si>
  <si>
    <t>P-0203-BM-2018</t>
  </si>
  <si>
    <t>Second Financement à l'Appui de la Politique de Développement pour les Reformes Fiscales et la Croissance</t>
  </si>
  <si>
    <t>Consolider l'équilibre macroéconomique national en soutenant les réformes de dématérialisation fiscale, de contrôle de la dépense de l'État et de renforcement du climat général des affaires.</t>
  </si>
  <si>
    <t>P-0204-OFID/OPEP-2018</t>
  </si>
  <si>
    <t>Projet de réhabilitation du corridor Cotonou-Niamey : Section Béroubouay-Malanville (169,4 km)</t>
  </si>
  <si>
    <t>Participer au plan de financement international global rattaché aux travaux lourds de renouvellement de la couche de roulement de la route Béroubouay-Kandi-Malanville.</t>
  </si>
  <si>
    <t>P-0205-BAD-2018</t>
  </si>
  <si>
    <t>Programme d'Appui à la compétitivité Economique du Bénin (PACEB)</t>
  </si>
  <si>
    <t>COMMERCIALE ET INTÉGRATION RÉGIONALE</t>
  </si>
  <si>
    <t>Améliorer la compétitivité des filières à fort potentiel d'exportation (agro-industrie, textile) par l'assainissement de la réglementation commerciale et l'appui institutionnel public. ; Soutenir les réformes de gouvernance du secteur privé et moderniser les guichets administratifs d'appui aux petites et moyennes entreprises nationales.</t>
  </si>
  <si>
    <t>P-0206-BOAD-2018</t>
  </si>
  <si>
    <t>Projet de viabilisation du site et de construction de 944 logements sociaux à Ouèdo dans la commune d'Abomey-Calavi au Bénin</t>
  </si>
  <si>
    <t>Financer la réalisation des infrastructures d'assainissement primaire, de voirie interne et de distribution d'électricité nécessaires pour viabiliser la cité résidentielle de Ouèdo. ; Ériger les bâtiments de logements collectifs et individuels de type social destinés à faciliter l'accession sécurisée à la propriété pour les salariés à revenus modestes. ; Réaliser les raccordements externes lourds du site aux réseaux de distribution d'eau potable de la SONEB et aux axes routiers nationaux environnants.</t>
  </si>
  <si>
    <t>Suivi d'exécution 2024</t>
  </si>
  <si>
    <t>Prêt Marchand | Prêt Souverain | Prêt concessionnel</t>
  </si>
  <si>
    <t>P-0207-BM-2018</t>
  </si>
  <si>
    <t>Projet de l'interconnexion électrique régionale de la dorsale nord</t>
  </si>
  <si>
    <t>Faciliter le commerce transfrontalier de l'électricité à haut voltage entre le Nigeria, le Niger, le Bénin et le Burkina Faso à travers la construction de postes d'interconnexion haute tension. ; Renforcer les capacités de régulation commerciale du Système d'Échanges d'Énergie Électrique Ouest-Africain (EEEOA) au niveau de son poste frontière à Malanville.</t>
  </si>
  <si>
    <t>Malanville</t>
  </si>
  <si>
    <t>P-0208-Pays-Bas-2018</t>
  </si>
  <si>
    <t>Deuxième phase du projet de protection de la côte à l'Est de Cotonou</t>
  </si>
  <si>
    <t>Prolongation et renforcement de la ligne d'épis maritimes lourds à l'est de Cotonou afin de pérenniser la protection de la route internationale Cotonou-Porto-Novo.</t>
  </si>
  <si>
    <t>P-0209-BM-2018</t>
  </si>
  <si>
    <t>Projet Régional pour l'Autonomisation des Femmes et le Dividende démographique (SWEDD) (Avance de fonds)</t>
  </si>
  <si>
    <t>Réaliser les études préparatoires et structurer le plan opérationnel national visant à améliorer l'accès des adolescentes aux services de santé sexuelle, d'éducation et d'autonomisation économique.</t>
  </si>
  <si>
    <t>P-0210-Rabobank et KBC Group-2018</t>
  </si>
  <si>
    <t>Avenant (crédit C) à l'accord de crédit relatif au financement du Projet de protection de la côte à l'Ouest de Cotonou : conception et réalisation des travaux de protection et de valorisation du segment prioritaire de côte à AVLEKETE et DJEGBADJI dans la commune de Ouidah</t>
  </si>
  <si>
    <t>Ajuster et compléter la ligne de crédit internationale pour parachever les travaux d'enrochement submergé et d'aménagement de la plage touristique d'Avlékété.</t>
  </si>
  <si>
    <t>Rabobank et KBC Group</t>
  </si>
  <si>
    <t>P-0211-COOPERATION SUISSE-2018</t>
  </si>
  <si>
    <t>Programmes Cantines Scolaires (ProCaS)</t>
  </si>
  <si>
    <t>Contribuer au maintien des enfants à l'école primaire et améliorer leur état nutritionnel rurale par l'approvisionnement régulier de cantines scolaires intégrées cogérées par les communautés.</t>
  </si>
  <si>
    <t>P-0212-BOAD-2018</t>
  </si>
  <si>
    <t>Avance de fonds pour la réalisation des études relatives au Projet de Développement de l'entreprenariat Artisanal au Bénin</t>
  </si>
  <si>
    <t>Conduire les enquêtes diagnostiques sectorielles et définir l'ingénierie d'aménagement de zones d'activités artisanales modernes destinées à structurer le secteur de l'artisanat.</t>
  </si>
  <si>
    <t>P-0213-BIDC-2018</t>
  </si>
  <si>
    <t>Projet de construction, de renforcement et de réhabilitation de 44 adductions d'eau villageoise en République du Bénin</t>
  </si>
  <si>
    <t>Augmenter la couverture en eau potable en milieu paysan par la réhabilitation lourde et la construction de 44 petits réseaux de pompage et de distribution d'eau villageois (AEV).</t>
  </si>
  <si>
    <t>P-0214-BIDC-2018</t>
  </si>
  <si>
    <t>Projet d'électrification rurale de cent (100) localités par le réseau centralisé en République du Bénin</t>
  </si>
  <si>
    <t>ÉLECTRIFICATION RURALE</t>
  </si>
  <si>
    <t>Raccorder cent localités rurales isolées au réseau interconnecté national de la SBEE pour favoriser le développement de petites activités de transformation et moderniser le cadre de vie.</t>
  </si>
  <si>
    <t>P-0215-BEI-2018</t>
  </si>
  <si>
    <t>Drainage eaux pluviales de Cotonou</t>
  </si>
  <si>
    <t>Financer le creusement de grands canaux collecteurs d'eaux de ruissellement et le reprofilage de caniveaux urbains pour prémunir les arrondissements bas de Cotonou contre les crues de saison.</t>
  </si>
  <si>
    <t>P-0378-BGFI-2018</t>
  </si>
  <si>
    <t>FINANCEMENT PARTIEL DES TRAVAUX D’AMÉNAGEMENT ET DE BITUMAGE DES ROUTES TOFFO-LALO (28,44 KM), LALO-AGBANGNIZOUN-ABOMEY (32,51 KM), AVEC LES BRETELLES AGNAGNA-RNIE2 (2,4 KM), CANA-ABOMEY (9,9 KM), ABOMEY –MOUGNON (6,5 KM), MOUGNON-CEG 2 ZAKPO (8,20 KM), CEG 2- MARCHÉ BOHICON (2,30 KM) ET ACTEL BOHICON (0,800 KM), MOUGNON DJIDJA (16,5 KM)</t>
  </si>
  <si>
    <t>Financer spécifiquement le bitumage et les aménagements d'assainissement connexes de la bretelle routière menant au poste frontière majeur d'Illara.</t>
  </si>
  <si>
    <t>Illara</t>
  </si>
  <si>
    <t>P-0379-BOAD-2018</t>
  </si>
  <si>
    <t>AVANCE DE FONDS POUR LA RÉALISATION DES ÉTUDES TECHNIQUE, ÉCONOMIQUE, ENVIRONNEMENTALE ET SOCIALE POUR LA CONSTRUCTION DU TRONÇON ANCIEN PONT DE COTINOU-LNB-HOTEL DU PORT-CEN SAD/EREVAN (5,8KM)</t>
  </si>
  <si>
    <t>Préparer les plans de génie civil et les modélisations d'ingénierie portuaire indispensables pour lancer les grands travaux d'agrandissement et de numérisation du Port Autonome de Cotonou.</t>
  </si>
  <si>
    <t>P-0390-Chine-2018</t>
  </si>
  <si>
    <t>EQUIPEMENTS MÉDICAUX À L'ENDROIT DE L'HÔPITAL DE PARAKOU</t>
  </si>
  <si>
    <t>INFRASTRUCTURES ET ÉQUIPEMENTS SANITAIRES</t>
  </si>
  <si>
    <t>Mettre aux normes opérationnelles le plateau technique d'imagerie, de réanimation et de chirurgie du Centre Hospitalier Départemental du Borgou à Parakou.</t>
  </si>
  <si>
    <t>CHD Borgou</t>
  </si>
  <si>
    <t>P-0395-Chine-2018</t>
  </si>
  <si>
    <t>RÉHABILIATION DU PALAIS DU CONGRÈS DE COTONOU</t>
  </si>
  <si>
    <t>INFRASTRUCTURES URBAINES ET LOGISTIQUES</t>
  </si>
  <si>
    <t>Rénover entièrement l'infrastructure du Palais des Congrès de Cotonou (génie civil, climatisation, acoustique) pour lui restituer ses capacités d'accueil d'envergure internationale.</t>
  </si>
  <si>
    <t>P-0407-BOAD-2018</t>
  </si>
  <si>
    <t>PROJET DE MODERNISATION ET D'EXTENSION DES RÉSEAUX DE LA SBEE DANS LES GRANDS CENTRES URBAINS DU BÉNIN (PROMER)</t>
  </si>
  <si>
    <t>Réhabiliter et densifier les réseaux de distribution d'électricité dans les principaux centres urbains pour assurer la continuité du service et réduire les pertes d'énergie.</t>
  </si>
  <si>
    <t>P-0414-OFID/OPEP-2018</t>
  </si>
  <si>
    <t>PROJET DE RÉHABILITATION ET DE MODERNISATION DES LYCÉES TECHNIQUES ET PROFESSIONNELS DE DJOUGOU ET DE OUIDAH</t>
  </si>
  <si>
    <t>Adapter l'offre de formation agropastorale nationale aux exigences modernes par la réhabilitation lourde des bâtiments et l'acquisition d'équipements de fermes-écoles intégrées.</t>
  </si>
  <si>
    <t>P-0421-BM-2018</t>
  </si>
  <si>
    <t>PROGRAMME D'APPUI À LA SÉCURISATION FONCIÈRE (TERRA BÉNIN)</t>
  </si>
  <si>
    <t>INVESTISSEMENTS PUBLICS ET PRIVÉS</t>
  </si>
  <si>
    <t>Moderniser et sécuriser la gouvernance foncière rurale et urbaine en appuyant le déploiement de l'Agence Nationale du Domaine et Foncier (ANDF) et la délivrance des titres de propriété.</t>
  </si>
  <si>
    <t>P-0458-COOPERATION SUISSE-2018</t>
  </si>
  <si>
    <t>PROGRAMME D'APPUI AUX FONDS NATIONAUX DE DÉVELOPPEMENT DU SECTEUR AGRICOLE</t>
  </si>
  <si>
    <t>Abonder les guichets financiers décentralisés de l'État pour assurer des subventions transparentes aux projets de mécanisation paysanne et d'équipements artisanaux.</t>
  </si>
  <si>
    <t>P-0484-Allemagne-2018</t>
  </si>
  <si>
    <t>CENTRE D’INNOVATIONS VERTES POUR LE SECTEUR AGRO-ALIMENTAIRE (PROCIVA)</t>
  </si>
  <si>
    <t>INNOVATION ET FILIÈRES</t>
  </si>
  <si>
    <t>Augmenter durablement la productivité et les revenus des petites exploitations par la diffusion d'innovations agricoles éco-responsables et le renforcement des chaînes de valeur.</t>
  </si>
  <si>
    <t>P-0488-Allemagne-2018</t>
  </si>
  <si>
    <t>PROGRAMME DE RENFORCEMENT DES STRUCTURES CENTRALES DE GOUVERNANCE (PRSCG), PHASE II (KFW)</t>
  </si>
  <si>
    <t>Améliorer la transparence administrative, l'efficacité des institutions de contrôle et la reddition des comptes au sein des ministères régaliens de l'État.</t>
  </si>
  <si>
    <t>P-0492-Brésil-2018</t>
  </si>
  <si>
    <t>PROJET COTON-4 + TOGO_PHASE2</t>
  </si>
  <si>
    <t>Améliorer la compétitivité technique de la filière cotonnière béninoise par la recherche agronomique partagée et l'introduction de semences à haut rendement.</t>
  </si>
  <si>
    <t>Alibori, Borgou, Zou, Collines</t>
  </si>
  <si>
    <t>Banikoara, Tchaourou</t>
  </si>
  <si>
    <t>P-0495-Canada-2018</t>
  </si>
  <si>
    <t>FONDS CANADIEN D'INITIATIVES LOCALES</t>
  </si>
  <si>
    <t>Appuyer de manière décentralisée des projets locaux à fort impact social en matière d'égalité des genres, de gouvernance démocratique et de protection de l'environnement.</t>
  </si>
  <si>
    <t>P-0507-MARCHE FINANCIER-2018</t>
  </si>
  <si>
    <t>Mobiliser par adjudication régionale les ressources financières d'investissements publics destinées aux grands chantiers routiers, agricoles et énergétiques du PAG.</t>
  </si>
  <si>
    <t>P-0513-SNU-2018</t>
  </si>
  <si>
    <t>Assurer la continuité opérationnelle des programmes de base en faveur de la réduction de la pauvreté, de la santé communautaire et de la gouvernance locale inclusive.</t>
  </si>
  <si>
    <t>P-0521-USAID-2018</t>
  </si>
  <si>
    <t>ACCÉLÉRER LA RÉDUCTION DE LA MORBIDITÉ ET LA MORTALITÉ LIÉES AU PALUDISME (ARM3)</t>
  </si>
  <si>
    <t>Assurer la distribution de moustiquaires à large échelle, standardiser les protocoles de prise en charge et sécuriser la disponibilité d'intrants antipaludiques.</t>
  </si>
  <si>
    <t>P-0536-Canada-2018</t>
  </si>
  <si>
    <t>AMÉLIORATION DE LA SANTÉ SEXUELLE ET REPRODUCTIVE ET DU RESPECT DES DROITS DES ADOLESCENTES AU BÉNIN (PASSRELLE)</t>
  </si>
  <si>
    <t>Assurer le libre choix en matière de contraception et renforcer l'offre éducative sur les droits sexuels des jeunes filles pour prévenir les décrochages scolaires.</t>
  </si>
  <si>
    <t>P-0541-SNU-2018</t>
  </si>
  <si>
    <t>PROGRAMME POLITIQUES SOCIALES, PLANIFICATION, SUIVI ET EVALUATION</t>
  </si>
  <si>
    <t>Consolider les mécanismes de ciblage des filets sociaux et perfectionner les outils statistiques d'évaluation d'impact des programmes de réduction de la pauvreté.</t>
  </si>
  <si>
    <t>P-0548-Allemagne-2018</t>
  </si>
  <si>
    <t>PROJET D'APPUI A LA  FONDATION DES SAVANES OUEST AFRICAINES (FSOA)</t>
  </si>
  <si>
    <t>Assurer la préservation écologique à long terme de la réserve de biosphère de la Pendjari et du parc du W en cofinançant les actions de surveillance et de capitalisation de la FSOA.</t>
  </si>
  <si>
    <t>P-0568-Canada-2018</t>
  </si>
  <si>
    <t>PROMOTION DE LA SANTÉ ET DES DROITS SEXUELS ET REPRODUCTIFS AU BÉNIN (PSDSR)</t>
  </si>
  <si>
    <t>Optimiser l'offre de soins néonataux, de maternité et de planification familiale au sein des centres de santé du Sud-Bénin à travers le renforcement des capacités des agents.</t>
  </si>
  <si>
    <t>Mono, Couffo, Zou, Collines</t>
  </si>
  <si>
    <t>P-0572-COOPERATION SUISSE-2018</t>
  </si>
  <si>
    <t>PROGRAMME DE RENFORCEMENT DES CAPACITÉS D'ACTIONS DES FEMMES (RECAFEM)</t>
  </si>
  <si>
    <t>Soutenir le leadership féminin rural et favoriser l'auto-emploi par la formation en gestion de coopératives et l'octroi d'équipements de transformation agropastorale.</t>
  </si>
  <si>
    <t>P-0599-SNU-2018</t>
  </si>
  <si>
    <t>PROJET DE PROMOTION DE PRODUCTION DURABLE DE BIOMASSE ÉLECTRICITÉ AU BÉNIN (BIOMASSE ENERGIE)</t>
  </si>
  <si>
    <t>Valoriser les résidus des récoltes agricoles pour la production d'énergie électrique propre et décentralisée au sein des localités rurales cibles.</t>
  </si>
  <si>
    <t>Savalou, Dassa-Zoumé, Djidja, Tchaourou</t>
  </si>
  <si>
    <t>P-0608-USAID-2018</t>
  </si>
  <si>
    <t>Dynamiser le développement à la base en cofinançant de petites infrastructures de santé, d'eau et de maraîchage portées par les communautés rurales rattachées.</t>
  </si>
  <si>
    <t>P-0610-USAID-2018</t>
  </si>
  <si>
    <t>SOUTIEN A LA GESTION GLOBALE DE L'ENVIRONNEMENT (GEMS II)</t>
  </si>
  <si>
    <t>GOUVERNANCE ENVIRONNEMENTALE</t>
  </si>
  <si>
    <t>Veiller à l'atténuation systématique des risques environnementaux au sein du portefeuille d'aide bilatérale afin de garantir un développement éco-responsable.</t>
  </si>
  <si>
    <t>P-0612-Allemagne-2018</t>
  </si>
  <si>
    <t>Promouvoir des techniques de gestion durable des terres afin de restaurer la fertilité des sols dégradés, d'augmenter les rendements agricoles et de sécuriser la production vivrière.</t>
  </si>
  <si>
    <t>P-0613-Allemagne-2018</t>
  </si>
  <si>
    <t>PROJET D’APPUI SCIENTIFIQUE AUX PROCESSUS DE PLANS NATIONAUX D’ADAPTATION (PAS-PNA) - GIZ</t>
  </si>
  <si>
    <t>Intégrer les données scientifiques sur le changement climatique dans l'élaboration des politiques budgétaires sectorielles pour accroître la résilience macroéconomique du pays.</t>
  </si>
  <si>
    <t>P-0614-Allemagne-2018</t>
  </si>
  <si>
    <t>PROMOTION DE LA FORMATION PROFESSIONNELLE (PROFOP)</t>
  </si>
  <si>
    <t>Accroître l'accès des jeunes au marché du travail par la rénovation technique de l'EFTP et la mise en œuvre de certifications professionnelles adaptées aux entreprises artisanales.</t>
  </si>
  <si>
    <t>P-0615-Belgique-2018</t>
  </si>
  <si>
    <t>APPUI MULTISECTORIEL A LA SÉCURITÉ ALIMENTAIRE ET NUTRITIONNELLE DANS L’ATACORA (AMSANA)</t>
  </si>
  <si>
    <t>Lutter contre la malnutrition chronique infantile dans l'Atacora à travers une approche intégrée associant la diversification agricole, l'accès à l'eau et l'éducation sanitaire.</t>
  </si>
  <si>
    <t>Natitingou, Boukoumbé, Cobly, Kérou, Kouandé, Matéri, Tanguiéta, Toucountouna, Péhunco</t>
  </si>
  <si>
    <t>P-0616-Brésil-2018</t>
  </si>
  <si>
    <t>PROJET PILOTE SUR LA MALADIE FALCIFORME OU DRÉPANOCYTOSE</t>
  </si>
  <si>
    <t>LUTTE CONTRE LES MALADIES NON TRANSMISSIBLES</t>
  </si>
  <si>
    <t>Structurer le dépistage précoce, améliorer le protocole de suivi clinique et faciliter l'accès aux traitements essentiels pour les enfants atteints de drépanocytose.</t>
  </si>
  <si>
    <t>P-0617-COOPERATION SUISSE-2018</t>
  </si>
  <si>
    <t>PROGRAMME D'APPUI À LA GESTION DÉCENTRALAISÉE DE L'ALPHABÉTISATION (PAGEDA)</t>
  </si>
  <si>
    <t>Accroître l'accès des adultes, particulièrement des femmes rurales, à l'alphabétisation fonctionnelle pour stimuler leur intégration dans l'économie locale.</t>
  </si>
  <si>
    <t>P-0618-COOPERATION SUISSE-2018</t>
  </si>
  <si>
    <t>PROGRAMME REDEVABILITÉ_ACCORD DE PARTICIPATION AUX COÛTS DES TIERCES PARTIES AVEC LA COOPÉRATION SUISSE</t>
  </si>
  <si>
    <t>Renforcer les cadres de dialogue entre élus locaux et citoyens afin d'ancrer les mécanismes de contrôle de l'action publique et de lutte contre la corruption communale.</t>
  </si>
  <si>
    <t>P-0619-COOPERATION SUISSE-2018</t>
  </si>
  <si>
    <t>PROGRAMME DE DÉVELOPPEMENT DES LNFRASTRUCTURES ECONOMIQUES ET MARCHANDES (PDIEM)</t>
  </si>
  <si>
    <t>Développer le potentiel agricole et artisanal du Nord en finançant la construction de gares routières, de marchés de regroupement et de centres de métiers équipés.</t>
  </si>
  <si>
    <t>P-0620-COOPERATION SUISSE-2018</t>
  </si>
  <si>
    <t>PROGRAMME D'APPUI À L'ÉDUCATION ET À LA FORMATION DES ENFANTS EXCLUS DU SYSTÈME ÉDUCATIF (PAEFE)</t>
  </si>
  <si>
    <t>Insérer socialement et professionnellement les enfants non scolarisés ou déscolarisés précoces par des cursus d'apprentissage alternatifs et des formations aux métiers.</t>
  </si>
  <si>
    <t>P-0630-Japon-2018</t>
  </si>
  <si>
    <t>PROJET DE CONSTRUCTION ET D'ÉQUIPEMENT DE CLASSES, DE LABAORATOIRE ET DE LATRINES AU COLÈGE D'ENSEIGNEMENT GÉNÉRAL DE SETTO, DJIDJA</t>
  </si>
  <si>
    <t>Offrir des infrastructures de recherche et d'expérimentation d'élite aux élèves des filières scientifiques par l'édification de blocs de laboratoires de pointe.</t>
  </si>
  <si>
    <t>P-0631-Japon-2018</t>
  </si>
  <si>
    <t>PROJET DE CONSTRUCTION ET D'ÉQUIPEMENT DE CLASSES, DE LABAORATOIRE ET DE LATRINES AU COLÈGE D'ENSEIGNEMENT GÉNÉRAL DE YAGBO, GLAZOUÉ</t>
  </si>
  <si>
    <t>Améliorer la qualité de l'apprentissage des matières physiques et chimiques dans les collèges d'enseignement général publics par la construction de salles de travaux pratiques.</t>
  </si>
  <si>
    <t>P-0632-Japon-2018</t>
  </si>
  <si>
    <t>PROJET DE CONSTRUCTION DE L’ECHANGEUR DU CARREFOUR VÊDOKO DANS LA VILLE DE COTONOU</t>
  </si>
  <si>
    <t>Moderniser le réseau routier urbain et supprimer définitivement le point noir routier de Cotonou par la construction d'un échangeur dénivelé majeur à Vèdoko.</t>
  </si>
  <si>
    <t>Vèdoko</t>
  </si>
  <si>
    <t>P-0633-Norvège-2018</t>
  </si>
  <si>
    <t>PROJET DE PROTECTION DE LA FAÇADE MARITIME ET DE CERTAINS POSTES FRONTALIERS TERRESTRES DU BÉNIN (EXPORT FINANCE NORWAY)</t>
  </si>
  <si>
    <t>Optimiser l'intégrité territoriale et sécuriser l'économie de transit en dotant la barrière littorale et les cordons frontaliers majeurs d'infrastructures de contrôle avancées.</t>
  </si>
  <si>
    <t>Littoral, Mono, Alibori, Plateau</t>
  </si>
  <si>
    <t>Cotonou, Grand-Popo, Malanville, Kétou</t>
  </si>
  <si>
    <t>Hillacondji, Guéné, Ilara</t>
  </si>
  <si>
    <t>Norvège</t>
  </si>
  <si>
    <t>P-0634-SNU-2018</t>
  </si>
  <si>
    <t>APPUI POUR LA PRÉPARATION ET LE SUIVI DU RECENSEMENT NATIONAL DE L’AGRICULTURE (RNA) DU BÉNIN</t>
  </si>
  <si>
    <t>Dotation de l'État en données statistiques agropastorales actualisées, fiables et exhaustives pour orienter la politique nationale de sécurité alimentaire.</t>
  </si>
  <si>
    <t>P-0635-SNU-2018</t>
  </si>
  <si>
    <t>ASSOCIATION BÉNINOISE POUR LA PROMOTION DE LA FAMILLE (ABPF)</t>
  </si>
  <si>
    <t>Soutenir les cliniques mobiles et fixes de l'ABPF pour étendre l'accès aux méthodes modernes de contraception et de soins de reproduction de proximité.</t>
  </si>
  <si>
    <t>P-0636-SNU-2018</t>
  </si>
  <si>
    <t>EAU POTABLE EN MILIEUR RURAL</t>
  </si>
  <si>
    <t>Réduire l'incidence des maladies hydriques en zone paysanne à travers le forage de puits équipés de pompes manuelles au sein de localités isolées.</t>
  </si>
  <si>
    <t>P-0637-SNU-2018</t>
  </si>
  <si>
    <t>GOUVERNANCE CONCERTÉE</t>
  </si>
  <si>
    <t>Promouvoir la cohésion sociale et la transparence démocratique en renforçant les cadres permanents de concertation entre les institutions de la République et la société civile.</t>
  </si>
  <si>
    <t>P-0638-SNU-2018</t>
  </si>
  <si>
    <t>INTENSIFICATION DURABLE DE LA PRODUCTION DU MAÏS CHEZ LES PETITS PRODUCTEURS DES DÉPARTEMENTS DE L’ALIBORI ET DU BORGOU AU BÉNIN</t>
  </si>
  <si>
    <t>Augmenter de façon éco-responsable les rendements de maïs des micro-exploitants par la diffusion d'intrants organiques performants et de techniques post-récolte.</t>
  </si>
  <si>
    <t>P-0639-SNU-2018</t>
  </si>
  <si>
    <t>PARTENARIAT POUR LE DÉVELOPPEMENT DE SYSTÈMES RIZICOLES DURABLES EN AFRIQUE SUBSAHARIENNE (COMPOSANTE BÉNIN)</t>
  </si>
  <si>
    <t>Améliorer l'autosuffisance en riz du Bénin en diffusant des variétés améliorées et en optimisant l'organisation des exploitants rizicoles de la vallée de l'Ouémé.</t>
  </si>
  <si>
    <t>P-0640-SNU-2018</t>
  </si>
  <si>
    <t>Protéger de manière globale les enfants contre les abus, le travail forcé et l'exploitation, en renforçant l'action des centres de promotion sociale de l'État.</t>
  </si>
  <si>
    <t>P-0641-SNU-2018</t>
  </si>
  <si>
    <t>PROJET ACCÈS À LA JUSTICE</t>
  </si>
  <si>
    <t>JUSTICE</t>
  </si>
  <si>
    <t>JUSTICE PÉNALE ET SÉCURITÉ JURIDIQUE</t>
  </si>
  <si>
    <t>Rapprocher le système judiciaire des citoyens vulnérables en modernisant les tribunaux de conciliation et en renforçant l'assistance juridique de proximité.</t>
  </si>
  <si>
    <t>P-0642-SNU-2018</t>
  </si>
  <si>
    <t>SUBVENTION AUX COMMUNES (TOUCOUNTOUNA_COPARGO_BANIKOARA_KARIMAMA_MALANVILLE)</t>
  </si>
  <si>
    <t>Renforcer les capacités d'investissement et la gestion administrative de cinq communes cibles pour améliorer l'accès des populations aux infrastructures socio-économiques de base.</t>
  </si>
  <si>
    <t>Atacora, Donga, Alibori</t>
  </si>
  <si>
    <t>Toucountouna, Copargo, Banikoara, Karimama, Malanville</t>
  </si>
  <si>
    <t>P-0643-SNU-2018</t>
  </si>
  <si>
    <t>ACCORD-CADRE DE COOPÉRATION BÉNIN UNESCO</t>
  </si>
  <si>
    <t>Promouvoir la préservation du patrimoine culturel immatériel, appuyer les réformes éducatives de l'enseignement technique et soutenir la recherche scientifique nationale.</t>
  </si>
  <si>
    <t>P-0644-SNU-2018</t>
  </si>
  <si>
    <t>Réduire les grossesses précoces en milieu scolaire et extrascolaire en facilitant l'accès des adolescents à l'information et à des services de santé de reproduction adaptés.</t>
  </si>
  <si>
    <t>P-0645-SNU-2018</t>
  </si>
  <si>
    <t>PROJET MTN/ZEMIDJAN_ASSISTANCE TECHNIQUE À MTN</t>
  </si>
  <si>
    <t>FORMATION NUMÉRIQUE ET INCLUSION DIGITALE</t>
  </si>
  <si>
    <t>Promouvoir l'inclusion financière et numérique des conducteurs de taxi-moto par le développement de services de paiement mobile et de micro-assurance adaptés.</t>
  </si>
  <si>
    <t>P-0646-SNU-2018</t>
  </si>
  <si>
    <t>PROJET DE DÉVELOPPEMENT DE L’AGROBUSINESS</t>
  </si>
  <si>
    <t>Professionnaliser et accroître la rentabilité des micros, petites et moyennes entreprises agricoles en structurant les chaînes de valeur de transformation locale.</t>
  </si>
  <si>
    <t>P-0647-SNU-2018</t>
  </si>
  <si>
    <t>SUBVENTION À CASH ZONE : PROJET DE RENFORCEMENT DU  RÉSEAU DE DISTRIBUTION DES FOURNISSEURS MOBILE MONEY DANS LES ZONES RURALES DU BÉNIN</t>
  </si>
  <si>
    <t>Densifier le maillage de points de services financiers de proximité pour distribuer des produits de micro-assurance destinés aux populations à faibles revenus.</t>
  </si>
  <si>
    <t>P-0648-Turquie-2018</t>
  </si>
  <si>
    <t>FORMATION DES CADRES DU MINISTÈRE DES AFFAIRES ETRANGERES DU BÉNIN EN TURQUIE(INFORMATICIENS)</t>
  </si>
  <si>
    <t>Renforcer les compétences techniques et diplomatiques des jeunes cadres du MAEC en matière de négociation internationale, de géopolitique et de diplomatie économique.</t>
  </si>
  <si>
    <t>P-0649-Turquie-2018</t>
  </si>
  <si>
    <t>PROJET DE SUPPORT D'OPÉRATIONS DE LA CATARACTE</t>
  </si>
  <si>
    <t>SOINS SPÉCIALISÉS</t>
  </si>
  <si>
    <t>Réduire la prévalence de la cécité évitable au Bénin en organisant des campagnes chirurgicales foraines gratuites de traitement de la cataracte.</t>
  </si>
  <si>
    <t>P-0650-Turquie-2018</t>
  </si>
  <si>
    <t>ASSISTANCE FINANCIÈRE EN MATIÈRE DE FORMATION MILITAIRE</t>
  </si>
  <si>
    <t>RENFORCEMENT DES FORCES DE SÉCURITÉ</t>
  </si>
  <si>
    <t>Accroître les capacités opérationnelles de défense et de maintien de la paix des forces armées béninoises par l'octroi d'appuis à la formation de haut niveau.</t>
  </si>
  <si>
    <t>P-0651-Turquie-2018</t>
  </si>
  <si>
    <t>BOURSES D'ÉTUDES SUPÉRIEURES ALLOUÉES AUX ÉTUDIANTS BÉNINOIS</t>
  </si>
  <si>
    <t>Faciliter l'accès à un enseignement supérieur de pointe à l'international pour les étudiants méritants des universités publiques nationales.</t>
  </si>
  <si>
    <t>P-0652-USAID-2018</t>
  </si>
  <si>
    <t>Réduire de façon draconienne la densité des vecteurs du paludisme dans les zones cibles du Nord par des campagnes annuelles de traitement insecticide interne des habitations.</t>
  </si>
  <si>
    <t>P-0653-USAID-2018</t>
  </si>
  <si>
    <t>RENFORCEMENT DE LA DIRECTION DE LA SANTÉ, DE LA MÈRE, ET DE L'ENFANT (DSME), MINISTÈRE DE LA SANTÉ</t>
  </si>
  <si>
    <t>Moderniser le pilotage technique national des politiques de maternité sans risque, de néonatalogie et de suivi nutritionnel au sein du Ministère de la Santé.</t>
  </si>
  <si>
    <t>P-0654-USAID-2018</t>
  </si>
  <si>
    <t>REDEVABILITÉ, PERFORMANCE ET PARTICIPATION (OCDE)</t>
  </si>
  <si>
    <t>Améliorer l'efficacité de l'aide internationale en alignant les critères de suivi-évaluation sur les normes de transparence de l'OCDE au niveau central.</t>
  </si>
  <si>
    <t>P-0739-Chine-2018</t>
  </si>
  <si>
    <t>ACCORD DE DON DE RIZ DU GOUVERNEMENT DE LA RÉPUBLIQUE POPULAIRE DE CHINE AU GOUVERNEMENT DE LA RÉPUBLIQUE DU BÉNIN AU TITRE DE L'ANNÉE 2018 D'UN MONTANT DE 30 MILLIONS DE YUAN RMD.</t>
  </si>
  <si>
    <t>Approvisionner l'Agence Nationale de Protection Civile en stocks céréaliers de secours pour assister d'urgence les localités victimes de crues fluviales.</t>
  </si>
  <si>
    <t>P-0740-USAID-2018</t>
  </si>
  <si>
    <t>Collecte des données de base pour le suivi du Plan de performance de USAID</t>
  </si>
  <si>
    <t>Établir la base de référence des indicateurs de santé publique et d'éducation pour mesurer de manière scientifique la performance de l'aide américaine au Bénin.</t>
  </si>
  <si>
    <t>P-0741-BM-2018</t>
  </si>
  <si>
    <t>PROGRAMME POUR LES RÉSULTATS DE RENFORCEMENT DU SYSTÈME DE SANTÉ (PRSS) AU BÉNIN. PFORR SANTÉ</t>
  </si>
  <si>
    <t>Financer le système de santé publique sur la base de l'atteinte d'indicateurs de résultats mesurables liés à la couverture vaccinale et à la qualité des soins.</t>
  </si>
  <si>
    <t>PforR</t>
  </si>
  <si>
    <t>P-0216-BCI-2019</t>
  </si>
  <si>
    <t>Eurobonds</t>
  </si>
  <si>
    <t>FINANCES PUBLIQUES</t>
  </si>
  <si>
    <t>Structurer et exécuter l'émission obligataire souveraine sur les marchés de capitaux internationaux afin de mobiliser les ressources nécessaires au financement à long terme des grands projets d'infrastructures de transport et d'énergie.</t>
  </si>
  <si>
    <t>Échéance financière souveraine (Pas de clôture de projet applicable)</t>
  </si>
  <si>
    <t>Eurobond</t>
  </si>
  <si>
    <t>P-0326-BCI-2019</t>
  </si>
  <si>
    <t>Projet Assurance pour le renforcement du capital humain</t>
  </si>
  <si>
    <t>Mettre en œuvre le paquet de protection sociale de base "ARCH" à travers l'octroi d'une couverture maladie universelle aux populations vulnérables, l'accès aux microcrédits et le renforcement des compétences techniques des artisans.</t>
  </si>
  <si>
    <t>P-0327-BAD-2019</t>
  </si>
  <si>
    <t>Projet d'aménagement et de bitumage des routes Djougou-Péhunco-Kérou-Banikoara (209,68 Km)</t>
  </si>
  <si>
    <t>Désenclaver la principale zone de production cotonnière et vivrière du Nord-Bénin en aménageant et bitumant l'axe routier reliant Djougou à Banikoara (la "Route du Coton") pour abaisser les coûts logistiques de transport. ; Construire les ouvrages d'art d'assainissement lourd requis le long de l'itinéraire, implanter les signalisations réglementaires de sécurité et financer les aménagements urbains d'intérêt local pour les communes traversées.</t>
  </si>
  <si>
    <t>Donga, Atacora, Alibori</t>
  </si>
  <si>
    <t>Djougou, Péhunco, Kérou, Banikoara</t>
  </si>
  <si>
    <t>Prêt concessionnel | Prêt non concessionnel</t>
  </si>
  <si>
    <t>P-0328-FKDEA-2019</t>
  </si>
  <si>
    <t>Projet d'AEP dans 3 villes Zangnanado, Covè et Boukoumbé</t>
  </si>
  <si>
    <t>Assurer un approvisionnement continu, fiable et sécurisé en eau potable pour les centres urbains et périurbains de trois communes cibles à travers la réhabilitation des stations de traitement de la SONEB et l'extension des canalisations.</t>
  </si>
  <si>
    <t>Zou, Atacora</t>
  </si>
  <si>
    <t>Zagnanado, Covè, Boukoumbé</t>
  </si>
  <si>
    <t>P-0329-FIDA / IFAD-2019</t>
  </si>
  <si>
    <t>Projet d'Appui au Développement Agricole et à l'Accès aux Marchés (PADAAM)</t>
  </si>
  <si>
    <t>Améliorer durablement la sécurité alimentaire, la nutrition et les revenus des petits producteurs à travers la structuration et la valorisation des chaînes de valeur riz, maïs et manioc dans les départements du Sud et du Centre.</t>
  </si>
  <si>
    <t>P-0329-OFID/OPEP-2019</t>
  </si>
  <si>
    <t>Participer au plan de financement international du PADAAM en appuyant l'aménagement d'infrastructures rurales de stockage et de pistes de desserte agricole pour désenclaver les bassins vivriers.</t>
  </si>
  <si>
    <t>P-0330-BADEA-2019</t>
  </si>
  <si>
    <t>Projet d'appui à l'université nationale d'agriculture (UNA) et à l'université nationale des sciences, technologies, ingénierie et mathématiques (UNSTIM)</t>
  </si>
  <si>
    <t>Élargir et moderniser les capacités académiques et de recherche appliquée des deux pôles universitaires thématiques nationaux par la construction d'amphithéâtres, de laboratoires scientifiques équipés et de résidences étudiantes.</t>
  </si>
  <si>
    <t>Plateau, Zou</t>
  </si>
  <si>
    <t>Kétou, Abomey</t>
  </si>
  <si>
    <t>P-0331-BAD-2019</t>
  </si>
  <si>
    <t>Projet d'Appui au Développement de la Filière Anacade et à l'Entreprenariat agricole (PADEFA-NA)</t>
  </si>
  <si>
    <t>Rehausser la valeur ajoutée et la compétitivité de la filière nationale de la noix de cajou par l'amélioration de la productivité des plantations, l'appui aux unités de transformation locale et la promotion de l'entrepreneuriat des jeunes.</t>
  </si>
  <si>
    <t>Borgou, Alibori, Donga, Atacora, Zou, Collines</t>
  </si>
  <si>
    <t>P-0332-BIDC-2019</t>
  </si>
  <si>
    <t>Financement complémentaire du projet d'équipement et de réhabilitation des formations sanitaires (PERFS-Bénin)</t>
  </si>
  <si>
    <t>Apporter l'enveloppe budgétaire additionnelle indispensable pour finaliser la mise aux normes techniques des plateaux médicaux et des blocs opératoires au sein des hôpitaux départementaux de référence.</t>
  </si>
  <si>
    <t>P-0333-AFD-2019</t>
  </si>
  <si>
    <t>Projet d'Extension et de Densification Electrique des réseaux de la SBEE (PEDER)</t>
  </si>
  <si>
    <t>Accroître le taux d'accès à l'électricité en étendant, renforçant et sécurisant les lignes de distribution moyenne et basse tension de la SBEE dans les agglomérations urbaines et périurbaines à forte croissance.</t>
  </si>
  <si>
    <t>P-0334-BM-2019</t>
  </si>
  <si>
    <t>Projet de Transformation Rurale Numérique du Bénin</t>
  </si>
  <si>
    <t>Accélérer l'inclusion numérique en milieu rural par le déploiement d'infrastructures de télécommunications haut débit de base et le développement de services numériques dédiés à l'amélioration de la productivité agricole.</t>
  </si>
  <si>
    <t>P-0335-BAD-2019</t>
  </si>
  <si>
    <t>Programme d'Appui à la compétitivité Economique du Bénin (PACEB) Phase 2</t>
  </si>
  <si>
    <t>ÉCONOMIE</t>
  </si>
  <si>
    <t>Approfondir les réformes visant à assainir la gestion des entreprises publiques, simplifier les cadres réglementaires commerciaux et stimuler la compétitivité des filières à fort potentiel d'exportation.</t>
  </si>
  <si>
    <t>P-0336-AFD-2019</t>
  </si>
  <si>
    <t>Ré Inventer Ganvié</t>
  </si>
  <si>
    <t>Préserver l'écosystème environnemental et valoriser l'attrait touristique de la cité lacustre de Ganvié à travers la réhabilitation des infrastructures sociocommunautaires, l'assainissement du lac et l'amélioration de l'habitat local.</t>
  </si>
  <si>
    <t>Sô-Ava</t>
  </si>
  <si>
    <t>Ganvié I, Ganvié II</t>
  </si>
  <si>
    <t>P-0337-BM-2019</t>
  </si>
  <si>
    <t>Projet de Gestion des Eaux Pluviales et de Résilience Urbaine (PAPC)</t>
  </si>
  <si>
    <t>ENVIRONNEMENT</t>
  </si>
  <si>
    <t>Réduire de manière structurelle les risques d'inondation dans la ville de Cotonou en finançant la construction de grands collecteurs de drainage des eaux de ruissellement et l'aménagement des voies urbaines connexes.</t>
  </si>
  <si>
    <t>P-0338-BID-2019</t>
  </si>
  <si>
    <t>Projet de logements sociaux et économiques à Ouèdo dans la commune d'Abomey-Calavi</t>
  </si>
  <si>
    <t>LOGEMENT</t>
  </si>
  <si>
    <t>Cofinancer l'édification de complexes de logements collectifs et individuels viabilisés sur le site de Ouèdo pour faciliter l'accès à un habitat décent et abordable aux foyers de la classe moyenne. ; Assurer la construction des infrastructures secondaires internes de voirie, d'assainissement pluvial et d'adduction d'eau potable spécifiques à la cité résidentielle de Ouèdo.</t>
  </si>
  <si>
    <t>P-0339-BAD-2019</t>
  </si>
  <si>
    <t>Projet d'Appui au Programme d'Assainissement Pluvial de la ville de Cotonou (PAPC)</t>
  </si>
  <si>
    <t>Mobiliser la tranche d'investissement rattachée au groupe de la BAD pour le calibrage et la construction de collecteurs d'assainissement pluvial de grande section au sein des arrondissements cibles de Cotonou.</t>
  </si>
  <si>
    <t>P-0340-BAD-2019</t>
  </si>
  <si>
    <t>Projet d'électrification rurale (PERU)</t>
  </si>
  <si>
    <t>Étendre le réseau d'électricité centralisé de la SBEE aux localités rurales isolées du pays afin de hausser le taux d'électrification rurale et de soutenir le développement de micro-unités de transformation.</t>
  </si>
  <si>
    <t>P-0341-BM-2019</t>
  </si>
  <si>
    <t>Premier financement à l'appui de la politique de développement pour les réformes fiscales et croissance</t>
  </si>
  <si>
    <t>Fournir un appui budgétaire direct destiné à accompagner les réformes de fond liées à la transparence financière, à l'efficacité de la gestion des investissements de l'État et au climat d'affaires privé.</t>
  </si>
  <si>
    <t>P-0364-Allemagne-2019</t>
  </si>
  <si>
    <t>FAITIÈRE DES CAISSES D'EPARGNE ET DE CRÉDIT AGRICOLE MUTUEL DU BÉNIN (FECECAM)</t>
  </si>
  <si>
    <t>Financer la digitalisation des processus et étendre les lignes de crédit agricole à faible taux octroyées par la FECECAM en milieu rural.</t>
  </si>
  <si>
    <t>P-0365-ATLANTIQUE BANK-2019</t>
  </si>
  <si>
    <t>PROJET D'AMÉNAGEMENT ET DE BITUMAGE DES TRONÇONS DE ROUTE ZINVIÉ-SÈDJÈDÉNOU-ZÈ, RNIE1 COCOCODJI-HÈVIÉ-OUÈDO, MISSÉSINTO-ZINVIÉ ET CALAVI KPOTA-OUÈDO_PRÉFINANCEMENT COMPLÉMENTAIRE</t>
  </si>
  <si>
    <t>Financer l'asphaltage accéléré du maillage viaire intra-communal d'Abomey-Calavi pour résorber les ruptures de trafic en saison des pluies.</t>
  </si>
  <si>
    <t>P-0369-UE-2019</t>
  </si>
  <si>
    <t>Assurer la continuité territoriale et la sécurité des transports urbains par l'édification d'un pont moderne franchissant le bas-fonds de Womey pour relier les quartiers d'Abomey-Calavi.</t>
  </si>
  <si>
    <t>P-0372-Chine-2019</t>
  </si>
  <si>
    <t>APPUI BUDGETAIRE DE LA CHINE</t>
  </si>
  <si>
    <t>Apporter des ressources financières d'ajustement au Trésor Public pour appuyer l'exécution des investissements d'infrastructures planifiés par l'action gouvernementale.</t>
  </si>
  <si>
    <t>P-0374-UE-2019</t>
  </si>
  <si>
    <t>CONTRIBUER À L’AMÉLIORATION DE LA PÉRENNITÉ ET SÉCURITÉ DU SYSTÈME  RÉGIONAL DE TRANSPORT ROUTIER.</t>
  </si>
  <si>
    <t>Optimiser la stabilité du réseau électrique interconnecté national par la modernisation des systèmes de régulation de la CEB et de la gestion de la distribution de la SBEE.</t>
  </si>
  <si>
    <t>P-0375-UE-2019</t>
  </si>
  <si>
    <t>DEVELOPPEMENT D'UN NOUVEAU SYSTÈME INFORMATIQUE DE GESTION DES FINANCES PUBLIQUES (SIGFP)</t>
  </si>
  <si>
    <t>Moderniser, sécuriser et accélérer la chaîne d'exécution des dépenses et des recettes publiques par la conception et le déploiement de la plateforme numérique SIGFIP au Ministère des Finances.</t>
  </si>
  <si>
    <t>P-0376-UE-2019</t>
  </si>
  <si>
    <t>ETUDES ROUTIÈRES STRATÉGIQUES</t>
  </si>
  <si>
    <t>Réaliser les études de faisabilité technique, de tracé géométrique et d'impact socio-environnemental requises pour calibrer le futur réseau d'asphaltage du pays.</t>
  </si>
  <si>
    <t>P-0377-BGFI-2019</t>
  </si>
  <si>
    <t>FINANCEMENT PAR OFMAS INTERNATIONAL SA DES TRAVAUX D'AMÉNAGEMENT ET DE BITUMAGE DE LA ROUTE AKPRO MISSÉRÉTÉ – POBÈ – OBÈLÈ – FRONTIÈRE NIGERIA (66,4 KM)</t>
  </si>
  <si>
    <t>Assurer la couverture financière commerciale pour moderniser et asphalter l'axe routier reliant l'Ouémé au Plateau jusqu'au poste frontière nigérian.</t>
  </si>
  <si>
    <t>P-0381-Pays-Bas-2019</t>
  </si>
  <si>
    <t>PROJET DE PROTECTION DE LA CÔTE À L'EST DE COTONOU_DEUXIÈME PHASE</t>
  </si>
  <si>
    <t>GESTION DES RISQUES ET CATASTROPHES NATURELLES / ENVIRONNEMENT ET BIODIVERSITÉ</t>
  </si>
  <si>
    <t>Réajuster les allocations budgétaires d'ingénierie côtière pour parachever sans interruption l'enrôlement en enrochements lourds du segment littoral est de Cotonou.</t>
  </si>
  <si>
    <t>P-0392-Chine-2019</t>
  </si>
  <si>
    <t>PROJET DE CONSTRUCTION DE L'INSTITUT CONFUCIUS ET DU DÉPARTEMENT DE SOCIOLOGIE ANTHROPOLOGIE À L'UNIVERSITÉ D'ABOMEY-CALAVI</t>
  </si>
  <si>
    <t>Développer le pôle d'enseignement linguistique supérieur par la construction d'un édifice moderne dédié à l'Institut Confucius et aux départements de langues de l'UAC.</t>
  </si>
  <si>
    <t>P-0397-UE-2019</t>
  </si>
  <si>
    <t>PROJET D’EXTENSION ET DE DENSIFICATION ELECTRIQUE DES RÉSEAUX  DE LA SBEE (PEDER)</t>
  </si>
  <si>
    <t>Financer le déploiement de nouveaux transformateurs et étendre le réseau de basse tension de la SBEE afin de raccorder massivement les foyers périurbains.</t>
  </si>
  <si>
    <t>P-0415-Pays-Bas-2018</t>
  </si>
  <si>
    <t>DURAGIRE (2023-2026)</t>
  </si>
  <si>
    <t>Assurer la sécurité hydrique nationale et préserver les écosystèmes aquatiques en ancrant durablement les principes de la Gestion Intégrée des Ressources en Eau (GIRE) dans les bassins fluviaux.</t>
  </si>
  <si>
    <t>P-0419-FSD-2019</t>
  </si>
  <si>
    <t>PROJET DE CONSTRUCTION DES LIGNES D'INTERCONNEXION 161 KV NATITINGOU–OUASSA PÉHUNCO–BANIKOARA–KANDI ET POSTES HT/MT ASSOCIÉS (NAOUABAKA)</t>
  </si>
  <si>
    <t>Sécuriser l'approvisionnement électrique de la région de l'Atacora et favoriser l'intégration du réseau électrique sous-régional par l'édification d'une ligne de transport haute tension jusqu'à la frontière du Burkina Faso.</t>
  </si>
  <si>
    <t>Natitingou, Toucountouna, Tanguiéta, Matéri</t>
  </si>
  <si>
    <t>Porga</t>
  </si>
  <si>
    <t>P-0471-Canada-2019</t>
  </si>
  <si>
    <t>LES SAGES-FEMMES SAUVENT DES VIES</t>
  </si>
  <si>
    <t>Réduire de manière structurelle la mortalité maternelle et néonatale par le renforcement des compétences cliniques et obstétricales d'urgence des sages-femmes.</t>
  </si>
  <si>
    <t>P-0476-SNU-2019</t>
  </si>
  <si>
    <t>SOUTENIR LA TRANSITION VERS DES SYSTÈMES ALIMENTAIRES DE L’AGRICULTURE INTELLIGENTE FACE AU CLIMAT (COMPOSANTE BÉNIN)</t>
  </si>
  <si>
    <t>Contribuer à la transition vers des systèmes alimentaires durables, résilients et intelligents face au climat, en renforçant les capacités nationales de planification, de gouvernance et d'innovation afin d'améliorer la sécurité alimentaire et l'adaptation aux changements climatiques.</t>
  </si>
  <si>
    <t>Cohérent avec les programmes du Système des Nations Unies (FAO/PNUD/PAM) - pas de document de projet spécifique cité</t>
  </si>
  <si>
    <t>P-0478-USAID-2019</t>
  </si>
  <si>
    <t>SOUTIEN AUX ORGANISATIONS INTERNATIONALES POUR LA PLANIFICATION FAMILIALE (SIFPO)</t>
  </si>
  <si>
    <t>Améliorer durablement l'état de santé des femmes, des nouveau-nés et des enfants en augmentant l'accès, la qualité et l'utilisation volontaire des services de planification familiale et de santé de la reproduction au Bénin.</t>
  </si>
  <si>
    <t>Documents techniques USAID relatifs au programme SIFPO (Strengthening Integrated Family Planning Program) - pas de lien officiel direct cité</t>
  </si>
  <si>
    <t>P-0483-Allemagne-2019</t>
  </si>
  <si>
    <t>PROJETS HORS PÔLES PRIORITAIRES :« EDUCATION PRIMAIRE »</t>
  </si>
  <si>
    <t>Construire, réhabiliter et équiper des modules de classes dans des zones rurales reculées affichant un fort déficit d'infrastructures scolaires publiques.</t>
  </si>
  <si>
    <t>P-0492-Brésil-2019</t>
  </si>
  <si>
    <t>Augmenter les rendements de la culture de l'or blanc par le partage de technologies d'amélioration variétale et de gestion environnementale des parcelles.</t>
  </si>
  <si>
    <t>P-0507-MARCHE FINANCIER-2019</t>
  </si>
  <si>
    <t>Mobiliser l'épargne régionale et les capitaux de marché pour assurer la couverture de la trésorerie publique dédiée aux grands travaux d'infrastructures physiques du PAG.</t>
  </si>
  <si>
    <t>Échéance financière souveraine (Pas de clôture de projet)</t>
  </si>
  <si>
    <t>P-0508-SNU-2019</t>
  </si>
  <si>
    <t>PROJET D’APPUI À L’OPÉRATIONNALISATION DES STRATÉGIES  DE DÉVELOPPEMENT (PASD)</t>
  </si>
  <si>
    <t>Renforcer les capacités techniques des ministères sectoriels dans l'intégration des ODD au sein des outils de planification nationale et locale.</t>
  </si>
  <si>
    <t>P-0518-SNU-2019</t>
  </si>
  <si>
    <t>Protéger les écosystèmes fluviaux et lutter contre la dégradation des berges à travers la restauration et la gestion participative des forêts galeries longeant les cours d'eau.</t>
  </si>
  <si>
    <t>P-0521-USAID-2019</t>
  </si>
  <si>
    <t>RÉDUIRE LA MORBIDITÉ ET MORTALITÉ LIÉES AU PALUDISME</t>
  </si>
  <si>
    <t>Base interne mabase (CODE PROJET: ACC-2018-USAID-0042)</t>
  </si>
  <si>
    <t>P-0546-Allemagne-2019</t>
  </si>
  <si>
    <t>PROGRAMME D’APPROVISIONNEMENT EN EAU ET ASSAINISSEMENT EN ZONE PÉRIURBAINE, PHASE II</t>
  </si>
  <si>
    <t>Augmenter durablement le taux de desserte en eau en milieu rural par la construction d'infrastructures d'AEP décentralisées et promouvoir l'assainissement de base familial.</t>
  </si>
  <si>
    <t>P-0547-Allemagne-2019</t>
  </si>
  <si>
    <t>Financer la mobilisation rapide d'experts sectoriels internationaux pour mener les études techniques préalables de maturation des futurs projets de la coopération allemande.</t>
  </si>
  <si>
    <t>P-0548-Allemagne-2019</t>
  </si>
  <si>
    <t>Consolider le capital de dotation de la FSOA afin de garantir un financement pérenne aux activités de conservation de la faune et de surveillance anti-braconnage des parcs du Nord.</t>
  </si>
  <si>
    <t>Horizon de capitalisation permanente (Pas de date de fin fixe)</t>
  </si>
  <si>
    <t>P-0549-Allemagne-2019</t>
  </si>
  <si>
    <t>FINANCEMENT RURAL AU BÉNIN</t>
  </si>
  <si>
    <t>Stimuler les investissements dans les exploitations agricoles familiales par la mise à disposition de lignes de crédit de campagne de long terme auprès des IMF rurales.</t>
  </si>
  <si>
    <t>P-0550-Allemagne-2019</t>
  </si>
  <si>
    <t>PROJET D'APPUI‑CONSEIL AUX POLITIQUES AGRICOLES (PROACPA)</t>
  </si>
  <si>
    <t>Renforcer les capacités de planification stratégique et d'analyse sectorielle du MAEP pour formuler des politiques publiques agricoles cohérentes et axées sur l'agribusiness.</t>
  </si>
  <si>
    <t>P-0551-Allemagne-2019</t>
  </si>
  <si>
    <t>PROJET DE RENFORCEMENT DE L'INFRASTRUCTURE DE QUALITÉ POUR LA FILIÈRE SOJA (PROQUAL)</t>
  </si>
  <si>
    <t>Sécuriser les exportations agroalimentaires béninoises en modernisant les laboratoires d'analyses agropastorales et en appuyant la mise aux normes de certification des produits locaux.</t>
  </si>
  <si>
    <t>P-0552-Allemagne-2019</t>
  </si>
  <si>
    <t>PROGRAMME D’APPUI À LA DÉCENTRALISATION ET AU DÉVELOPPEMENT COMMUNAL – FADEC V (KFW)</t>
  </si>
  <si>
    <t>Accroître l'efficacité de la gestion des finances locales communales et appuyer le déploiement d'infrastructures publiques d'intérêt de proximité gérées de façon transparente.</t>
  </si>
  <si>
    <t>P-0553-Allemagne-2019</t>
  </si>
  <si>
    <t>PROMOTION DE LA FORMATION PROFESSIONNELLE AU BÉNIN - GIZ</t>
  </si>
  <si>
    <t>Améliorer l'insertion professionnelle des jeunes par la modernisation de curricula axés sur l'apprentissage par la pratique et l'appui technique aux centres de formation d'EFTP.</t>
  </si>
  <si>
    <t>P-0554-Allemagne-2019</t>
  </si>
  <si>
    <t>PROMOTION DE L'AGRICULTURE (PROAGRI 4)</t>
  </si>
  <si>
    <t>Accroître la valeur ajoutée et structurer durablement les chaînes de valeur phares de l'anacarde, du soja, du karité et du maraîchage pour hausser les revenus des producteurs.</t>
  </si>
  <si>
    <t>P-0555-Belgique-2019</t>
  </si>
  <si>
    <t>PAORC (VOLET SANTÉ)</t>
  </si>
  <si>
    <t>INFRASTRUCTURES SANITAIRES / SOINS DE SANTÉ DE BASE</t>
  </si>
  <si>
    <t>Appuyer la restructuration du système de santé de base, moderniser les hôpitaux de zone cibles et renforcer la gestion logistique des dépôts départementaux de pharmacie.</t>
  </si>
  <si>
    <t>P-0556-Belgique-2019</t>
  </si>
  <si>
    <t>PROFI-VI</t>
  </si>
  <si>
    <t>Développer le potentiel entrepreneurial agricole des jeunes et des femmes ruraux à travers le cofinancement d'équipements légers de transformation agropastorale.</t>
  </si>
  <si>
    <t>P-0557-Belgique-2019</t>
  </si>
  <si>
    <t>PROFI-VO</t>
  </si>
  <si>
    <t>Aménager des pistes de desserte rurale et réhabiliter des infrastructures de stockage pour faciliter l'acheminement et la commercialisation des récoltes vivrières.</t>
  </si>
  <si>
    <t>P-0558-Belgique-2019</t>
  </si>
  <si>
    <t>PROGRAMME D’APPUI À LA SANTÉ SEXUELLE ET REPRODUCTIVE ET À L’INFORMATION SANITAIRE (P@SRIS)</t>
  </si>
  <si>
    <t>Améliorer les compétences entrepreneuriales et l'accès au marché pour les micros, petites et moyennes entreprises insérées dans les filières agricoles du Sud et Centre.</t>
  </si>
  <si>
    <t>P-0559-Brésil-2019</t>
  </si>
  <si>
    <t>PROJET PILOTE DE RENFORCEMENT INSTITUTIONNEL DE L'ÉDUCATION PROFESSIONNELLE ET TECHNOLOGIQUE DU BÉNIN DANS LES DOMAINES DE L'AGROCÉCOLOGIE ET DU COOPÉRATIVISME</t>
  </si>
  <si>
    <t>Transférer l'expertise brésilienne en pédagogie industrielle et technique pour moderniser l'enseignement dispensé au Lycée Technique d'Akassato.</t>
  </si>
  <si>
    <t>Abomey-Calavi, Cotonou</t>
  </si>
  <si>
    <t>P-0560-Canada-2019</t>
  </si>
  <si>
    <t>PLATEFORMES TECHNOLOGIQUES POUR L'ENGAGEMENT CIVIQUE ET L'AMÉLIORATION DES SYSTÈMES DE SANTÉ</t>
  </si>
  <si>
    <t>Moderniser et numériser la délivrance des actes administratifs centraux afin d'accroître l'efficacité des services publics rendus aux citoyens.</t>
  </si>
  <si>
    <t>P-0561-Canada-2019</t>
  </si>
  <si>
    <t>Professionnaliser les petites exploitations agricoles familiales en structurant leurs groupements coopératifs et en améliorant l'accès aux intrants de qualité.</t>
  </si>
  <si>
    <t>P-0562-Canada-2019</t>
  </si>
  <si>
    <t>PREVENIR LES MARIAGES PRÉCOCES ET FORCÉ AU BÉNIN (PROJEUNES)</t>
  </si>
  <si>
    <t>Protéger les adolescentes contre les mariages forcés dans le Nord en déployant des campagnes de sensibilisation et en renforçant les cellules d'écoute.</t>
  </si>
  <si>
    <t>P-0563-Canada-2019</t>
  </si>
  <si>
    <t>FONDS POUR L'OCTROI DE BOURSES POUR LES DIRIGEANTS AFRICAINS DE  DEMAIN</t>
  </si>
  <si>
    <t>Perfectionner les compétences de gestion publique des cadres et dirigeants de l'administration béninoise par l'octroi de bourses de formation supérieure.</t>
  </si>
  <si>
    <t>P-0564-Canada-2019</t>
  </si>
  <si>
    <t>PRÉVENIR LES MARIAGES PRÉCOCES ET FORCÉS AU BÉNIN (PROJEUNES)</t>
  </si>
  <si>
    <t>Consolider la protection juridique des filles vulnérables en appuyant la réinsertion scolaire des adolescentes victimes d'abus au sein des départements cibles.</t>
  </si>
  <si>
    <t>P-0565-Canada-2019</t>
  </si>
  <si>
    <t>PROGRAMME CANADIEN DE VOLONTAIRES : RÉSEAU AGRO INNOVATION</t>
  </si>
  <si>
    <t>Déployer des conseillers techniques agricoles volontaires auprès des coopératives de transformation pour diffuser des techniques d'emballage et de conservation.</t>
  </si>
  <si>
    <t>P-0566-Canada-2019</t>
  </si>
  <si>
    <t>PROJET D'APPUI À I'ACCROISSEMENT DES RECETTES INTÉRIEURES DU BÉNIN (PAARIB)</t>
  </si>
  <si>
    <t>Moderniser et numériser le système d'information de l'administration fiscale nationale pour élargir l'assiette d'imposition et sécuriser les recettes de l'État.</t>
  </si>
  <si>
    <t>P-0567-Canada-2019</t>
  </si>
  <si>
    <t>Assainir et renforcer la viabilité financière du secteur de la microfinance afin d'offrir des services d'épargne et de crédit sécurisés aux populations à faibles revenus.</t>
  </si>
  <si>
    <t>P-0568-Canada-2019</t>
  </si>
  <si>
    <t>Améliorer le recours des femmes et adolescents aux services de planification familiale et de santé sexuelle au sein de quatre départements du Sud et Centre.</t>
  </si>
  <si>
    <t>P-0569-COOPERATION SUISSE-2019</t>
  </si>
  <si>
    <t>PROGRAMME D'APPUI AU SECTEUR DU DEVELOPPEMENT RURAL (PASDER)</t>
  </si>
  <si>
    <t>Augmenter la sécurité alimentaire et dynamiser l'économie rurale du Nord en finançant de petits aménagements hydro-agricoles et de maîtrise de l'eau.</t>
  </si>
  <si>
    <t>P-0570-COOPERATION SUISSE-2019</t>
  </si>
  <si>
    <t>FONDS D'APPUI AU DÉVELOPPEMENT DES COMMUNES (FADEC)</t>
  </si>
  <si>
    <t>Assurer le transfert transparent de ressources budgétaires helvétiques aux communes pour la construction d'infrastructures marchandes et scolaires locales.</t>
  </si>
  <si>
    <t>P-0571-COOPERATION SUISSE-2019</t>
  </si>
  <si>
    <t>PROGRAMME D'APPUI AU SECTEUR DU DÉVCLOPPEMENT RURAL (PASDER )</t>
  </si>
  <si>
    <t>Financer le désenclavement par les pistes rurales pour faciliter l'acheminement des récoltes céréalières vers les marchés régionaux du septentrion.</t>
  </si>
  <si>
    <t>P-0572-COOPERATION SUISSE-2019</t>
  </si>
  <si>
    <t>Promouvoir l'autonomie financière et le leadership local des femmes en milieu rural à travers l'alphabétisation fonctionnelle et l'appui aux micro-activités.</t>
  </si>
  <si>
    <t>P-0588-FMI-2019</t>
  </si>
  <si>
    <t>APPUI BUDGÉTAIRE DU FMI</t>
  </si>
  <si>
    <t>Soutenir le programme de réformes macroéconomiques du gouvernement pour garantir la stabilité financière, optimiser la gestion de la dette publique et maintenir les dépenses sociales.</t>
  </si>
  <si>
    <t>Fonds Monétaire International</t>
  </si>
  <si>
    <t>FMI</t>
  </si>
  <si>
    <t>P-0589-Japon-2019</t>
  </si>
  <si>
    <t>PROJET DE CONSTRUCTION ET D'EQUIPEMENT DE CLASSES ET DE LABORATOIRE AU CEG 3 DE COMÈ</t>
  </si>
  <si>
    <t>Améliorer l'environnement d'apprentissage et renforcer l'excellence scientifique au secondaire par la construction de blocs pédagogiques et de laboratoires de physique-chimie équipés.</t>
  </si>
  <si>
    <t>P-0590-Japon-2019</t>
  </si>
  <si>
    <t>PROJET DE CONSTRUCTION D'UNE MARTERNITÉ AU CENTRE DE SANTÉ DE SÉHOUN, ABOMEY</t>
  </si>
  <si>
    <t>Améliorer l'accès à des soins obstétricaux de qualité et sécuriser les accouchements dans la localité de Sè en érigeant une infrastructure de maternité moderne et équipée.</t>
  </si>
  <si>
    <t>Houéyogbé</t>
  </si>
  <si>
    <t>Sè</t>
  </si>
  <si>
    <t>P-0591-Japon-2019</t>
  </si>
  <si>
    <t>PROJET DE CONSTRUCTION D’UNE CENTRALE PHOTOVOLTAIQUE DE 25 MW SUPPLÉMENTAIRE SUR LE SITE D’ILLOULOFIN DANS LA COMMUNE DE POBÈ</t>
  </si>
  <si>
    <t>Accroître la part des énergies renouvelables dans le mix national et renforcer l'autonomie énergétique du pays par la construction de la centrale solaire de Pobè.</t>
  </si>
  <si>
    <t>P-0592-LuxDev-2019</t>
  </si>
  <si>
    <t>PROJET BEN/004 FORMATION PRO AGRICOLE</t>
  </si>
  <si>
    <t>Moderniser les dispositifs d'apprentissage technique agricole et rural en alignant les formations des centres de métiers sur les besoins réels de l'économie agropastorale.</t>
  </si>
  <si>
    <t>P-0593-SNU-2019</t>
  </si>
  <si>
    <t>PROJET D’APPUI AU RENFORCEMENT INSTITUTIONNEL DE GESTION ET DE COORDINATION DES PROGRAMMES DE POPULATION(PROJET BEN08MOD)</t>
  </si>
  <si>
    <t>Optimiser l'efficacité de l'aide internationale et renforcer les outils de programmation budgétaire et de planification stratégique au niveau de l'administration centrale.</t>
  </si>
  <si>
    <t>P-0594-SNU-2019</t>
  </si>
  <si>
    <t>Contribuer à la baisse de la mortalité maternelle par la mise en place d'un système de notification, d'audit systématique et de riposte clinique face aux décès survenant en milieu hospitalier.</t>
  </si>
  <si>
    <t>P-0595-SNU-2019</t>
  </si>
  <si>
    <t>PROGRAMME CONJOINT D’APPUI DU SNU SUR LE VIH AU BÉNIN 2016-2020</t>
  </si>
  <si>
    <t>Réduire l'incidence de l'infection par le VIH et améliorer la qualité de vie des personnes vivant avec le virus par le renforcement de la prévention et de l'accès aux antirétroviraux.</t>
  </si>
  <si>
    <t>P-0596-SNU-2019</t>
  </si>
  <si>
    <t>PROGRAMME D’ALIMENTATION SCOLAIRE</t>
  </si>
  <si>
    <t>Accroître le taux de scolarisation et de rétention des enfants, notamment des filles, en fournissant un repas chaud quotidien équilibré au sein des écoles primaires rurales cibles.</t>
  </si>
  <si>
    <t>P-0597-SNU-2019</t>
  </si>
  <si>
    <t>PROJET D’APPUI À L’EGALITÉ DES SEXES ET À LA PROMOTION DU DROIT EN MATIÈRE DE PROCRÉATION (PROJET BEN08MOF)</t>
  </si>
  <si>
    <t>Promouvoir l'équité de genre et lutter contre les discriminations faites aux femmes à travers le renforcement des cadres juridiques et le soutien aux initiatives d'autonomisation.</t>
  </si>
  <si>
    <t>P-0598-SNU-2019</t>
  </si>
  <si>
    <t>Améliorer la gouvernance publique et l'efficacité des directions ministérielles centrales en modernisant leurs outils de gestion des ressources humaines et de suivi des politiques.</t>
  </si>
  <si>
    <t>P-0599-SNU-2019</t>
  </si>
  <si>
    <t>Développer les technologies de valorisation énergétique de la biomasse et structurer le marché des résidus agricoles pour générer de l'électricité décentralisée.</t>
  </si>
  <si>
    <t>P-0600-SNU-2019</t>
  </si>
  <si>
    <t>SUBVENTION À CIPTA_TRANSFORMATION DE L'ARACHIDE EN HUILE_GALETTES</t>
  </si>
  <si>
    <t>INDUSTRIE ET TRANSFORMATION</t>
  </si>
  <si>
    <t>Appuyer l'autonomisation économique des femmes transformatrices de Djougou en modernisant leurs équipements de production et en améliorant les conditions d'hygiène de la filière.</t>
  </si>
  <si>
    <t>Donga</t>
  </si>
  <si>
    <t>Djougou</t>
  </si>
  <si>
    <t>P-0601-SNU-2019</t>
  </si>
  <si>
    <t>SUBVENTION À LA DIRECTION GÉNÉRALE DE L'ENVIRONNEMENT ET DU CLIMAT</t>
  </si>
  <si>
    <t>Renforcer les capacités d'évaluation environnementale et de suivi des politiques de transition écologique de la DGEC face aux défis climatiques nationaux.</t>
  </si>
  <si>
    <t>P-0602-SNU-2019</t>
  </si>
  <si>
    <t>ASSISTANCE TECHNIQUE À MOOV : PROJET DE DÉVELOPPEMENT DU RÉSEAU DES AGENTS</t>
  </si>
  <si>
    <t>Accompagner l'extension des infrastructures numériques de télécommunications pour faciliter le raccordement et l'accès des administrations aux e-services de l'État.</t>
  </si>
  <si>
    <t>P-0603-SNU-2019</t>
  </si>
  <si>
    <t>Améliorer la délivrance des prestations publiques en modernisant les procédures d'état civil, d'immatriculation et d'accueil au sein des guichets administratifs territoriaux.</t>
  </si>
  <si>
    <t>P-0604-SNU-2019</t>
  </si>
  <si>
    <t>PROJET D'APPUI AU RENFORCEMENT DES CAPACITÉS DU PARLEMENT ET DES ORGANES DE GESTION DES ELECTIONS</t>
  </si>
  <si>
    <t>GOUVERNANCE ÉLECTORALE</t>
  </si>
  <si>
    <t>Consolider le rôle de contrôle de l'action gouvernementale et de vote des lois par la formation technique des cadres de l'Assemblée Nationale et l'appui aux commissions parlementaires.</t>
  </si>
  <si>
    <t>P-0605-USAID-2019</t>
  </si>
  <si>
    <t>Garantir la disponibilité continue d'intrants thérapeutiques et de combinaisons thérapeutiques à base d'artémisinine (CTA) dans les formations sanitaires publiques pour lutter contre le paludisme.</t>
  </si>
  <si>
    <t>P-0606-USAID-2019</t>
  </si>
  <si>
    <t>Sécuriser la chaîne d'approvisionnement nationale en produits contraceptifs modernes afin d'éviter les ruptures de stock au sein des cliniques de planification familiale.</t>
  </si>
  <si>
    <t>P-0607-USAID-2019</t>
  </si>
  <si>
    <t>ENQUÊTE QUANTITATIVE AUPRÈS DES MÉNAGES POUR LES ACTIVITÉS COMMUNAUTAIRES RELATIVES AUX INTERVENTIONS À IMPACT ÉLEVÉ (PIHI) - CEFORP</t>
  </si>
  <si>
    <t>Recueillir des données statistiques fiables sur le recours des populations aux soins primaires communautaires afin de réorienter les priorités budgétaires de santé de base.</t>
  </si>
  <si>
    <t>P-0608-USAID-2019</t>
  </si>
  <si>
    <t>Appuyer financièrement les initiatives de développement de proximité conçues par les communautés rurales en collaboration directe avec les volontaires sur le terrain.</t>
  </si>
  <si>
    <t>P-0609-USAID-2019</t>
  </si>
  <si>
    <t>PARTENARIAT AVEC LE SYSTÈME DES NATIONS-UNIES (UNAIDS) POUR LA LUTTE CONTRE LE VIH/SIDA</t>
  </si>
  <si>
    <t>Consolider la coordination multisectorielle et appuyer l'accès inclusif des populations hautement exposées aux outils de prévention et de dépistage du VIH.</t>
  </si>
  <si>
    <t>P-0610-USAID-2019</t>
  </si>
  <si>
    <t>Assurer la conformité environnementale et l'évaluation systématique des impacts des interventions d'aide bilatérale afin de minimiser les risques écologiques des projets d'infrastructures.</t>
  </si>
  <si>
    <t>P-0611-USAID-2019</t>
  </si>
  <si>
    <t>U.S. DEPARTMENT OF DEFENSE</t>
  </si>
  <si>
    <t>DÉFENSE / COOPÉRATION MILITAIRE</t>
  </si>
  <si>
    <t>Renforcer les capacités de sécurisation transfrontalière et de maintien de la paix des forces armées béninoises par l'octroi d'appuis logistiques et de formations tactiques.</t>
  </si>
  <si>
    <t>P-0342-SGB-2020</t>
  </si>
  <si>
    <t>CHU d'Abomey-calavi</t>
  </si>
  <si>
    <t>Financer l'acquisition, la livraison et l'installation d'équipements médico-techniques lourds et de pointe de niveau international pour le fonctionnement optimal du nouveau Centre Hospitalier Universitaire d'Abomey-Calavi. ; Couvrir les dépenses matérielles de génie civil et de gros œuvre liées à la construction de l'infrastructure physique centrale du complexe hospitalier d'Abomey-Calavi. ; Financer les raccordements techniques lourds, l'aménagement des voies d'accès au CHU et les infrastructures d'appui à la gestion administrative de l'hôpital.</t>
  </si>
  <si>
    <t>Société Générale Bénin</t>
  </si>
  <si>
    <t>SGB</t>
  </si>
  <si>
    <t>P-0343-FONROCHE-2020</t>
  </si>
  <si>
    <t>Projet pour la fourniture et l'installation de lampadaires solaires photovoltaïques pour l'éclairage public de voiries</t>
  </si>
  <si>
    <t>Moderniser et étendre le réseau d'éclairage public urbain et rural du Bénin par la fourniture et le déploiement de lampadaires solaires photovoltaïques autonomes de haute performance. ; Mobiliser la ligne de crédit commerciale internationale requise pour soutenir l'exécution logistique et le déploiement technique des équipements d'éclairage solaire dans les communes.</t>
  </si>
  <si>
    <t>Fonroche</t>
  </si>
  <si>
    <t>FONROCHE</t>
  </si>
  <si>
    <t>Crédit acheteur | Crédit fournisseur (crédit vendeur)</t>
  </si>
  <si>
    <t>P-0344-BM-2020</t>
  </si>
  <si>
    <t>Deuxième Projet des Centres d'Excellence Africains pour l'impact sur le developpement (CEA -Impact)</t>
  </si>
  <si>
    <t>Renforcer la qualité de la formation post-universitaire et la recherche scientifique appliquée en sciences mathématiques et en ingénierie à l'Université d'Abomey-Calavi pour répondre aux enjeux sectoriels de développement régionaux.</t>
  </si>
  <si>
    <t>P-0345-BIDC-2020</t>
  </si>
  <si>
    <t>Projet d'électrification par système solaires photovoltaiques de 750 infrastructures en République du Bénin</t>
  </si>
  <si>
    <t>Équiper 750 infrastructures sociocommunautaires (centres de santé et écoles rurales) en kits solaires autonomes pour améliorer les soins de nuit et les conditions d'étude.</t>
  </si>
  <si>
    <t>P-0346-BPI-France-2020</t>
  </si>
  <si>
    <t>Acquisition des véhicules de collecte de déchets ménagers sur le territoire du Grand Nokoué</t>
  </si>
  <si>
    <t>GESTION DES DÉCHETS ET RECYCLAGE</t>
  </si>
  <si>
    <t>Moderniser et renforcer la flotte de collecte de la Société de Gestion des Déchets Solides (SGDS) pour optimiser la salubrité urbaine dans les communes du Grand Nokoué.</t>
  </si>
  <si>
    <t>Banque Publique d’Investissement</t>
  </si>
  <si>
    <t>BPI-France</t>
  </si>
  <si>
    <t>P-0347-BM-2020</t>
  </si>
  <si>
    <t>Projet de préparation et de réponse au COVID-19 au Bénin</t>
  </si>
  <si>
    <t>Renforcer le système de santé béninois face à l'urgence sanitaire par le financement d'équipements de diagnostic, de protection et de réanimation médicale.</t>
  </si>
  <si>
    <t>P-0348-AFD-2020</t>
  </si>
  <si>
    <t>Projet d'Assainissement Pluvial de la ville de Cotonou</t>
  </si>
  <si>
    <t>Construire des collecteurs d'eaux pluviales de grand gabarit dans les zones critiques de Cotonou pour prémunir les populations contre les inondations cycliques.</t>
  </si>
  <si>
    <t>P-0349-NATIXIS-2020</t>
  </si>
  <si>
    <t>Projet SPIN / réhabilitation de la route Bohicon -Parakou</t>
  </si>
  <si>
    <t>Réhabiliter lourdement et moderniser la structure de la chaussée sur l'axe central RNIE 2 reliant Bohicon à Parakou pour fluidifier le trafic de marchandises. ; Financer les ouvrages de drainage connexes, la signalisation lourde et la sécurisation des traverses urbaines le long du corridor Bohicon-Parakou.</t>
  </si>
  <si>
    <t>Zou, Collines, Borgou</t>
  </si>
  <si>
    <t>Bohicon, Dassa-Zoumé, Glazoué, Ouèssè, Tchaourou, Parakou</t>
  </si>
  <si>
    <t>NATIXIS</t>
  </si>
  <si>
    <t>P-0350-BM-2020</t>
  </si>
  <si>
    <t>Projet de préparation et de riposte au COVID-19</t>
  </si>
  <si>
    <t>Étendre le dispositif national de surveillance épidémiologique et doter les cordons douaniers et aéroportuaires de systèmes de détection thermique et d'isolement.</t>
  </si>
  <si>
    <t>P-0351-AFD-2020</t>
  </si>
  <si>
    <t>Deuxième projet des centres d'Excellence de l'enseignement supérieur d'Afrique pour l'impact sur le développement (ACE Impact)</t>
  </si>
  <si>
    <t>Consolider le financement de la formation doctorale et de la recherche en sciences de l'eau et mathématiques appliquées au sein de l'Université d'Abomey-Calavi.</t>
  </si>
  <si>
    <t>P-0352-BM-2020</t>
  </si>
  <si>
    <t>Appui budgétaire complémentaire dans le cadre de la lutte contre la COVID-19</t>
  </si>
  <si>
    <t>Sécuriser la trésorerie de l'État pour atténuer les chocs macroéconomiques liés à la pandémie et maintenir le financement des filets sociaux essentiels.</t>
  </si>
  <si>
    <t>P-0353-BM-2020</t>
  </si>
  <si>
    <t>Projet d'Identification Unique pour l'intégration Régionale et l'inclusion en Afrique de l'Ouest (WURI)</t>
  </si>
  <si>
    <t>Mettre en place un système d'identification unique biométrique pour faciliter l'accès des citoyens, notamment les plus pauvres, aux services sociaux et financiers.</t>
  </si>
  <si>
    <t>P-0354-BM-2020</t>
  </si>
  <si>
    <t>Projet d'Appui à la Compétitivité des Filières et à la Diversification des Exportations (PACOFiDE) (Avance de fonds)</t>
  </si>
  <si>
    <t>Améliorer l'accès aux marchés et accroître la valeur d'exportation des filières ananas et anacarde par la certification et la modernisation logistique.</t>
  </si>
  <si>
    <t>P-0355-BADEA-2020</t>
  </si>
  <si>
    <t>Projet de transport et de distribution de l'électricité dans huit (08) départements</t>
  </si>
  <si>
    <t>Étendre le réseau de transport de la SBEE vers les chefs-lieux départementaux du Centre et du Nord pour stabiliser la tension électrique fournie aux PME. ; Financer le raccordement basse tension de milliers d'abonnés domestiques ruraux afin d'augmenter le taux national de couverture électrique.</t>
  </si>
  <si>
    <t>Alibori, Borgou, Atacora, Donga, Zou, Collines, Mono, Couffo</t>
  </si>
  <si>
    <t>P-0356-Allemagne-2020</t>
  </si>
  <si>
    <t>Extension du système d'Approvisionnement en Eau Potable (AEP) à Adjagbo dans la commune d'Abomey-Calavi</t>
  </si>
  <si>
    <t>Raccorder la localité d'Adjagbo au réseau central de la SONEB pour pallier le déficit d'eau potable lié à la forte poussée démographique périurbaine.</t>
  </si>
  <si>
    <t>Arrondissement d'Akassato</t>
  </si>
  <si>
    <t>Localité d'Adjagbo</t>
  </si>
  <si>
    <t>P-0357-BOC-2020</t>
  </si>
  <si>
    <t>Marina de Ouidah et infrastructures auxilliaires</t>
  </si>
  <si>
    <t>Aménager le complexe historique et touristique de la Marina de Ouidah pour accroître l'attractivité mémorielle internationale du Bénin.</t>
  </si>
  <si>
    <t>Bank of China Limited</t>
  </si>
  <si>
    <t>BOC</t>
  </si>
  <si>
    <t>P-0358-BAD-2020</t>
  </si>
  <si>
    <t>Programme d'appui à la réponse à la COVID-19</t>
  </si>
  <si>
    <t>Fournir un appui sectoriel d'urgence pour la gratuité des soins liés à la pandémie et soutenir le programme de résilience économique des entreprises locales.</t>
  </si>
  <si>
    <t>P-0359-BEI-2020</t>
  </si>
  <si>
    <t>Augmentation de la participation du Bénin au capital de ATI</t>
  </si>
  <si>
    <t>Augmenter la quote-part du Bénin au capital de l'ATI afin de réduire le coût d'assurance du risque souverain pour les grands projets d'investissements publics.</t>
  </si>
  <si>
    <t>Opération permanente de capitalisation</t>
  </si>
  <si>
    <t>P-0360-BEI-2020</t>
  </si>
  <si>
    <t>Financement pour la riposte contre la COVID-19</t>
  </si>
  <si>
    <t>Consolider l'achat de consommables médicaux lourds et moderniser le réseau des laboratoires hospitaliers régionaux de dépistage.</t>
  </si>
  <si>
    <t>P-0360-OFID/OPEP-2020</t>
  </si>
  <si>
    <t>Renforcer les capacités de stockage logistique du Ministère de la Santé pour la distribution rapide de fournitures médicales d'urgence sur le territoire.</t>
  </si>
  <si>
    <t>P-0361-BID-2020</t>
  </si>
  <si>
    <t>Financement de l'acquisition de produits pétroliers</t>
  </si>
  <si>
    <t>Financer par une ligne commerciale flexible l'importation de produits pétroliers raffinés afin de sécuriser l'approvisionnement énergétique des centrales électriques thermiques.</t>
  </si>
  <si>
    <t>P-0362-BM-2020</t>
  </si>
  <si>
    <t>Deuxième opération d'appui budgétaire relative à la gestion des finances publiques et à la transformation structurelle de l'Economie</t>
  </si>
  <si>
    <t>Soutenir les réformes de viabilité budgétaire, d'optimisation de la dette souveraine et de transparence dans la passation des marchés de l'État.</t>
  </si>
  <si>
    <t>P-0363-BM-2020</t>
  </si>
  <si>
    <t>Projet d'Inclusion Sociale des Jeunes</t>
  </si>
  <si>
    <t>Accroître l'accès des jeunes vulnérables, sans emploi ou non scolarisés, à des formations qualifiantes de courte durée et à des subventions de démarrage d'activité.</t>
  </si>
  <si>
    <t>P-0400-SGB-2018</t>
  </si>
  <si>
    <t>PROJET DE CONSTRUCTION D’UN HÔPITAL DE RÉFÉRENCE À ABOMEY CALAVI</t>
  </si>
  <si>
    <t>Édifier un pôle hospitalier de référence nationale de haut niveau doté de plateaux techniques de pointe à Abomey-Calavi pour limiter le recours aux évacuations sanitaires à l'étranger.</t>
  </si>
  <si>
    <t>Arrondissement de Calavi Centre</t>
  </si>
  <si>
    <t>P-0402-BID-2020</t>
  </si>
  <si>
    <t>PROJET D'APPUI D'URGENCE COVID-19 (PHASE I)</t>
  </si>
  <si>
    <t>Renforcer urgemment les capacités opérationnelles du système de santé national pour la détection précoce, la mise en quarantaine et la prise en charge thérapeutique des cas d'infection.</t>
  </si>
  <si>
    <t>P-0406-UE-2020</t>
  </si>
  <si>
    <t>PROJET FORSUN CENTRALE SOLAIRE</t>
  </si>
  <si>
    <t>Augmenter la part des énergies renouvelables dans le mix énergétique rural en construisant et en déployant des installations solaires photovoltaïques autonomes.</t>
  </si>
  <si>
    <t>P-0411-BAD-2020</t>
  </si>
  <si>
    <t>FINANCEMENT DE LA GARANTIE PARTIELLE DE CREDIT POUR LE FINANCEMENT DES OBJECTIFS DE DÉVELOPPEMENT DURABLE (GPC ODD)</t>
  </si>
  <si>
    <t>Faciliter la mobilisation de capitaux privés internationaux à des taux avantageux pour financer les infrastructures vertes et sociales de l'État grâce à un mécanisme de garantie souveraine.</t>
  </si>
  <si>
    <t>Opération continue liée aux maturités des obligations d'État émises (2032-2035)</t>
  </si>
  <si>
    <t>Garantie partielle de crédit</t>
  </si>
  <si>
    <t>P-0412-BOAD-2020</t>
  </si>
  <si>
    <t>PROJET DE DÉVELOPPEMENT DES INFRASTRUCTURES AGRICOLES ET DE DÉSENCLAVEMENT DE LA BASSE ET MOYENNE VALLÉE DE L'OUÉMÉ (PDIAD‑BMVO)</t>
  </si>
  <si>
    <t>Stimuler le potentiel agricole de la basse vallée de l'Ouémé en construisant des digues de protection, en aménageant des périmètres irrigués et en réhabilitant des pistes de desserte rurale.</t>
  </si>
  <si>
    <t>P-0483-Allemagne-2021</t>
  </si>
  <si>
    <t>Subvenir aux besoins d'infrastructures scolaires urgentes (construction de blocs de classes, mobilier) au sein de localités rurales isolées du Nord.</t>
  </si>
  <si>
    <t>P-0492-Brésil-2020</t>
  </si>
  <si>
    <t>Consolider le transfert de technologies agronomiques entre le Brésil et les pays d'Afrique de l'Ouest pour l'amélioration variétale et l'augmentation des rendements cotonniers.</t>
  </si>
  <si>
    <t>P-0531-Allemagne-2020</t>
  </si>
  <si>
    <t>Sécuriser l'accès aux terres pour les petits exploitants agricoles, en particulier les femmes, en appuyant l'élaboration de Plans Fonciers Ruraux (PFR) consensuels au niveau communal.</t>
  </si>
  <si>
    <t>P-0532-Allemagne-2020</t>
  </si>
  <si>
    <t>PROGRAMME SECTORIEL EAU POTABLE ET ASSAINISSEMENT (PROSEHA) - GIZ</t>
  </si>
  <si>
    <t>Consolider le cadre réglementaire national de l'eau et appuyer les communes dans la planification durable et l'entretien des réseaux de distribution hydraulique ruraux.</t>
  </si>
  <si>
    <t>P-0533-Belgique-2020</t>
  </si>
  <si>
    <t>PROGRAMME D’APPUI AU DÉVELOPPEMENT DES FILIÈRES AGRICOLES (PROFI)_CONVENTION DE SUBSIDE</t>
  </si>
  <si>
    <t>Accroître la valeur ajoutée et structurer la commercialisation locale et nationale des filières porteuses de l'anacarde et du maraîchage dans le Nord-Ouest.</t>
  </si>
  <si>
    <t>P-0534-Belgique-2020</t>
  </si>
  <si>
    <t>PROGRAMME DE DÉVELOPPEMENT DE L'ENTREPRENARIAT DANS LA FILIÈRE ANANAS, ANACARDE ET RIZ (DEFIA)</t>
  </si>
  <si>
    <t>Promouvoir l'auto-emploi des jeunes et des femmes par l'incubation, l'accès au micro-crédit et l'accompagnement managérial de petites agro-entreprises de transformation.</t>
  </si>
  <si>
    <t>P-0535-Canada-2020</t>
  </si>
  <si>
    <t>PROMOUVOIR UNE VISION COMMUNE AVEC LA COMMISSION DE L'UNION AFRICAINE (CUA) (AIDE MULTILATÉRALE)</t>
  </si>
  <si>
    <t>Renforcer les capacités de négociation diplomatique et d'intégration stratégique du Ministère des Affaires Étrangères pour aligner l'action nationale sur l'Agenda 2063 de l'UA.</t>
  </si>
  <si>
    <t>P-0536-Canada-2020</t>
  </si>
  <si>
    <t>Réduire le taux de grossesses précoces en milieu scolaire en offrant des services d'écoute, d'information et des soins de santé de reproduction adaptés aux adolescents.</t>
  </si>
  <si>
    <t>P-0537-Canada-2020</t>
  </si>
  <si>
    <t>PROJET DES SERVICES D'APPUI SUR LE TERRAIN AU BÉNIN (PSAT-BÉNIN)</t>
  </si>
  <si>
    <t>Assurer la coordination logistique, le suivi fiduciaire et l'évaluation technique de proximité de l'ensemble des projets financés par la coopération bilatérale canadienne.</t>
  </si>
  <si>
    <t>P-0539-Japon-2020</t>
  </si>
  <si>
    <t>ASSISTANCE ALIMENTAIRE DE L'ANNÉE FISCALE 2017</t>
  </si>
  <si>
    <t>Sécuriser la disponibilité céréalière nationale par l'importation de riz d'appui et alimenter le fonds de contrepartie dédié au financement de micro-infrastructures sociales.</t>
  </si>
  <si>
    <t>P-0540-Japon-2020</t>
  </si>
  <si>
    <t>PROJET DE CONSTRUCTION D'INFRASTRUCTURES ET D'ÉQUIPEMENT À L'EPP TISSAROU PEULH ET À L'EPP DAMADI-B, KANDI</t>
  </si>
  <si>
    <t>Améliorer les conditions de scolarisation au sein de la commune de Kpomassè par la construction d'un module de classes meublées et de blocs sanitaires à l'EPP Tokpa-Domè.</t>
  </si>
  <si>
    <t>P-0541-SNU-2020</t>
  </si>
  <si>
    <t>Optimiser le ciblage et l'évaluation d'impact des programmes d'assistance sociale de l'État par la modernisation du registre social unique (RSU) au Ministère des Affaires Sociales.</t>
  </si>
  <si>
    <t>P-0542-SNU-2020</t>
  </si>
  <si>
    <t>ASSISTANCE TECHNIQUE ET SUBVENTION À ALIDÉ: PROJET DE PARTENARIAT DE TYPE BANK TO WALLET-WALLET TO BANK AVEC MTN</t>
  </si>
  <si>
    <t>Renforcer les capacités techniques et de refinancement de l'institution de microfinance ALIDÉ pour étendre l'accès aux services financiers aux groupements urbains vulnérables.</t>
  </si>
  <si>
    <t>P-0543-USAID-2020</t>
  </si>
  <si>
    <t>Financer la recherche scientifique appliquée sur la résistance des moustiques aux insecticides afin d'optimiser l'efficacité des futures stratégies nationales de lutte contre le paludisme.</t>
  </si>
  <si>
    <t>P-0544-USAID-2020</t>
  </si>
  <si>
    <t>Appuyer les directions stratégiques ministérielles dans la conduite d'audits organisationnels et d'analyses d'impact pour accroître la performance de l'action publique.</t>
  </si>
  <si>
    <t>P-0545-USAID-2020</t>
  </si>
  <si>
    <t>U.S. DEPARTMENT OF STATE</t>
  </si>
  <si>
    <t>RELATIONS INTERNATIONALES</t>
  </si>
  <si>
    <t>Faciliter les actions de coopération technique bilatérale directe en matière de sécurité, de justice et d'appui institutionnel aux droits de l'homme gérées par la chancellerie.</t>
  </si>
  <si>
    <t>P-0216-EUROBOND-2021</t>
  </si>
  <si>
    <t>Lever des fonds sur les marchés financiers internationaux à des conditions de taux et de maturité optimales pour financer les projets d'infrastructures majeurs du Programme d'Action du Gouvernement (PAG). ; Assurer le refinancement de dettes existantes moins favorables et optimiser la trésorerie souveraine de l'État pour garantir la continuité des investissements publics de développement.</t>
  </si>
  <si>
    <t>Échéance obligataire lissée sur le long terme</t>
  </si>
  <si>
    <t>Emprunt obligataire international</t>
  </si>
  <si>
    <t>EUROBOND</t>
  </si>
  <si>
    <t>P-0217-FKDEA-2021</t>
  </si>
  <si>
    <t>Projet des Services pour le Développement Agricole (PDSA)</t>
  </si>
  <si>
    <t>Améliorer la productivité et la compétitivité des chaînes de valeur agricoles en renforçant l'accès des exploitants aux conseils techniques, aux intrants de qualité et aux infrastructures de commercialisation.</t>
  </si>
  <si>
    <t>P-0218-NATIXIS-2021</t>
  </si>
  <si>
    <t>Projet d’accès durable et sécurisé du Bénin à l’énergie électrique (‘PADSBEE’)</t>
  </si>
  <si>
    <t>Moderniser et développer le réseau de transport et de distribution d'électricité haute et moyenne tension afin de sécuriser l'approvisionnement des pôles économiques et industriels du Sud-Bénin.</t>
  </si>
  <si>
    <t>Atlantique, Littoral, Ouémé, Zou</t>
  </si>
  <si>
    <t>Abomey-Calavi, Ouidah, Zè, Cotonou, Porto-Novo, Sèmè-Podji, Bohicon</t>
  </si>
  <si>
    <t>Suivi d'exécution 2026 (Infrastructures en cours de déploiement)</t>
  </si>
  <si>
    <t>P-0219-AFD-2021</t>
  </si>
  <si>
    <t>Projet de construction du musée de l’Epopée des Amazones et des Rois du Danhomè et de réhabilitation du site des palais royaux d’Abomey</t>
  </si>
  <si>
    <t>Valoriser le patrimoine culturel et historique matériel du Bénin par la construction d'un complexe muséal moderne et la restauration des palais royaux classés à Abomey pour stimuler l'économie touristique. ; Améliorer la scénographie, appuyer la conservation des œuvres d'art et renforcer les capacités professionnelles des acteurs nationaux de la gestion du patrimoine et du tourisme culturel.</t>
  </si>
  <si>
    <t>Abomey</t>
  </si>
  <si>
    <t>Chantier en cours (Horizon de fin 2026-2027)</t>
  </si>
  <si>
    <t>P-0220-Allemagne-2021</t>
  </si>
  <si>
    <t>Projet de construction d’un pont sur le lac Toho, d’aménagement et de bitumage de la RN 36 et de la route Guesso sud-Fô Bour- Sinendé et de renforcement de la route Comé- Possotomé- Bopa- Zoungbonou sur financement de Deutsch Bank</t>
  </si>
  <si>
    <t>Rénover et construire des axes routiers et des ouvrages d'art structurants pour désenclaver les zones de production agricole du Nord et du Sud, et stimuler le potentiel halieutique et touristique autour du lac Toho.</t>
  </si>
  <si>
    <t>Borgou, Mono, Couffo</t>
  </si>
  <si>
    <t>Bembérèké, Sinendé, Comè, Bopa, Klouékanmè</t>
  </si>
  <si>
    <t>Guessou Sud, Possotomé, Zoungbonou</t>
  </si>
  <si>
    <t>P-0221-BEI-2021</t>
  </si>
  <si>
    <t xml:space="preserve">Projet d'Assainissement Pluvial des villes secondaires </t>
  </si>
  <si>
    <t>Réduire de manière structurelle la vulnérabilité aux inondations de huit communes intermédiaires par la construction de grands réseaux de collecteurs d'eaux pluviales et l'aménagement des voies de desserte connexes.</t>
  </si>
  <si>
    <t>Atlantique, Ouémé, Borgou, Zou, Donga, Atacora, Mono, Collines</t>
  </si>
  <si>
    <t>Abomey-Calavi, Porto-Novo, Parakou, Bohicon, Djougou, Natitingou, Lokossa, Dassa-Zoumé</t>
  </si>
  <si>
    <t>P-0222-BM-2021</t>
  </si>
  <si>
    <t xml:space="preserve">Financement additionnel du Projet de Compétitivité et de Tourisme Transfrontalier (PCTT), </t>
  </si>
  <si>
    <t>Consolider et étendre les investissements de mise en valeur des sites historiques de Ouidah et améliorer l'environnement d'affaires pour les micros, petites et moyennes entreprises de l'industrie touristique.</t>
  </si>
  <si>
    <t>P-0223-BM-2021</t>
  </si>
  <si>
    <t xml:space="preserve"> Projet d’Augmentation de l’Accès à l’Électricité</t>
  </si>
  <si>
    <t>Accroître l'accès à l'électricité de réseau pour les ménages, les entreprises et les infrastructures publiques clés par l'extension et la densification des réseaux de distribution périurbains et ruraux de la SBEE.</t>
  </si>
  <si>
    <t>P-0224-BID-2021</t>
  </si>
  <si>
    <t>Projet d'Assainissement Pluviales de la Ville de Cotonou</t>
  </si>
  <si>
    <t>Améliorer de façon pérenne la résilience urbaine et les conditions de vie des habitants de Cotonou en finançant la construction de collecteurs majeurs d'eaux pluviales et le pavage de rues associées.</t>
  </si>
  <si>
    <t>P-0225-BID-2021</t>
  </si>
  <si>
    <t>Projet LLF « Combler les Ecarts : Santé Communautaire, Ressources Humaines et Nutrition »</t>
  </si>
  <si>
    <t>Réduire la mortalité maternelle et infantile en renforçant l'offre de soins de santé primaires, en optimisant la formation des agents communautaires et en améliorant l'état nutritionnel des enfants vulnérables.</t>
  </si>
  <si>
    <t>P-0226-BADEA-2021</t>
  </si>
  <si>
    <t>projet de construction de 20 mille logements sociaux</t>
  </si>
  <si>
    <t>Favoriser l'accès à un habitat décent et abordable pour les populations urbaines à revenus modestes et moyens à travers le cofinancement du programme national d'édification de logements sociaux.</t>
  </si>
  <si>
    <t>Atlantique, Ouémé, Borgou</t>
  </si>
  <si>
    <t>Abomey-Calavi, Porto-Novo, Parakou</t>
  </si>
  <si>
    <t>Aménagements résidentiels en cours (2026)</t>
  </si>
  <si>
    <t>P-0227-FIDA / IFAD-2021</t>
  </si>
  <si>
    <t xml:space="preserve"> Programme régional d'intégration par les marchés agricoles (PRIMA)</t>
  </si>
  <si>
    <t>Accroître de façon durable la productivité et la résilience climatique des petites exploitations familiales insérées dans les chaînes de valeur agricoles des départements cibles. ; Améliorer l'accès des acteurs des filières agricoles à des services financiers ruraux adaptés, durables et à des opportunités d'affaires inclusives le long des corridors de commercialisation.</t>
  </si>
  <si>
    <t>Collines, Zou, Couffo, Mono, Ouémé, Plateau</t>
  </si>
  <si>
    <t>P-0227-OFID/OPEP-2021</t>
  </si>
  <si>
    <t>Programme régional d'intégration par les marchés agricoles (PRIMA)</t>
  </si>
  <si>
    <t>Stimuler le commerce agricole sous-régional et accroître les revenus des petits producteurs en finançant l'aménagement de marchés de regroupement et le désenclavement des zones de production.</t>
  </si>
  <si>
    <t>P-0228-FIDA / IFAD-2021</t>
  </si>
  <si>
    <t>Projet d’appui au développement agricole et à l’accès au marché (PADAAM)_Amendement</t>
  </si>
  <si>
    <t>Consolider et intensifier les appuis alloués aux filières riz, maïs et manioc pour sécuriser la souveraineté alimentaire nationale et maximiser l'accès aux marchés des coopératives.</t>
  </si>
  <si>
    <t>P-0229-Japon-2021</t>
  </si>
  <si>
    <t xml:space="preserve">Projet de réhabilitation du Centre International de Conférence et de Bénin Marina Hôtel </t>
  </si>
  <si>
    <t>Moderniser et mettre aux normes internationales les infrastructures d'accueil événementiel et hôtelier d'État afin de dynamiser le tourisme d'affaires au Bénin.</t>
  </si>
  <si>
    <t>P-0230-Norvège-2021</t>
  </si>
  <si>
    <t xml:space="preserve">Financement relatif au « Projet de protection de la façade maritime et de certains postes frontaliers terrestres du Bénin ». </t>
  </si>
  <si>
    <t>Renforcer la sécurité et le contrôle douanier le long de la côte et au niveau d'axes terrestres critiques en dotant les postes frontières d'infrastructures et de dispositifs de surveillance modernes.</t>
  </si>
  <si>
    <t>P-0231-BM-2021</t>
  </si>
  <si>
    <t>Accord Deuxième financement additionnel du projet de préparation et de risposte à la COVID-19</t>
  </si>
  <si>
    <t>Assurer la disponibilité et le déploiement sécurisé des vaccins, renforcer la logistique de la chaîne du froid et consolider les capacités globales de prise en charge et de dépistage du système sanitaire.</t>
  </si>
  <si>
    <t>P-0232-AFD-2021</t>
  </si>
  <si>
    <t xml:space="preserve">Projet d’appui à la Formation Agricole et Rurale (ProFAR1) </t>
  </si>
  <si>
    <t>Améliorer l'employabilité des jeunes ruraux en restructurant et en modernisant l'offre d'enseignement technique et de formation professionnelle agropastorale au Bénin. ; Financer la réhabilitation des infrastructures physiques et l'acquisition d'équipements technico-pédagogiques modernes pour les lycées techniques agricoles nationaux.</t>
  </si>
  <si>
    <t>P-0233-BM-2021</t>
  </si>
  <si>
    <t xml:space="preserve">Financement Additionnel du Projet d’investissement de résilience des zones côtières en Afrique de l’Ouest (WACA ResIP), </t>
  </si>
  <si>
    <t>Intensifier les investissements de lutte contre l'érosion côtière et étendre les mesures de protection des moyens de subsistance des communautés du littoral face aux impacts climatiques.</t>
  </si>
  <si>
    <t>EUR | USD</t>
  </si>
  <si>
    <t>P-0234-AFD-2021</t>
  </si>
  <si>
    <t>FORSUN</t>
  </si>
  <si>
    <t>Favoriser la transition vers des sources d'énergie propres et autonomes par l'installation à grande échelle de mini-centrales et de systèmes solaires photovoltaïques en zone rurale. ; Structurer le cadre d'exploitation et de maintenance communautaire des infrastructures d'électrification solaire décentralisées pour en garantir la pérennité technique.</t>
  </si>
  <si>
    <t>P-0235-BM-2021</t>
  </si>
  <si>
    <t>Projet de formation professionnelle et d'entrepreunatiat pour l'emploi</t>
  </si>
  <si>
    <t>Aligner l'offre d'Enseignement et de Formation Techniques et Professionnels (EFTP) sur les besoins du secteur privé pour accroître l'insertion des diplômés et l'auto-emploi. ; Développer des mécanismes de financement inclusifs, de bourses d'apprentissage et d'appui-conseil destinés à stimuler l'entrepreneuriat des jeunes et des femmes.</t>
  </si>
  <si>
    <t>P-0236-BEI-2021</t>
  </si>
  <si>
    <t>Eau et Assainissement Cotonou Phase 3 (Prêt complémentaire)</t>
  </si>
  <si>
    <t>Parachever le financement de l'extension des infrastructures de production d'eau et de sécurisation des réseaux de distribution gérés par la SONEB dans la municipalité de Cotonou.</t>
  </si>
  <si>
    <t>P-0237-BEI-2021</t>
  </si>
  <si>
    <t>Projet d'Assainissement Pluviale des Villes Secondaires (PAPVS) - financement complémentaire</t>
  </si>
  <si>
    <t>Compléter l'enveloppe d'investissement destinée aux travaux d'envergure de canalisation des eaux pluviales pour sécuriser durablement le cadre urbain des municipalités bénéficiaires.</t>
  </si>
  <si>
    <t>P-0238-BEI-2021</t>
  </si>
  <si>
    <t>résilience economique COVID-19</t>
  </si>
  <si>
    <t>Apporter des lignes de crédit et des appuis de trésorerie macroéconomiques à l'État pour atténuer l'impact de la crise sanitaire sur le secteur productif et préserver le tissu entrepreneurial.</t>
  </si>
  <si>
    <t>P-0239-BM-2021</t>
  </si>
  <si>
    <t>Première opération d'appui budgétaire relative à la revalorisation du potentiel humain et productif</t>
  </si>
  <si>
    <t>Soutenir les réformes institutionnelles visant à élargir la protection sociale (ARCH), à renforcer la qualité du système éducatif et à dynamiser l'efficience de la dépense publique.</t>
  </si>
  <si>
    <t>P-0240-BM-2021</t>
  </si>
  <si>
    <t>Financement additionnel du projet de préparation et de riposte contre la COVID-19 (Pandemic Emergency Facility-PEF)</t>
  </si>
  <si>
    <t>Mobiliser des allocations d'urgence sanitaire pour acquérir des équipements de protection individuelle, des réactifs de diagnostic et renforcer la veille épidémiologique aux frontières.</t>
  </si>
  <si>
    <t>P-0241-BM-2021</t>
  </si>
  <si>
    <t>Projet de formation professionnel et de l'entreprenariat pour l'emploi</t>
  </si>
  <si>
    <t>Financer la modernisation des infrastructures physiques de centres nationaux d'EFTP de référence et développer des curricula basés sur les compétences recherchées par l'industrie.</t>
  </si>
  <si>
    <t>P-0242-JICA-2021</t>
  </si>
  <si>
    <t>Construction de l’échangeur de vèdoko</t>
  </si>
  <si>
    <t>Fluidifier durablement la circulation urbaine au niveau d'un nœud routier critique de Cotonou par la construction d'un échangeur dénivelé moderne visant à réduire les goulets d'étranglement.</t>
  </si>
  <si>
    <t>JPY</t>
  </si>
  <si>
    <t>P-0243-JICA-2021</t>
  </si>
  <si>
    <t>Renforcement du système d’alimentation en eau potable  dans les départements du couffo et du plateau</t>
  </si>
  <si>
    <t>Accroître l'accès à l'eau potable des populations du Couffo et du Plateau par la réalisation de forages à gros débit, l'extension d'usines de traitement et la pose de réseaux de distribution.</t>
  </si>
  <si>
    <t>Couffo, Plateau</t>
  </si>
  <si>
    <t>Aplahoué, Djakotomey, Dogbo, Klouékanmè, Lalo, Toviklin, Adja-Ouéré, Ifangni, Kétou, Pobè, Sakété</t>
  </si>
  <si>
    <t>P-0244-JICA-2021</t>
  </si>
  <si>
    <t xml:space="preserve"> Projet de renforcement des systèmes d’Alimentation en Eau Potable dans les départements du Couffo et du Plateau</t>
  </si>
  <si>
    <t>Densifier le réseau de raccordement de proximité par la mise en place de bornes-fontaines et sécuriser l'exploitation communautaire des infrastructures de distribution d'eau.</t>
  </si>
  <si>
    <t>P-0245-FKDEA-2021</t>
  </si>
  <si>
    <t xml:space="preserve">Financement du milieu rural / Faîtière des Caisses d’Epargne et de Crédit Agricole Mutuel (FECECAM) </t>
  </si>
  <si>
    <t>Faciliter l'accès aux micro-crédits d'investissement et de campagne pour les petits exploitants ruraux à travers l'octroi de lignes de refinancement ciblées à la FECECAM.</t>
  </si>
  <si>
    <t>P-0367-UE-2021</t>
  </si>
  <si>
    <t>Consolider l'appui budgétaire direct pour accompagner la résilience économique post-crise et le maintien du financement des politiques d'inclusion sociale de l'État.</t>
  </si>
  <si>
    <t>P-0380-Chine-2021</t>
  </si>
  <si>
    <t>ACCORD DE DON DE RIZ DU GOUVERNEMENT DE LA RÉPUBLIQUE POPULAIRE DE CHINE AU GOUVERNEMENT DE LA RÉPUBLIQUE DU BÉNIN AU TITRE DE L’ANNÉE 2018 D’UN MONTANT DE 30 MILLIONS DE YUAN RMD.</t>
  </si>
  <si>
    <t>Apporter une assistance alimentaire humanitaire directe d'urgence pour soutenir le programme national de secours au profit des populations affectées par les inondations ou les chocs de soudure.</t>
  </si>
  <si>
    <t>P-0382-UE-2021</t>
  </si>
  <si>
    <t>PROGRAMME D'APPUI AU DÉVELOPPEMENT DU SECTEUR AGRICOLE (PADDSA)</t>
  </si>
  <si>
    <t>PRODUCTION AGRICOLE / CULTURES D’EXPORTATION</t>
  </si>
  <si>
    <t>Accroître de façon durable la productivité globale et la valeur ajoutée des filières agricoles béninoises prioritaires à travers le renforcement institutionnel et l'appui aux investissements ruraux.</t>
  </si>
  <si>
    <t>P-0386-Chine-2021</t>
  </si>
  <si>
    <t>ACCÈS AU SATELLITE TV POUR 200 VILLAGES</t>
  </si>
  <si>
    <t>INFRASTRUCTURES NUMÉRIQUES</t>
  </si>
  <si>
    <t>Réduire la fracture d'accès à l'information en milieu rural en dotant les places publiques et foyers de 200 villages béninois de kits de réception TV par satellite.</t>
  </si>
  <si>
    <t>P-0404-BOAD-2021</t>
  </si>
  <si>
    <t>PROJET DE SÉDENTARISATION DES TROUPEAUX DE RUMINANTS (PROSER) PHASES I ET II</t>
  </si>
  <si>
    <t>Rationaliser l'élevage pastoral et atténuer les conflits liés à la transhumance en aménageant des zones de pâturages sécurisées et des points d'eau dédiés aux troupeaux sédentarisés.</t>
  </si>
  <si>
    <t>P-0405-Pays-Bas-2021</t>
  </si>
  <si>
    <t>BENKADI (2021-2025)</t>
  </si>
  <si>
    <t>Améliorer la résilience des écosystèmes côtiers et des communautés agricoles face aux effets néfastes des changements climatiques par des actions d'adaptation et de préservation environnementale.</t>
  </si>
  <si>
    <t>P-0408-Pays-Bas-2021</t>
  </si>
  <si>
    <t>PROGRAMME ORANGE KNOWLEDGE (NUFFIC, 2017-2024)</t>
  </si>
  <si>
    <t>Renforcer les capacités institutionnelles et académiques des universités publiques béninoises par le financement de bourses d'études et de programmes de formation professionnelle de haut niveau.</t>
  </si>
  <si>
    <t>P-0410-Allemagne-2021</t>
  </si>
  <si>
    <t>SOUTIEN AU FINANCEMENT DURABLE DE L'EFTP</t>
  </si>
  <si>
    <t>Assurer la viabilité financière de l'Enseignement et la Formation Techniques et Professionnels par la mise en place de mécanismes de financement pérennes adaptés aux réalités du marché.</t>
  </si>
  <si>
    <t>P-0453-Allemagne-2021</t>
  </si>
  <si>
    <t>FONDS D’INVESTISSEMENT AGRICULTURE “FI AGRI” IV (KFW)</t>
  </si>
  <si>
    <t>Améliorer la compétitivité rurale en finançant la construction de magasins de stockage, d'aménagements hydro-agricoles et de pistes de desserte agricole pour les filières porteuses.</t>
  </si>
  <si>
    <t>P-0466-USAID-2021</t>
  </si>
  <si>
    <t>Accroître l'utilisation des services de santé de base au niveau communautaire (nutrition, planification familiale, soins néonataux) dans les localités prioritaires du septentrion.</t>
  </si>
  <si>
    <t>P-0482-Allemagne-2021</t>
  </si>
  <si>
    <t>Renforcer l'ingénierie de modélisation budgétaire et de planification stratégique du Ministère des Finances pour arrimer efficacement les dépenses de l'État à la réduction de la pauvreté.</t>
  </si>
  <si>
    <t>P-0484-Allemagne-2021</t>
  </si>
  <si>
    <t>Améliorer la valeur ajoutée locale et les revenus des exploitants agropastoraux par la diffusion d'innovations techniques le long des chaînes de valeur (riz, soja, volaille).</t>
  </si>
  <si>
    <t>P-0485-Allemagne-2021</t>
  </si>
  <si>
    <t>PROJET DE CONSTRUCTION DE LA STATION DES BOUES DE VIDANGE</t>
  </si>
  <si>
    <t>Assainir l'environnement du Grand Cotonou par le financement de la construction d'une usine moderne de traitement et de valorisation écologique des boues de vidange sanitaires.</t>
  </si>
  <si>
    <t>P-0486-Allemagne-2021</t>
  </si>
  <si>
    <t>APPUI À LA RÉFORME DES FINANCES PUBLIQUES POUR L’ATTEINTE DES ODD ET LE RENFORCEMENT DE LA MOBILISATION DES RECETTES DE L’ÉTAT (REFORME)</t>
  </si>
  <si>
    <t>RÉFORMES ÉCONOMIQUES ET FISCALES</t>
  </si>
  <si>
    <t>Moderniser les processus de budgétisation par programme de l'État béninois afin de flécher de manière prioritaire les allocations publiques vers l'atteinte des cibles ODD.</t>
  </si>
  <si>
    <t>P-0487-Allemagne-2021</t>
  </si>
  <si>
    <t>L’ÉNERGIE VERTE POUR LES CITOYENS - GIZ</t>
  </si>
  <si>
    <t>Promouvoir l'accès à des services d'énergie modernes et durables en installant des équipements solaires décentralisés pour l'usage productif et domestique rural.</t>
  </si>
  <si>
    <t>P-0488-Allemagne-2021</t>
  </si>
  <si>
    <t>Optimiser l'efficacité de l'action publique par la modernisation des outils de programmation, d'audit interne et de redevabilité des institutions centrales de l'État.</t>
  </si>
  <si>
    <t>P-0489-Belgique-2021</t>
  </si>
  <si>
    <t>PROGRAMME D'APPUI AUX ORGANISATIONS BÉNINOISES PAR LE RENFORCEMENT DES CAPACITÉS DES RESSOURCES HUMAINES (PAORC)_AVENANT</t>
  </si>
  <si>
    <t>Consolider le rôle de la société civile et des organisations professionnelles agricoles en finançant des parcours de renforcement technique, de gouvernance et d'autonomie associative.</t>
  </si>
  <si>
    <t>P-0490-Belgique-2021</t>
  </si>
  <si>
    <t>PASS</t>
  </si>
  <si>
    <t>RENFORCEMENT DU SYSTÈME DE SANTÉ</t>
  </si>
  <si>
    <t>Améliorer l'accès équitable à des soins de santé de qualité, en renforçant l'offre hospitalière départementale et en soutenant la mise en œuvre de la couverture sanitaire de base.</t>
  </si>
  <si>
    <t>P-0491-Belgique-2021</t>
  </si>
  <si>
    <t>PROJET D'APPUI À UNE AGRICULTURE RÉSILIENTE ET À LA CONSTRUCTION DE SYSTÈMES ALIMENTAIRES DURABLES (PARSAD)</t>
  </si>
  <si>
    <t>Sécuriser la production agricole face aux dérèglements climatiques par l'aménagement de petits périmètres irrigués et la construction de magasins de stockage de proximité.</t>
  </si>
  <si>
    <t>P-0492-Brésil-2021</t>
  </si>
  <si>
    <t>Améliorer la compétitivité et les rendements de la filière cotonnière béninoise par l'introduction de techniques brésiliennes durables de gestion des sols et de lutte contre les ravageurs.</t>
  </si>
  <si>
    <t>P-0493-Canada-2021</t>
  </si>
  <si>
    <t>JEUNES LEADERS DE LA FRANCOPHONIE</t>
  </si>
  <si>
    <t>Stimuler le potentiel de leadership et d'innovation de la jeunesse béninoise en octroyant des bourses universitaires d'élite et des appuis à des structures d'incubation entrepreneuriale.</t>
  </si>
  <si>
    <t>P-0494-Canada-2021</t>
  </si>
  <si>
    <t>FEMMES ENGAGÉES FACE AUX VIOLENCES SEXISTES ET MUTILATIONS GÉNITALES FÉMININES- NORD BÉNIN</t>
  </si>
  <si>
    <t>Éradiquer les pratiques néfastes et les violences commises envers les femmes et les filles à travers l'appui aux structures de prise en charge et la sensibilisation communautaire au Nord. ; Réduire les violences basées sur le genre et éliminer les mutilations génitales féminines dans le Nord en renforçant la veille communautaire et les secours juridico-sanitaires.</t>
  </si>
  <si>
    <t>evaluation.gouv.bj ; https://evaluation.gouv.bj</t>
  </si>
  <si>
    <t>P-0495-Canada-2021</t>
  </si>
  <si>
    <t>Financer de manière flexible et rapide des micro-projets à fort impact social portés par des associations locales (droits des femmes, environnement, hygiène de base).</t>
  </si>
  <si>
    <t>P-0496-COOPERATION SUISSE-2021</t>
  </si>
  <si>
    <t>ENTREPRENEURIATS STRATÉGIQUES POUR DES OPPORTUNITÉS D'INVESTISSEMENTS RENFORCÉS (ESPOIR)</t>
  </si>
  <si>
    <t>PROMOTION DE L’EMPLOI / PME ET STARTUPS</t>
  </si>
  <si>
    <t>Stimuler l'économie locale en accompagnant la structuration de petites entreprises et coopératives artisanales à travers des parcours d'accès au crédit et au marché régional.</t>
  </si>
  <si>
    <t>P-0497-COOPERATION SUISSE-2021</t>
  </si>
  <si>
    <t>PROJET D’APPUI À LA QUALITÉ DE L’ÉDUCATION (PAQUE), PHASE 2</t>
  </si>
  <si>
    <t>Consolider l'offre d'éducation de base en améliorant l'encadrement pédagogique des instituteurs, en distribuant des manuels adaptés et en luttant contre l'exclusion scolaire rurale.</t>
  </si>
  <si>
    <t>P-0498-ODD 2021-2021</t>
  </si>
  <si>
    <t>PROGRAMME  SPÉCIAL  DE  PRÉ-INSERTION  DANS L’ENSEIGNEMENT MATERNEL ET PRIMAIRE</t>
  </si>
  <si>
    <t>Résorber le déficit de personnel enseignant public en recrutant, formant et déployant des jeunes diplômés (aspirants) au sein des classes du préscolaire et du primaire.</t>
  </si>
  <si>
    <t>Emprunt obligataire international ODD 2021</t>
  </si>
  <si>
    <t>ODD 2021</t>
  </si>
  <si>
    <t>P-0499-ODD 2021-2021</t>
  </si>
  <si>
    <t>PROGRAMME SPÉCIAL DE PRÉ-INSERTION DANS L’ENSEIGNEMENT SECONDAIRE</t>
  </si>
  <si>
    <t>Sécuriser le bon déroulement de l'année scolaire au secondaire public par le déploiement massif d'enseignants contractuels et d'aspirants qualifiés dans les collèges du pays.</t>
  </si>
  <si>
    <t>P-0500-Japon-2021</t>
  </si>
  <si>
    <t>ASSISTANCE ALIMENTAIRE DE L'ANNÉE FISCALE 2018</t>
  </si>
  <si>
    <t>Atténuer les déficits céréaliers locaux et constituer un fonds de contrepartie monétaire souverain destiné à financer de petits projets sociocommunautaires par la revente de riz d'appui.</t>
  </si>
  <si>
    <t>P-0501-Japon-2021</t>
  </si>
  <si>
    <t>PROJET D'APPUI À LA FORMATION AU CENTRE DE PERFECTIONNEMENT AUX ACTIONS DE DÉMINAGE ET DE DÉPOLLUTION (PAF/CPADD) PHASE 3 ( CONTRIBUTION JAPON)</t>
  </si>
  <si>
    <t>Rehausser la qualification technique des jeunes mécaniciens béninois en dotant le centre d'outillages modernes et de modules d'apprentissage adaptés aux technologies automobiles actuelles.</t>
  </si>
  <si>
    <t>P-0502-Japon-2021</t>
  </si>
  <si>
    <t>PROJET DE CONSTRUCTION ET D'ÉQUIPEMENT DE HUIT SALLES DE CLASSE 
ET DE LATRINES AU COLÈGE D'ENSEIGNEMENT GÉNÉRAL 2 GOLO-DJIGBÉ, ABOMEY-CALAVI</t>
  </si>
  <si>
    <t>Désengorger les effectifs scolaires et améliorer l'environnement sanitaire des élèves de Golo-Djigbé par la construction d'un module de 8 classes meublées et de blocs sanitaires.</t>
  </si>
  <si>
    <t>Golo-Djigbé</t>
  </si>
  <si>
    <t>P-0503-Japon-2021</t>
  </si>
  <si>
    <t>PROJET DE CONSTRUCTION ET D'ÉQUIPEMENT D'UN MODULE DE SALLE CLASSES AVEC  LATRINES À LÉCOLE PRIMAIRE KPAKRÉ-YAWA</t>
  </si>
  <si>
    <t>Répondre de façon ponctuelle et urgente aux besoins de réhabilitation d'infrastructures d'éducation de base au sein de complexes scolaires publics ruraux en situation de précarité.</t>
  </si>
  <si>
    <t>P-0504-Japon-2021</t>
  </si>
  <si>
    <t>PROJET DE FOURNITURE D'AMBULANCES À L'HÔPITAL SAINT JEAN DE DIEU DE TANGUIÉTA</t>
  </si>
  <si>
    <t>Optimiser la prise en charge médicale d'urgence et sécuriser les évacuations des patients de la zone de l'Atacora en faisant don d'ambulances équipées à l'hôpital de Tanguiéta.</t>
  </si>
  <si>
    <t>Tanguiéta</t>
  </si>
  <si>
    <t>P-0505-Japon-2021</t>
  </si>
  <si>
    <t>PROJET DE FOURNITURE D'AMBULANCES D'OCCASION AU GROUPEMENT NATIONAL DE SAPEURS-POMPIERS DU BÉNIN</t>
  </si>
  <si>
    <t>SÉCURITÉ CIVILE ET SECOURS</t>
  </si>
  <si>
    <t>Accroître les capacités d'intervention de secours routier et de transport de blessés du Groupement National des Sapeurs-Pompiers en renforçant la dotation de leurs casernes.</t>
  </si>
  <si>
    <t>P-0506-Japon-2021</t>
  </si>
  <si>
    <t>PROJET DE RENFORCEMENT DES SYSTÈMES D'ALIMENTATION EN EAU POTABLE DANS LES DÉPARTEMENTS DU COUFFO ET DU PLATEAU</t>
  </si>
  <si>
    <t>Augmenter l'accès à l'eau de boisson saine dans les zones de forte pénurie par la construction de nouveaux forages et la mise en place d'équipements de pompage d'urgence.</t>
  </si>
  <si>
    <t>P-0507-MARCHE FINANCIER-2021</t>
  </si>
  <si>
    <t>Lever des ressources à long terme sur le marché financier sous-régional (BRVM) pour couvrir le gap de financement des investissements structurants du budget de l'État.</t>
  </si>
  <si>
    <t>Échéance obligataire lissée sur le long terme (Pas de clôture de projet applicable)</t>
  </si>
  <si>
    <t>P-0508-SNU-2021</t>
  </si>
  <si>
    <t>Renforcer les compétences techniques du Ministère du Développement pour la modélisation macroéconomique et l'alignement des investissements nationaux sur l'Agenda 2030.</t>
  </si>
  <si>
    <t>P-0509-SNU-2021</t>
  </si>
  <si>
    <t>PROJET DE RENFORCEMENT DE LA RÉSILIENCE DU SECTEUR DE L'ÉNERGIE AUX IMPACTS DES CHANGEMENTS CLIMATIQUES AU BÉNIN (PANA ENERGIE)</t>
  </si>
  <si>
    <t>PRODUCTION &amp; DISTRIBUTION D’ÉNERGIE / ÉNERGIES RENOUVELABLES (SELON COMPOSANTES)</t>
  </si>
  <si>
    <t>Adapter les infrastructures électriques de transport et de production face aux aléas climatiques extrêmes (orages, crues) et concevoir des cadres de maintenance résilients.</t>
  </si>
  <si>
    <t>P-0510-SNU-2021</t>
  </si>
  <si>
    <t>Protéger la santé publique et les sols en collectant, sécurisant et éliminant de manière écologique les stocks de polluants organiques persistants (POPs) et pesticides obsolètes.</t>
  </si>
  <si>
    <t>P-0511-SNU-2021</t>
  </si>
  <si>
    <t>PROJET DE DÉVELOPPEMENT DU RÉSEAU DES AGENTS_ASSISTANCE TECHNIQUE À MOOV</t>
  </si>
  <si>
    <t>Mettre à disposition des directions déconcentrées et préfectorales de l'État des experts techniques nationaux pour optimiser la conduite et le suivi des projets de développement.</t>
  </si>
  <si>
    <t>P-0512-SNU-2021</t>
  </si>
  <si>
    <t>SUBVENTION POUR LE RENFORCEMENT DE CAPACITÉ DES  COMMUNES</t>
  </si>
  <si>
    <t>Octroyer des appuis techniques et des financements de renforcement aux collectivités décentralisées pour améliorer la reddition des comptes et la gestion budgétaire locale.</t>
  </si>
  <si>
    <t>P-0513-SNU-2021</t>
  </si>
  <si>
    <t>Assurer la continuité et consolider les résultats des programmes conjoints onusiens axés sur la réduction de la pauvreté, l'équité de genre et la protection sociale de base.</t>
  </si>
  <si>
    <t>P-0514-SNU-2021</t>
  </si>
  <si>
    <t>ASSISTANCE TECHNIQUE POUR PROJET DÉVELOPPEMENT DU CRÉDIT DIGITAL AU BÉNIN</t>
  </si>
  <si>
    <t>Promouvoir l'inclusion financière rurale en appuyant le développement technique et réglementaire d'outils de micro-crédits et d'épargne accessibles via la téléphonie mobile.</t>
  </si>
  <si>
    <t>P-0515-SNU-2021</t>
  </si>
  <si>
    <t>ASSITANCE TECHNIQUE À  ECOBANK: PROJET D'APPUI POUR LA MISE EN ŒUVRE D'UN MODÈLE D'AGENCY BANKING</t>
  </si>
  <si>
    <t>Structurer la capacité technique d'ingénierie financière d'Ecobank Bénin pour concevoir, évaluer et déployer des lignes de crédits bancaires préférentielles dédiées aux projets écologiques.</t>
  </si>
  <si>
    <t>P-0516-SNU-2021</t>
  </si>
  <si>
    <t>Moderniser le réseau d'observation météorologique national (Météo-Bénin) et implanter des outils de transmission rapide d'alertes climatiques pour protéger les cultures et les vies.</t>
  </si>
  <si>
    <t>P-0517-SNU-2021</t>
  </si>
  <si>
    <t>PROJET CONJOINT « UNIS DANS L'ACTION POUR FAIRE AVANCER LES DROITS DES PERSONNES HANDICAPÉES AU BÉNIN »</t>
  </si>
  <si>
    <t>Coordonner les interventions inter-agences pour lutter contre l'exploitation des enfants, promouvoir la scolarisation des filles et appuyer la réinsertion sociale des femmes vulnérables.</t>
  </si>
  <si>
    <t>P-0518-SNU-2021</t>
  </si>
  <si>
    <t>Enrayer l'érosion des berges fluviaux et protéger la biodiversité hydrographique par la mise en défens et la restauration écologique des forêts galeries longeant les fleuves.</t>
  </si>
  <si>
    <t>P-0519-Turquie-2021</t>
  </si>
  <si>
    <t>CONSTRUCTION FOYER DE SANTÉ À ADJOHOUN</t>
  </si>
  <si>
    <t>Améliorer l'offre de soins de santé maternelle et de proximité dans la basse vallée de l'Ouémé en construisant un foyer de santé moderne et adapté à la commune d'Adjohoun.</t>
  </si>
  <si>
    <t>P-0520-Turquie-2021</t>
  </si>
  <si>
    <t>EQUIPEMENTS ET AUTRES FOURNITURES MEDICALES POUR LE FOYER DE SANTÉ À ADJOHOUN</t>
  </si>
  <si>
    <t>Doter le nouveau foyer de santé d'Adjohoun en lits d'hospitalisation, tables d'accouchement, matériels de consultation et de petite chirurgie de base.</t>
  </si>
  <si>
    <t>P-0521-USAID-2021</t>
  </si>
  <si>
    <t>Réduire l'impact sanitaire du paludisme au Bénin par l'achat et la distribution gratuite de moustiquaires imprégnées, de combinaisons thérapeutiques (CTA) et de traitements préventifs.</t>
  </si>
  <si>
    <t>P-0522-USAID-2021</t>
  </si>
  <si>
    <t>PARTENARIAT AVEC UNICEF SUR LA SANTÉ MATERNELLE ET INFANTILE</t>
  </si>
  <si>
    <t>Cofinancer et densifier les programmes nationaux de vaccination de routine, de lutte contre la diarrhée et d'accompagnement nutritionnel au profit de la petite enfance.</t>
  </si>
  <si>
    <t>P-0523-USAID-2021</t>
  </si>
  <si>
    <t>Promouvoir la prévention du VIH/Sida et assurer la distribution de services de santé de base le long de l'axe routier côtier international pour les populations mobiles.</t>
  </si>
  <si>
    <t>P-0524-USAID-2021</t>
  </si>
  <si>
    <t>Sécuriser la santé des populations en renforçant les capacités techniques d'analyse du Laboratoire National de Contrôle de la Qualité afin de détecter et retirer les faux médicaments.</t>
  </si>
  <si>
    <t>P-0525-USAID-2021</t>
  </si>
  <si>
    <t>Accroître le recours volontaire aux méthodes de planification familiale en s'appuyant sur les leaders communautaires et les réseaux de santé locaux pour lever les barrières socioculturelles.</t>
  </si>
  <si>
    <t>P-0526-USAID-2021</t>
  </si>
  <si>
    <t>RÉDUCTION DES VIOLENCES BASÉES SUR LE GENRE (EMPOWER)</t>
  </si>
  <si>
    <t>Assurer l'accompagnement holistique (médical, juridique, psychologique) des survivantes de violences basées sur le genre et mener des campagnes de sensibilisation au Nord.</t>
  </si>
  <si>
    <t>P-0527-USAID-2021</t>
  </si>
  <si>
    <t>RENFORCEMENT DU PROGRAMME NATIONAL DE LUTTE CONTRE LE PALUDISME, MINISTÈRE DE LA SANTÉ</t>
  </si>
  <si>
    <t>Améliorer la gouvernance, la collecte des données sanitaires et le suivi épidémiologique centralisé du PNLP pour optimiser l'impact des campagnes nationales de riposte.</t>
  </si>
  <si>
    <t>P-0528-USAID-2021</t>
  </si>
  <si>
    <t>MILLENNIUM CHALLENGE CORPORATION</t>
  </si>
  <si>
    <t>Apporter l'assistance conseil institutionnelle requise pour piloter et évaluer les performances réglementaires sectorielles exigées dans le cadre du Compact Énergie.</t>
  </si>
  <si>
    <t>P-0529-USAID-2021</t>
  </si>
  <si>
    <t>PEACE CORPS</t>
  </si>
  <si>
    <t>Favoriser le développement communautaire à la base par le déploiement de volontaires américains au sein des collèges ruraux, des centres de santé et des coopératives agricoles.</t>
  </si>
  <si>
    <t>Accord-cadre reconduit annuellement sans date de fin fixe</t>
  </si>
  <si>
    <t>P-0530-USAID-2021</t>
  </si>
  <si>
    <t>U.S. DEPARTMENT OF AGRICULTURE</t>
  </si>
  <si>
    <t>PRODUCTION AGRICOLE / SÉCURITÉ ALIMENTAIRE</t>
  </si>
  <si>
    <t>Soutenir l'amélioration technique de la productivité des filières agropastorales béninoises orientées vers l'exportation et faciliter la mise aux normes de sécurité sanitaire des produits.</t>
  </si>
  <si>
    <t>P-0538-ODD 2021-2020</t>
  </si>
  <si>
    <t>PROJET EQUITÉ DE CONSTRUCTION DE 80 NOUVEAUX SYSTÈMES DANS LES ZONES CRITIQUES</t>
  </si>
  <si>
    <t>EAU POTABLE RURAL</t>
  </si>
  <si>
    <t>Corriger les disparités territoriales d'accès à l'eau potable par la construction de 80 adductions d'eau complexes multi-villages dans les communes les plus enclavées.</t>
  </si>
  <si>
    <t>P-0573-ODD 2021-2019</t>
  </si>
  <si>
    <t>PROGRAMME DE FACILITATION DE L'ACCÈS AUX FINANCEMENTS AGRICOLES</t>
  </si>
  <si>
    <t>FINANCEMENT AGRICOLE</t>
  </si>
  <si>
    <t>Mettre en place des mécanismes de refinancement bancaire bonifiés pour alléger le coût du crédit au profit des investissements de mécanisation agricole.</t>
  </si>
  <si>
    <t>P-0574-ODD 2021-2019</t>
  </si>
  <si>
    <t>PROJET DE RENFORCEMENT DU SYSTÈME D'APPROVISIONNEMENT EN EAU POTABLE DES VILLES DE SAVÈ, GLAZOUÈ ET DASSA ET SES ENVIRONS</t>
  </si>
  <si>
    <t>EAU POTABLE URBAIN</t>
  </si>
  <si>
    <t>Financer l'extension majeure des réseaux d'adduction et des usines de traitement d'eau potable de la SONEB pour sécuriser la desserte des centres urbains.</t>
  </si>
  <si>
    <t>P-0575-ODD 2021-2019</t>
  </si>
  <si>
    <t>PROGRAMME NATIONAL D'APPUI À LA VACCINATION POUR TOUS</t>
  </si>
  <si>
    <t>Assurer la disponibilité et le déploiement logistique déconcentré de vaccins pédiatriques de base pour préserver la santé des enfants dans les 77 communes.</t>
  </si>
  <si>
    <t>P-0576-ODD 2021-2019</t>
  </si>
  <si>
    <t>PROGRAMME DE PRISE EN CHARGE MÉDICALE INTÉGRÉE DU NOURRISSON ET DE LA FEMME ENCEINTE ATTEINTS DE LA DRÉPANOCYTOSE</t>
  </si>
  <si>
    <t>Doter les formations sanitaires de base de matériels thérapeutiques et pédiatriques adéquats pour améliorer le taux de survie des nourrissons.</t>
  </si>
  <si>
    <t>P-0577-ODD 2021-2019</t>
  </si>
  <si>
    <t>PROGRAMME DE RENFORCEMENT DE L'ACCÈS AUX SERVICES SOCIAUX UNIVERSITAIRES</t>
  </si>
  <si>
    <t>Financer la réhabilitation d'infrastructures d'eau, de santé et d'énergie dans les arrondissements affichant l'indice de pauvreté humaine le plus élevé.</t>
  </si>
  <si>
    <t>P-0578-ODD 2021-2019</t>
  </si>
  <si>
    <t>PROGRAMME DE RENFORCEMENT DES CAPACITÉS D'ACCUEIL DANS LE MEMP</t>
  </si>
  <si>
    <t>Construire et équiper en mobiliers scolaires de nouveaux modules de classes au sein des écoles primaires publiques des zones à faible scolarisation.</t>
  </si>
  <si>
    <t>P-0579-ODD 2021-2019</t>
  </si>
  <si>
    <t>PROGRAMME DE RENFORCEMENT DE L'ACCÈS UNIVERSEL À L'ÉDUCATION DE BASE POUR TOUS</t>
  </si>
  <si>
    <t>Soutenir l'agenda national de scolarisation obligatoire en finançant la gratuité des fournitures et l'appui de l'État au sous-secteur de l'éducation primaire.</t>
  </si>
  <si>
    <t>P-0580-ODD 2021-2019</t>
  </si>
  <si>
    <t>PROGRAMME DE RENFORCEMENT DES CAPACITÉS DU PERSONNEL D'ENCADREMENT DE L'ÉDUCATION NATIONALE</t>
  </si>
  <si>
    <t>Améliorer les performances du corps enseignant par la formation continue obligatoire et la modernisation des outils d'inspection pédagogique centrale.</t>
  </si>
  <si>
    <t>P-0581-ODD 2021-2019</t>
  </si>
  <si>
    <t>PROJET DE PROMOTION DURABLE DE BIOMASSE ÉLECTRICITÉ AU BÉNIN (PPDBEB)</t>
  </si>
  <si>
    <t>Développer une filière d'approvisionnement et de valorisation énergétique de la biomasse pour la production d'électricité décentralisée au sein des communes cibles.</t>
  </si>
  <si>
    <t>P-0582-ODD 2021-2019</t>
  </si>
  <si>
    <t>PROJET DE DÉVELOPPEMENT DES PÉRIMÈTRES IRRIGUES EN MILIEU RURAL (PDPIM)</t>
  </si>
  <si>
    <t>Augmenter les rendements agricoles et sécuriser les récoltes vivrières des petits exploitants ruraux par l'aménagement de périmètres irrigués et la maîtrise de l'eau.</t>
  </si>
  <si>
    <t>P-0583-ODD 2021-2019</t>
  </si>
  <si>
    <t>PROGRAMME DES VILLES DURABLES</t>
  </si>
  <si>
    <t>Améliorer la planification urbaine, renforcer la gestion des déchets et accroître la résilience environnementale des principales municipalités du Bénin face aux défis climatiques.</t>
  </si>
  <si>
    <t>Littoral, Atlantique, Ouémé, Borgou</t>
  </si>
  <si>
    <t>Cotonou, Abomey-Calavi, Porto-Novo, Parakou</t>
  </si>
  <si>
    <t>P-0584-ODD 2021-2019</t>
  </si>
  <si>
    <t>PROGRAMME D'APPUI GLOBAL À L'AMÉLIORATION DES PISTES RURALES DANS LES COMMUNES DU BÉNIN</t>
  </si>
  <si>
    <t>Faciliter le transport et l'écoulement des produits agricoles vers les marchés régionaux par la réhabilitation lourde et l'entretien régulier des pistes de desserte rurale.</t>
  </si>
  <si>
    <t>P-0585-ODD 2021-2019</t>
  </si>
  <si>
    <t>PROGRAMME D'URGENCE DE DÉSENCLAVEMENT DANS LES LOCALITÉS DU BENIN: CONSTRUCTION DE 15 PONTS MÉTALLIQUES</t>
  </si>
  <si>
    <t>TRANSPORTS URBAINS ET INTERURBAINS</t>
  </si>
  <si>
    <t>Rétablir la connectivité routière au sein des arrondissements ruraux isolés en construisant de petits ouvrages de franchissement et en aménageant les voies critiques.</t>
  </si>
  <si>
    <t>P-0586-ODD 2021-2019</t>
  </si>
  <si>
    <t>PROGRAMME DE PROTECTION DU LITTORAL CONTRE L'EROSION  CÔTIÈRE  (COTONOU-SIAFATO,  HILACONDJI-BOUCHE DU ROY, GRAND-POPO-OUIDAH)</t>
  </si>
  <si>
    <t>Stabiliser de façon durable le trait de côte béninois et protéger les infrastructures socio-économiques côtières à travers la construction d'épis de protection et de brise-lames.</t>
  </si>
  <si>
    <t>P-0587-ODD 2021-2019</t>
  </si>
  <si>
    <t>PROJET DE GESTION DES FORÊTS ET TERROIRS RIVERAINS DU BENIN (PGFTR)</t>
  </si>
  <si>
    <t>GESTION DURABLE DES RESSOURCES NATURELLES</t>
  </si>
  <si>
    <t>Assurer la conservation des ressources forestières classées et améliorer les conditions de vie des populations riveraines par la promotion d'activités génératrices de revenus durables.</t>
  </si>
  <si>
    <t>P-0621-ODD 2021-2018</t>
  </si>
  <si>
    <t>PROGRAMME DE RENFORCEMENT DE LA SÉCURITÉ SANITAIRE DE LA CHAÎNE ALIMENTAIRE</t>
  </si>
  <si>
    <t>Moderniser les dispositifs d'inspection de l'ANCQ afin d'assainir la distribution locale de denrées et d'accroître la conformité aux critères internationaux d'exportation.</t>
  </si>
  <si>
    <t>P-0622-ODD 2021-2018</t>
  </si>
  <si>
    <t>PROGRAMME DE VALORISATION DES CHAÎNES DE VALEUR AJOUTÉE DES PRODUITS ALIMENTAIRES</t>
  </si>
  <si>
    <t>TRANSFORMATION AGROALIMENTAIRE</t>
  </si>
  <si>
    <t>Augmenter la rentabilité de l'agriculture béninoise en finançant l'acquisition d'unités de transformation industrielle pour le manioc, l'anacarde et l'ananas.</t>
  </si>
  <si>
    <t>P-0623-ODD 2021-2018</t>
  </si>
  <si>
    <t>PROJET DE RENFORCEMENT DU SYSTÈME D'APPROVISIONNEMENT EN EAU POTABLE DES VILLES D'ABOMEY, BOHICON ET SES ENVIRONS</t>
  </si>
  <si>
    <t>Densifier le réseau d'eau potable de la SONEB et de l'ANAEPMR par la réalisation de forages lourds de production et l'extension des canalisations de distribution.</t>
  </si>
  <si>
    <t>P-0624-ODD 2021-2018</t>
  </si>
  <si>
    <t>PROJET D'EQUIPEMENT ET DE RÉHABILITATION DES FORMATIONS SANITAIRES</t>
  </si>
  <si>
    <t>Mettre à niveau les plateaux médico-techniques d'urgences hospitalières et renforcer la biosécurité des laboratoires publics régionaux de diagnostic.</t>
  </si>
  <si>
    <t>P-0625-ODD 2021-2018</t>
  </si>
  <si>
    <t>PROJET SÈMÈ CITY</t>
  </si>
  <si>
    <t>AMÉNAGEMENT URBAIN ET DÉVELOPPEMENT DURABLE</t>
  </si>
  <si>
    <t>Édifier la cité de l'innovation et du savoir Sèmè City à Sèmè-Podji pour positionner le pays comme pôle régional d'incubation, de formation d'élite et de recherche.</t>
  </si>
  <si>
    <t>Sèmè-Podji</t>
  </si>
  <si>
    <t>P-0625-ODD 2021-2021</t>
  </si>
  <si>
    <t>Cofinancer les infrastructures d'accueil de la cité de l'innovation Sèmè City afin d'incuber les projets de la tech et d'ancrer les formations de haut niveau.</t>
  </si>
  <si>
    <t>P-0626-ODD 2021-2018</t>
  </si>
  <si>
    <t>PROGRAMME NATIONAL D'ALIMENTATION SCOLAIRE INTÉGRÉ (VOLET CANTINES SCOLAIRES)</t>
  </si>
  <si>
    <t>CANTINES SCOLAIRES</t>
  </si>
  <si>
    <t>Lutter contre le décrochage scolaire en fournissant de manière pérenne un repas chaud quotidien équilibré aux écoliers des communes les plus vulnérables.</t>
  </si>
  <si>
    <t>P-0627-ODD 2021-2018</t>
  </si>
  <si>
    <t>PROJET  DE  CONSTRUCTION,  DE  RÉHABILITATION  ET D'EQUIPEMENT DES INFRASTRUCTURES D'ETFP (PCREI-ETFP)</t>
  </si>
  <si>
    <t>Accroître de façon équitable les capacités d'accueil de l'enseignement de base par l'édification systématique de modules de classes équipés de mobiliers durables.</t>
  </si>
  <si>
    <t>P-0628-ODD 2021-2018</t>
  </si>
  <si>
    <t>PROJET DE RENFORCEMENT ET D'EXTENSION DES RÉSEAUX ÉLECTRIQUES</t>
  </si>
  <si>
    <t>Réduire les coupures de courant et satisfaire la demande d'extension urbaine en installant de nouvelles lignes de transport d'électricité et des sous-stations de distribution.</t>
  </si>
  <si>
    <t>P-0629-ODD 2021-2018</t>
  </si>
  <si>
    <t>PROJET GÉNÉRALISATION DE L’USAGE DU E-COMMERCE</t>
  </si>
  <si>
    <t>E-GOUVERNEMENT ET SERVICES EN LIGNE</t>
  </si>
  <si>
    <t>Accélérer la numérisation commerciale des MPME béninoises en développant les plateformes juridiques, sécuritaires et logistiques de commerce électronique national.</t>
  </si>
  <si>
    <t>P-0674-ODD 2021-2017</t>
  </si>
  <si>
    <t>PROGRAMME D'APPUI AUX EXPLOITANTS AGRICOLES</t>
  </si>
  <si>
    <t>Financer la fourniture d'intrants et de matériels agricoles subventionnés pour moderniser les modes de production et atteindre la sécurité alimentaire.</t>
  </si>
  <si>
    <t>P-0675-ODD 2021-2017</t>
  </si>
  <si>
    <t>PROJET  DE  CONSTRUCTION  DE  95  SYSTÈMES D'APPROVISIONNEMENT EN EAU POTABLE MULTI VILLAGES</t>
  </si>
  <si>
    <t>Accroître le taux de desserte en milieu rural par l'édification par l'ANAEPMR de 95 mini-réseaux complexes d'adduction d'eau potable.</t>
  </si>
  <si>
    <t>P-0676-ODD 2021-2017</t>
  </si>
  <si>
    <t>PROJET DE RENFORCEMENT DU SYSTÈME D'APPROVISIONNEMENT EN EAU POTABLE DE LA VILLE D'ABOMEY-CALAVI ET SES ENVIRONS</t>
  </si>
  <si>
    <t>Éliminer les coupures d'eau dans les grands centres urbains en augmentant les capacités de traitement et en étendant le réseau de la SONEB.</t>
  </si>
  <si>
    <t>P-0677-ODD 2021-2017</t>
  </si>
  <si>
    <t>PROGRAMME DE RENFORCEMENT DE LA PROTECTION SOCIALE</t>
  </si>
  <si>
    <t>Étendre le déploiement du projet ARCH afin de fournir une assurance maladie gratuite et des filets de sécurité aux populations les plus démunies.</t>
  </si>
  <si>
    <t>P-0678-ODD 2021-2017</t>
  </si>
  <si>
    <t>PROGRAMME DE RENFORCEMENT DE LA PRISE EN CHARGE DES HÉMODIALYSÉS</t>
  </si>
  <si>
    <t>Améliorer l'accessibilité et la qualité du traitement de l'insuffisance rénale par la subvention des kits de dialyse et la modernisation des centres publics.</t>
  </si>
  <si>
    <t>Littoral, Borgou, Mono</t>
  </si>
  <si>
    <t>Cotonou, Parakou, Lokossa</t>
  </si>
  <si>
    <t>CNHU-HKM, CHD Borgou</t>
  </si>
  <si>
    <t>P-0679-ODD 2021-2017</t>
  </si>
  <si>
    <t>PROGRAMME NATIONAL DE LUTTE CONTRE LE PALUDISME</t>
  </si>
  <si>
    <t>Consolider les actions de prévention et d'éradication du paludisme par l'achat massif de moustiquaires et d'antipaludiques de référence.</t>
  </si>
  <si>
    <t>P-0680-ODD 2021-2017</t>
  </si>
  <si>
    <t>PROGRAMME INTÉGRÉ DE GESTION DES PRODUITS SANGUINS</t>
  </si>
  <si>
    <t>Sécuriser la disponibilité des produits sanguins sur le territoire national en modernisant la chaîne du froid et les capacités de collecte de l'ANTS.</t>
  </si>
  <si>
    <t>Littoral, Borgou, Ouémé, Atacora, Zou</t>
  </si>
  <si>
    <t>Cotonou, Parakou, Porto-Novo, Natitingou, Abomey</t>
  </si>
  <si>
    <t>P-0681-ODD 2021-2017</t>
  </si>
  <si>
    <t>PROJET DE CONSTRUCTION DE 500 LOGEMENTS SOCIAUX</t>
  </si>
  <si>
    <t>HABITAT ET LOGEMENT SOCIAL</t>
  </si>
  <si>
    <t>Accélérer la mise en œuvre du programme de logements abordables à Ouèdo pour faciliter l'accès à la propriété immobilière des foyers modestes.</t>
  </si>
  <si>
    <t>P-0682-ODD 2021-2017</t>
  </si>
  <si>
    <t>PROGRAMME D'APPUI À LA SCOLARISATION DES ÉLÈVES FILLES DU SECOND CYCLE</t>
  </si>
  <si>
    <t>Favoriser le maintien des filles dans l'enseignement secondaire par l'attribution de bourses d'études et la distribution de kits de dignité.</t>
  </si>
  <si>
    <t>P-0683-ODD 2021-2017</t>
  </si>
  <si>
    <t>PROJET DE RENFORCEMENT DE LA RÉSILIENCE DU SECTEUR DE L'ENERGIE AUX IMPACTS DES CHANGEMENTS CLIMATIQUES AU BENIN (PANA ENERGIE)</t>
  </si>
  <si>
    <t>ÉLECTRIFICATION RURALE ET MINI-RÉSEAUX</t>
  </si>
  <si>
    <t>Adapter les infrastructures de production et de transport d'électricité pour garantir la continuité de l'offre d'énergie face aux chocs climatiques.</t>
  </si>
  <si>
    <t>P-0684-ODD 2021-2017</t>
  </si>
  <si>
    <t>PROJETS DE DÉPLOIEMENT DES INFRASTRUCTURES NUMÉRIQUES POUR L'EXTENSION DE LA COUVERTURE HAUT DÉBIT DANS LES ZONES DE SU (60 SITES)</t>
  </si>
  <si>
    <t>Étendre le réseau de télécommunications mobiles et Internet aux zones rurales isolées dites zones blanches pour désenclaver les populations.</t>
  </si>
  <si>
    <t>P-0685-ODD 2021-2017</t>
  </si>
  <si>
    <t>PROJETS DE DÉVELOPPEMENTS DE CONTENUS NUMÉRIQUES</t>
  </si>
  <si>
    <t>INNOVATION TECHNOLOGIQUE ET START-UPS</t>
  </si>
  <si>
    <t>Accélérer la transformation digitale publique par la dématérialisation transversale des procédures administratives d'accès aux services de l'État.</t>
  </si>
  <si>
    <t>P-0686-ODD 2021-2017</t>
  </si>
  <si>
    <t>PROJET DE DENSIFICATION DU RÉSEAU HAUT DÉBIT ET TRÈS HAUT DÉBIT</t>
  </si>
  <si>
    <t>Déployer de nouvelles liaisons de fibre optique urbaine et métropolitaine pour offrir une connectivité Internet stable à haut débit aux entreprises.</t>
  </si>
  <si>
    <t>P-0687-ODD 2021-2017</t>
  </si>
  <si>
    <t>PROGRAMME SPÉCIAL D'INSERTION DANS L'EMPLOI</t>
  </si>
  <si>
    <t>PROMOTION DE L’EMPLOI</t>
  </si>
  <si>
    <t>Favoriser le recrutement professionnel des jeunes diplômés par la prise en charge de leurs allocations de stage au sein des entreprises privées.</t>
  </si>
  <si>
    <t>P-0715-ODD 2021-2016</t>
  </si>
  <si>
    <t>PROJET DE DÉVELOPPEMENT DES  INFRASTRUCTURES HYDRAULIQUES MULTIFONCTIONS ET GESTION DURABLE DES RESSOURCES EN EAU</t>
  </si>
  <si>
    <t>Sécuriser les activités agropastorales contre la sécheresse par la construction de retenues d'eau et de barrages collinaires à buts multiples.</t>
  </si>
  <si>
    <t>P-0716-ODD 2021-2016</t>
  </si>
  <si>
    <t>PROJET DE RENFORCEMENT DU SYSTÈME D'APPROVISIONNEMENT EN EAU POTABLE DE LA VILLE DE PARAKOU ET SES ENVIRONS</t>
  </si>
  <si>
    <t>Mettre fin aux pénuries d'eau dans les chefs-lieux urbains en augmentant les capacités de pompage, de traitement et en densifiant le réseau de la SONEB.</t>
  </si>
  <si>
    <t>P-0717-ODD 2021-2016</t>
  </si>
  <si>
    <t>PROGRAMME D'APPUI GLOBAL AU CNHU</t>
  </si>
  <si>
    <t>Moderniser le plateau technique de référence nationale du CNHU-HKM à Cotonou par l'acquisition de dispositifs médicaux lourds de dernière génération.</t>
  </si>
  <si>
    <t>P-0718-ODD 2021-2016</t>
  </si>
  <si>
    <t>PROGRAMME D'ACTION POUR L'ELECTRIFICATION DES LOCALITÉS RURALES DU BENIN</t>
  </si>
  <si>
    <t>Hausser le taux de couverture électrique national par l'extension physique systématique du réseau interconnecté de la SBEE vers les villages isolés.</t>
  </si>
  <si>
    <t>P-0719-ODD 2021-2016</t>
  </si>
  <si>
    <t>PROGRAMME D'URGENCE POUR L'ÉLECTRIFICATION RURALE</t>
  </si>
  <si>
    <t>Réduire les fractures énergétiques régionales par le déploiement accéléré de mini-centrales solaires et de réseaux de distribution autonomes décentralisés.</t>
  </si>
  <si>
    <t>P-0720-ODD 2021-2016</t>
  </si>
  <si>
    <t>PROGRAMME D'INCITATION À L'USAGE DU NUMÉRIQUE DANS L'ÉDUCATION ET LA FORMATION</t>
  </si>
  <si>
    <t>Favoriser l'initiation technologique au secondaire en équipant les collèges publics de salles informatiques connectées à l'Internet haut débit.</t>
  </si>
  <si>
    <t>P-0721-ODD 2021-2016</t>
  </si>
  <si>
    <t>PROJET DE SÉCURITÉ NUMÉRIQUE DU BÉNIN</t>
  </si>
  <si>
    <t>CYBERSÉCURITÉ</t>
  </si>
  <si>
    <t>Protéger les infrastructures critiques de l'État contre les cybermenaces en érigeant le Centre National de Cybersécurité et en renforçant l'ANSSI.</t>
  </si>
  <si>
    <t>P-0722-ODD 2021-2016</t>
  </si>
  <si>
    <t>PROGRAMME DE FACILITATION DE L'ACCÈS DES MICROCRÉDITS AUX PLUS PAUVRES</t>
  </si>
  <si>
    <t>FILETS SOCIAUX ET TRANSFERTS</t>
  </si>
  <si>
    <t>Lutter contre la précarité en octroyant des lignes de microcrédit de subsistance à taux préférentiel aux femmes et artisans via le canal du FNM.</t>
  </si>
  <si>
    <t>P-0723-ODD 2021-2016</t>
  </si>
  <si>
    <t>PROJET DE MODERNISATION DU SYSTÈME DE COLLECTE ET DE GESTION DES DÉCHETS DANS LE GRAND NOKOUÉ</t>
  </si>
  <si>
    <t>ASSAINISSEMENT ET GESTION DES DÉCHETS SOLIDES</t>
  </si>
  <si>
    <t>Assainir l'environnement urbain du Grand Nokoué en rationalisant les circuits de collecte, de tri et d'enfouissement technique des déchets solides.</t>
  </si>
  <si>
    <t>P-0724-ODD 2021-2016</t>
  </si>
  <si>
    <t>PROGRAMME D'APPUI GLOBAL À L'AMÉLIORATION DU CADRE DE VIE DANS LES COMMUNES DU BÉNIN</t>
  </si>
  <si>
    <t>URBANISME ET AMÉNAGEMENT DU TERRITOIRE, GESTION FONCIÈRE DURABLE</t>
  </si>
  <si>
    <t>Moderniser le visage des centres urbains à travers l'aménagement de parcs publics, la réhabilitation des voiries d'intérêt national et la lutte contre les pollutions.</t>
  </si>
  <si>
    <t>P-0725-ODD 2021-2016</t>
  </si>
  <si>
    <t>PROGRAMME NATIONAL DE REBOISEMENT DU TERRITOIRE PAR DES MESURES INCITATIVES</t>
  </si>
  <si>
    <t>Luter contre la désertification et préserver la ressource ligneuse nationale en menant de grandes campagnes annuelles de reboisement des forêts classées.</t>
  </si>
  <si>
    <t>P-0246-BAD-2022</t>
  </si>
  <si>
    <t>Projet d’Appui au Développement des Filières Lait et Viande et à la Promotion des Entreprises d’Elevage (PRODEFILAV-PEL)</t>
  </si>
  <si>
    <t>Accroître la productivité et la production de lait et de viande au Bénin afin de réduire les importations de produits animaux et d'améliorer la sécurité alimentaire. ; Renforcer la compétitivité des entreprises d'élevage et moderniser les infrastructures de transformation, de chaîne du froid et de commercialisation des produits pastoraux.</t>
  </si>
  <si>
    <t>Alibori, Borgou, Collines, Zou, Couffo</t>
  </si>
  <si>
    <t>P-0247-EXIMBANK DE CHINE-2022</t>
  </si>
  <si>
    <t>Projet de Densification du Réseau Haut Débit au Bénin</t>
  </si>
  <si>
    <t>Étendre la couverture numérique nationale en fibre optique et en technologie mobile haut débit pour interconnecter les structures publiques et baisser le coût de l'Internet.</t>
  </si>
  <si>
    <t>P-0248-BM-2022</t>
  </si>
  <si>
    <t>Projet de Cohésion Sociale des Régions Nord du Golfe de Guinée (COSO)</t>
  </si>
  <si>
    <t>Améliorer la résilience et la cohésion sociale des communautés locales des régions frontalières du nord à travers le financement d'infrastructures communautaires et l'inclusion économique des jeunes.</t>
  </si>
  <si>
    <t>P-0249-BM-2022</t>
  </si>
  <si>
    <t>Programme d’Amélioration des Systèmes de Santé</t>
  </si>
  <si>
    <t>Rehausser la qualité, l'équité et l'accessibilité des services de santé publique, en mettant l'accent sur la santé maternelle, néonatale, infantile et la couverture maladie universelle.</t>
  </si>
  <si>
    <t>P-0250-BM-2022</t>
  </si>
  <si>
    <t>financement additionnel du Projet de Préparation et de Riposte contre la COVID-19 au Bénin</t>
  </si>
  <si>
    <t>Consolider le système national de préparation sanitaire en maintenant les capacités de détection précoce, de prise en charge thérapeutique et de vaccination de masse.</t>
  </si>
  <si>
    <t>P-0251-ODDO BHF-2022</t>
  </si>
  <si>
    <t>Construction du marché de gros dans l'agglomération du grand Nokoué</t>
  </si>
  <si>
    <t>Doter le pôle économique du Grand Nokoué d'une plateforme logistique et commerciale moderne de stockage et de distribution en gros de produits agroalimentaires.</t>
  </si>
  <si>
    <t>Localité de Zopah / Abomey-Calavi</t>
  </si>
  <si>
    <t>ODDO BHF</t>
  </si>
  <si>
    <t>P-0252-BNP-PARIBAS-2022</t>
  </si>
  <si>
    <t>Projet de construction et réhabilitation des portion de la route des pêches et de la route des esclaves qui relient Cotonou à Ouidah</t>
  </si>
  <si>
    <t>Développer l'attractivité touristique de la bande côtière en réhabilitant et en construisant des liaisons routières asphaltées et historiques liant Cotonou à Ouidah.</t>
  </si>
  <si>
    <t>Cotonou, Abomey-Calavi, Ouidah</t>
  </si>
  <si>
    <t>Fidjrossè, Togbin, Avlékété, Houakpè-Daho</t>
  </si>
  <si>
    <t>BNP-PARIBAS</t>
  </si>
  <si>
    <t>P-0253-BM-2022</t>
  </si>
  <si>
    <t>AQUAVIE</t>
  </si>
  <si>
    <t>Financer à grande échelle l'accès durable à l'eau potable des populations en milieu rural à travers l'exploitation de systèmes d'adduction collectifs délégués.</t>
  </si>
  <si>
    <t>P-0254-BM-2022</t>
  </si>
  <si>
    <t>Soutenir le cadre macroéconomique et financier de l'État pour garantir la mise en œuvre continue des réformes prioritaires liées à l'inclusion sociale et la résilience climatique.</t>
  </si>
  <si>
    <t>P-0255-BM-2022</t>
  </si>
  <si>
    <t>Building Resilient Inclusive Cyties (BRIC)</t>
  </si>
  <si>
    <t>Améliorer la gestion environnementale, réduire les risques d'inondation et renforcer la planification urbaine résiliente dans les principales villes secondaires du Bénin.</t>
  </si>
  <si>
    <t>P-0256-BID-2022</t>
  </si>
  <si>
    <t>Projet de Développement Intégré des Chaines de Valeurs Agricoles (PDI-CVA) – Benin</t>
  </si>
  <si>
    <t>Accroître la valeur ajoutée des filières agricoles à fort potentiel commercial à travers l'aménagement hydro-agricole des parcelles et la fourniture d'intrants. ; Renforcer les capacités de stockage, de conditionnement et l'accès au marché sous-régional pour les coopératives et les agro-industriels locaux.</t>
  </si>
  <si>
    <t>P-0257-FKDEA-2022</t>
  </si>
  <si>
    <t>Water Supply Project in four (4) cities</t>
  </si>
  <si>
    <t>Résorber le déficit structurel de distribution d'eau potable dans quatre centres urbains majeurs en modernisant les installations de captage, de traitement et de canalisation.</t>
  </si>
  <si>
    <t>Atacora, Donga, Collines, Ouémé</t>
  </si>
  <si>
    <t>Natitingou, Djougou, Savalou, Porto-Novo</t>
  </si>
  <si>
    <t>P-0258-AFD-2022</t>
  </si>
  <si>
    <t xml:space="preserve">Projet d’Appui à l’Entrepreneuriat au Bénin (PAEB) </t>
  </si>
  <si>
    <t>Dynamiser la création d'emplois durables en renforçant les dispositifs d'écosystème d'incubation, d'appui-conseil et de mentorat pour les start-ups et PME. ; Faciliter l'accès aux financements et l'octroi de crédits de marché adaptés au cycle de vie et de croissance des micros, petites et moyennes entreprises.</t>
  </si>
  <si>
    <t>P-0259-BM-2022</t>
  </si>
  <si>
    <t>Projet Régional d’Amélioration des Systèmes de Surveillance des Maladies en Afrique de l’Ouest (REDISSE III)</t>
  </si>
  <si>
    <t>Étendre les réseaux nationaux de veille épidémiologique et consolider l'interconnexion des laboratoires d'analyses médicales pour contenir rapidement les foyers d'infection.</t>
  </si>
  <si>
    <t>P-0260-FKDEA-2022</t>
  </si>
  <si>
    <t>Projet de gestion durable des réserves de faune au nord du Bénin et du Contrat de transfert de don à la Fondation des Savanes Ouest Africaines (FSOA).</t>
  </si>
  <si>
    <t>Sécuriser le financement de la conservation de la biodiversité des parcs nationaux du W et de la Pendjari par l'abondement du capital de dotation de la FSOA.</t>
  </si>
  <si>
    <t>P-0261-FKDEA-2022</t>
  </si>
  <si>
    <t xml:space="preserve"> Projet de promotion du secteur privé</t>
  </si>
  <si>
    <t>Accroître les opportunités d'investissements productifs privés à travers la simplification administrative des procédures de création et d'exploitation d'entreprises.</t>
  </si>
  <si>
    <t>P-0387-Chine-2022</t>
  </si>
  <si>
    <t>CINQUIÈME MISSION D'APPUI TECHNIQUE AU MAEC</t>
  </si>
  <si>
    <t>Moderniser les systèmes informatiques, de communication et de sécurité logistique du Ministère des Affaires Étrangères et de la Coopération à Cotonou.</t>
  </si>
  <si>
    <t>P-0388-Chine-2022</t>
  </si>
  <si>
    <t>DEUXIÈME MISSION D'APPUI COTONIÈRE</t>
  </si>
  <si>
    <t>Optimiser la compétitivité de la filière cotonnière béninoise par l'introduction de semences expérimentales et l'assistance technique pour la lutte contre les ravageurs.</t>
  </si>
  <si>
    <t>Banikoara, Kandi, Tchaourou, Nikki</t>
  </si>
  <si>
    <t>P-0403-BOAD-2022</t>
  </si>
  <si>
    <t>PROJET DE CONSTRUCTION D’UNE PLATEFORME LOGISTIQUE AGROALIMENTAIRE DU GRAND NOKOUÉ</t>
  </si>
  <si>
    <t>Centraliser et moderniser le commerce de gros des produits agropastoraux dans l'agglomération du Grand Nokoué en érigeant une plateforme logistique dotée de chaînes de froid adaptées.</t>
  </si>
  <si>
    <t>Calavi Centre</t>
  </si>
  <si>
    <t>Zopah / Abomey-Calavi</t>
  </si>
  <si>
    <t>P-0417-AFD-2022</t>
  </si>
  <si>
    <t>PROJET QUARTIER CULTUREL ET CRÉATIF DE COTONOU (Q3C)</t>
  </si>
  <si>
    <t>INDUSTRIES CRÉATIVES</t>
  </si>
  <si>
    <t>Dynamiser les industries culturelles et créatives nationales par l'aménagement d'un pôle urbain dédié aux expressions artistiques, à la création et à l'attractivité touristique de Cotonou.</t>
  </si>
  <si>
    <t>P-0469-Allemagne-2022</t>
  </si>
  <si>
    <t>Consolider le processus de décentralisation en renforçant les capacités d'autofinancement des communes, la transparence budgétaire locale et l'efficience de la gestion communale.</t>
  </si>
  <si>
    <t>P-0471-Canada-2022</t>
  </si>
  <si>
    <t>Réduire le taux de mortalité maternelle en renforçant les compétences cliniques et l'intégration professionnelle des sages-femmes au sein des zones rurales les plus enclavées.</t>
  </si>
  <si>
    <t>P-0472-ODD 2021-2022</t>
  </si>
  <si>
    <t>PROGRAMME SPÉCIAL DE RÉHABILITATION DE LA CITE HISTORIQUE D'ABOMEY (PSRCHA)</t>
  </si>
  <si>
    <t>Restaurer la voirie urbaine, assainir les abords des sites mémoriels et réhabiliter le patrimoine architectural d'Abomey pour consolider son attractivité touristique majeure.</t>
  </si>
  <si>
    <t>P-0473-ODD 2021-2022</t>
  </si>
  <si>
    <t>PROGRAMME DE PRÉSERVATION ET MISE EN VALEUR DU PATRIMOINE CULTUREL ET DU PATRIMOINE NATUREL A CARACTÈRE CULTUREL</t>
  </si>
  <si>
    <t>ARTS ET INDUSTRIES CULTURELLES</t>
  </si>
  <si>
    <t>Financer la valorisation physique et numérique de monuments et circuits mémoriels clés au sein de quatre communes d'ancrage historique du pays.</t>
  </si>
  <si>
    <t>Zou, Atlantique, Collines, Borgou</t>
  </si>
  <si>
    <t>Abomey, Ouidah, Savalou, Nikki</t>
  </si>
  <si>
    <t>P-0474-Japon-2022</t>
  </si>
  <si>
    <t>PROJET DE RENFORCEMENT DES SYSTÈMES D'ALIMENTATION EN EAU POTABLE DANS LES DÉPARTEMENTS DU COUFFO ET DU PLATEAU_ETUDE DE FAISABILITÉ</t>
  </si>
  <si>
    <t>Mener à bien les prospections géophysiques et dresser l'ingénierie technique détaillée pour le déploiement de futurs réseaux complexes d'adduction d'eau potable.</t>
  </si>
  <si>
    <t>P-0475-SNU-2022</t>
  </si>
  <si>
    <t>PROJET AUTONOMISATION ÉCONOMIQUE DES FEMMES_SUBVENTION À ALIDÉ</t>
  </si>
  <si>
    <t>Structurer les coopératives de femmes rurales à travers l'octroi d'équipements de transformation agropastorale et l'ouverture de débouchés commerciaux stables.</t>
  </si>
  <si>
    <t>P-0476-SNU-2022</t>
  </si>
  <si>
    <t>Promouvoir l'adoption à grande échelle de techniques culturales durables respectueuses des sols (compostage, jachère, lutte biologique) pour sécuriser la résilience paysanne.</t>
  </si>
  <si>
    <t>P-0477-USAID-2022</t>
  </si>
  <si>
    <t>SYSTEMES POUR UN MEILLEUR ACCÈS AUX PRODUITS ET SERVICES PHARMACEUTIQUES (SIAPS)</t>
  </si>
  <si>
    <t>Optimiser la disponibilité des médicaments essentiels dans les formations sanitaires publiques en améliorant la gouvernance logistique et le stockage de la CAME.</t>
  </si>
  <si>
    <t>P-0478-USAID-2022</t>
  </si>
  <si>
    <t>Accroître le taux de prévalence contraceptive et sécuriser l'offre de soins de reproduction de qualité à travers l'appui aux cliniques et structures sanitaires du réseau public.</t>
  </si>
  <si>
    <t>P-0479-USAID-2022</t>
  </si>
  <si>
    <t>Accroître l'efficacité de l'aide publique internationale en renforçant l'ingénierie de planification et de suivi des politiques publiques au sein des ministères sectoriels.</t>
  </si>
  <si>
    <t>P-0480-USAID-2022</t>
  </si>
  <si>
    <t>Éliminer les ruptures de stock de produits de santé prioritaires (antipaludiques, contraceptifs) par l'automatisation numérique du suivi des stocks de la CAME vers les départements.</t>
  </si>
  <si>
    <t>P-0481-USAID-2022</t>
  </si>
  <si>
    <t>USAID BILATERAL PROJECTS</t>
  </si>
  <si>
    <t>INITIATIVES PILOTES</t>
  </si>
  <si>
    <t>Coordonner de manière optimale l'ensemble du portefeuille d'appui bilatéral américain axé sur la consolidation de la santé primaire, de la gouvernance locale et de l'éducation.</t>
  </si>
  <si>
    <t>P-0262-BOAD-2023</t>
  </si>
  <si>
    <t>Projet d'Urgence pour le Renforcement de la resilience des acteurs du secteur agricole (PUR-ZEDAGA)</t>
  </si>
  <si>
    <t>Atténuer les impacts économiques post-crise sur le monde paysan en distribuant d'urgence des intrants subventionnés et en soutenant la trésorerie des producteurs.</t>
  </si>
  <si>
    <t>P-0263-NATIXIS-2023</t>
  </si>
  <si>
    <t>Extension du bassin portuaire et renovation des quais nord du Port Autonome de Cotonou (credit acheteur)</t>
  </si>
  <si>
    <t>Augmenter la capacité d'accueil commerciale du Port de Cotonou par l'élargissement physique du bassin et la réhabilitation lourde des quais de déchargement nord.</t>
  </si>
  <si>
    <t>P-0264-NATIXIS-2023</t>
  </si>
  <si>
    <t>Extension du bassin portuaire et renovation des quais nord du Port Autonome de Cotonou (credit financier)</t>
  </si>
  <si>
    <t>Assurer la couverture financière et la gestion des flux d'investissements internationaux indispensables à la mise en œuvre de la modernisation portuaire.</t>
  </si>
  <si>
    <t>P-0265-BAD-2023</t>
  </si>
  <si>
    <t>Appui budgetaire, 1ere phase du Programme d'Appui a la Gouvernance Economique et au Developpement du Secteur prive</t>
  </si>
  <si>
    <t>Accompagner les réformes structurelles de l'État visant à améliorer la gouvernance des entreprises publiques et à stimuler l'investissement privé formel.</t>
  </si>
  <si>
    <t>P-0266-AFD-2023</t>
  </si>
  <si>
    <t xml:space="preserve"> Programme d'Appui a la Formation Agricole et Rurale (ProFAR)_Appui budgetaire, troisieme tranche</t>
  </si>
  <si>
    <t>Financer directement l'agenda de mise en conformité et de modernisation des infrastructures éducatives techniques agricoles publiques. ; Sécuriser les dotations budgétaires requises pour le perfectionnement continu et la certification des formateurs des lycées agropastoraux.</t>
  </si>
  <si>
    <t>P-0267-BM-2023</t>
  </si>
  <si>
    <t>Appui budgetaire Banque Mondiale, 1ere phase du programme de financement pour le renforcement de la croissance inclusive et la resilience</t>
  </si>
  <si>
    <t>Soutenir les politiques de développement axées sur l'élargissement des filets de sécurité sociale et l'atténuation de la vulnérabilité macroéconomique.</t>
  </si>
  <si>
    <t>P-0268-BAD-2023</t>
  </si>
  <si>
    <t>Programme d'Assainissement Pluvial des Villes Secondaires (PAPVS)</t>
  </si>
  <si>
    <t>Immuniser les centres urbains intermédiaires contre les crues en érigeant des réseaux de drainage primaires et secondaires connectés.</t>
  </si>
  <si>
    <t>P-0269-BM-2023</t>
  </si>
  <si>
    <t>Programme de gouvernance economique et de delivrance des services</t>
  </si>
  <si>
    <t>Accroître l'efficacité de l'administration publique par la dématérialisation des démarches et le renforcement du suivi de la performance des services de l'État.</t>
  </si>
  <si>
    <t>P-0270-AFD-2023</t>
  </si>
  <si>
    <t>Projet d'Appui au Developpement et aux Investissements Agricoles Productifs (PADIAP)</t>
  </si>
  <si>
    <t>Améliorer les revenus des petits producteurs à travers le cofinancement d'équipements de transformation locale et la réhabilitation de pistes de stockage. ; Structurer les circuits de commercialisation et renforcer l'accès des groupements agricoles aux micro-crédits d'investissement de marché.</t>
  </si>
  <si>
    <t>Alibori, Borgou, Atacora, Donga, Collines</t>
  </si>
  <si>
    <t>P-0271-BM-2023</t>
  </si>
  <si>
    <t>Projet d'Harmonisation et d'Amelioration des Statistiques en Afrique de l'Ouest et du Centre (PHASAOC)</t>
  </si>
  <si>
    <t>Standardiser et optimiser la production des indicateurs économiques et démographiques nationaux en renforçant les outils techniques de l'INStaD.</t>
  </si>
  <si>
    <t>P-0272-Allemagne-2023</t>
  </si>
  <si>
    <t>Financement des projets Objectifs de Developpement Durable (ODD)</t>
  </si>
  <si>
    <t>Canaliser les financements d'investissements publics prioritaires vers la concrétisation des indicateurs de santé, d'éducation et d'environnement liés aux cibles des ODD.</t>
  </si>
  <si>
    <t>P-0273-BM-2023</t>
  </si>
  <si>
    <t>Programme de filets de protection sociale 'GBESSOKE'</t>
  </si>
  <si>
    <t>Réduire durablement l'extrême pauvreté par le déploiement massif de transferts monétaires ciblés et l'accompagnement à l'autonomie des ménages vulnérables.</t>
  </si>
  <si>
    <t>P-0274-BM-2023</t>
  </si>
  <si>
    <t>Financement additionnel du Projet Forets Classees Benin</t>
  </si>
  <si>
    <t>Consolider le système intégré de surveillance et d'exploitation rationnelle des massifs forestiers classés pour endiguer le bûcheronnage et préserver les écosystèmes.</t>
  </si>
  <si>
    <t>Alibori, Borgou, Atacora, Donga, Zou, Collines, Atlantique</t>
  </si>
  <si>
    <t>P-0275-JBIC-2023</t>
  </si>
  <si>
    <t>Projet de construction d'une centrale photovoltaique de 25 MW supplementaire sur le site d'Illoulofin dans la commune de Pobe</t>
  </si>
  <si>
    <t>AUGMENTER LA PRODUCTION D’ÉNERGIE RENOUVELABLE ET RENFORCER L’ACCÈS À L’ÉLECTRICITÉ.</t>
  </si>
  <si>
    <t>Pobé</t>
  </si>
  <si>
    <t>Banque Japonaise pour la Coopération Internationale</t>
  </si>
  <si>
    <t>JBIC</t>
  </si>
  <si>
    <t>Base interne mabase (CODE PROJET: ACC-2023-JAPON-0034)</t>
  </si>
  <si>
    <t>P-0276-JBIC-2023</t>
  </si>
  <si>
    <t>Projet de Lanternes Solaires pour l'Enseignement Primaire au Benin (PHASE PILOTE)</t>
  </si>
  <si>
    <t>FOURNIR UN ACCÈS À L’ÉCLAIRAGE SOLAIRE POUR FACILITER L’APPRENTISSAGE DANS L’ENSEIGNEMENT PRIMAIRE.</t>
  </si>
  <si>
    <t>Base interne mabase (CODE PROJET: ACC-2023-JAPON-0033)</t>
  </si>
  <si>
    <t>P-0277-BM-2023</t>
  </si>
  <si>
    <t>Financement additionnel de la troisieme phase du Projet Regional d'Amelioration des Systemes de Surveillance des Maladies en Afrique de l'Ouest (REDISSE III)</t>
  </si>
  <si>
    <t>Renforcer les capacités intersectorielles nationales et régionales de surveillance collaborative des maladies et de préparation aux épidémies.</t>
  </si>
  <si>
    <t>Base interne liste projet (ID: SAN_BM_01)</t>
  </si>
  <si>
    <t>P-0384-BOAD-2023</t>
  </si>
  <si>
    <t>PROJET D’AMÉNAGEMENT ET DE BITUMAGE DE LA ROUTE DJOUGOU-PÉHUNCO-KÉROU-BANIKOARA- (209,68 KM).</t>
  </si>
  <si>
    <t>Participer à l'effort de financement international pour l'asphaltage de la "Route du Coton" (RNIE 7) afin d'assurer l'évacuation fluide de la production agropastorale du Nord.</t>
  </si>
  <si>
    <t>P-0385-Chine-2023</t>
  </si>
  <si>
    <t>23EME MISSION MÉDICALE CHINOISE, 25 MEMBRES TRAVAILLANT À COTONOU, LOKOSSA ET NATITTNGOU, AVEC LES MÉDICAMENTS ET LES MATÉRIAUX MÉDICAUX D'UNE VALEUR DE 500 MLLE RMB</t>
  </si>
  <si>
    <t>PRÉVENTION ET SOINS DE BASE / FOURNITURES MÉDICALES</t>
  </si>
  <si>
    <t>Offrir des soins spécialisés gratuits de haut niveau et assurer le transfert de compétences chirurgicales et thérapeutiques au profit du CNHU de Cotonou et du CHD du Mono.</t>
  </si>
  <si>
    <t>Littoral, Mono</t>
  </si>
  <si>
    <t>Cotonou, Lokossa</t>
  </si>
  <si>
    <t>CNHU-HKM, CHD Mono</t>
  </si>
  <si>
    <t>P-0389-Chine-2019</t>
  </si>
  <si>
    <t>DON DU RIZ</t>
  </si>
  <si>
    <t>Consolider la dotation alimentaire d'urgence de l'État pour appuyer le programme national de cantines de secours dans les zones rurales en situation de soudure.</t>
  </si>
  <si>
    <t>P-0389-Chine-2023</t>
  </si>
  <si>
    <t>Fournir un stock de sécurité alimentaire de céréales pour consolider le programme national de filets sociaux et d'assistance nutritionnelle d'urgence géré par l'ANPC.</t>
  </si>
  <si>
    <t>P-0409-Pays-Bas-2023</t>
  </si>
  <si>
    <t>PROJET DE RENFORCEMENT DE L'EAU POTABLE AU NORD DU BÉNIN (NATITINGOU, COPARGO, TOUCOUNTOUNA, COBLY, KARIMAMA, GOGOUNOU)</t>
  </si>
  <si>
    <t>Résorber le déficit structurel de distribution d'eau potable dans le septentrion en augmentant les capacités de traitement, de stockage et d'extension des réseaux de la SONEB.</t>
  </si>
  <si>
    <t>Natitingou, Djougou</t>
  </si>
  <si>
    <t>P-0450-Allemagne-2023</t>
  </si>
  <si>
    <t>PROMOTION DE L’AGRICULTURE</t>
  </si>
  <si>
    <t>Dynamiser la compétitivité et les volumes commerciaux des filières karité, anacarde et maraîchage par l'adoption de normes de qualité et l'appui aux coopératives de transformation.</t>
  </si>
  <si>
    <t>P-0451-Allemagne-2023</t>
  </si>
  <si>
    <t>Lever les freins à l'accès aux capitaux pour le monde rural en formant les institutions financières aux spécificités du crédit agricole et en renforçant l'éducation financière des paysans.</t>
  </si>
  <si>
    <t>P-0452-Allemagne-2023</t>
  </si>
  <si>
    <t>APPUI AU LABORATOIRE CENTRAL DANS LA LUTTE CONTRE CORONA - GIZ</t>
  </si>
  <si>
    <t>Moderniser et sécuriser l'infrastructure d'analyse du Laboratoire National de Référence à Cotonou par l'acquisition de séquenceurs automatiques et de consommables de dépistage.</t>
  </si>
  <si>
    <t>P-0453-Allemagne-2023</t>
  </si>
  <si>
    <t>Financer la construction d'entrepôts de stockage, de magasins de regroupement et de petites unités de transformation agroalimentaire gérés par le MAEP à travers le territoire.</t>
  </si>
  <si>
    <t>P-0454-Allemagne-2023</t>
  </si>
  <si>
    <t>APPUI À LA GESTION INTÉGRÉE DES RESSOURCES EN EAU DANS LE CONTEXTE DU CHANGEMENT CLIMATIQUE (AGIR‑EAU)</t>
  </si>
  <si>
    <t>Protéger de manière durable les ressources en eau douce superficielles et souterraines du pays par la mise en œuvre opérationnelle des plans de gestion à l'échelle des bassins versants.</t>
  </si>
  <si>
    <t>P-0455-Canada-2023</t>
  </si>
  <si>
    <t>PROGRAMME D'APPUI À L'ENTREPRENARIAT FÉMININ AU SEIN DE LA FILIÈRE RIZ AU BÉNIN (PAEFFR)</t>
  </si>
  <si>
    <t>Accroître la rentabilité et le rôle des coopératives de femmes dans la chaîne de valeur du riz local par la dotation en étuveuses modernes et l'appui au conditionnement.</t>
  </si>
  <si>
    <t>P-0456-COOPERATION SUISSE-2023</t>
  </si>
  <si>
    <t>Structurer et autonomiser les capacités de négociation et de plaidoyer des grandes faîtières nationales d'agriculteurs et d'artisans face aux politiques sectorielles de l'État.</t>
  </si>
  <si>
    <t>P-0457-COOPERATION SUISSE-2023</t>
  </si>
  <si>
    <t>PROGRAMME DE DÉVELOPPEMENT DES INFRASTRUCTURES  ECONOMIQUES ET MARCHANDES AU BÉNIN (PDIEM)</t>
  </si>
  <si>
    <t>Construire des marchés régionaux, des gares routières aménagées et adosser ces infrastructures économiques à des dispositifs de formation aux métiers de la maintenance locale.</t>
  </si>
  <si>
    <t>P-0458-COOPERATION SUISSE-2023</t>
  </si>
  <si>
    <t>Assurer un apport budgétaire direct aux guichets étatiques d'appui (FNDA, FDA) pour pérenniser l'octroi de subventions d'investissements et d'équipements aux artisans et paysans.</t>
  </si>
  <si>
    <t>P-0459-COOPERATION SUISSE-2023</t>
  </si>
  <si>
    <t>PROGRAMME REDEVABILITÉ</t>
  </si>
  <si>
    <t>Promouvoir la transparence de l'action publique locale et renforcer le contrôle citoyen en appuyant la mise en place d'espaces de dialogue de proximité entre élus et administrés.</t>
  </si>
  <si>
    <t>P-0460-COOPERATION SUISSE-2023</t>
  </si>
  <si>
    <t>PROGRAMME D'APPUI AU SECTEUR DU DÉVELOPPEMENT RURAL (PASDER)</t>
  </si>
  <si>
    <t>Accroître de façon inclusive la productivité agropastorale, désenclaver les bassins de production par l'entretien des pistes et renforcer la gouvernance locale des services ruraux.</t>
  </si>
  <si>
    <t>P-0461-ODD 2021-2023</t>
  </si>
  <si>
    <t>PROJET DE DÉPLOIEMENT DES POINTS NUMÉRIQUES COMMUNAUTAIRES DANS LES COMMUNES ET DANS LES ARRONDISSEMENTS DU BÉNIN</t>
  </si>
  <si>
    <t>Réduire la fracture numérique territoriale en créant des espaces connectés au haut débit au sein des 77 communes pour faciliter l'accès de la population aux démarches en ligne.</t>
  </si>
  <si>
    <t>P-0462-Japon-2023</t>
  </si>
  <si>
    <t>PROJET DE CONSTRUCTION D'INFRASTRUCTURES ET D'ÉQUIPEMENTS À L'EPP SAVÈ-NOUVEAU 3</t>
  </si>
  <si>
    <t>Améliorer les conditions d'apprentissage des élèves de la cité lacustre par la construction de modules de classes sur pilotis adaptés et la dotation en mobilier scolaire résistant.</t>
  </si>
  <si>
    <t>P-0463-Japon-2023</t>
  </si>
  <si>
    <t>PROJET DE CONSTRUCTION ET D’ÉQUIPEMENT DE SALLES DE CLASSE AU CEG DE D’OKOUN-SÈMÈ, SÈMÈ-KPODJI</t>
  </si>
  <si>
    <t>Accroître les capacités d'accueil scolaires du premier cycle secondaire au sein du département du Couffo par l'édification de nouveaux bâtiments scolaires équipés de mobiliers.</t>
  </si>
  <si>
    <t>Klouékanmè</t>
  </si>
  <si>
    <t>P-0464-Japon-2023</t>
  </si>
  <si>
    <t>CONSTRUCTION DE L’ÉCHANGEUR DE VÈDOKO</t>
  </si>
  <si>
    <t>Couvrir les réajustements budgétaires de génie civil et de déplacement de réseaux souterrains nécessaires pour parachever sans interruption l'édification de l'échangeur de Vèdoko.</t>
  </si>
  <si>
    <t>P-0465-SNU-2023</t>
  </si>
  <si>
    <t>PROJET COMMUNE DU MILLÉNAIRE DE BONOU POUR UN DÉVELOPPEMENT DURABLE (PCM BONOU)</t>
  </si>
  <si>
    <t>Accélérer la réalisation locale des cibles des ODD dans la commune de Bonou à travers une intervention intégrée d'accès à la santé, à l'éducation, à l'eau potable et à l'autonomie économique.</t>
  </si>
  <si>
    <t>Bonou</t>
  </si>
  <si>
    <t>P-0466-USAID-2023</t>
  </si>
  <si>
    <t>Réduire la mortalité infantile et maternelle en mobilisant les relais communautaires ruraux pour l'administration décentralisée de soins préventifs (paludisme, diarrhée, pneumonie).</t>
  </si>
  <si>
    <t>P-0467-USAID-2023</t>
  </si>
  <si>
    <t>Combattre la malnutrition chronique de la petite enfance en milieu rural à travers le suivi nutritionnel de proximité, l'éducation des mères et la promotion de bouillies enrichies locales.</t>
  </si>
  <si>
    <t>P-0468-USAID-2023</t>
  </si>
  <si>
    <t>Optimiser la qualité de la prise en charge obstétricale et néonatale d'urgence au sein du réseau sanitaire public par la formation des sages-femmes et l'équipement des maternités.</t>
  </si>
  <si>
    <t>P-0470-Allemagne-2022</t>
  </si>
  <si>
    <t>PROJET DE CONSTRUCTION D’UN PONT SUR LE LAC TOHO, D’AMÉNAGEMENT ET DE BITUMAGE DE LA RN 36 ET DE LA ROUTE GUESSO SUD-FÔ BOUR- SINENDÉ ET DE RENFORCEMENT DE LA ROUTE COMÉ- POSSOTOMÉ- BOPA- ZOUNGBONOU SUR FINANCEMENT DE DEUTSCH BANK</t>
  </si>
  <si>
    <t>Faciliter l'écoulement des flux de marchandises et sécuriser la mobilité inter-départementale par l'asphaltage de la RN 36 et l'érection d'un ouvrage d'art moderne franchissant le lac Toho.</t>
  </si>
  <si>
    <t>Comè, Bopa, Klouékanmè</t>
  </si>
  <si>
    <t>P-0694-LuxDev-2023</t>
  </si>
  <si>
    <t>Doter le pôle de formation professionnelle de Ouidah de plateformes d'apprentissage modernes conformes aux exigences du marché de l'emploi touristique.</t>
  </si>
  <si>
    <t>P-0744-BADEA-2023</t>
  </si>
  <si>
    <t>Projet d'Aménagement Hydro-Agricole et d'Adaptation aux Changement Climatiques dans la Basse Vallée du fleuve Mono (PAHA-BVM)</t>
  </si>
  <si>
    <t>Contribuer à l'amélioration de la sécurité alimentaire des populations cibles de la vallée de l'Ouémé par l'aménagement des périmètres irrigués, la création de voies d'accès et la construction d'infrastructures socio-économiques.</t>
  </si>
  <si>
    <t>Fleuve Mono: Athiémé</t>
  </si>
  <si>
    <t>Site d'Athiémé), Grand-Popo (Site de Sazué</t>
  </si>
  <si>
    <t>Base interne liste projet (ID: AGR_BADEA_01)</t>
  </si>
  <si>
    <t>P-0745-BAD-2023</t>
  </si>
  <si>
    <t>Projet de Promotion de l'Aquaculture et de Compétitivité des Chaînes de Valeurs de la Pêche (PROMAC)</t>
  </si>
  <si>
    <t>AMÉNAGER LES TERRES AGRICOLES ET RENFORCER LA RÉSILIENCE CLIMATIQUE DANS LA BASSE VALLÉE DU MONO.</t>
  </si>
  <si>
    <t>Cotonou, Allada, Bonou, Porto-Novo, Grand-Popo, Dogbo, Malanville, Sème-Kpoji, Abomey-Calavi, Karimama, Adjarra, Zagnanado, Zogbodomey, Covè, Ouinhi, Za-kpota, Bopa, Comè, Ouidah, Avrankou, Pobè, Adja-Ouèrè, Kétou, Dangbo, Adjohoun, Lalo, Klouékanmey, Djakotomey, Lokossa, Aplahoué, Houéyogbé, Djougou, Copargo, Parakou, Ouaké, Nikki, Tchaourou, Banikoara, Savè, Dassa-Zoumè</t>
  </si>
  <si>
    <t>Base interne mabase (CODE PROJET: ACC-2023-BAD-0028)</t>
  </si>
  <si>
    <t>P-0278-BOAD-2024</t>
  </si>
  <si>
    <t>Quatrieme tranche du projet de viabilisation du site de Ouedo dans le cadre de la construction de 10 849 logements sociaux et economiques dans la commune d'Abomey-Calavi en Republique du Benin</t>
  </si>
  <si>
    <t>Contribuer à l'amélioration des conditions de vie des populations et à la réduction de la pauvreté au Bénin par la viabilisation du site de Ouèdo et la réalisation de logements sociaux et économiques accessibles.</t>
  </si>
  <si>
    <t>BOAD - Programme de 20 000 logements sociaux et économiques (boad.org)</t>
  </si>
  <si>
    <t>P-0279-AFD-2024</t>
  </si>
  <si>
    <t>Projet d'Appui a la Fondation des Savanes Ouest-Africaines (FSOA) II</t>
  </si>
  <si>
    <t>Contribuer à la conservation durable des savanes ouest-africaines en renforçant la gestion des aires protégées, la biodiversité et les moyens d'existence des communautés riveraines.</t>
  </si>
  <si>
    <t>Documentation FSOA / interventions AFD phase II (pas de lien officiel direct fourni)</t>
  </si>
  <si>
    <t>P-0280-FKDEA-2024</t>
  </si>
  <si>
    <t>Fondation des Savanes Ouest-Africaines (FSOA) (financement de la principale composante du « Guichet Benin » de la FSOA)</t>
  </si>
  <si>
    <t>CONTINUER LE SOUTIEN À LA CONSERVATION ET À LA VALORISATION DURABLE DES SAVANES ET ÉCOSYSTÈMES DU BÉNIN.</t>
  </si>
  <si>
    <t>Base interne mabase (CODE PROJET: ACC-2023-FKDEA-0008)</t>
  </si>
  <si>
    <t>P-0281-FKDEA-2024</t>
  </si>
  <si>
    <t>Soutien au financement durable de l'Enseignement Technique et de la Formation Technique et Professionnelle (EFTP)</t>
  </si>
  <si>
    <t>Contribuer à l'amélioration durable de la qualité, de l'accès et de la gouvernance de l'enseignement et de la formation techniques et professionnels afin de développer les compétences répondant aux besoins du marché du travail.</t>
  </si>
  <si>
    <t>Gouvernement du Bénin - Accords de financement signés à Washington, octobre 2024 (gouv.bj)</t>
  </si>
  <si>
    <t>P-0282-Pays-Bas-2024</t>
  </si>
  <si>
    <t>Projet de construction du port artisanal de Cotonou</t>
  </si>
  <si>
    <t>Contribuer au développement durable de la pêche artisanale au Bénin par la construction d'un port de pêche artisanal moderne à Cotonou, améliorant les conditions de débarquement, de conservation, de transformation et de commercialisation des produits halieutiques.</t>
  </si>
  <si>
    <t>Non fournie (pas de lien officiel cité)</t>
  </si>
  <si>
    <t>P-0283-BOAD-2024</t>
  </si>
  <si>
    <t>Projet de construction et d'equipement de trois (03) lycees techniques professionnels a Natitingou, Lokossa et Bohicon</t>
  </si>
  <si>
    <t>Contribuer à mettre à disposition des personnes formées en quantité et en qualité dans des domaines prioritaires.</t>
  </si>
  <si>
    <t>Atacora, Mono, Zou</t>
  </si>
  <si>
    <t>Natitingou, Lokossa, Bohicon</t>
  </si>
  <si>
    <t>Base interne liste projet (ID: EDU_BOAD_01)</t>
  </si>
  <si>
    <t>P-0284-BOAD-2024</t>
  </si>
  <si>
    <t>Projet de renforcement du systeme d'alimentation en eau potable des villes de Lokossa, Athieme et environs</t>
  </si>
  <si>
    <t>AMÉLIORER DURABLEMENT L'ACCÈS À L'EAU POTABLE DANS LES VILLES DE LOKOSSA, ATHIÉMÉ ET ENVIRONS PAR L'INSTALLATION ET LE RENFORCEMENT DE SYSTÈMES MODERNES D'APPROVISIONNEMENT EN EAU, AFIN DE RÉDUIRE LES MALADIES D'ORIGINE HYDRIQUE ET DE SÉCURISER L'APPROVISIONNEMENT DES POPULATIONS.</t>
  </si>
  <si>
    <t>Lokossa, Athiémé</t>
  </si>
  <si>
    <t>Base interne mabase (CODE PROJET: ACC-2023-BOAD-0022)</t>
  </si>
  <si>
    <t>P-0285-BAD-2024</t>
  </si>
  <si>
    <t>Projet de Developpement des Competences pour l'Emploi dans les Secteurs Prioritaires Phase I (PDCESP I)</t>
  </si>
  <si>
    <t>RENFORCER LES COMPÉTENCES PROFESSIONNELLES POUR FACILITER L’EMPLOYABILITÉ DANS LES SECTEURS PRIORITAIRES.</t>
  </si>
  <si>
    <t>Ouidah, Kpomassè</t>
  </si>
  <si>
    <t>Base interne mabase (CODE PROJET: ACC-2024-BAD-0029)</t>
  </si>
  <si>
    <t>P-0286-FIDA / IFAD-2024</t>
  </si>
  <si>
    <t>Projet d'Appui au Developpement du Maraichage (PADMAR) (Extension)</t>
  </si>
  <si>
    <t>Contribuer durablement à la sécurité alimentaire et nutritionnelle ainsi qu'à la réduction de la pauvreté rurale par l'augmentation des revenus des exploitations maraîchères et le renforcement de leur résilience face aux changements climatiques.</t>
  </si>
  <si>
    <t>Atlantique, Couffo, Littoral, Mono, Ouémé, Plateau et Zou</t>
  </si>
  <si>
    <t>IFAD Co-financing - PADMAR Factsheet ; Gouvernement du Bénin</t>
  </si>
  <si>
    <t>P-0287-FIDA / IFAD-2024</t>
  </si>
  <si>
    <t xml:space="preserve"> Programme de Developpement du Maraichage au Benin (PADMAR) (Extension)_Amendement</t>
  </si>
  <si>
    <t>Étendre les acquis du PADMAR afin d'accroître durablement les revenus des producteurs maraîchers, d'élargir la couverture géographique du programme et de renforcer la résilience des systèmes de production.</t>
  </si>
  <si>
    <t>IFAD Co-financing ; Gouvernement du Bénin</t>
  </si>
  <si>
    <t>P-0288-FIDA / IFAD-2024</t>
  </si>
  <si>
    <t>Projet d'appui au developpement agricole et a l'acces au marche (PADAAM)_Amendement</t>
  </si>
  <si>
    <t>Améliorer durablement la production agricole, l'accès aux marchés et les revenus des petits producteurs par le développement des chaînes de valeur agricoles et l'amélioration des infrastructures de commercialisation.</t>
  </si>
  <si>
    <t>Ouémé, Plateau, Zou, Collines, Mono, Couffo, Atlantique</t>
  </si>
  <si>
    <t>P-0289-BID-2024</t>
  </si>
  <si>
    <t>Projet de Developpement des Infrastructures Agricoles et de Desenclavement de la Basse et Moyenne Vallee de l'Oueme (PDIAD-BMVO)</t>
  </si>
  <si>
    <t>Contribuer à l'amélioration de la sécurité alimentaire des populations de la Vallée de l'Ouémé.</t>
  </si>
  <si>
    <t>Adjohoun, Dangbo, Aguégués</t>
  </si>
  <si>
    <t>Base interne liste projet (ID: AGR_BOAD_03)</t>
  </si>
  <si>
    <t>P-0290-BM-2024</t>
  </si>
  <si>
    <t>Projet d'Appui a la Diversification des Exportations Agricoles et a la Competitivite (PACOFIDE)_Financement Additionnel</t>
  </si>
  <si>
    <t>Restaurer et améliorer la productivité au champ et la valeur ajoutée post-récolte des filières ciblées (riz, anacarde, ananas, poisson, petit élevage, maraichage).</t>
  </si>
  <si>
    <t>Base interne liste projet (ID: AGR_BM_01)</t>
  </si>
  <si>
    <t>P-0291-BID-2024</t>
  </si>
  <si>
    <t>Projet de developpement des chaines de valeur et tubercules/Manioc au Benin (PDCV-RT)</t>
  </si>
  <si>
    <t>Collines, Zou</t>
  </si>
  <si>
    <t>Dassa-Zounmè / Fita</t>
  </si>
  <si>
    <t>Base interne liste projet (ID: AGR_BID_03)</t>
  </si>
  <si>
    <t>P-0292-BID-2024</t>
  </si>
  <si>
    <t>Projet de soutien a l'alimentation scolaire, a la nutrition et aux enfants non scolarises au Benin (PAASEB)</t>
  </si>
  <si>
    <t>AMÉLIORER L’ALIMENTATION SCOLAIRE, LA NUTRITION ET L’ACCÈS À L’ÉDUCATION DES ENFANTS NON SCOLARISÉS.</t>
  </si>
  <si>
    <t>Base interne mabase (CODE PROJET: ACC-2024-BID-0012)</t>
  </si>
  <si>
    <t>P-0293-BAD-2024</t>
  </si>
  <si>
    <t>Financement de la deuxieme phase du Programme d'Appui a la Gouvernance Economique et au Developpement du Secteur Prive (PAGE-DSP II)</t>
  </si>
  <si>
    <t>Accroître la contribution du secteur privé à l'économie béninoise à travers l'amélioration du climat des affaires, l'appui au secteur agroalimentaire et le renforcement de l'action climatique.</t>
  </si>
  <si>
    <t>Rapport d'évaluation du projet - Banque africaine de développement (26 juillet 2024, afdb.org)</t>
  </si>
  <si>
    <t>P-0294-AFD-2024</t>
  </si>
  <si>
    <t>Soutien budgetaire</t>
  </si>
  <si>
    <t>RENFORCER LA GOUVERNANCE PUBLIQUE ET L'EFFICACITÉ DE LA POLITIQUE CULTURELLE, STRUCTURER ET PROFESSIONNALISER LE SECTEUR CULTUREL.
ACCROÎTRE LA COMPÉTITIVITÉ ET LA CONTRIBUTION ÉCONOMIQUE DE LA CULTURE. PROMOUVOIR LA DIFFUSION ET L'ACCÈS À LA CULTURE.</t>
  </si>
  <si>
    <t>Base interne mabase (CODE PROJET: ACC-2024-AFD-0026)</t>
  </si>
  <si>
    <t>P-0295-OFID/OPEP-2024</t>
  </si>
  <si>
    <t>Projet d'Appui au Developpement du Maraichage Extension (PADMAR+)</t>
  </si>
  <si>
    <t>CONSOLIDER LES ACQUIS DU PADMAR EN ÉLARGISSANT LES ZONES D’INTERVENTION ET EN RENFORÇANT LA DURABILITÉ DES INFRASTRUCTURES AGRICOLES.</t>
  </si>
  <si>
    <t>Atlantique, Couffo, Littoral, Mono, Ouémé, Plateau, Zou</t>
  </si>
  <si>
    <t>Base interne mabase (CODE PROJET: ACC-2024-OFID/OPEP-0008)</t>
  </si>
  <si>
    <t>P-0296-BM-2024</t>
  </si>
  <si>
    <t>Deuxieme operation du programme d'appui budgetaire 'stimuler la croissance inclusive et la resilience'</t>
  </si>
  <si>
    <t>SOUTENIR LA CROISSANCE INCLUSIVE ET LA RÉSILIENCE VIA DES POLITIQUES PUBLIQUES</t>
  </si>
  <si>
    <t>Base interne mabase (CODE PROJET: ACC-2024-BM-0056)</t>
  </si>
  <si>
    <t>P-0420-BAD-2023</t>
  </si>
  <si>
    <t>PROJET D’EXPANSION DU PORT AUTONOME DE COTONOU (PAC )</t>
  </si>
  <si>
    <t>Moderniser, numériser et étendre les infrastructures du Port de Cotonou afin d'augmenter son efficacité opérationnelle, de réduire les temps d'attente des navires et de conforter son rôle de hub régional.</t>
  </si>
  <si>
    <t>P-0438-Allemagne-2024</t>
  </si>
  <si>
    <t>Accroître durablement le taux de desserte en eau et améliorer l'accès aux infrastructures d'assainissement de base par une gouvernance renforcée du secteur au niveau local.</t>
  </si>
  <si>
    <t>P-0439-Belgique-2024</t>
  </si>
  <si>
    <t>PAORC (VOLET PORTUAIRE)</t>
  </si>
  <si>
    <t>Appuyer l'amélioration des performances logistiques, la sécurité d'exploitation et l'optimisation des flux de marchandises de transit au Port Autonome de Cotonou.</t>
  </si>
  <si>
    <t>P-0440-Canada-2024</t>
  </si>
  <si>
    <t>JOURNÉES AMÉLIORÉES DE LA SANTÉ DE L'ENFANT (AIDE MULTILATÉRALE)</t>
  </si>
  <si>
    <t>Réduire la mortalité infantile évitable en finançant les campagnes de vaccination de masse, la supplémentation en vitamine A et le déparasitage systématique dans les 77 communes.</t>
  </si>
  <si>
    <t>P-0441-Canada-2024</t>
  </si>
  <si>
    <t>PROJET D'INSERTION DURABLE DES DIPLÔMÉS DU SECTEUR AGROPASTORAL (IDDA)</t>
  </si>
  <si>
    <t>Faciliter l'accès aux terres, au crédit d'installation et à l'appui-conseil de proximité pour les jeunes diplômés issus des écoles d'agriculture afin de pérenniser leur insertion économique.</t>
  </si>
  <si>
    <t>P-0442-Canada-2024</t>
  </si>
  <si>
    <t>PROJET « MA FORMATION, MON MÉTIER, MON AVENIR » (3M)</t>
  </si>
  <si>
    <t>Valoriser l'apprentissage professionnel par la restructuration des parcours courts de formation et l'équipement technique des centres de formation pour répondre aux besoins réels du marché de l'emploi.</t>
  </si>
  <si>
    <t>P-0443-ODD 2021-2024</t>
  </si>
  <si>
    <t>PROGRAMME D'INCITATION À L'ENSEIGNEMENT EN MILIEU DÉFAVORISÉ</t>
  </si>
  <si>
    <t>Corriger les disparités de scolarisation par la gratuité des fournitures scolaires, l'octroi de bourses d'études et le déploiement ciblé d'enseignants qualifiés dans les zones vulnérables.</t>
  </si>
  <si>
    <t>P-0444-ODD 2021-2024</t>
  </si>
  <si>
    <t>PROJET ADMINISTRATION INTELLIGENTE</t>
  </si>
  <si>
    <t>Accélérer la transformation numérique de l'appareil étatique par l'interconnexion complète des ministères, la dématérialisation des concours et la sécurisation des bases de données de l'État.</t>
  </si>
  <si>
    <t>P-0445-Japon-2024</t>
  </si>
  <si>
    <t>PROJET DE CONSTRUCTION ET D'ÉQUIPEMENT DE CLASSES, DE LABAORATOIRE ET DE LATRINES AU COLLÈGE D'ENSEIGNEMENT GÉNÉRAL D'AGON, TOFFO</t>
  </si>
  <si>
    <t>Renforcer l'infrastructure pédagogique des lycées d'élite de Porto-Novo et de Natitingou par l'installation de blocs de laboratoires de physique, chimie et sciences de la vie entièrement équipés.</t>
  </si>
  <si>
    <t>P-0446-Japon-2024</t>
  </si>
  <si>
    <t>PROJET DE CONSTRUCTION ET D’ÉQUIPEMENT DE SALLES DE CLASSE, DE LABORATOIRES ET DE LATRINES AU CEG2 DE GLAZOUÉ</t>
  </si>
  <si>
    <t>Améliorer la qualité de l'apprentissage pratique des matières scientifiques dans les collèges d'enseignement général publics du pays par la dotation en modules de laboratoires normalisés.</t>
  </si>
  <si>
    <t>P-0447-Japon-2024</t>
  </si>
  <si>
    <t>PROJET DE RÉALISATION DES MICROPROJETS SOCIOCOMMUNAUTAIRES PAR LES FONDS DE CONTREPARTIES DU DON JAPONAIS KRI ET DON HORS PROJETS-CONSTRUCTION D’INFRASTRUCTURES SCOLAIRES ET AMÉNAGEMENTS HYDRAULIQUES</t>
  </si>
  <si>
    <t>Améliorer directement le bien-être des populations à la base par le financement flexible d'infrastructures locales de proximité (puits, dispensaires ruraux, salles de classe de brousse).</t>
  </si>
  <si>
    <t>P-0448-LuxDev-2024</t>
  </si>
  <si>
    <t>PROJET D'APPUI À LA FORMATION AGRICOLE ET RURALE (PROFAR2)</t>
  </si>
  <si>
    <t>Poursuivre la mise aux normes institutionnelles et matérielles des centres et lycées techniques agricoles afin de garantir une formation pratique d'excellence tournée vers l'agro-industrie.</t>
  </si>
  <si>
    <t>P-0449-USAID-2024</t>
  </si>
  <si>
    <t>ADAPTATION ET ACTIONS EN VUE DE LA RÉDUCTION DES RISQUES D'INNONDATION</t>
  </si>
  <si>
    <t>Réduire l'impact des crues saisonnières sur l'agglomération du Grand Nokoué en appuyant le développement de systèmes communautaires d'alerte précoce et l'aménagement résilient de quartiers pilotes.</t>
  </si>
  <si>
    <t>P-0507-MARCHE FINANCIER-2024</t>
  </si>
  <si>
    <t>Mobiliser par émission de titres publics régionaux le refinancement à long terme des investissements matériels lourds programmés dans le budget national.</t>
  </si>
  <si>
    <t>Échéance obligataire à long terme</t>
  </si>
  <si>
    <t>P-0747-FKDEA-2024</t>
  </si>
  <si>
    <t>Projet d'AEP des villes de Bassila et Allada</t>
  </si>
  <si>
    <t>Contribuer à l'amélioration de l'alimentation en eau potable dans les villes du projet.</t>
  </si>
  <si>
    <t>Allada, Bassila</t>
  </si>
  <si>
    <t>Base interne liste projet (ID: EAU_FKDEA_02)</t>
  </si>
  <si>
    <t>P-0282-Pays-Bas-2025</t>
  </si>
  <si>
    <t>Contribuer au développement durable de la pêche artisanale par la construction du port artisanal de Cotonou (même objectif que l'accord 2024, sous réserve de confirmation qu'il s'agit d'un avenant/nouvelle convention).</t>
  </si>
  <si>
    <t>Non fournie - à confirmer si avenant à P-0282-Pays-Bas-2024 ou accord distinct</t>
  </si>
  <si>
    <t>P-0283-BOAD-2025</t>
  </si>
  <si>
    <t>P-0297-NATIXIS-2025</t>
  </si>
  <si>
    <t>SACE-Financement de divers projets routiers</t>
  </si>
  <si>
    <t>FINANCER LA CONSTRUCTION ET LA RÉHABILITATION D’INFRASTRUCTURES ROUTIÈRES À TRAVERS UN CRÉDIT GARANTI.</t>
  </si>
  <si>
    <t>Base interne mabase (CODE PROJET: ACC-2024-NATIXIS-0004)</t>
  </si>
  <si>
    <t>P-0298-FKDEA-2025</t>
  </si>
  <si>
    <t>Travaux de renforcement du systeme d'AEP dans les villes de la republique</t>
  </si>
  <si>
    <t>Contribuer à l'amélioration durable de l'accès des populations à l'eau potable par le renforcement et l'extension des systèmes d'alimentation en eau potable dans les villes bénéficiaires.</t>
  </si>
  <si>
    <t>Gouvernement du Bénin - Accord de financement signé avec le FKDEA (gouv.bj)</t>
  </si>
  <si>
    <t>P-0299-BEI-2025</t>
  </si>
  <si>
    <t>Clean Oceans Initiative Grand Nokoue-Benin</t>
  </si>
  <si>
    <t>RÉDUIRE LA POLLUTION MARINE ET AMÉLIORER LA GESTION DES DÉCHETS DANS LA ZONE CÔTIÈRE DU GRAND NOKOUÉ.</t>
  </si>
  <si>
    <t>Base interne mabase (CODE PROJET: ACC-2025-BEI-0009)</t>
  </si>
  <si>
    <t>P-0300-BOAD-2025</t>
  </si>
  <si>
    <t>Projet de renforcement du systeme d'alimentation en eau potable des villes de Lokossa, Athieme et environs (tranche 1)</t>
  </si>
  <si>
    <t>Contribuer à l'accès universel à l'eau potable des populations.</t>
  </si>
  <si>
    <t>Base interne liste projet (ID: EAU_BOAD_01)</t>
  </si>
  <si>
    <t>P-0301-BOAD-2025</t>
  </si>
  <si>
    <t>Projet de renforcement du systeme d'alimentation en eau potable des villes de Lokossa, Athieme et environs (tranche 2)</t>
  </si>
  <si>
    <t>P-0302-Allemagne-2025</t>
  </si>
  <si>
    <t>Pret commercial-ACACIA</t>
  </si>
  <si>
    <t>ETENDRE LA MATURITÉ DE LA DETTE PUBLIQUE ET DE RÉALISER DES ÉCONOMIES SUR LE SERVICE DE LA DETTE</t>
  </si>
  <si>
    <t>Base interne mabase (CODE PROJET: ACC-2025-DEUTSCHE BANK-0001)</t>
  </si>
  <si>
    <t>P-0303-EUROBOND-2025</t>
  </si>
  <si>
    <t>Eurobond-Akpa</t>
  </si>
  <si>
    <t>MOBILISER DES RESSOURCES FINANCIÈRES SUR LES MARCHÉS INTERNATIONAUX POUR FINANCER LES PRIORITÉS DE DÉVELOPPEMENT DU BÉNIN.</t>
  </si>
  <si>
    <t>Échéance financière à long terme (Pas de fin de projet)</t>
  </si>
  <si>
    <t>Base interne mabase (CODE PROJET: ACC-2025-EUROBOND-0004)</t>
  </si>
  <si>
    <t>P-0304-BAD-2025</t>
  </si>
  <si>
    <t>Programme de Securisation de l'Eau potable pour la Resilience en Milieu Rural (PROSER MR)</t>
  </si>
  <si>
    <t>Contribuer à l'amélioration durable de l'accès des populations rurales à une eau potable de qualité, accessible et à moindre coût, tout en renforçant la résilience du secteur de l'eau face aux changements climatiques.</t>
  </si>
  <si>
    <t>Zones rurales multi-départementales du Bénin</t>
  </si>
  <si>
    <t>MapAfrica - Banque africaine de développement (mapafrica.afdb.org, fiche projet PROSER MR)</t>
  </si>
  <si>
    <t>P-0305-FIDA / IFAD-2025</t>
  </si>
  <si>
    <t xml:space="preserve"> Programme Regional d'Integration des Marches Agricoles (PRIMA) - Financement additionnel</t>
  </si>
  <si>
    <t>Contribuer à l'amélioration durable de la sécurité alimentaire, de l'intégration régionale des marchés agricoles et des revenus des petits producteurs par le développement d'infrastructures de marché, le renforcement des chaînes de valeur et la facilitation du commerce agricole.</t>
  </si>
  <si>
    <t>Objectif repris du Programme régional PRIMA/FIDA (pas de lien officiel direct cité)</t>
  </si>
  <si>
    <t>P-0306-BAD-2025</t>
  </si>
  <si>
    <t>Deuxieme phase du Projet d'Electrification Rurale (PERU 2)</t>
  </si>
  <si>
    <t>ÉTENDRE L’ACCÈS À L’ÉLECTRICITÉ EN MILIEU RURAL POUR AMÉLIORER LES CONDITIONS DE VIE ET LE DÉVELOPPEMENT ÉCONOMIQUE LOCAL.</t>
  </si>
  <si>
    <t>Base interne mabase (CODE PROJET: ACC-2025-BAD-0033)</t>
  </si>
  <si>
    <t>P-0307-BM-2025</t>
  </si>
  <si>
    <t>Financement additionnel du Projet de Cohesion Sociale des Regions du Nord du Golfe de Guinee (COSO)</t>
  </si>
  <si>
    <t>Améliorer la collaboration régionale et la résilience socio-économique et climatique des communautés frontalières exposées aux conflits et aux risques climatiques.</t>
  </si>
  <si>
    <t>Atacora, Alibori, Borgou, Donga</t>
  </si>
  <si>
    <t>Base interne liste projet (ID: PROT_BM_04)</t>
  </si>
  <si>
    <t>P-0308-BM-2025</t>
  </si>
  <si>
    <t>Projet de Gestion des Forets Classees au Benin Phase 2 (PGFC II)</t>
  </si>
  <si>
    <t>Renforcer la gestion durable des forêts classées, restaurer les paysages forestiers dégradés et améliorer les moyens d'existence des communautés riveraines afin de préserver durablement les ressources forestières et la biodiversité.</t>
  </si>
  <si>
    <t>P-0309-BM-2025</t>
  </si>
  <si>
    <t>Financement Additionnel du Projet d'Inclusion des Jeunes (PIEJ)</t>
  </si>
  <si>
    <t>Accroître l'inclusion économique des jeunes de 15 à 30 ans en situation de sous-emploi ou d'inactivité et renforcer les services de l'emploi et la formation technique et professionnelle.</t>
  </si>
  <si>
    <t>Base interne liste projet (ID: PROT_BM_02)</t>
  </si>
  <si>
    <t>P-0310-BM-2025</t>
  </si>
  <si>
    <t>Projet de Mobilite Urbaine Durable du Grand Nokoue</t>
  </si>
  <si>
    <t>Transformer la mobilité urbaine dans le Grand Nokoué par la mise en place d'un système de transport public multimodal sûr, inclusif, efficace et résilient au changement climatique afin d'améliorer l'accès aux emplois et aux services urbains.</t>
  </si>
  <si>
    <t>Banque mondiale - Communiqué de presse, 20 mai 2025 (banquemondiale.org)</t>
  </si>
  <si>
    <t>P-0311-BM-2025</t>
  </si>
  <si>
    <t>Premiere phase du Programme du Grand Nokoue</t>
  </si>
  <si>
    <t>Améliorer durablement les infrastructures, les services urbains et la gouvernance métropolitaine du Grand Nokoué afin de renforcer la qualité de vie, la résilience urbaine et le développement économique de l'agglomération.</t>
  </si>
  <si>
    <t>P-0312-BOAD-2025</t>
  </si>
  <si>
    <t>Projet de construction de la ligne d'interconnexion 161 kV Natitingou-Tanguieta-Porga-Frontiere Benin/Togo et des postes HTB/HTA (NATAPO)</t>
  </si>
  <si>
    <t>Contribuer au renforcement du réseau national de transport d'électricité et à la sécurisation de l'alimentation électrique du Nord-Bénin grâce à la construction de la ligne d'interconnexion 161 kV Natitingou-Tanguiéta-Porga et des postes électriques associés.</t>
  </si>
  <si>
    <t>Natitingou, Tanguiéta, Matéri/Porga</t>
  </si>
  <si>
    <t>P-0313-AFD-2025</t>
  </si>
  <si>
    <t>Projet de Transition Agroecologique dans les Zones Cotonnieres du Benin - Phase 2 (TAZCO2)_Avenant1</t>
  </si>
  <si>
    <t>Renforcer la transition agroécologique des zones cotonnières du Bénin en améliorant durablement les systèmes de production agricole, la fertilité des sols, la résilience climatique des exploitations et les revenus des producteurs.</t>
  </si>
  <si>
    <t>Alibori, Borgou, Collines, Zou</t>
  </si>
  <si>
    <t>P-0314-BAD-2025</t>
  </si>
  <si>
    <t>Projet d'Appui a la Diversification des Produits des Marches de capitaux (PMDTF)</t>
  </si>
  <si>
    <t>Contribuer au développement du marché financier béninois par la diversification des instruments financiers, le renforcement de la mobilisation des ressources domestiques et l'amélioration du financement de l'économie.</t>
  </si>
  <si>
    <t>P-0315-Allemagne-2025</t>
  </si>
  <si>
    <t>Contrat d'Aide Financiere de la KfW relatif a la phase VI du Fonds d'Appui au Developpement des Communes (FADeC VI) - Guichet Sahel</t>
  </si>
  <si>
    <t>Contribuer au renforcement de la décentralisation et à l'amélioration durable des services publics locaux dans les communes du Nord-Bénin, notamment celles du Guichet Sahel, par un financement accru des investissements communaux.</t>
  </si>
  <si>
    <t>Communes du nord du Bénin vulnérables aux pressions de la zone sahélienne</t>
  </si>
  <si>
    <t>P-0422-AFD-2025</t>
  </si>
  <si>
    <t>CHOOSE AFRICA 2 BENIN</t>
  </si>
  <si>
    <t>PROMOTION DE L’EMPLOI / ENTREPRENEURIAT</t>
  </si>
  <si>
    <t>Soutenir le développement et la pérennité du tissu économique local en octroyant des lignes de financement adaptées et un appui technique renforcé aux TPE/PME béninoises.</t>
  </si>
  <si>
    <t>A CONFIRMER</t>
  </si>
  <si>
    <t>ODD 8</t>
  </si>
  <si>
    <t>P-0423-BID-2025</t>
  </si>
  <si>
    <t>PROJET DE DÉDOUBLEMENT ET DE MODERNISATION DE LA ROUTE GODOMEY–OUIDAH–HILLACONDJI</t>
  </si>
  <si>
    <t>Fluidifier l'important trafic de transit sur l'axe central RNIE 2 en transformant la section routière menant vers le centre du pays en voie express élargie et hautement sécurisée.</t>
  </si>
  <si>
    <t>Godomey, Akassato</t>
  </si>
  <si>
    <t>P-0424-BAD-2025</t>
  </si>
  <si>
    <t>Projet de renforcement de la résilience et de la gestion des risques climatiques du secteur agricole (PReRAB)</t>
  </si>
  <si>
    <t>Sécuriser les moyens de subsistance des ménages agricoles ruraux par la vulgarisation de semences résilientes, d'alertes météo de proximité et d'infrastructures de maîtrise de l'eau.</t>
  </si>
  <si>
    <t>Approuvé</t>
  </si>
  <si>
    <t>P-0427-Allemagne-2025</t>
  </si>
  <si>
    <t>Améliorer durablement la disponibilité et la qualité nutritionnelle de l'alimentation au sein des ménages vulnérables des départements du Nord par l'appui aux petits exploitants.</t>
  </si>
  <si>
    <t>P-0428-Allemagne-2025</t>
  </si>
  <si>
    <t>FORMATION PROFESSIONNELLE DES FEMMES SUR  L'AGRICULTURE</t>
  </si>
  <si>
    <t>Accroître l'autonomie économique des femmes rurales en développant des parcours de formation technique ciblés sur les techniques modernes de transformation et de commercialisation agropastorale.</t>
  </si>
  <si>
    <t>P-0429-Belgique-2025</t>
  </si>
  <si>
    <t>AVENANT AU FONDS D'ETUDES ET DE CONSULTANCE</t>
  </si>
  <si>
    <t>Mettre à disposition de l'administration centrale des ressources d'expertise technique de haut niveau pour accélérer le montage et l'évaluation des politiques bilatérales.</t>
  </si>
  <si>
    <t>P-0430-Belgique-2025</t>
  </si>
  <si>
    <t>COOPÉRATION UNIVERSITAIRE</t>
  </si>
  <si>
    <t>Dynamiser la recherche scientifique appliquée et moderniser les infrastructures académiques de l'Université d'Abomey-Calavi et de l'Université de Parakou à travers des partenariats inter-universitaires.</t>
  </si>
  <si>
    <t>P-0431-Canada-2025</t>
  </si>
  <si>
    <t>FEMMES ENGAGÉES POUR LA DIGNITÉ HUMAINE DANS LES DÉPARTEMENTS DE L'ALIBORI ET DU BORGOU (FEDIH-DJIRIMA)</t>
  </si>
  <si>
    <t>Promouvoir le respect des droits fondamentaux des femmes et lutter de manière structurelle contre les violences basées sur le genre au sein des communautés septentrionales.</t>
  </si>
  <si>
    <t>P-0432-Canada-2025</t>
  </si>
  <si>
    <t>PROJET INVESTIR DANS LES FEMMES POUR UNE ÉCONOMIE PLUS VERTE AU BÉNIN ET AU BURKINA FASO (IFEV)</t>
  </si>
  <si>
    <t>Renforcer le leadership et le potentiel entrepreneurial des femmes dans la gestion et l'exploitation durable des ressources naturelles et des filières vertes porteuses.</t>
  </si>
  <si>
    <t>P-0433-COOPERATION SUISSE-2025</t>
  </si>
  <si>
    <t>PROGRAMME D'APPUI AUX INITIATIVES DANS LE SECTEUR DE L'ÉLEVAGE ET À LA COHÉSION (PAIE)</t>
  </si>
  <si>
    <t>Sécuriser la mobilité pastorale, améliorer la gestion des infrastructures d'abreuvement et moderniser la commercialisation des produits de l'élevage pour pacifier la transhumance.</t>
  </si>
  <si>
    <t>P-0434-Japon-2025</t>
  </si>
  <si>
    <t>PROJET DE RÉHABILITATION DU CENTRE INTERNATIONAL DE CONFÉRENCE ET DE BÉNIN MARINA HÔTEL_MUFG</t>
  </si>
  <si>
    <t>Clôturer le volet d'investissements techniques et technologiques pour finaliser la modernisation complète de ce pôle événementiel et hôtelier majeur à Cotonou.</t>
  </si>
  <si>
    <t>P-0435-SNU-2025</t>
  </si>
  <si>
    <t>PROJET DE PRÉPARATION DU BÉNIN POUR L'ACCÈS AU FONDS VERT POUR LE CLIMAT</t>
  </si>
  <si>
    <t>CHANGEMENTS CLIMATIQUES / FINANCEMENT CLIMATIQUE</t>
  </si>
  <si>
    <t>Renforcer les capacités de programmation et d'ingénierie financière des institutions nationales afin de capter de manière optimale les financements internationaux liés à l'action pour le climat.</t>
  </si>
  <si>
    <t>P-0436-SNU-2025</t>
  </si>
  <si>
    <t>Enrayer la dégradation de la zone humide d'importance internationale (Ramsar 1011) en menant des actions massives de reboisement de mangroves et en encadrant les activités halieutiques locales.</t>
  </si>
  <si>
    <t>P-0437-USAID-2025</t>
  </si>
  <si>
    <t>USAID REGIONAL PROJECTS</t>
  </si>
  <si>
    <t>Harmoniser et maximiser l'impact des initiatives régionales de santé de la reproduction, de sécurité transfrontalière et d'adaptation au climat menées de concert avec les institutions du pays.</t>
  </si>
  <si>
    <t>P-0695-LuxDev-2025</t>
  </si>
  <si>
    <t>Clôturer le volet budgétaire d'acquisition des équipements technico-pédagogiques avancés indispensables pour l'exploitation de l'école hôtelière.</t>
  </si>
  <si>
    <t>P-0316-BM-2025</t>
  </si>
  <si>
    <t>Premier financement de la politique de transformation economique acceleree et de developpement de l'emploi au Benin (Credit A)</t>
  </si>
  <si>
    <t>Soutenir les réformes de politiques publiques visant à accélérer la transformation économique du Bénin, promouvoir le secteur privé, créer davantage d'emplois productifs et renforcer la résilience économique.</t>
  </si>
  <si>
    <t>P-0317-BM-2025</t>
  </si>
  <si>
    <t>Premier financement de la politique de transformation economique acceleree et de developpement de l'emploi au Benin (Credit B)</t>
  </si>
  <si>
    <t>Soutenir les réformes de politiques publiques visant à accélérer la transformation économique du Bénin, promouvoir un secteur privé plus compétitif, créer davantage d'emplois productifs et renforcer la résilience économique et sociale (objectif identique au Crédit A, les deux opérations constituant les deux tranches d'un même financement de politique de développement).</t>
  </si>
  <si>
    <t>Gouvernement du Bénin - Cadre de Partenariat Pays 2026-2036 Bénin/Banque mondiale (gouv.bj)</t>
  </si>
  <si>
    <t>P-0318-OPEP/OFID-2026</t>
  </si>
  <si>
    <t>Accord de pret pour le financement du Programme d'Appui a la Gouvernance Economique et au Developpement du Secteur Prive (PAGE-DSP)</t>
  </si>
  <si>
    <t>Contribuer à l'amélioration de la gouvernance économique et financière, renforcer le développement du secteur privé et favoriser une croissance économique inclusive, durable et créatrice d'emplois (cofinancement cohérent avec le PAGE-DSP financé par la BAD).</t>
  </si>
  <si>
    <t>OPEP/OFID</t>
  </si>
  <si>
    <t>Banque africaine de développement - fiche projet P-BJ-K00-010 (afdb.org)</t>
  </si>
  <si>
    <t>P-0319-BOAD-2026</t>
  </si>
  <si>
    <t>Financement partiel du Projet pour l'Appui a la Digitalisation des Services du Ministere de l'Economie et des Finances (Tranche Souveraine)</t>
  </si>
  <si>
    <t>Moderniser l'administration financière de l'État par la digitalisation des services du Ministère de l'Économie et des Finances, afin d'améliorer la qualité des services publics, la mobilisation des recettes, la transparence et l'efficacité de la gestion des finances publiques.</t>
  </si>
  <si>
    <t>Direction Générale de l'Économie, Ministère des Finances - DPBEP 2026-2028 (dge.finances.bj)</t>
  </si>
  <si>
    <t>P-0320-BOAD-2026</t>
  </si>
  <si>
    <t>Financement partiel du Projet pour l'Appui a la Digitalisation des Services du Ministere de l'Economie et des Finances (Tranche Concessionnelle)</t>
  </si>
  <si>
    <t>Contribuer à la transformation numérique du Ministère de l'Économie et des Finances en finançant les investissements nécessaires à la dématérialisation des procédures, à l'interopérabilité des systèmes d'information et à l'amélioration de la gouvernance publique.</t>
  </si>
  <si>
    <t>P-0321-BEI-2026</t>
  </si>
  <si>
    <t>Projet de construction, rehabilitation et equipement de six (06) Lycees Techniques Professionnels (LTP) [Bopa, Porto-Novo, Bembereke, Kandi, Pobe, Cotonou (Kpondehou)]</t>
  </si>
  <si>
    <t>Améliorer l'accès à un enseignement technique et professionnel moderne, inclusif et de qualité grâce à la construction, la réhabilitation et l'équipement de lycées techniques, afin de développer les compétences des jeunes et de mieux répondre aux besoins du marché du travail.</t>
  </si>
  <si>
    <t>Mono, Ouémé, Borgou, Alibori, Plateau, Littoral</t>
  </si>
  <si>
    <t>Bopa, Porto-Novo, Bembérèké, Kandi, Pobè, Cotonou</t>
  </si>
  <si>
    <t>Banque européenne d'investissement - fiche projet Lycées Techniques Professionnels du Bénin (eib.org)</t>
  </si>
  <si>
    <t>P-0322-BAD-2026</t>
  </si>
  <si>
    <t>Programme Integre de Developpement et d'Adaptation au Changement Climatique dans le Bassin du Niger (PIDACC) - Financement Additionnel</t>
  </si>
  <si>
    <t>Améliorer la résilience des écosystèmes et des populations riveraines du bassin du Niger face aux aléas climatiques par la restauration des sols, la lutte contre l'ensablement du fleuve et le développement d'infrastructures agro-pastorales résilientes.</t>
  </si>
  <si>
    <t>P-0323-BAD-2026</t>
  </si>
  <si>
    <t>Programme de Transformation de l'Agriculture dans la Zone des Savanes - Phase 1 (PROTAS-P1)</t>
  </si>
  <si>
    <t>Augmenter durablement la productivité, la sécurité alimentaire et les revenus des producteurs dans la zone des savanes par la mise en place d'aménagements hydro-agricoles modernes, la sécurisation foncière des exploitations et l'accès aux intrants de qualité.</t>
  </si>
  <si>
    <t>Natitingou, Boukoumbé, Cobly, Kérou, Kouandé, Matéri, Tanguiéta, Toucountouna, Banikoara</t>
  </si>
  <si>
    <t>P-0324-BM-2026</t>
  </si>
  <si>
    <t>Programme d'appui a la gouvernance economique et au developpement du secteur prive - financement supplementaire (PAGE-DSP FS 2025)</t>
  </si>
  <si>
    <t>Consolider la viabilité budgétaire et renforcer le climat des affaires par l'amélioration de la mobilisation des recettes nationales, la transparence des marchés publics et la promotion des investissements privés dans les secteurs clés.</t>
  </si>
  <si>
    <t>P-0325-BM-2026</t>
  </si>
  <si>
    <t>Programme de Developpement de l'Entrepreneuriat Feminin et d'Acces au Financement (Women Entrepreneurship Development and Access to Finance Program - WEDAF)</t>
  </si>
  <si>
    <t>Accroître l'accès des micros, petites et moyennes entreprises dirigées par des femmes à des financements adaptés, et renforcer leurs capacités techniques et managériales pour stimuler leur compétitivité sur les marchés.</t>
  </si>
  <si>
    <t>P-0425-BM-2026</t>
  </si>
  <si>
    <t>PROJET DE CONSTRUCTION DU BARRAGE MULTIFONCTIONNEL DOGO-BIS (PHASE 1)</t>
  </si>
  <si>
    <t>Garantir la sécurité hydrique, sécuriser les aménagements hydro-agricoles et développer la production énergétique renouvelable par la construction d'un complexe de retenue d'eau multifonctionnel à Savè.</t>
  </si>
  <si>
    <t>Savè</t>
  </si>
  <si>
    <t>P-0426-BM-2026</t>
  </si>
  <si>
    <t>PROJET DE RÉPONSE D'URGENCE AUX CRISES ET CATASTROPHES (CERP-PRUCC)</t>
  </si>
  <si>
    <t>Mettre en place un guichet financier et logistique d'intervention rapide pour assister promptement les communes victimes d'inondations majeures ou de chocs climatiques soudains.</t>
  </si>
  <si>
    <t>P-0742-BM-2026</t>
  </si>
  <si>
    <t>PROGRAMME ALAFIA I – NOURRIR L'AVENIR DU BÉNIN</t>
  </si>
  <si>
    <t>NUTRITION / SANTÉ MATERNELLE, NÉONATALE ET INFANTILE</t>
  </si>
  <si>
    <t>Améliorer de façon durable la sécurité nutritionnelle rurale par l'appui aux chaînes de valeur vivrières locales et le renforcement des transferts monétaires sociaux.</t>
  </si>
  <si>
    <t>P-0448-AFD-2024</t>
  </si>
  <si>
    <t>N°</t>
  </si>
  <si>
    <t>Département</t>
  </si>
  <si>
    <t>Village ou quartier de Ville</t>
  </si>
  <si>
    <t>ALIBORI</t>
  </si>
  <si>
    <t>KANDI</t>
  </si>
  <si>
    <t>ANGARADEBOU</t>
  </si>
  <si>
    <t>1. Akoïtchaou</t>
  </si>
  <si>
    <t>2. Alfakoara</t>
  </si>
  <si>
    <t>3. Angaradébou</t>
  </si>
  <si>
    <t>4. Dogban</t>
  </si>
  <si>
    <t>5. Fafa</t>
  </si>
  <si>
    <t>6. Fouet</t>
  </si>
  <si>
    <t>7. Kabagbèdè</t>
  </si>
  <si>
    <t>8. Kpalolo</t>
  </si>
  <si>
    <t>9. Sékalé</t>
  </si>
  <si>
    <t>10. Sondo</t>
  </si>
  <si>
    <t>11. Soundou</t>
  </si>
  <si>
    <t>12. Tchoka</t>
  </si>
  <si>
    <t>13. Thuy</t>
  </si>
  <si>
    <t>14. Thya</t>
  </si>
  <si>
    <t>BENSEKOU</t>
  </si>
  <si>
    <t>1. Bensékou</t>
  </si>
  <si>
    <t>2. Gogbêdé</t>
  </si>
  <si>
    <t>3. Koutakroukou</t>
  </si>
  <si>
    <t>DONWARI</t>
  </si>
  <si>
    <t>1. Dinin</t>
  </si>
  <si>
    <t>2. Dinin Peulh</t>
  </si>
  <si>
    <t>3. Donwari</t>
  </si>
  <si>
    <t>4. Donwari-Peulh</t>
  </si>
  <si>
    <t>5. Gambanè</t>
  </si>
  <si>
    <t>6. Gambanè-Peulh</t>
  </si>
  <si>
    <t>7. Kpéssarou</t>
  </si>
  <si>
    <t>8. Mongo</t>
  </si>
  <si>
    <t>9. Mongo-Peulh</t>
  </si>
  <si>
    <t>10. Sidérou</t>
  </si>
  <si>
    <t>11. Tissarou</t>
  </si>
  <si>
    <t>12. Tissarou-Peulh</t>
  </si>
  <si>
    <t>13. Touko</t>
  </si>
  <si>
    <t>KANDI 1</t>
  </si>
  <si>
    <t>1. Damadi</t>
  </si>
  <si>
    <t>2. Dodopanin</t>
  </si>
  <si>
    <t>3. Gando-Kossikana</t>
  </si>
  <si>
    <t>4. Gansosso-Gbiga</t>
  </si>
  <si>
    <t>5. Gansosso-Yiroussé</t>
  </si>
  <si>
    <t>6. Kadjèrè</t>
  </si>
  <si>
    <t>7. Kéféri-Hinkanté</t>
  </si>
  <si>
    <t>8. Kéféri-Sinté</t>
  </si>
  <si>
    <t>9. Pédé</t>
  </si>
  <si>
    <t>KANDI 2</t>
  </si>
  <si>
    <t>1. Al Barika</t>
  </si>
  <si>
    <t>2. Alékparé</t>
  </si>
  <si>
    <t>3. Banigourou</t>
  </si>
  <si>
    <t>4. Baobab</t>
  </si>
  <si>
    <t>5. Kossarou</t>
  </si>
  <si>
    <t>6. Madina</t>
  </si>
  <si>
    <t>7. Zerman-Kouré</t>
  </si>
  <si>
    <t>KANDI 3</t>
  </si>
  <si>
    <t>1. Bakpara</t>
  </si>
  <si>
    <t>2. Héboumey</t>
  </si>
  <si>
    <t>3. Kandi-Fô</t>
  </si>
  <si>
    <t>4. Kandi-Fô-Peulh</t>
  </si>
  <si>
    <t>5. Lafiarou</t>
  </si>
  <si>
    <t>6. Podo</t>
  </si>
  <si>
    <t>7. Sinikoussou-Béri</t>
  </si>
  <si>
    <t>KASSAKOU</t>
  </si>
  <si>
    <t>1. Firi</t>
  </si>
  <si>
    <t>2. Gbokoukou</t>
  </si>
  <si>
    <t>3. Gogoré</t>
  </si>
  <si>
    <t>4. Kassakou</t>
  </si>
  <si>
    <t>5. Padé</t>
  </si>
  <si>
    <t>6. Padé-Peulh</t>
  </si>
  <si>
    <t>7. Pégon</t>
  </si>
  <si>
    <t>SAAH</t>
  </si>
  <si>
    <t>1. Banikani</t>
  </si>
  <si>
    <t>2. Fouré</t>
  </si>
  <si>
    <t>3. Lolo</t>
  </si>
  <si>
    <t>4. Saah</t>
  </si>
  <si>
    <t>SAM</t>
  </si>
  <si>
    <t>1. Bikongou</t>
  </si>
  <si>
    <t>2. Bodérou</t>
  </si>
  <si>
    <t>3. Bodérou-Peulh</t>
  </si>
  <si>
    <t>4. Gbindarou</t>
  </si>
  <si>
    <t>5. Sakatoussa</t>
  </si>
  <si>
    <t>6. Sam</t>
  </si>
  <si>
    <t>7. Sam-Gokirou</t>
  </si>
  <si>
    <t>8. Sam-Peulh</t>
  </si>
  <si>
    <t>9. Tankongou</t>
  </si>
  <si>
    <t>10. Tankongou-Dagourou</t>
  </si>
  <si>
    <t>11. Téri</t>
  </si>
  <si>
    <t>12. Wonga</t>
  </si>
  <si>
    <t>SONSORO</t>
  </si>
  <si>
    <t>1. Alibori-Yankin</t>
  </si>
  <si>
    <t>2. Pédigui</t>
  </si>
  <si>
    <t>3. Sinawongourou</t>
  </si>
  <si>
    <t>4. Sinawongourou-Peulh</t>
  </si>
  <si>
    <t>5. Sonsoro</t>
  </si>
  <si>
    <t>6. Sonsoro-Peulh</t>
  </si>
  <si>
    <t>MALANVILLE</t>
  </si>
  <si>
    <t>GAROU</t>
  </si>
  <si>
    <t>1. Djindégabi-Tounga</t>
  </si>
  <si>
    <t>2. Gaabo</t>
  </si>
  <si>
    <t>3. Garou-Béri</t>
  </si>
  <si>
    <t>4. Garou-Tédji-Gorobani</t>
  </si>
  <si>
    <t>5. Garou-Tédji</t>
  </si>
  <si>
    <t>6. Garou- Wénou-Kannin</t>
  </si>
  <si>
    <t>7. Kambouwo-Tounga</t>
  </si>
  <si>
    <t>8. Monkassa</t>
  </si>
  <si>
    <t>9. Tounga-Tédji</t>
  </si>
  <si>
    <t>10. Wanda</t>
  </si>
  <si>
    <t>GUENE</t>
  </si>
  <si>
    <t>1. Bangou</t>
  </si>
  <si>
    <t>2. Banitè-Koubéri</t>
  </si>
  <si>
    <t>3. Banitè-Fèrè Kirè</t>
  </si>
  <si>
    <t>4. Boïffo</t>
  </si>
  <si>
    <t>5. Fiafounfoun</t>
  </si>
  <si>
    <t>6. Goun-Goun</t>
  </si>
  <si>
    <t>7. Guéné-Guidigo</t>
  </si>
  <si>
    <t>8. Guéné-Zermé</t>
  </si>
  <si>
    <t>9. Isséné</t>
  </si>
  <si>
    <t>10. Kantoro</t>
  </si>
  <si>
    <t>11. Koara-Tédji</t>
  </si>
  <si>
    <t>12. Lakali-Kaney</t>
  </si>
  <si>
    <t>13. Mokollé</t>
  </si>
  <si>
    <t>14. Sounbey-Gorou</t>
  </si>
  <si>
    <t>15. Tondi-Banda</t>
  </si>
  <si>
    <t>16. Toro-Zougou</t>
  </si>
  <si>
    <t>MADECALI</t>
  </si>
  <si>
    <t>1. Godjékoara</t>
  </si>
  <si>
    <t>2. Goroussoundougou</t>
  </si>
  <si>
    <t>3. Illoua</t>
  </si>
  <si>
    <t>4. Kassa</t>
  </si>
  <si>
    <t>5. Koualérou</t>
  </si>
  <si>
    <t>6. Kouara-tédji</t>
  </si>
  <si>
    <t>7. Madécali</t>
  </si>
  <si>
    <t>8. Madécali-Zongo</t>
  </si>
  <si>
    <t>9. Mélayakouara</t>
  </si>
  <si>
    <t>10. Sendé</t>
  </si>
  <si>
    <t>1. Bodjécali</t>
  </si>
  <si>
    <t>2. Bodjécali-Château</t>
  </si>
  <si>
    <t>3. Galiel</t>
  </si>
  <si>
    <t>4. Golobanda</t>
  </si>
  <si>
    <t>5. Kotchi</t>
  </si>
  <si>
    <t>6. Tassi-Djindé</t>
  </si>
  <si>
    <t>7. Tassi-tédji</t>
  </si>
  <si>
    <t>8. Tassi-Tédji-Banizounbou</t>
  </si>
  <si>
    <t>9. Tassi-Tédji-Boulanga</t>
  </si>
  <si>
    <t>10. Tassi-Zénon</t>
  </si>
  <si>
    <t>11. Wollo</t>
  </si>
  <si>
    <t>12. Wollo-Château</t>
  </si>
  <si>
    <t>13. Wouro-Yesso</t>
  </si>
  <si>
    <t>TOUMBOUTOU</t>
  </si>
  <si>
    <t>1. Baniloua</t>
  </si>
  <si>
    <t>2. Dèguè-Dègué</t>
  </si>
  <si>
    <t>3. Gorou-Djindé</t>
  </si>
  <si>
    <t>4. Molla</t>
  </si>
  <si>
    <t>5. Sakawan-Tédji</t>
  </si>
  <si>
    <t>6. Sakawan-Zénon</t>
  </si>
  <si>
    <t>7. Santché</t>
  </si>
  <si>
    <t>8. Toumboutou</t>
  </si>
  <si>
    <t>9. Wanzam-Koara</t>
  </si>
  <si>
    <t>KARIMAMA</t>
  </si>
  <si>
    <t>BIRNI LAFIA</t>
  </si>
  <si>
    <t>1. Birni Lafia</t>
  </si>
  <si>
    <t>2. Fadama</t>
  </si>
  <si>
    <t>3. Goroukambou</t>
  </si>
  <si>
    <t>4. Kangara-Peulh</t>
  </si>
  <si>
    <t>5. Karigui</t>
  </si>
  <si>
    <t>6. Missira</t>
  </si>
  <si>
    <t>7. Saboula</t>
  </si>
  <si>
    <t>8. Tondikoaria</t>
  </si>
  <si>
    <t>9. Tondoobon</t>
  </si>
  <si>
    <t>BOGO-BOGO</t>
  </si>
  <si>
    <t>2. Bogo-Bogo</t>
  </si>
  <si>
    <t>3. Koaratédji</t>
  </si>
  <si>
    <t>4. Kofounou</t>
  </si>
  <si>
    <t>5. Mamassy-Gourma</t>
  </si>
  <si>
    <t>6. Torioh</t>
  </si>
  <si>
    <t>7. Toura</t>
  </si>
  <si>
    <t>1. Bello-Tounga</t>
  </si>
  <si>
    <t>2. Fakara</t>
  </si>
  <si>
    <t>3. Gourou Béri</t>
  </si>
  <si>
    <t>4. Karimama-Batouma-Béri</t>
  </si>
  <si>
    <t>5. Karimama-Dendi-Kouré</t>
  </si>
  <si>
    <t>6. Mamassy-Peulh</t>
  </si>
  <si>
    <t>KOMPA</t>
  </si>
  <si>
    <t>1. Banizoumbou</t>
  </si>
  <si>
    <t>2. Dangazori</t>
  </si>
  <si>
    <t>3. Garbey-Koara</t>
  </si>
  <si>
    <t>4. Goungou-Béri</t>
  </si>
  <si>
    <t>5. Kéné-Tounga</t>
  </si>
  <si>
    <t>6. Kompa</t>
  </si>
  <si>
    <t>7. Kompanti</t>
  </si>
  <si>
    <t>MONSEY</t>
  </si>
  <si>
    <t>1. Bako-Maka</t>
  </si>
  <si>
    <t>2. Bongnami</t>
  </si>
  <si>
    <t>3. Fandou</t>
  </si>
  <si>
    <t>4. Goumbitchigoura</t>
  </si>
  <si>
    <t>5. Loumbou-Loumbou</t>
  </si>
  <si>
    <t>6. Machayan-Marché</t>
  </si>
  <si>
    <t>7. Monsey</t>
  </si>
  <si>
    <t>8. Pétchinga</t>
  </si>
  <si>
    <t>BANIKOARA</t>
  </si>
  <si>
    <t>1. Arbonga</t>
  </si>
  <si>
    <t>2. Aviation</t>
  </si>
  <si>
    <t>3. Batran</t>
  </si>
  <si>
    <t>4. Demanou</t>
  </si>
  <si>
    <t>5. Dérou Garou</t>
  </si>
  <si>
    <t>6. Glégbabi</t>
  </si>
  <si>
    <t>7. Guiguiri</t>
  </si>
  <si>
    <t>8. Kingarou</t>
  </si>
  <si>
    <t>9. Kokiré</t>
  </si>
  <si>
    <t>10. Kommon</t>
  </si>
  <si>
    <t>11. Kori Guiguiri</t>
  </si>
  <si>
    <t>12. Kpagaguèdou</t>
  </si>
  <si>
    <t>13. Orou Gnonrou</t>
  </si>
  <si>
    <t>14. Samanga</t>
  </si>
  <si>
    <t>15. Tokey-Banta</t>
  </si>
  <si>
    <t>16. Wagou</t>
  </si>
  <si>
    <t>17. Wétérou</t>
  </si>
  <si>
    <t>18. Yadikparou</t>
  </si>
  <si>
    <t>FOUNOUGO</t>
  </si>
  <si>
    <t>1. Bofounou</t>
  </si>
  <si>
    <t>2. Founougo-Boutèra</t>
  </si>
  <si>
    <t>3. Founougo-Gorobani</t>
  </si>
  <si>
    <t>4. Founougo-Gah</t>
  </si>
  <si>
    <t>5. Gama</t>
  </si>
  <si>
    <t>6. Gaméré-Zongo</t>
  </si>
  <si>
    <t>7. Gougnirou</t>
  </si>
  <si>
    <t>8. Gougnirou-Gah</t>
  </si>
  <si>
    <t>9. Iboto</t>
  </si>
  <si>
    <t>10. Igrigou</t>
  </si>
  <si>
    <t>11. Kandérou</t>
  </si>
  <si>
    <t>12. Kandérou-Kotchera</t>
  </si>
  <si>
    <t>13. Koney</t>
  </si>
  <si>
    <t>14. Kpako-Gbabi</t>
  </si>
  <si>
    <t>15. Pogoussorou</t>
  </si>
  <si>
    <t>16. Sampèto</t>
  </si>
  <si>
    <t>17. Sissianganrou</t>
  </si>
  <si>
    <t>18. Yanguéri</t>
  </si>
  <si>
    <t>19. Yinyinpogou</t>
  </si>
  <si>
    <t>GOMPAROU</t>
  </si>
  <si>
    <t>1. Bonhanrou</t>
  </si>
  <si>
    <t>2. Gnambanou</t>
  </si>
  <si>
    <t>3. Gomparou-Gokpadou</t>
  </si>
  <si>
    <t>4. Gomparou Goussinrou</t>
  </si>
  <si>
    <t>5. Gomparou</t>
  </si>
  <si>
    <t>6. Gourè-Edé</t>
  </si>
  <si>
    <t>7. Kali</t>
  </si>
  <si>
    <t>8. Kpessanrou</t>
  </si>
  <si>
    <t>9. Niékoubanta</t>
  </si>
  <si>
    <t>10. Pampime</t>
  </si>
  <si>
    <t>11. Sionkpékoka</t>
  </si>
  <si>
    <t>12. Tiganson</t>
  </si>
  <si>
    <t>13. Yossinandé</t>
  </si>
  <si>
    <t>GOUMORI</t>
  </si>
  <si>
    <t>1. Bonni</t>
  </si>
  <si>
    <t>2. Bontè</t>
  </si>
  <si>
    <t>3. Dombouré</t>
  </si>
  <si>
    <t>4. Dombouré-Gah</t>
  </si>
  <si>
    <t>5. Dondagou</t>
  </si>
  <si>
    <t>6. Gbassa</t>
  </si>
  <si>
    <t>7. Ggangbanga</t>
  </si>
  <si>
    <t>8. Goumori-Gbissarou</t>
  </si>
  <si>
    <t>9. Goumori-Bayèdou</t>
  </si>
  <si>
    <t>10. Goumori-Gah</t>
  </si>
  <si>
    <t>11. Mondoukoka</t>
  </si>
  <si>
    <t>12. Mondoukoka-Gah</t>
  </si>
  <si>
    <t>13. Sakassinnou</t>
  </si>
  <si>
    <t>14. Satouba</t>
  </si>
  <si>
    <t>15. Tihourè</t>
  </si>
  <si>
    <t>KOKEY</t>
  </si>
  <si>
    <t>1. Gamarou</t>
  </si>
  <si>
    <t>2. Kokey-Sinakparou</t>
  </si>
  <si>
    <t>3. Kokey-Filo</t>
  </si>
  <si>
    <t>4. Nimbéré</t>
  </si>
  <si>
    <t>5. Piguiré</t>
  </si>
  <si>
    <t>6. Sonwari</t>
  </si>
  <si>
    <t>7. Yambérou</t>
  </si>
  <si>
    <t>KOKIBOROU</t>
  </si>
  <si>
    <t>1. Bonkéré</t>
  </si>
  <si>
    <t>2. Kokiborou</t>
  </si>
  <si>
    <t>3. Sounsoun</t>
  </si>
  <si>
    <t>4. Guinningou-Gah</t>
  </si>
  <si>
    <t>5. Sirikou</t>
  </si>
  <si>
    <t>OUNET</t>
  </si>
  <si>
    <t>1. Boniki</t>
  </si>
  <si>
    <t>2. Kihouhou</t>
  </si>
  <si>
    <t>3. Kpéborogou</t>
  </si>
  <si>
    <t>4. Ounet-Sinakparou</t>
  </si>
  <si>
    <t>5. Ounet-Sékogbaourou</t>
  </si>
  <si>
    <t>6. Ounet-Gah</t>
  </si>
  <si>
    <t>7. Sonnou</t>
  </si>
  <si>
    <t>8. Sonnou-Gah</t>
  </si>
  <si>
    <t>SOMPEROUKOU</t>
  </si>
  <si>
    <t>1. Bonyangou</t>
  </si>
  <si>
    <t>2. Bourin</t>
  </si>
  <si>
    <t>3. Gnandarou</t>
  </si>
  <si>
    <t>4. Kégamorou</t>
  </si>
  <si>
    <t>5. Poto</t>
  </si>
  <si>
    <t>6. Poto-Gah</t>
  </si>
  <si>
    <t>7. Simpérou</t>
  </si>
  <si>
    <t>8. Simpérou-Gah</t>
  </si>
  <si>
    <t>9. Sompéroukou-Gbessara</t>
  </si>
  <si>
    <t>10. Sompéroukou-Yorounon</t>
  </si>
  <si>
    <t>11. Sompéroukou-Gah</t>
  </si>
  <si>
    <t>SOROKO</t>
  </si>
  <si>
    <t>1. Gbéniki</t>
  </si>
  <si>
    <t>2. Mékrou</t>
  </si>
  <si>
    <t>3. Soroko Yorounon</t>
  </si>
  <si>
    <t>4. Soroko</t>
  </si>
  <si>
    <t>5. Soroko Gah</t>
  </si>
  <si>
    <t>6. Soudou</t>
  </si>
  <si>
    <t>TOURA</t>
  </si>
  <si>
    <t>1. Atabénou</t>
  </si>
  <si>
    <t>2. Gnambourankorou</t>
  </si>
  <si>
    <t>3. Guimbagou</t>
  </si>
  <si>
    <t>4. Kakourogou</t>
  </si>
  <si>
    <t>5. Siwougourou</t>
  </si>
  <si>
    <t>6. Tintinmou</t>
  </si>
  <si>
    <t>7. Tintinmou-Gah</t>
  </si>
  <si>
    <t>8. Toura-Bio N’Worou</t>
  </si>
  <si>
    <t>9. Toura-Yokparou</t>
  </si>
  <si>
    <t>10. Toura Gah</t>
  </si>
  <si>
    <t>GOGOUNOU</t>
  </si>
  <si>
    <t>BAGOU</t>
  </si>
  <si>
    <t>1. Badou</t>
  </si>
  <si>
    <t>2. Kérou-Bagou</t>
  </si>
  <si>
    <t>3. Bagou-Sinkparou</t>
  </si>
  <si>
    <t>4. Bagou-Yagbo</t>
  </si>
  <si>
    <t>5. Banigouré</t>
  </si>
  <si>
    <t>6. Bépororo</t>
  </si>
  <si>
    <t>7. Bouyagourou</t>
  </si>
  <si>
    <t>8. Diadia</t>
  </si>
  <si>
    <t>9. Gandobou</t>
  </si>
  <si>
    <t>10. Garagoro</t>
  </si>
  <si>
    <t>11. Kali</t>
  </si>
  <si>
    <t>12. Kangnan</t>
  </si>
  <si>
    <t>13. Kassirou</t>
  </si>
  <si>
    <t>14. Kpakaguèrè</t>
  </si>
  <si>
    <t>15. Nafarou</t>
  </si>
  <si>
    <t>16. Orou-Bédou</t>
  </si>
  <si>
    <t>17. Taïti</t>
  </si>
  <si>
    <t>18. Yankpannou</t>
  </si>
  <si>
    <t>1. Djinmélé</t>
  </si>
  <si>
    <t>2. Gogounou-Gbanin</t>
  </si>
  <si>
    <t>3. Gogounou-Nassabara</t>
  </si>
  <si>
    <t>4. Goubéra</t>
  </si>
  <si>
    <t>5. Konsénin</t>
  </si>
  <si>
    <t>6. Ouèrè-Bani</t>
  </si>
  <si>
    <t>7. Ouèrè-Sonkérou</t>
  </si>
  <si>
    <t>8. Sonkorou</t>
  </si>
  <si>
    <t>9. Sorou</t>
  </si>
  <si>
    <t>GOUNAROU</t>
  </si>
  <si>
    <t>1. Bantansoué</t>
  </si>
  <si>
    <t>2. Boro</t>
  </si>
  <si>
    <t>3. Borodarou</t>
  </si>
  <si>
    <t>4. Dagourou</t>
  </si>
  <si>
    <t>5. Diguisson</t>
  </si>
  <si>
    <t>6. Gounarou</t>
  </si>
  <si>
    <t>7. Lafiarou</t>
  </si>
  <si>
    <t>8. Pariki</t>
  </si>
  <si>
    <t>SORI</t>
  </si>
  <si>
    <t>1. Dimdimnou</t>
  </si>
  <si>
    <t>2. Donwari</t>
  </si>
  <si>
    <t>3. Gamagou</t>
  </si>
  <si>
    <t>4. Gasso</t>
  </si>
  <si>
    <t>5. Gbemoussou</t>
  </si>
  <si>
    <t>6. Gnindarou</t>
  </si>
  <si>
    <t>7. Gouré Dantcha</t>
  </si>
  <si>
    <t>8. Kantakpara-Wokparou</t>
  </si>
  <si>
    <t>9. Kantakpara-Wokpérou</t>
  </si>
  <si>
    <t>10. Kpigourou</t>
  </si>
  <si>
    <t>11. Ouessènè-Worou</t>
  </si>
  <si>
    <t>12. Petit-Paris</t>
  </si>
  <si>
    <t>13. Sori-Boro Wanrou</t>
  </si>
  <si>
    <t>14. Sori-Kpankpanou</t>
  </si>
  <si>
    <t>15. Sori-Peulh</t>
  </si>
  <si>
    <t>16. Tawali</t>
  </si>
  <si>
    <t>17. Tchoupounga</t>
  </si>
  <si>
    <t>SOUGOU-KPAN-TROSSI</t>
  </si>
  <si>
    <t>1. Binga</t>
  </si>
  <si>
    <t>2. Gando-Dari</t>
  </si>
  <si>
    <t>3. Dougoulaye</t>
  </si>
  <si>
    <t>4. Fanan</t>
  </si>
  <si>
    <t>5. Gbessa</t>
  </si>
  <si>
    <t>6. Sougou-Gourou</t>
  </si>
  <si>
    <t>7. Sougou-Kpantrossi</t>
  </si>
  <si>
    <t>WARA</t>
  </si>
  <si>
    <t>1. Dassari</t>
  </si>
  <si>
    <t>2. Dougou</t>
  </si>
  <si>
    <t>3. Kalé</t>
  </si>
  <si>
    <t>4. Soukarou</t>
  </si>
  <si>
    <t>5. Wara</t>
  </si>
  <si>
    <t>6. Wara-Gbidogo</t>
  </si>
  <si>
    <t>7. Wara-Gah</t>
  </si>
  <si>
    <t>SEGBANA</t>
  </si>
  <si>
    <t>LIBANTE</t>
  </si>
  <si>
    <t>1. Bobéna</t>
  </si>
  <si>
    <t>2. Diapéou</t>
  </si>
  <si>
    <t>3. Goungbè</t>
  </si>
  <si>
    <t>4. Kouté</t>
  </si>
  <si>
    <t>5. Libantè</t>
  </si>
  <si>
    <t>6. Saonzi</t>
  </si>
  <si>
    <t>LIBOUSSOU</t>
  </si>
  <si>
    <t>1. Gbéssaka</t>
  </si>
  <si>
    <t>2. Kambara</t>
  </si>
  <si>
    <t>3. Lété</t>
  </si>
  <si>
    <t>4. Liboussou</t>
  </si>
  <si>
    <t>5. Tounga-Issa</t>
  </si>
  <si>
    <t>6. Waranzi</t>
  </si>
  <si>
    <t>LOUGOU</t>
  </si>
  <si>
    <t>1. Boumoussou</t>
  </si>
  <si>
    <t>2. Gandoloukassa</t>
  </si>
  <si>
    <t>3. Gbassè</t>
  </si>
  <si>
    <t>4. Gbèkakarou</t>
  </si>
  <si>
    <t>5. Guénélaga</t>
  </si>
  <si>
    <t>6. Kamanan</t>
  </si>
  <si>
    <t>7. Lougou</t>
  </si>
  <si>
    <t>8. Niambara</t>
  </si>
  <si>
    <t>9. Sinwan</t>
  </si>
  <si>
    <t>10. Zonzi</t>
  </si>
  <si>
    <t>1. Batazi</t>
  </si>
  <si>
    <t>2. Fondo</t>
  </si>
  <si>
    <t>3. Gbessarè</t>
  </si>
  <si>
    <t>4. Guéné Kouzi</t>
  </si>
  <si>
    <t>5. Korowi</t>
  </si>
  <si>
    <t>6. Kpassana</t>
  </si>
  <si>
    <t>7. Limafrani</t>
  </si>
  <si>
    <t>8. Mafouta-Waassarè</t>
  </si>
  <si>
    <t>9. Piami</t>
  </si>
  <si>
    <t>10. Samtimbara</t>
  </si>
  <si>
    <t>SOKOTINDJI</t>
  </si>
  <si>
    <t>1. Bèdafou</t>
  </si>
  <si>
    <t>2. Gbarana</t>
  </si>
  <si>
    <t>3. Morou</t>
  </si>
  <si>
    <t>4. Poéla</t>
  </si>
  <si>
    <t>5. Sèrèbani</t>
  </si>
  <si>
    <t>6. Sèrèkibè</t>
  </si>
  <si>
    <t>7. Sokotindji</t>
  </si>
  <si>
    <t>8. Tchakama</t>
  </si>
  <si>
    <t>ATACORA</t>
  </si>
  <si>
    <t>BOUKOUMBE</t>
  </si>
  <si>
    <t>1. Ikounga</t>
  </si>
  <si>
    <t>2. Kototougou</t>
  </si>
  <si>
    <t>3. Koudahongou</t>
  </si>
  <si>
    <t>4. Koukouangou-Boukoumbé</t>
  </si>
  <si>
    <t>5. Koukouatchiengou</t>
  </si>
  <si>
    <t>6. Koumaagou</t>
  </si>
  <si>
    <t>7. Koumagou</t>
  </si>
  <si>
    <t>8. Koumontchirgou</t>
  </si>
  <si>
    <t>9. Koumatié</t>
  </si>
  <si>
    <t>10. Kounadogou</t>
  </si>
  <si>
    <t>11. Kountchougou</t>
  </si>
  <si>
    <t>12. Koupagou</t>
  </si>
  <si>
    <t>13. Koussayagou</t>
  </si>
  <si>
    <t>14. Koussetiegou</t>
  </si>
  <si>
    <t>15. Koutagou</t>
  </si>
  <si>
    <t>16. Koutchata</t>
  </si>
  <si>
    <t>17. Koutchatahongou</t>
  </si>
  <si>
    <t>18. Tatouta</t>
  </si>
  <si>
    <t>19. Zongo</t>
  </si>
  <si>
    <t>20. Ditchendia</t>
  </si>
  <si>
    <t>21. Koutatiégou</t>
  </si>
  <si>
    <t>22. Koutatiégou</t>
  </si>
  <si>
    <t>DIPOLI</t>
  </si>
  <si>
    <t>1. Dikoumini</t>
  </si>
  <si>
    <t>2. Dimansouri</t>
  </si>
  <si>
    <t>3. Dipoli</t>
  </si>
  <si>
    <t>4. Dissapoli</t>
  </si>
  <si>
    <t>5. Kpérinkpé</t>
  </si>
  <si>
    <t>6. Mantchari</t>
  </si>
  <si>
    <t>7. Natchénté</t>
  </si>
  <si>
    <t>8. Otanongou</t>
  </si>
  <si>
    <t>9. Oukounsérihoun</t>
  </si>
  <si>
    <t>KORONTIERE</t>
  </si>
  <si>
    <t>1. Agbontê</t>
  </si>
  <si>
    <t>2. Kêyordakê</t>
  </si>
  <si>
    <t>3. Koucongou</t>
  </si>
  <si>
    <t>4. Koupagou-Korontière</t>
  </si>
  <si>
    <t>5. Koutchatié</t>
  </si>
  <si>
    <t>6. Kouya</t>
  </si>
  <si>
    <t>7. Natiéni</t>
  </si>
  <si>
    <t>8. Okouaro</t>
  </si>
  <si>
    <t>9. Tadowonta</t>
  </si>
  <si>
    <t>10. Tassayota</t>
  </si>
  <si>
    <t>KOUSSOUCOINGOU</t>
  </si>
  <si>
    <t>1. Didompê</t>
  </si>
  <si>
    <t>2. Kougnangou</t>
  </si>
  <si>
    <t>3. Koukouankpangou</t>
  </si>
  <si>
    <t>4. Koussoucoingou</t>
  </si>
  <si>
    <t>5. Koussounoungou</t>
  </si>
  <si>
    <t>6. Koutayagou</t>
  </si>
  <si>
    <t>7. Kouwetakouangou</t>
  </si>
  <si>
    <t>8. Takpanta</t>
  </si>
  <si>
    <t>9. Tchapéta</t>
  </si>
  <si>
    <t>10. Tipaoti</t>
  </si>
  <si>
    <t>MANTA</t>
  </si>
  <si>
    <t>1. Dikon Hein</t>
  </si>
  <si>
    <t>2. Dikouténi</t>
  </si>
  <si>
    <t>3. Dimatadoni</t>
  </si>
  <si>
    <t>4. Dimatima</t>
  </si>
  <si>
    <t>5. Dipokor</t>
  </si>
  <si>
    <t>6. Dipokor-Tchaaba</t>
  </si>
  <si>
    <t>7. Kouhingou</t>
  </si>
  <si>
    <t>8. Koukouakoumagou</t>
  </si>
  <si>
    <t>9. Koukouangou</t>
  </si>
  <si>
    <t>10. Koumadogou</t>
  </si>
  <si>
    <t>11. Kounatchatiégou</t>
  </si>
  <si>
    <t>12. Koutangou-Manta</t>
  </si>
  <si>
    <t>13. Koutchantié</t>
  </si>
  <si>
    <t>14. Takotiéta</t>
  </si>
  <si>
    <t>15. Tatchadiéta</t>
  </si>
  <si>
    <t>NATA</t>
  </si>
  <si>
    <t>1. DipokorFontri</t>
  </si>
  <si>
    <t>2. Koudogou</t>
  </si>
  <si>
    <t>3. Koukoua</t>
  </si>
  <si>
    <t>4. Koukpintiegou</t>
  </si>
  <si>
    <t>5. Koutcha-Koumagou</t>
  </si>
  <si>
    <t>6. Kounagnigou</t>
  </si>
  <si>
    <t>7. Kounakogou</t>
  </si>
  <si>
    <t>8. Kouporgou</t>
  </si>
  <si>
    <t>9. Koussakou</t>
  </si>
  <si>
    <t>10. Koutangou</t>
  </si>
  <si>
    <t>11. Koutoutougou</t>
  </si>
  <si>
    <t>12. Kouwonatougou</t>
  </si>
  <si>
    <t>13. Kouwotchirgou</t>
  </si>
  <si>
    <t>TABOTA</t>
  </si>
  <si>
    <t>1. Dikouani</t>
  </si>
  <si>
    <t>2. Dimatékor</t>
  </si>
  <si>
    <t>3. Dipintakouani</t>
  </si>
  <si>
    <t>4. Katchagniga</t>
  </si>
  <si>
    <t>5. Koubêgou</t>
  </si>
  <si>
    <t>6. Koubentiégou</t>
  </si>
  <si>
    <t>7. Koucogou</t>
  </si>
  <si>
    <t>8. Koudadagou</t>
  </si>
  <si>
    <t>9. Koukouatougou</t>
  </si>
  <si>
    <t>10. Koukpêtihagou</t>
  </si>
  <si>
    <t>11. Tabota</t>
  </si>
  <si>
    <t>12. Takotchienta</t>
  </si>
  <si>
    <t>13. Tatouta</t>
  </si>
  <si>
    <t>14. Yatié</t>
  </si>
  <si>
    <t>COBLY</t>
  </si>
  <si>
    <t>1. Bagapodi</t>
  </si>
  <si>
    <t>2. Cobly</t>
  </si>
  <si>
    <t>3. Kanadékè</t>
  </si>
  <si>
    <t>4. Koukontouga</t>
  </si>
  <si>
    <t>5. Kpétiénou</t>
  </si>
  <si>
    <t>6. Nouangou</t>
  </si>
  <si>
    <t>7. Oukodoo</t>
  </si>
  <si>
    <t>8. Ouorou</t>
  </si>
  <si>
    <t>9. Ouyérihoun</t>
  </si>
  <si>
    <t>10. Tchokita</t>
  </si>
  <si>
    <t>11. Touga</t>
  </si>
  <si>
    <t>12. Yimpissiri</t>
  </si>
  <si>
    <t>TAPOGA</t>
  </si>
  <si>
    <t>1. Gnangou</t>
  </si>
  <si>
    <t>2. Kolgou</t>
  </si>
  <si>
    <t>3. Pentinga</t>
  </si>
  <si>
    <t>4. Siénou</t>
  </si>
  <si>
    <t>5. Zanniouri</t>
  </si>
  <si>
    <t>DATORI</t>
  </si>
  <si>
    <t>1. Datori</t>
  </si>
  <si>
    <t>2. Kadiéni</t>
  </si>
  <si>
    <t>3. Matalè</t>
  </si>
  <si>
    <t>4. Nagnandé</t>
  </si>
  <si>
    <t>5. Namatiénou</t>
  </si>
  <si>
    <t>6. Tchamonga</t>
  </si>
  <si>
    <t>7. Tokibi</t>
  </si>
  <si>
    <t>KOUNTORI</t>
  </si>
  <si>
    <t>1. Kountori</t>
  </si>
  <si>
    <t>2. Kpetissohoun</t>
  </si>
  <si>
    <t>3. Namoutchaga</t>
  </si>
  <si>
    <t>4. Oroukouaré</t>
  </si>
  <si>
    <t>5. Oukpètouhoun</t>
  </si>
  <si>
    <t>6. Oukpintihoun</t>
  </si>
  <si>
    <t>7. Outanonhoun</t>
  </si>
  <si>
    <t>8. Serhounguè</t>
  </si>
  <si>
    <t>9. Sinni</t>
  </si>
  <si>
    <t>10. Tarpingou</t>
  </si>
  <si>
    <t>MATERI</t>
  </si>
  <si>
    <t>DASSARI</t>
  </si>
  <si>
    <t>1. Coupiani</t>
  </si>
  <si>
    <t>2. Dassari</t>
  </si>
  <si>
    <t>3. Firihoun</t>
  </si>
  <si>
    <t>4. Koundri</t>
  </si>
  <si>
    <t>5. Kourou-Koualou</t>
  </si>
  <si>
    <t>6. Nagassega</t>
  </si>
  <si>
    <t>7. Niéhoun-Laloga</t>
  </si>
  <si>
    <t>8. Nouari</t>
  </si>
  <si>
    <t>9. Ouriyori</t>
  </si>
  <si>
    <t>10. Porga</t>
  </si>
  <si>
    <t>11. Pouri</t>
  </si>
  <si>
    <t>12. Sétchindika</t>
  </si>
  <si>
    <t>13. Tankouari</t>
  </si>
  <si>
    <t>14. Tankouayokouhoun</t>
  </si>
  <si>
    <t>15. Tétonga</t>
  </si>
  <si>
    <t>16. Tigninga</t>
  </si>
  <si>
    <t>17. Tihoun</t>
  </si>
  <si>
    <t>18. Tinwéga</t>
  </si>
  <si>
    <t>GOUANDE</t>
  </si>
  <si>
    <t>1. Bahoun</t>
  </si>
  <si>
    <t>2. Doga</t>
  </si>
  <si>
    <t>3. Gouandé</t>
  </si>
  <si>
    <t>4. Kandeguehoun</t>
  </si>
  <si>
    <t>5. Kouantiéni</t>
  </si>
  <si>
    <t>6. Kouforpissiga</t>
  </si>
  <si>
    <t>7. Sindori-Toni</t>
  </si>
  <si>
    <t>8. Tassahoun</t>
  </si>
  <si>
    <t>9. Tcharikouanga</t>
  </si>
  <si>
    <t>10. Tchassaga</t>
  </si>
  <si>
    <t>11. Tiari</t>
  </si>
  <si>
    <t>12. Toubougnini</t>
  </si>
  <si>
    <t>1. Bourporga</t>
  </si>
  <si>
    <t>2. Boutouhounpingou</t>
  </si>
  <si>
    <t>3. Kankini-Séri</t>
  </si>
  <si>
    <t>4. Matéri</t>
  </si>
  <si>
    <t>5. Merhoun</t>
  </si>
  <si>
    <t>6. Mihihoun</t>
  </si>
  <si>
    <t>7. Nagassega-Kani</t>
  </si>
  <si>
    <t>8. Pingou</t>
  </si>
  <si>
    <t>9. Sèkanou</t>
  </si>
  <si>
    <t>10. Souomou</t>
  </si>
  <si>
    <t>11. Tampinti-Yerou</t>
  </si>
  <si>
    <t>12. Tantouri</t>
  </si>
  <si>
    <t>13. Tintonsi</t>
  </si>
  <si>
    <t>14. Toussari</t>
  </si>
  <si>
    <t>15. Yondisseri</t>
  </si>
  <si>
    <t>16. Yopiaka</t>
  </si>
  <si>
    <t>NODI</t>
  </si>
  <si>
    <t>1. Borifiéri</t>
  </si>
  <si>
    <t>2. Holli</t>
  </si>
  <si>
    <t>3. Kotari</t>
  </si>
  <si>
    <t>4. Kouarhoun</t>
  </si>
  <si>
    <t>5. Kpéréhoun</t>
  </si>
  <si>
    <t>6. Mahontika</t>
  </si>
  <si>
    <t>7. N’ Tchiéga</t>
  </si>
  <si>
    <t>8. Nodi</t>
  </si>
  <si>
    <t>9. Tampouré-Pogué</t>
  </si>
  <si>
    <t>10. Yédékahoun</t>
  </si>
  <si>
    <t>TANTEGA</t>
  </si>
  <si>
    <t>1. Bampora</t>
  </si>
  <si>
    <t>2. Bogodori</t>
  </si>
  <si>
    <t>3. Dabogohoun</t>
  </si>
  <si>
    <t>4. Kandjo</t>
  </si>
  <si>
    <t>5. Konéandri</t>
  </si>
  <si>
    <t>6. Kousséga</t>
  </si>
  <si>
    <t>7. Madoga</t>
  </si>
  <si>
    <t>8. Nambouli</t>
  </si>
  <si>
    <t>9. Pourniari</t>
  </si>
  <si>
    <t>10. Tambogou-Kondri</t>
  </si>
  <si>
    <t>11. Tampanga</t>
  </si>
  <si>
    <t>12. Tanhoun</t>
  </si>
  <si>
    <t>13. Tantega</t>
  </si>
  <si>
    <t>14. Tébiwogou</t>
  </si>
  <si>
    <t>TCHANHOUNCOSSI</t>
  </si>
  <si>
    <t>1. Féhoun</t>
  </si>
  <si>
    <t>2. Fékérou</t>
  </si>
  <si>
    <t>3. Koutoukondiga</t>
  </si>
  <si>
    <t>4. Sakonou</t>
  </si>
  <si>
    <t>5. Tchanhouncossi</t>
  </si>
  <si>
    <t>6. Yanga</t>
  </si>
  <si>
    <t>7. Yansaga</t>
  </si>
  <si>
    <t>TANGUIETA</t>
  </si>
  <si>
    <t>COTIAKOU</t>
  </si>
  <si>
    <t>1. Bounta</t>
  </si>
  <si>
    <t>2. Coroncoré</t>
  </si>
  <si>
    <t>3. Cotiakou</t>
  </si>
  <si>
    <t>4. Daguimagninni</t>
  </si>
  <si>
    <t>5. Manougou</t>
  </si>
  <si>
    <t>6. Nowêrèrè</t>
  </si>
  <si>
    <t>7. Parabou</t>
  </si>
  <si>
    <t>8. Pémombou</t>
  </si>
  <si>
    <t>9. Penitingou</t>
  </si>
  <si>
    <t>10. Tanféré</t>
  </si>
  <si>
    <t>11. Toriconconé</t>
  </si>
  <si>
    <t>12. Tora</t>
  </si>
  <si>
    <t>N’DAHONTA</t>
  </si>
  <si>
    <t>1. Dondongou</t>
  </si>
  <si>
    <t>2. Kougnieri</t>
  </si>
  <si>
    <t>3. N’Dahonta</t>
  </si>
  <si>
    <t>4. Natagata</t>
  </si>
  <si>
    <t>5. Nignèri</t>
  </si>
  <si>
    <t>6. Sammongou</t>
  </si>
  <si>
    <t>7. Sonta</t>
  </si>
  <si>
    <t>8. Tahinkou</t>
  </si>
  <si>
    <t>9. Tapèkou</t>
  </si>
  <si>
    <t>10. Tchaéta</t>
  </si>
  <si>
    <t>TAIACOU</t>
  </si>
  <si>
    <t>1. Bongou</t>
  </si>
  <si>
    <t>2. Douani</t>
  </si>
  <si>
    <t>3. Finta</t>
  </si>
  <si>
    <t>4. Hantèkou</t>
  </si>
  <si>
    <t>5. Kogniga</t>
  </si>
  <si>
    <t>6. Kotchekongou</t>
  </si>
  <si>
    <t>7. Kouayoti</t>
  </si>
  <si>
    <t>8. Koutchoutchougou</t>
  </si>
  <si>
    <t>9. Matanrgui</t>
  </si>
  <si>
    <t>10. Nafayoti</t>
  </si>
  <si>
    <t>11. Nontingou</t>
  </si>
  <si>
    <t>12. Ouankou</t>
  </si>
  <si>
    <t>13. Tahongou</t>
  </si>
  <si>
    <t>14. Taïacou</t>
  </si>
  <si>
    <t>15. Yehongou</t>
  </si>
  <si>
    <t>16. Yéyédi</t>
  </si>
  <si>
    <t>17. Youakou</t>
  </si>
  <si>
    <t>1. Biacou</t>
  </si>
  <si>
    <t>2. Bourgniéssou</t>
  </si>
  <si>
    <t>3. Djidjiré-Beri</t>
  </si>
  <si>
    <t>4. Goro-bani</t>
  </si>
  <si>
    <t>5. Mamoussa</t>
  </si>
  <si>
    <t>6. Nanébou</t>
  </si>
  <si>
    <t>7. Porhoum</t>
  </si>
  <si>
    <t>8. Porka</t>
  </si>
  <si>
    <t>9. Sépounga</t>
  </si>
  <si>
    <t>10. Tchoutchoubou</t>
  </si>
  <si>
    <t>11. Tiélé</t>
  </si>
  <si>
    <t>12. Yarka</t>
  </si>
  <si>
    <t>TANONGOU</t>
  </si>
  <si>
    <t>1. Batia</t>
  </si>
  <si>
    <t>2. Kayarika</t>
  </si>
  <si>
    <t>3. Sangou</t>
  </si>
  <si>
    <t>4. Tanongou</t>
  </si>
  <si>
    <t>5. Tchafarga</t>
  </si>
  <si>
    <t>6. Tchatingou</t>
  </si>
  <si>
    <t>7. Tchawassaka</t>
  </si>
  <si>
    <t>8. Yangou</t>
  </si>
  <si>
    <t>KEROU</t>
  </si>
  <si>
    <t>BRIGNAMARO</t>
  </si>
  <si>
    <t>1. Bagoubagou</t>
  </si>
  <si>
    <t>2. Bambaba</t>
  </si>
  <si>
    <t>3. Bassini</t>
  </si>
  <si>
    <t>4. Bérékossou</t>
  </si>
  <si>
    <t>5. Brignamaro</t>
  </si>
  <si>
    <t>6. Gando baka</t>
  </si>
  <si>
    <t>7. Kongourou</t>
  </si>
  <si>
    <t>8. Kossou</t>
  </si>
  <si>
    <t>9. Kossou-Ouinra</t>
  </si>
  <si>
    <t>10. Tchoukagnin</t>
  </si>
  <si>
    <t>11. Yakrigorou</t>
  </si>
  <si>
    <t>FIROU</t>
  </si>
  <si>
    <t>1. Baténin</t>
  </si>
  <si>
    <t>2. Djoléni</t>
  </si>
  <si>
    <t>3. Gori</t>
  </si>
  <si>
    <t>4. Gorobani</t>
  </si>
  <si>
    <t>5. Kabongourou</t>
  </si>
  <si>
    <t>6. Sokoungourou</t>
  </si>
  <si>
    <t>7. Yiroubara</t>
  </si>
  <si>
    <t>KAOBAGOU</t>
  </si>
  <si>
    <t>1. Gnampoli</t>
  </si>
  <si>
    <t>2. Kaobagou</t>
  </si>
  <si>
    <t>3. Yinsiga</t>
  </si>
  <si>
    <t>1. Bakoussarou</t>
  </si>
  <si>
    <t>2. Bipotoko</t>
  </si>
  <si>
    <t>3. Boukoubourou</t>
  </si>
  <si>
    <t>4. Fêtêkou</t>
  </si>
  <si>
    <t>5. Fêtêkou -Alaga</t>
  </si>
  <si>
    <t>6. Gamboré</t>
  </si>
  <si>
    <t>7. Gantodo</t>
  </si>
  <si>
    <t>8. Gnangnanou</t>
  </si>
  <si>
    <t>9. Gougninnou</t>
  </si>
  <si>
    <t>10. Karigourou</t>
  </si>
  <si>
    <t>11. Kédarou</t>
  </si>
  <si>
    <t>12. Kérou Wirou</t>
  </si>
  <si>
    <t>13. Kokokou</t>
  </si>
  <si>
    <t>14. Kparatégui</t>
  </si>
  <si>
    <t>15. Manou</t>
  </si>
  <si>
    <t>16. Ouoré</t>
  </si>
  <si>
    <t>17. Pikiré-Adaga</t>
  </si>
  <si>
    <t>18. Pikiré</t>
  </si>
  <si>
    <t>19. Sinagourou</t>
  </si>
  <si>
    <t>20. Toudakou Banyirou</t>
  </si>
  <si>
    <t>21. Warou N’Gourou</t>
  </si>
  <si>
    <t>22. Yakin-Motoko</t>
  </si>
  <si>
    <t>KOUANDE</t>
  </si>
  <si>
    <t>BIRNI</t>
  </si>
  <si>
    <t>1. Birni Maro</t>
  </si>
  <si>
    <t>2. Birni-Kankoulka</t>
  </si>
  <si>
    <t>3. Birni-Kpébirou</t>
  </si>
  <si>
    <t>4. Gorgoba</t>
  </si>
  <si>
    <t>5. Goufanrou</t>
  </si>
  <si>
    <t>6. Hongon</t>
  </si>
  <si>
    <t>7. Kouboro</t>
  </si>
  <si>
    <t>8. Tamandé</t>
  </si>
  <si>
    <t>9. Tassigourou</t>
  </si>
  <si>
    <t>10. Yakabissi</t>
  </si>
  <si>
    <t>CHABI – COUMA</t>
  </si>
  <si>
    <t>1. Chabi Couma</t>
  </si>
  <si>
    <t>2. Gantiéco</t>
  </si>
  <si>
    <t>3. Gbéniki</t>
  </si>
  <si>
    <t>4. Papatia</t>
  </si>
  <si>
    <t>5. Sakasson-Ditamari</t>
  </si>
  <si>
    <t>6. Sakasson-Dompago</t>
  </si>
  <si>
    <t>7. Wémè</t>
  </si>
  <si>
    <t>FOO-TANCE</t>
  </si>
  <si>
    <t>1. Boroyindé</t>
  </si>
  <si>
    <t>2. Danri</t>
  </si>
  <si>
    <t>3. Foo</t>
  </si>
  <si>
    <t>4. Kabaré</t>
  </si>
  <si>
    <t>5. Maka</t>
  </si>
  <si>
    <t>6. Orouboussoukou</t>
  </si>
  <si>
    <t>7. Tancé</t>
  </si>
  <si>
    <t>8. Tikou</t>
  </si>
  <si>
    <t>GUILMARO</t>
  </si>
  <si>
    <t>1. Boro</t>
  </si>
  <si>
    <t>2. Damouti</t>
  </si>
  <si>
    <t>3. Foo-mama</t>
  </si>
  <si>
    <t>4. Gora -Peulh</t>
  </si>
  <si>
    <t>5. Goutéré</t>
  </si>
  <si>
    <t>6. Guilmaro-Bounkossorou</t>
  </si>
  <si>
    <t>7. Guilmaro-Garkousson</t>
  </si>
  <si>
    <t>8. Guilmaro-Sinakpagourou</t>
  </si>
  <si>
    <t>9. Kèdékou</t>
  </si>
  <si>
    <t>10. Kpakou-Tankonga</t>
  </si>
  <si>
    <t>11. Kpikiré koka</t>
  </si>
  <si>
    <t>12. Nassoukou</t>
  </si>
  <si>
    <t>13. Ouroufina</t>
  </si>
  <si>
    <t>14. Séri</t>
  </si>
  <si>
    <t>15. Sonnougobérou</t>
  </si>
  <si>
    <t>1. Bassilou</t>
  </si>
  <si>
    <t>2. Becket-Bouramè</t>
  </si>
  <si>
    <t>3. Becket-Peulh</t>
  </si>
  <si>
    <t>4. Boré</t>
  </si>
  <si>
    <t>5. Darou-Wirou</t>
  </si>
  <si>
    <t>6. Kpessinin</t>
  </si>
  <si>
    <t>7. Makrou-Gourou</t>
  </si>
  <si>
    <t>8. Maro</t>
  </si>
  <si>
    <t>9. Mary</t>
  </si>
  <si>
    <t>10. Sakabou</t>
  </si>
  <si>
    <t>11. Sékogourou</t>
  </si>
  <si>
    <t>12. Sékogourou-Baïla</t>
  </si>
  <si>
    <t>13. Sinakpaworou</t>
  </si>
  <si>
    <t>14. Sowa</t>
  </si>
  <si>
    <t>15. Tokoro</t>
  </si>
  <si>
    <t>16. Zongo</t>
  </si>
  <si>
    <t>OROUKAYO</t>
  </si>
  <si>
    <t>1. Boroukou-Peulh</t>
  </si>
  <si>
    <t>2. Dèkèrou</t>
  </si>
  <si>
    <t>3. Ganikpérou</t>
  </si>
  <si>
    <t>4. Poupouré</t>
  </si>
  <si>
    <t>5. Niarissinra</t>
  </si>
  <si>
    <t>6. Niaro-Gninon</t>
  </si>
  <si>
    <t>7. Orougbéni</t>
  </si>
  <si>
    <t>8. Niarosson</t>
  </si>
  <si>
    <t>9. Kètéré</t>
  </si>
  <si>
    <t>10. Nièkènè-Bansou</t>
  </si>
  <si>
    <t>11. Somboko</t>
  </si>
  <si>
    <t>12. Kpankpankou</t>
  </si>
  <si>
    <t>13. Oroukayo</t>
  </si>
  <si>
    <t>14. Yinkènè</t>
  </si>
  <si>
    <t>15. Pélima</t>
  </si>
  <si>
    <t>16. Kpéssourou</t>
  </si>
  <si>
    <t>NATITINGOU</t>
  </si>
  <si>
    <t>KOUABA</t>
  </si>
  <si>
    <t>1. Dikouan</t>
  </si>
  <si>
    <t>2. Katanginka</t>
  </si>
  <si>
    <t>3. Kouaba</t>
  </si>
  <si>
    <t>4. Koukouabirgou</t>
  </si>
  <si>
    <t>5. Kounitchangou</t>
  </si>
  <si>
    <t>6. Koutanongou</t>
  </si>
  <si>
    <t>7. Kouwanwangou</t>
  </si>
  <si>
    <t>8. Moussansamou</t>
  </si>
  <si>
    <t>9. Tagahei</t>
  </si>
  <si>
    <t>10. Tedonté</t>
  </si>
  <si>
    <t>11. Tipéti</t>
  </si>
  <si>
    <t>KOUANDATA</t>
  </si>
  <si>
    <t>1. Kouandata</t>
  </si>
  <si>
    <t>2. Kouatidabirgou</t>
  </si>
  <si>
    <t>3. Kounadorgou</t>
  </si>
  <si>
    <t>4. Koutie</t>
  </si>
  <si>
    <t>5. Tigninti</t>
  </si>
  <si>
    <t>KOTOPOUNGA</t>
  </si>
  <si>
    <t>1. Bangrétamou</t>
  </si>
  <si>
    <t>2. Dokondé</t>
  </si>
  <si>
    <t>3. Fayouré</t>
  </si>
  <si>
    <t>4. Kampouya</t>
  </si>
  <si>
    <t>5. Kota-Monnongou</t>
  </si>
  <si>
    <t>6. Kotopounga</t>
  </si>
  <si>
    <t>7. Onsikoto</t>
  </si>
  <si>
    <t>8. Pouya</t>
  </si>
  <si>
    <t>9. Souroukou</t>
  </si>
  <si>
    <t>10. Tampèdèma</t>
  </si>
  <si>
    <t>11. Tchantangou</t>
  </si>
  <si>
    <t>12. Wètipounga</t>
  </si>
  <si>
    <t>13. Yakpangoutingou</t>
  </si>
  <si>
    <t>14. Yarikou</t>
  </si>
  <si>
    <t>PEPORIYAKOU</t>
  </si>
  <si>
    <t>1. Ditawan</t>
  </si>
  <si>
    <t>2. Doyakou</t>
  </si>
  <si>
    <t>3. Koudengou</t>
  </si>
  <si>
    <t>4. Péporiyakou</t>
  </si>
  <si>
    <t>5. Tétanté</t>
  </si>
  <si>
    <t>6. Tikouani</t>
  </si>
  <si>
    <t>7. Toroubou</t>
  </si>
  <si>
    <t>PERMA</t>
  </si>
  <si>
    <t>1. Gnagnammou</t>
  </si>
  <si>
    <t>2. Koka</t>
  </si>
  <si>
    <t>3. Koubirgou</t>
  </si>
  <si>
    <t>4. Kouètèna</t>
  </si>
  <si>
    <t>5. Kounapèigou</t>
  </si>
  <si>
    <t>6. Koupéico</t>
  </si>
  <si>
    <t>7. Koussigou</t>
  </si>
  <si>
    <t>8. Pam-pam</t>
  </si>
  <si>
    <t>9. Perma Centre</t>
  </si>
  <si>
    <t>10. Sinaïciré</t>
  </si>
  <si>
    <t>11. Tènounkontè</t>
  </si>
  <si>
    <t>12. Tèpéntè</t>
  </si>
  <si>
    <t>13. Tignanpéti</t>
  </si>
  <si>
    <t>NATITINGOU I</t>
  </si>
  <si>
    <t>1. Bagri</t>
  </si>
  <si>
    <t>2. Djindjiré-béri</t>
  </si>
  <si>
    <t>3. Kantchagoutamou</t>
  </si>
  <si>
    <t>4. Sountchirantikou</t>
  </si>
  <si>
    <t>5. Tchirimina</t>
  </si>
  <si>
    <t>6. Yokossi</t>
  </si>
  <si>
    <t>NATITINGOU II</t>
  </si>
  <si>
    <t>1. Bokoro</t>
  </si>
  <si>
    <t>2. Boriyouré</t>
  </si>
  <si>
    <t>3. Dassakaté</t>
  </si>
  <si>
    <t>4. Ouroubonna</t>
  </si>
  <si>
    <t>5. Ourkparbou</t>
  </si>
  <si>
    <t>6. Santa</t>
  </si>
  <si>
    <t>NATITINGOU III</t>
  </si>
  <si>
    <t>1. Bérécingou</t>
  </si>
  <si>
    <t>2. Didapoumbor</t>
  </si>
  <si>
    <t>3. Kantaborifa</t>
  </si>
  <si>
    <t>4. Koussantikou</t>
  </si>
  <si>
    <t>5. Ourbouga</t>
  </si>
  <si>
    <t>6. Winkè</t>
  </si>
  <si>
    <t>7. Yétapo</t>
  </si>
  <si>
    <t>8. Yimporima</t>
  </si>
  <si>
    <t>TCHOUMI-TCHOUMI</t>
  </si>
  <si>
    <t>1. Koutié Tchatido</t>
  </si>
  <si>
    <t>2. Kouwa n’pongou</t>
  </si>
  <si>
    <t>3. Moupémou</t>
  </si>
  <si>
    <t>4. Takonta</t>
  </si>
  <si>
    <t>5. Tchoumi-tchoumi</t>
  </si>
  <si>
    <t>6. Wimmou</t>
  </si>
  <si>
    <t>OUASSA-PEHUNCO</t>
  </si>
  <si>
    <t>GNEMASSON</t>
  </si>
  <si>
    <t>1. Bonigourou</t>
  </si>
  <si>
    <t>2. Dôh</t>
  </si>
  <si>
    <t>3. Gnémasson</t>
  </si>
  <si>
    <t>4. Gnémasson-Gando</t>
  </si>
  <si>
    <t>5. Sayakrou</t>
  </si>
  <si>
    <t>6. Sayakrou – Gah</t>
  </si>
  <si>
    <t>PEHUNCO</t>
  </si>
  <si>
    <t>1. Bêket</t>
  </si>
  <si>
    <t>2. Bêket – Gah</t>
  </si>
  <si>
    <t>3. Bouérou</t>
  </si>
  <si>
    <t>4. Gbéba</t>
  </si>
  <si>
    <t>5. Nassou</t>
  </si>
  <si>
    <t>6. Péhonco-Tatapouranou</t>
  </si>
  <si>
    <t>7. Péhunco I</t>
  </si>
  <si>
    <t>8. Péhunco II</t>
  </si>
  <si>
    <t>9. Péhunco-Gah</t>
  </si>
  <si>
    <t>10. Sinaourarou</t>
  </si>
  <si>
    <t>11. Sinaourarou-Gah</t>
  </si>
  <si>
    <t>12. Soaodou</t>
  </si>
  <si>
    <t>13. Soassararou</t>
  </si>
  <si>
    <t>14. Somparérou-Gah</t>
  </si>
  <si>
    <t>15. Wokou</t>
  </si>
  <si>
    <t>TOBRE</t>
  </si>
  <si>
    <t>1. Bana</t>
  </si>
  <si>
    <t>2. Boudé</t>
  </si>
  <si>
    <t>3. Gambinou</t>
  </si>
  <si>
    <t>4. Gonri</t>
  </si>
  <si>
    <t>5. Gountia</t>
  </si>
  <si>
    <t>6. Guimbérérou</t>
  </si>
  <si>
    <t>7. Maré Orou Gah</t>
  </si>
  <si>
    <t>8. Ningoussourou</t>
  </si>
  <si>
    <t>9. Ouassa – Kika</t>
  </si>
  <si>
    <t>10. Ouassa-Maro</t>
  </si>
  <si>
    <t>11. Sinaou</t>
  </si>
  <si>
    <t>12. Tobré</t>
  </si>
  <si>
    <t>13. Tonri</t>
  </si>
  <si>
    <t>14. Wakarou</t>
  </si>
  <si>
    <t>TOUKOUNTOUNA</t>
  </si>
  <si>
    <t>KOUARFA</t>
  </si>
  <si>
    <t>1. Bouyagnindi</t>
  </si>
  <si>
    <t>2. Kouarfa</t>
  </si>
  <si>
    <t>3. Kouba</t>
  </si>
  <si>
    <t>4. Mounoumborifa</t>
  </si>
  <si>
    <t>5. Péperkou</t>
  </si>
  <si>
    <t>6. Takissari</t>
  </si>
  <si>
    <t>7. Tampobré</t>
  </si>
  <si>
    <t>8. Tandafa</t>
  </si>
  <si>
    <t>9. Tankokona</t>
  </si>
  <si>
    <t>10. Tchoundékou</t>
  </si>
  <si>
    <t>11. Wabou</t>
  </si>
  <si>
    <t>TAMPEGRE</t>
  </si>
  <si>
    <t>1. Batitamou</t>
  </si>
  <si>
    <t>2. Dikokoré</t>
  </si>
  <si>
    <t>3. Kokota</t>
  </si>
  <si>
    <t>4. Mako</t>
  </si>
  <si>
    <t>5. Nabaga</t>
  </si>
  <si>
    <t>6. Tampégré</t>
  </si>
  <si>
    <t>7. Tantougou</t>
  </si>
  <si>
    <t>8. Tchanhorta</t>
  </si>
  <si>
    <t>9. Wansokou</t>
  </si>
  <si>
    <t>1. Boribansifa</t>
  </si>
  <si>
    <t>2. Datakou</t>
  </si>
  <si>
    <t>3. Fatiya</t>
  </si>
  <si>
    <t>4. Kokokou</t>
  </si>
  <si>
    <t>5. Kpentikou</t>
  </si>
  <si>
    <t>6. Moussitingou</t>
  </si>
  <si>
    <t>7. Tampatou</t>
  </si>
  <si>
    <t>8. Tchakalakou</t>
  </si>
  <si>
    <t>9. Téctibayaou</t>
  </si>
  <si>
    <t>10. Toukountouna</t>
  </si>
  <si>
    <t>ATLANTIQUE</t>
  </si>
  <si>
    <t>ALLADA</t>
  </si>
  <si>
    <t>AGBANOU</t>
  </si>
  <si>
    <t>1. Acclohoué</t>
  </si>
  <si>
    <t>2. Agbanou</t>
  </si>
  <si>
    <t>3. Agondokpoé</t>
  </si>
  <si>
    <t>4. Agongblamey</t>
  </si>
  <si>
    <t>5. Attotinga</t>
  </si>
  <si>
    <t>6. Gbéta</t>
  </si>
  <si>
    <t>7. Gounontomey</t>
  </si>
  <si>
    <t>8. Goussikpota</t>
  </si>
  <si>
    <t>9. Lokokpa</t>
  </si>
  <si>
    <t>10. Tègbo</t>
  </si>
  <si>
    <t>11. Tokpa- Avagoudo</t>
  </si>
  <si>
    <t>12. Wadon</t>
  </si>
  <si>
    <t>13. Zounta</t>
  </si>
  <si>
    <t>AHOUANNONZOUN</t>
  </si>
  <si>
    <t>1. Ahito</t>
  </si>
  <si>
    <t>2. Bawekanmey</t>
  </si>
  <si>
    <t>3. Dahsramey</t>
  </si>
  <si>
    <t>4. Hanafin</t>
  </si>
  <si>
    <t>5. Hessa</t>
  </si>
  <si>
    <t>6. Hêtin</t>
  </si>
  <si>
    <t>7. Loto-Dénou</t>
  </si>
  <si>
    <t>8. Zoungbodji</t>
  </si>
  <si>
    <t>ALLADA CENTRE</t>
  </si>
  <si>
    <t>2. Allomey</t>
  </si>
  <si>
    <t>3. Avazounkpa</t>
  </si>
  <si>
    <t>4. Dagleta</t>
  </si>
  <si>
    <t>5. Dodomey</t>
  </si>
  <si>
    <t>6. Dogoudo</t>
  </si>
  <si>
    <t>7. Dogoudo CEG</t>
  </si>
  <si>
    <t>8. Donou</t>
  </si>
  <si>
    <t>9. Gbégamey</t>
  </si>
  <si>
    <t>10. Gbowèlè</t>
  </si>
  <si>
    <t>11. Houinbatin</t>
  </si>
  <si>
    <t>12. Sokoudénou</t>
  </si>
  <si>
    <t>13. Soyo</t>
  </si>
  <si>
    <t>14. Tokpota</t>
  </si>
  <si>
    <t>ATTOGON</t>
  </si>
  <si>
    <t>1. Assihoui</t>
  </si>
  <si>
    <t>2. Attogon centre</t>
  </si>
  <si>
    <t>3. Avankamey</t>
  </si>
  <si>
    <t>4. Kpoguétomey</t>
  </si>
  <si>
    <t>5. Niaouli</t>
  </si>
  <si>
    <t>6. Nouzounkpa</t>
  </si>
  <si>
    <t>AVAKPA</t>
  </si>
  <si>
    <t>1. Adjohoun</t>
  </si>
  <si>
    <t>2. Avakpa</t>
  </si>
  <si>
    <t>3. Glotomey</t>
  </si>
  <si>
    <t>4. Houkpokpoué</t>
  </si>
  <si>
    <t>AYOU</t>
  </si>
  <si>
    <t>1. Ahota</t>
  </si>
  <si>
    <t>2. Gbédji</t>
  </si>
  <si>
    <t>3. Gbéova</t>
  </si>
  <si>
    <t>4. Hangnan</t>
  </si>
  <si>
    <t>5. Hounkpa</t>
  </si>
  <si>
    <t>6. Lanmandji</t>
  </si>
  <si>
    <t>7. Sèbo</t>
  </si>
  <si>
    <t>8. Tanmey</t>
  </si>
  <si>
    <t>9. Tokpa</t>
  </si>
  <si>
    <t>10. Zindagba</t>
  </si>
  <si>
    <t>11. Zoungoudo</t>
  </si>
  <si>
    <t>HINVI</t>
  </si>
  <si>
    <t>1. Aligoudo</t>
  </si>
  <si>
    <t>2. Dovo</t>
  </si>
  <si>
    <t>3. Tanga</t>
  </si>
  <si>
    <t>4. Tanga-Tôdo</t>
  </si>
  <si>
    <t>5. Zoungbomey</t>
  </si>
  <si>
    <t>LISSEGAZOUN</t>
  </si>
  <si>
    <t>1. Adjadji-Atinkousa</t>
  </si>
  <si>
    <t>2. Adjadji-Bata</t>
  </si>
  <si>
    <t>3. Adjadji-Cossoé</t>
  </si>
  <si>
    <t>4. Adjadji-Zoungbomey</t>
  </si>
  <si>
    <t>5. Aota</t>
  </si>
  <si>
    <t>6. Attouhonou</t>
  </si>
  <si>
    <t>7. Azohouè-Gbédjicomè</t>
  </si>
  <si>
    <t>8. Azohouè-Hongbo</t>
  </si>
  <si>
    <t>9. Djohoungbonou</t>
  </si>
  <si>
    <t>10. Gbéto</t>
  </si>
  <si>
    <t>11. Houégoudo</t>
  </si>
  <si>
    <t>12. Lisségazoun</t>
  </si>
  <si>
    <t>13. Solokoué</t>
  </si>
  <si>
    <t>14. Zounmè-Aga</t>
  </si>
  <si>
    <t>LON-AGONMEY</t>
  </si>
  <si>
    <t>1. Adjrakandji</t>
  </si>
  <si>
    <t>2. Ayakpata</t>
  </si>
  <si>
    <t>3. Ayamè</t>
  </si>
  <si>
    <t>4. Kpodji</t>
  </si>
  <si>
    <t>5. Sèhounsa</t>
  </si>
  <si>
    <t>6. Togazoun</t>
  </si>
  <si>
    <t>7. Tôgo</t>
  </si>
  <si>
    <t>8. Winyikpa</t>
  </si>
  <si>
    <t>SEKOU</t>
  </si>
  <si>
    <t>1. Adimalé</t>
  </si>
  <si>
    <t>2. Adjadangan</t>
  </si>
  <si>
    <t>3. Agbandonou</t>
  </si>
  <si>
    <t>4. Agbantokpa</t>
  </si>
  <si>
    <t>5. Dodji-Aliho</t>
  </si>
  <si>
    <t>6. Dodjidangban</t>
  </si>
  <si>
    <t>7. Dovènou</t>
  </si>
  <si>
    <t>8. Gandaho</t>
  </si>
  <si>
    <t>9. Hedjannansoun</t>
  </si>
  <si>
    <t>10. Hollansatin</t>
  </si>
  <si>
    <t>11. Houndadja</t>
  </si>
  <si>
    <t>12. Migbehouè</t>
  </si>
  <si>
    <t>13. Sehè</t>
  </si>
  <si>
    <t>14. Sékou</t>
  </si>
  <si>
    <t>15. Yaahouè</t>
  </si>
  <si>
    <t>16. Sohoun</t>
  </si>
  <si>
    <t>17. Vehoui</t>
  </si>
  <si>
    <t>18. Wedjame</t>
  </si>
  <si>
    <t>19. Wibatin</t>
  </si>
  <si>
    <t>TOGOUDO</t>
  </si>
  <si>
    <t>1. Govié</t>
  </si>
  <si>
    <t>2. Kpodjava</t>
  </si>
  <si>
    <t>3. Tôgô</t>
  </si>
  <si>
    <t>4. Zèbou</t>
  </si>
  <si>
    <t>TOKPA</t>
  </si>
  <si>
    <t>1. Boli</t>
  </si>
  <si>
    <t>3. Houngbado</t>
  </si>
  <si>
    <t>4. Kotovi</t>
  </si>
  <si>
    <t>5. Wogo</t>
  </si>
  <si>
    <t>6. Zounledji</t>
  </si>
  <si>
    <t>KPOMASSE</t>
  </si>
  <si>
    <t>AGANMALOME</t>
  </si>
  <si>
    <t>1. Aganmalomè-Centre</t>
  </si>
  <si>
    <t>2. Aidjèdo</t>
  </si>
  <si>
    <t>3. Hessa</t>
  </si>
  <si>
    <t>4. Kougbédji</t>
  </si>
  <si>
    <t>5. Kouzoumè</t>
  </si>
  <si>
    <t>6. Lokossa</t>
  </si>
  <si>
    <t>7. Nougboyifi</t>
  </si>
  <si>
    <t>AGBANTO</t>
  </si>
  <si>
    <t>1. Agbanto-Maga</t>
  </si>
  <si>
    <t>2. Agbanto-Sotoncodji</t>
  </si>
  <si>
    <t>3. Agbanto-Zounmin</t>
  </si>
  <si>
    <t>4. Agonvodji–Daho</t>
  </si>
  <si>
    <t>5. Agonvodji-Kpèvi</t>
  </si>
  <si>
    <t>6. Gogotinkponmè</t>
  </si>
  <si>
    <t>7. Nazoumè</t>
  </si>
  <si>
    <t>AGONKANME</t>
  </si>
  <si>
    <t>1. Adjaglo</t>
  </si>
  <si>
    <t>2. Adjamè</t>
  </si>
  <si>
    <t>3. Agonkanmè Centre</t>
  </si>
  <si>
    <t>4. Assogbénou-Daho</t>
  </si>
  <si>
    <t>5. Assogbènou-Kpèvi</t>
  </si>
  <si>
    <t>6. Godonoutin</t>
  </si>
  <si>
    <t>7. Gomè</t>
  </si>
  <si>
    <t>8. Kpota</t>
  </si>
  <si>
    <t>9. Oussa</t>
  </si>
  <si>
    <t>DEKANME</t>
  </si>
  <si>
    <t>1. Ahouango Agbidicomè</t>
  </si>
  <si>
    <t>2. Ahouango Hinsocomè</t>
  </si>
  <si>
    <t>3. Azizonkanmè</t>
  </si>
  <si>
    <t>4. Foncomè</t>
  </si>
  <si>
    <t>5. Glégbotonou</t>
  </si>
  <si>
    <t>6. Houédjro</t>
  </si>
  <si>
    <t>7. Houéyogbé</t>
  </si>
  <si>
    <t>8. Kpago</t>
  </si>
  <si>
    <t>9. Kpodji Atingo</t>
  </si>
  <si>
    <t>10. Kpodji Clotomè</t>
  </si>
  <si>
    <t>11. Sèbo</t>
  </si>
  <si>
    <t>12. Yèmè</t>
  </si>
  <si>
    <t>DEDOME</t>
  </si>
  <si>
    <t>1. Couffonou</t>
  </si>
  <si>
    <t>2. Dédomè Aclomè</t>
  </si>
  <si>
    <t>3. Dédomè Kpodji</t>
  </si>
  <si>
    <t>4. Hinmadou</t>
  </si>
  <si>
    <t>5. Kpindjakanmè</t>
  </si>
  <si>
    <t>6. Télokoé-Ahouya</t>
  </si>
  <si>
    <t>KPOMASSE CENTRE</t>
  </si>
  <si>
    <t>1. Aidjèdo</t>
  </si>
  <si>
    <t>2. Cocoundji</t>
  </si>
  <si>
    <t>3. Lokossa</t>
  </si>
  <si>
    <t>4. Doga</t>
  </si>
  <si>
    <t>5. Fifadji</t>
  </si>
  <si>
    <t>6. Ganganhouli</t>
  </si>
  <si>
    <t>7. Gbèdjèwin Adjibamey</t>
  </si>
  <si>
    <t>8. Nonvignon</t>
  </si>
  <si>
    <t>9. Houégan</t>
  </si>
  <si>
    <t>10. Missèbo</t>
  </si>
  <si>
    <t>11. Missité</t>
  </si>
  <si>
    <t>SEGBEYA</t>
  </si>
  <si>
    <t>1. Atchakanmè</t>
  </si>
  <si>
    <t>2. Danzounmè</t>
  </si>
  <si>
    <t>3. Gbèfadji</t>
  </si>
  <si>
    <t>4. Sègbèya Akpoutouhoué</t>
  </si>
  <si>
    <t>5. Sègbèya Amonlè</t>
  </si>
  <si>
    <t>6. Sègbèya Zoundomè</t>
  </si>
  <si>
    <t>SEGBOHOUE</t>
  </si>
  <si>
    <t>1. Adjatokpa</t>
  </si>
  <si>
    <t>2. Guézohoué</t>
  </si>
  <si>
    <t>3. Sègbohouè Centre</t>
  </si>
  <si>
    <t>4. Sègbohouè Assito</t>
  </si>
  <si>
    <t>5. Tokpa-Daho</t>
  </si>
  <si>
    <t>6. Vovio</t>
  </si>
  <si>
    <t>TOKPA-DOME</t>
  </si>
  <si>
    <t>1. Amoukonou</t>
  </si>
  <si>
    <t>2. Gbèfadji-Aidjèdo</t>
  </si>
  <si>
    <t>3. Gbétozo</t>
  </si>
  <si>
    <t>4. Gboho</t>
  </si>
  <si>
    <t>5. Hinzoumè</t>
  </si>
  <si>
    <t>6. Houéton</t>
  </si>
  <si>
    <t>7. Houngbogba</t>
  </si>
  <si>
    <t>8. Lokogbo Zounta</t>
  </si>
  <si>
    <t>9. Lokogbo Gnonwa</t>
  </si>
  <si>
    <t>10. Ountoun</t>
  </si>
  <si>
    <t>11. Sècomè</t>
  </si>
  <si>
    <t>12. Xwlacomè</t>
  </si>
  <si>
    <t>OUIDAH</t>
  </si>
  <si>
    <t>AVLEKETE</t>
  </si>
  <si>
    <t>1. Adounko</t>
  </si>
  <si>
    <t>2. Adounko Ayignon</t>
  </si>
  <si>
    <t>3. Agbanzin-Kpota</t>
  </si>
  <si>
    <t>4. Agbanzin-Kpota Zounvlamè</t>
  </si>
  <si>
    <t>5. Agouin</t>
  </si>
  <si>
    <t>6. Ahouandji</t>
  </si>
  <si>
    <t>7. Avlékété</t>
  </si>
  <si>
    <t>8. Hio</t>
  </si>
  <si>
    <t>9. Hio Vinawa</t>
  </si>
  <si>
    <t>DJEGBADJI</t>
  </si>
  <si>
    <t>1. Agbanlindjèhoué</t>
  </si>
  <si>
    <t>2. Aïdo</t>
  </si>
  <si>
    <t>3. Dégouè</t>
  </si>
  <si>
    <t>4. Djègbadji</t>
  </si>
  <si>
    <t>5. Djondji</t>
  </si>
  <si>
    <t>6. Kouvènanfidé</t>
  </si>
  <si>
    <t>7. Mèko</t>
  </si>
  <si>
    <t>GAKPE</t>
  </si>
  <si>
    <t>1. Amoulèhoué</t>
  </si>
  <si>
    <t>2. Fonkounmè</t>
  </si>
  <si>
    <t>3. Gakpé</t>
  </si>
  <si>
    <t>4. Tohonou</t>
  </si>
  <si>
    <t>HOUAKPE-DAHO</t>
  </si>
  <si>
    <t>1. Azizakouè</t>
  </si>
  <si>
    <t>2. Djègbamè</t>
  </si>
  <si>
    <t>3. Gbéhonou</t>
  </si>
  <si>
    <t>4. Gbèzounmè</t>
  </si>
  <si>
    <t>5. Houakpè-Daho</t>
  </si>
  <si>
    <t>6. Sèyigbé</t>
  </si>
  <si>
    <t>7. Toligbé</t>
  </si>
  <si>
    <t>PAHOU</t>
  </si>
  <si>
    <t>1. Acadjamè</t>
  </si>
  <si>
    <t>2. Adjra-Adovié</t>
  </si>
  <si>
    <t>3. Adjra-Hounvè</t>
  </si>
  <si>
    <t>4. Ahouicodji</t>
  </si>
  <si>
    <t>5. Ahozon</t>
  </si>
  <si>
    <t>6. Houndjava</t>
  </si>
  <si>
    <t>7. Hounhanmèdé</t>
  </si>
  <si>
    <t>8. Kpovié</t>
  </si>
  <si>
    <t>9. Pahou Centre</t>
  </si>
  <si>
    <t>10. Selloli-Bazounkpa</t>
  </si>
  <si>
    <t>OUIDAH I</t>
  </si>
  <si>
    <t>1. Abatta</t>
  </si>
  <si>
    <t>2. Agbessikpè Djika</t>
  </si>
  <si>
    <t>3. Dangbéhouè</t>
  </si>
  <si>
    <t>4. Oké-Agbèdè</t>
  </si>
  <si>
    <t>5. Sogbadji</t>
  </si>
  <si>
    <t>6. Zomaï</t>
  </si>
  <si>
    <t>7. Zomaï-Kpota</t>
  </si>
  <si>
    <t>8. Zoungbodji Centre</t>
  </si>
  <si>
    <t>OUIDAH II</t>
  </si>
  <si>
    <t>1. Ahouandjigo</t>
  </si>
  <si>
    <t>2. Ganvè</t>
  </si>
  <si>
    <t>3. Gbèna-Nord</t>
  </si>
  <si>
    <t>4. Gbèna-Sud</t>
  </si>
  <si>
    <t>5. Gbéto-Nord</t>
  </si>
  <si>
    <t>6. Gbéto-Sud</t>
  </si>
  <si>
    <t>7. Houédjèdo</t>
  </si>
  <si>
    <t>8. Lèbou Campto</t>
  </si>
  <si>
    <t>9. Lèbou Alafia</t>
  </si>
  <si>
    <t>OUIDAH III</t>
  </si>
  <si>
    <t>1. Agbadjihonto</t>
  </si>
  <si>
    <t>3. Fonsramè</t>
  </si>
  <si>
    <t>4. Gomey</t>
  </si>
  <si>
    <t>5. Hèhounli</t>
  </si>
  <si>
    <t>6. Kpassè</t>
  </si>
  <si>
    <t>7. Yamadjako</t>
  </si>
  <si>
    <t>8. Zongo Malècomè</t>
  </si>
  <si>
    <t>OUIDAH IV</t>
  </si>
  <si>
    <t>1. Docomey</t>
  </si>
  <si>
    <t>2. Tovè Zobèto</t>
  </si>
  <si>
    <t>3. Tovè Kpassèzounto</t>
  </si>
  <si>
    <t>4. Vassèho</t>
  </si>
  <si>
    <t>5. Wagniho</t>
  </si>
  <si>
    <t>6. Womey</t>
  </si>
  <si>
    <t>SAVI</t>
  </si>
  <si>
    <t>1. Adjohoundja-Monso</t>
  </si>
  <si>
    <t>2. Assogbénou-Daho</t>
  </si>
  <si>
    <t>3. Bossouvi</t>
  </si>
  <si>
    <t>4. Dèkouènou</t>
  </si>
  <si>
    <t>5. Houéyiho</t>
  </si>
  <si>
    <t>6. Minantinkpon</t>
  </si>
  <si>
    <t>7. Ouèssè</t>
  </si>
  <si>
    <t>8. Savi-Houéton</t>
  </si>
  <si>
    <t>TOFFO</t>
  </si>
  <si>
    <t>AGUE</t>
  </si>
  <si>
    <t>1. Agué</t>
  </si>
  <si>
    <t>2. Badovita</t>
  </si>
  <si>
    <t>3. Houéglé</t>
  </si>
  <si>
    <t>4. Kinzoun</t>
  </si>
  <si>
    <t>5. Niarin</t>
  </si>
  <si>
    <t>6. Sèdjè</t>
  </si>
  <si>
    <t>7. Takon</t>
  </si>
  <si>
    <t>COLLI</t>
  </si>
  <si>
    <t>1. Agbamè</t>
  </si>
  <si>
    <t>2. Bossouvi</t>
  </si>
  <si>
    <t>3. Dogoudo</t>
  </si>
  <si>
    <t>4. Hêlita</t>
  </si>
  <si>
    <t>5. Hounyèmè</t>
  </si>
  <si>
    <t>6. Koudjananko</t>
  </si>
  <si>
    <t>COUSSI</t>
  </si>
  <si>
    <t>1. Abolou</t>
  </si>
  <si>
    <t>2. Adjaho</t>
  </si>
  <si>
    <t>3. Agaga</t>
  </si>
  <si>
    <t>4. Agbaga</t>
  </si>
  <si>
    <t>5. Agblomè</t>
  </si>
  <si>
    <t>6. Ahogbèmè</t>
  </si>
  <si>
    <t>7. Cassagbo</t>
  </si>
  <si>
    <t>8. Dowa</t>
  </si>
  <si>
    <t>9. Honli</t>
  </si>
  <si>
    <t>10. Sêdéssa Aligoudo</t>
  </si>
  <si>
    <t>11. Za</t>
  </si>
  <si>
    <t>12. Zimbènou</t>
  </si>
  <si>
    <t>DAME</t>
  </si>
  <si>
    <t>1. Adjakamè</t>
  </si>
  <si>
    <t>2. Agbotagon</t>
  </si>
  <si>
    <t>3. Agon</t>
  </si>
  <si>
    <t>4. Cogbo-Campement</t>
  </si>
  <si>
    <t>5. Damè Centre</t>
  </si>
  <si>
    <t>6. Dolouvi</t>
  </si>
  <si>
    <t>7. Guèmè</t>
  </si>
  <si>
    <t>8. Hessavi -Comè</t>
  </si>
  <si>
    <t>9. Mazounkpa</t>
  </si>
  <si>
    <t>10. Togo</t>
  </si>
  <si>
    <t>DJANGLANME</t>
  </si>
  <si>
    <t>1. Damè-Gbédji</t>
  </si>
  <si>
    <t>2. Houngo-Damè</t>
  </si>
  <si>
    <t>3. Houngo-Govè</t>
  </si>
  <si>
    <t>4. Kpokpa</t>
  </si>
  <si>
    <t>5. Togouin</t>
  </si>
  <si>
    <t>6. Togoudo</t>
  </si>
  <si>
    <t>7. Zohounkpo</t>
  </si>
  <si>
    <t>8. Zoundji</t>
  </si>
  <si>
    <t>KPOME</t>
  </si>
  <si>
    <t>1. Adjido</t>
  </si>
  <si>
    <t>2. Agladokpa</t>
  </si>
  <si>
    <t>3. Azonmè</t>
  </si>
  <si>
    <t>4. Domè</t>
  </si>
  <si>
    <t>5. Ganmè</t>
  </si>
  <si>
    <t>HOUEGBO</t>
  </si>
  <si>
    <t>1. Akpè</t>
  </si>
  <si>
    <t>2. Houègbo Tohomè</t>
  </si>
  <si>
    <t>3. Houègbo-Gare</t>
  </si>
  <si>
    <t>4. Houénoussou</t>
  </si>
  <si>
    <t>5. Yénawa</t>
  </si>
  <si>
    <t>SEHOUE</t>
  </si>
  <si>
    <t>1. Agaga</t>
  </si>
  <si>
    <t>2. Aclonmè</t>
  </si>
  <si>
    <t>3. Agbozounkpa</t>
  </si>
  <si>
    <t>4. Aklissa</t>
  </si>
  <si>
    <t>5. Bakanmè</t>
  </si>
  <si>
    <t>6. Fandji</t>
  </si>
  <si>
    <t>7. Somè</t>
  </si>
  <si>
    <t>8. Vodjè</t>
  </si>
  <si>
    <t>9. Zoungamè</t>
  </si>
  <si>
    <t>SEY</t>
  </si>
  <si>
    <t>1. Agahounkpokon</t>
  </si>
  <si>
    <t>2. Agonmè</t>
  </si>
  <si>
    <t>3. Ahlankpa</t>
  </si>
  <si>
    <t>4. Avissa</t>
  </si>
  <si>
    <t>5. Ayahonou</t>
  </si>
  <si>
    <t>6. Azonsa</t>
  </si>
  <si>
    <t>7. Kpozounmè</t>
  </si>
  <si>
    <t>8. Lanhonnou</t>
  </si>
  <si>
    <t>1. Gbédé-Agonsa</t>
  </si>
  <si>
    <t>2. Gomey</t>
  </si>
  <si>
    <t>3. Hounnouvié</t>
  </si>
  <si>
    <t>4. Sèdji</t>
  </si>
  <si>
    <t>5. Toffo-Gare</t>
  </si>
  <si>
    <t>6. Zèko</t>
  </si>
  <si>
    <t>TORI-BOSSITO</t>
  </si>
  <si>
    <t>AVAME</t>
  </si>
  <si>
    <t>1. Aguéta</t>
  </si>
  <si>
    <t>2. Avamè Centre</t>
  </si>
  <si>
    <t>3. Gbédjougo</t>
  </si>
  <si>
    <t>4. Hla</t>
  </si>
  <si>
    <t>5. Houngo</t>
  </si>
  <si>
    <t>6. Massètomè</t>
  </si>
  <si>
    <t>AZOHOUE-ALIHO</t>
  </si>
  <si>
    <t>1. Dénou</t>
  </si>
  <si>
    <t>2. Hayakpa</t>
  </si>
  <si>
    <t>3. Tandahota</t>
  </si>
  <si>
    <t>AZOHOUE-CADA</t>
  </si>
  <si>
    <t>1. Azohoué Cada Houngo</t>
  </si>
  <si>
    <t>2. Azohoué Cada Nord</t>
  </si>
  <si>
    <t>3. Azohoué Cada Sud</t>
  </si>
  <si>
    <t>4. Azohouè-Cada Centre</t>
  </si>
  <si>
    <t>5. Azongo</t>
  </si>
  <si>
    <t>6. Gbèdakonou</t>
  </si>
  <si>
    <t>7. Kétessa Agladji</t>
  </si>
  <si>
    <t>8. Zoungbomè</t>
  </si>
  <si>
    <t>9. Zounvessèhou</t>
  </si>
  <si>
    <t>TORI-CADA</t>
  </si>
  <si>
    <t>1. Adjahassa</t>
  </si>
  <si>
    <t>2. Anavié</t>
  </si>
  <si>
    <t>3. Dohinonko</t>
  </si>
  <si>
    <t>4. Dokanmè</t>
  </si>
  <si>
    <t>5. Gbégoudo</t>
  </si>
  <si>
    <t>6. Gbétaga</t>
  </si>
  <si>
    <t>7. Gbohouè</t>
  </si>
  <si>
    <t>8. Hêtin-Yénawa</t>
  </si>
  <si>
    <t>9. Houédaga</t>
  </si>
  <si>
    <t>10. Lokossa</t>
  </si>
  <si>
    <t>11. Sogbé</t>
  </si>
  <si>
    <t>12. Soklogbo</t>
  </si>
  <si>
    <t>13. Tori-Cada Centre</t>
  </si>
  <si>
    <t>14. Zèbè</t>
  </si>
  <si>
    <t>15. Zoungoudo</t>
  </si>
  <si>
    <t>TORI-GARE</t>
  </si>
  <si>
    <t>1. Agazoun</t>
  </si>
  <si>
    <t>2. Agouako</t>
  </si>
  <si>
    <t>3. Akadjamè</t>
  </si>
  <si>
    <t>4. Ayikinko</t>
  </si>
  <si>
    <t>5. Dossou-somey</t>
  </si>
  <si>
    <t>6. Gbègoudo</t>
  </si>
  <si>
    <t>7. Sèïgonmè</t>
  </si>
  <si>
    <t>8. Tori-Gare Centre</t>
  </si>
  <si>
    <t>1. Agonkon</t>
  </si>
  <si>
    <t>2. Ahouèmè</t>
  </si>
  <si>
    <t>3. Aïdohoué</t>
  </si>
  <si>
    <t>4. Bossito</t>
  </si>
  <si>
    <t>5. Fassinouhokon</t>
  </si>
  <si>
    <t>6. Gbédéwahoué</t>
  </si>
  <si>
    <t>7. Gbovié</t>
  </si>
  <si>
    <t>8. Hèkandji</t>
  </si>
  <si>
    <t>9. Honvié</t>
  </si>
  <si>
    <t>10. Houngbagba</t>
  </si>
  <si>
    <t>11. Hounnonco</t>
  </si>
  <si>
    <t>12. Kokanhoué</t>
  </si>
  <si>
    <t>13. Maguévié</t>
  </si>
  <si>
    <t>14. Tocoli</t>
  </si>
  <si>
    <t>15. Togoudo</t>
  </si>
  <si>
    <t>16. Wanho</t>
  </si>
  <si>
    <t>17. Zounmè</t>
  </si>
  <si>
    <t>ABOMEY-CALAVI</t>
  </si>
  <si>
    <t>1. Agamandin</t>
  </si>
  <si>
    <t>2. Agori</t>
  </si>
  <si>
    <t>3. Aîfa</t>
  </si>
  <si>
    <t>4. Aîtchédji</t>
  </si>
  <si>
    <t>5. Alédjo</t>
  </si>
  <si>
    <t>6. Cité la Victoire</t>
  </si>
  <si>
    <t>7. Cité les palmiers</t>
  </si>
  <si>
    <t>8. Fandji</t>
  </si>
  <si>
    <t>9. Finafa</t>
  </si>
  <si>
    <t>10. Gbodjo</t>
  </si>
  <si>
    <t>11. Kansounkpa</t>
  </si>
  <si>
    <t>12. Sèmè</t>
  </si>
  <si>
    <t>13. Tankpê</t>
  </si>
  <si>
    <t>14. Tchinangbégbo</t>
  </si>
  <si>
    <t>15. Tokpa-Zoungo</t>
  </si>
  <si>
    <t>16. Tokpa-Zoungo Nord</t>
  </si>
  <si>
    <t>17. Tokpa-Zoungo Sud</t>
  </si>
  <si>
    <t>18. Zogbadjè</t>
  </si>
  <si>
    <t>19. Zopah</t>
  </si>
  <si>
    <t>20. Zoundja</t>
  </si>
  <si>
    <t>AKASSATO</t>
  </si>
  <si>
    <t>1. Adjagbo</t>
  </si>
  <si>
    <t>2. Agassa-Godomey</t>
  </si>
  <si>
    <t>3. Agonmé</t>
  </si>
  <si>
    <t>4. Agonsoundja</t>
  </si>
  <si>
    <t>5. Akassato centre</t>
  </si>
  <si>
    <t>6. Gbétagbo</t>
  </si>
  <si>
    <t>7. Glo-tokpa</t>
  </si>
  <si>
    <t>8. Houèkè-gbo</t>
  </si>
  <si>
    <t>9. Houèkè-Honou</t>
  </si>
  <si>
    <t>10. Kolètin</t>
  </si>
  <si>
    <t>11. Kpodji-les-Monts</t>
  </si>
  <si>
    <t>12. Missessinto</t>
  </si>
  <si>
    <t>13. Zekanmey-Domè</t>
  </si>
  <si>
    <t>14. Zopah Palmeraie</t>
  </si>
  <si>
    <t>GOLO-DJIGBE</t>
  </si>
  <si>
    <t>1. Adjamè</t>
  </si>
  <si>
    <t>2. Agongbé</t>
  </si>
  <si>
    <t>3. Agonkessa</t>
  </si>
  <si>
    <t>4. Alladacomè</t>
  </si>
  <si>
    <t>5. Azonsa</t>
  </si>
  <si>
    <t>6. Djissoukpa</t>
  </si>
  <si>
    <t>7. Domey-Gbo</t>
  </si>
  <si>
    <t>8. Golo-Djigbé</t>
  </si>
  <si>
    <t>9. Golo-fanto</t>
  </si>
  <si>
    <t>10. Lohoussa</t>
  </si>
  <si>
    <t>11. Missèbo- Espace saint</t>
  </si>
  <si>
    <t>12. Yékon -Do</t>
  </si>
  <si>
    <t>13. Yékon-Aga</t>
  </si>
  <si>
    <t>14. Zèkanmey</t>
  </si>
  <si>
    <t>GODOMEY</t>
  </si>
  <si>
    <t>1. Abikouholi</t>
  </si>
  <si>
    <t>2. Agbo-Codji-Sèdégbé</t>
  </si>
  <si>
    <t>3. Agonkanmey</t>
  </si>
  <si>
    <t>4. Aïmevo</t>
  </si>
  <si>
    <t>5. Alègléta</t>
  </si>
  <si>
    <t>6. Amanhoun</t>
  </si>
  <si>
    <t>7. Assrossa</t>
  </si>
  <si>
    <t>8. Atrokpo-Codji</t>
  </si>
  <si>
    <t>9. Cococodji</t>
  </si>
  <si>
    <t>10. Cocotomey</t>
  </si>
  <si>
    <t>11. Dèkoungbé-Eglise</t>
  </si>
  <si>
    <t>12. Dèkoungbé-Usine</t>
  </si>
  <si>
    <t>13. Dénou</t>
  </si>
  <si>
    <t>14. Djèkpota</t>
  </si>
  <si>
    <t>15. Djoukpa-togoudo</t>
  </si>
  <si>
    <t>16. Fandji</t>
  </si>
  <si>
    <t>17. Fignonhou</t>
  </si>
  <si>
    <t>18. Finafa</t>
  </si>
  <si>
    <t>19. Ganganzounmè</t>
  </si>
  <si>
    <t>20. Gbègnigan-Midokpo</t>
  </si>
  <si>
    <t>21. Gbodjè-Womey</t>
  </si>
  <si>
    <t>22. Gninkindji</t>
  </si>
  <si>
    <t>23. Godomey-N’Gbèho</t>
  </si>
  <si>
    <t>24. Godomey-Togoudo</t>
  </si>
  <si>
    <t>25. Hélouto</t>
  </si>
  <si>
    <t>26. Hedomè</t>
  </si>
  <si>
    <t>27. Houakomey</t>
  </si>
  <si>
    <t>28. Hounsa –agbodokpa</t>
  </si>
  <si>
    <t>29. La paix</t>
  </si>
  <si>
    <t>30. Lobozounkpa</t>
  </si>
  <si>
    <t>31. Maria-gléta</t>
  </si>
  <si>
    <t>32. Ningboto</t>
  </si>
  <si>
    <t>33. Nonhouénou</t>
  </si>
  <si>
    <t>34. Ounvènoumèdé</t>
  </si>
  <si>
    <t>35. Plateau</t>
  </si>
  <si>
    <t>36. Salamey</t>
  </si>
  <si>
    <t>37. Sèdjannanko</t>
  </si>
  <si>
    <t>38. Sèdomey</t>
  </si>
  <si>
    <t>39. Sèloli-Fandji</t>
  </si>
  <si>
    <t>40. Sodo</t>
  </si>
  <si>
    <t>41. Tankpè</t>
  </si>
  <si>
    <t>42. Togbin –Daho</t>
  </si>
  <si>
    <t>43. Togbin-Fandji</t>
  </si>
  <si>
    <t>44. Togbin-Kpèvi</t>
  </si>
  <si>
    <t>45. Tokpa</t>
  </si>
  <si>
    <t>46. Womey Centre</t>
  </si>
  <si>
    <t>47. Yénandjro</t>
  </si>
  <si>
    <t>48. Yolomahouto</t>
  </si>
  <si>
    <t>49. Zounga</t>
  </si>
  <si>
    <t>HEVIE</t>
  </si>
  <si>
    <t>1. Adovié</t>
  </si>
  <si>
    <t>2. Akossavié</t>
  </si>
  <si>
    <t>3. Dossounou</t>
  </si>
  <si>
    <t>4. Hèvié Centre</t>
  </si>
  <si>
    <t>5. Houinmè</t>
  </si>
  <si>
    <t>6. Hounyèva</t>
  </si>
  <si>
    <t>7. Hounzèvié</t>
  </si>
  <si>
    <t>8. Sogan</t>
  </si>
  <si>
    <t>9. Zoungo</t>
  </si>
  <si>
    <t>KPANROUN</t>
  </si>
  <si>
    <t>1. Anagbo</t>
  </si>
  <si>
    <t>2. Avagbé</t>
  </si>
  <si>
    <t>3. Bozoun</t>
  </si>
  <si>
    <t>4. Djigbo</t>
  </si>
  <si>
    <t>5. Hadjanaho</t>
  </si>
  <si>
    <t>6. Kpanroun</t>
  </si>
  <si>
    <t>7. Kpanroun-Dodomey</t>
  </si>
  <si>
    <t>8. Kpaviédja</t>
  </si>
  <si>
    <t>9. Kpé</t>
  </si>
  <si>
    <t>OUEDO</t>
  </si>
  <si>
    <t>2. Dessato</t>
  </si>
  <si>
    <t>3. Ahouato</t>
  </si>
  <si>
    <t>4. Adjagbo -Aïdjèdo</t>
  </si>
  <si>
    <t>5. Alansankomè</t>
  </si>
  <si>
    <t>6. Dassèkomey</t>
  </si>
  <si>
    <t>7. Kpossidja</t>
  </si>
  <si>
    <t>8. Ouèdo Centre</t>
  </si>
  <si>
    <t>TOGBA</t>
  </si>
  <si>
    <t>1. Ahossougbéta</t>
  </si>
  <si>
    <t>2. Drabo</t>
  </si>
  <si>
    <t>3. Fifonsi</t>
  </si>
  <si>
    <t>4. Houèto</t>
  </si>
  <si>
    <t>5. Ouéga-Agué</t>
  </si>
  <si>
    <t>6. Ouéga-Tokpa</t>
  </si>
  <si>
    <t>8. Tankpè</t>
  </si>
  <si>
    <t>9. Togba Maria-Gléta</t>
  </si>
  <si>
    <t>10. Tokan</t>
  </si>
  <si>
    <t>11. Tokan Aîdégnon</t>
  </si>
  <si>
    <t>ZINVIE</t>
  </si>
  <si>
    <t>1. Adjogansa</t>
  </si>
  <si>
    <t>2. Dangbodji</t>
  </si>
  <si>
    <t>3. Dokomey</t>
  </si>
  <si>
    <t>4. Gbodjè</t>
  </si>
  <si>
    <t>5. Gbodjoko</t>
  </si>
  <si>
    <t>6. Houégoudo</t>
  </si>
  <si>
    <t>7. Kpotomey</t>
  </si>
  <si>
    <t>8. Sokan</t>
  </si>
  <si>
    <t>9. Wawata</t>
  </si>
  <si>
    <t>10. Wawata-Todja</t>
  </si>
  <si>
    <t>11. Yèvié</t>
  </si>
  <si>
    <t>12. Yèvié-Nougo</t>
  </si>
  <si>
    <t>13. Zinvié-Agolèdji</t>
  </si>
  <si>
    <t>14. Zinvié-fandji</t>
  </si>
  <si>
    <t>15. Zinvié-Zounmè</t>
  </si>
  <si>
    <t>SO-AVA</t>
  </si>
  <si>
    <t>AHOMEY-LOKPO</t>
  </si>
  <si>
    <t>1. Ahomey-Lokpo Centre</t>
  </si>
  <si>
    <t>2. Ahomey-Ounmey</t>
  </si>
  <si>
    <t>3. Assédokpa</t>
  </si>
  <si>
    <t>4. Bessétonou</t>
  </si>
  <si>
    <t>5. Hêni</t>
  </si>
  <si>
    <t>6. Kinto Agué</t>
  </si>
  <si>
    <t>7. Kinto Dokpakpa</t>
  </si>
  <si>
    <t>8. Kinto Oudjra</t>
  </si>
  <si>
    <t>9. Zoungomey</t>
  </si>
  <si>
    <t>10. Zounkpodé</t>
  </si>
  <si>
    <t>DEKANMEY</t>
  </si>
  <si>
    <t>1. Anaviécomey</t>
  </si>
  <si>
    <t>2. Djèkpé</t>
  </si>
  <si>
    <t>3. Kpafè</t>
  </si>
  <si>
    <t>4. Kpoviécomey</t>
  </si>
  <si>
    <t>5. Sakomey</t>
  </si>
  <si>
    <t>GANVIE 1</t>
  </si>
  <si>
    <t>1. Agonmèkomey</t>
  </si>
  <si>
    <t>2. Agoundankomey</t>
  </si>
  <si>
    <t>3. Gansougbamey</t>
  </si>
  <si>
    <t>4. Gbamey-Tchèwa</t>
  </si>
  <si>
    <t>5. Gounsoédji</t>
  </si>
  <si>
    <t>6. Hindagao</t>
  </si>
  <si>
    <t>7. Kpassikomey</t>
  </si>
  <si>
    <t>8. Sokomey</t>
  </si>
  <si>
    <t>9. Tohokomey</t>
  </si>
  <si>
    <t>10. Yokagao</t>
  </si>
  <si>
    <t>GANVIE 2</t>
  </si>
  <si>
    <t>1. Agbongamey</t>
  </si>
  <si>
    <t>2. Ahouanmongao</t>
  </si>
  <si>
    <t>3. Dakomey</t>
  </si>
  <si>
    <t>4. Dakomey-Yohonoukon</t>
  </si>
  <si>
    <t>5. Dossougao</t>
  </si>
  <si>
    <t>6. Gounsoégbamey</t>
  </si>
  <si>
    <t>7. Guèdèvié</t>
  </si>
  <si>
    <t>8. Guèdèvié-Gbègbèssa</t>
  </si>
  <si>
    <t>9. Havè</t>
  </si>
  <si>
    <t>10. Kindji</t>
  </si>
  <si>
    <t>11. Sinhoungbomey</t>
  </si>
  <si>
    <t>HOUEDO-AGUEKON</t>
  </si>
  <si>
    <t>1. Domèguédji</t>
  </si>
  <si>
    <t>2. Gblonto</t>
  </si>
  <si>
    <t>3. Gbégodo</t>
  </si>
  <si>
    <t>4. Gbagbodji</t>
  </si>
  <si>
    <t>5. Ganviécomey</t>
  </si>
  <si>
    <t>6. Gbégbomè Ouèkèkomè</t>
  </si>
  <si>
    <t>7. Gbessou</t>
  </si>
  <si>
    <t>SÔ-AVA</t>
  </si>
  <si>
    <t>1. Ahomey Domey-Zounmey</t>
  </si>
  <si>
    <t>2. Ahomey-Fonsa</t>
  </si>
  <si>
    <t>3. Ahomey-Gbékpa</t>
  </si>
  <si>
    <t>4. Ahomey-Gblon</t>
  </si>
  <si>
    <t>5. Dogodo</t>
  </si>
  <si>
    <t>6. Dokodji</t>
  </si>
  <si>
    <t>7. Houndomey</t>
  </si>
  <si>
    <t>8. Sindomey</t>
  </si>
  <si>
    <t>VEKKY</t>
  </si>
  <si>
    <t>1. Aniankomey</t>
  </si>
  <si>
    <t>2. Avlézounmey</t>
  </si>
  <si>
    <t>3. Dogodo</t>
  </si>
  <si>
    <t>4. Eguékomey</t>
  </si>
  <si>
    <t>5. Gbètingao</t>
  </si>
  <si>
    <t>6. Hlouazounmey</t>
  </si>
  <si>
    <t>7. Hounhoué</t>
  </si>
  <si>
    <t>8. Kpacomey</t>
  </si>
  <si>
    <t>9. Lokpodji</t>
  </si>
  <si>
    <t>10. Nonhouéto</t>
  </si>
  <si>
    <t>11. Sô-ChanhouéTodo</t>
  </si>
  <si>
    <t>12. Somaï</t>
  </si>
  <si>
    <t>13. Tchinancomey</t>
  </si>
  <si>
    <t>14. Totakoun</t>
  </si>
  <si>
    <t>15. Vekky Daho</t>
  </si>
  <si>
    <t>16. Vekky dogbodji</t>
  </si>
  <si>
    <t>17. Zounhomey</t>
  </si>
  <si>
    <t>ZE</t>
  </si>
  <si>
    <t>ADJAN</t>
  </si>
  <si>
    <t>1. Adjan</t>
  </si>
  <si>
    <t>2. Adjan – Gla</t>
  </si>
  <si>
    <t>3. Adjan –Houéta</t>
  </si>
  <si>
    <t>4. Anagbo</t>
  </si>
  <si>
    <t>5. Dodji-Aga</t>
  </si>
  <si>
    <t>6. Tanta</t>
  </si>
  <si>
    <t>7. Wassa</t>
  </si>
  <si>
    <t>8. Zanzoun</t>
  </si>
  <si>
    <t>DAWE</t>
  </si>
  <si>
    <t>1. Agonzounkpa</t>
  </si>
  <si>
    <t>2. Ahouali</t>
  </si>
  <si>
    <t>4. Dawè-Centre</t>
  </si>
  <si>
    <t>5. Domè-Sèko</t>
  </si>
  <si>
    <t>6. Tomasséahoua</t>
  </si>
  <si>
    <t>DJIGBE</t>
  </si>
  <si>
    <t>1. Agoundji</t>
  </si>
  <si>
    <t>2. Awassou</t>
  </si>
  <si>
    <t>3. Djigbé-Aguè</t>
  </si>
  <si>
    <t>4. Djigbé-Gbodjè</t>
  </si>
  <si>
    <t>5. Gbagodo</t>
  </si>
  <si>
    <t>6. Sèssivali</t>
  </si>
  <si>
    <t>7. Wo-Togoudo</t>
  </si>
  <si>
    <t>DODJI-BATA</t>
  </si>
  <si>
    <t>2. Adohounsa</t>
  </si>
  <si>
    <t>3. Agondotan</t>
  </si>
  <si>
    <t>4. Akouédjromèdé</t>
  </si>
  <si>
    <t>5. Djoko</t>
  </si>
  <si>
    <t>6. Gandaho</t>
  </si>
  <si>
    <t>7. Gbéto-Fongbo</t>
  </si>
  <si>
    <t>8. Gonfandji</t>
  </si>
  <si>
    <t>9. Hountakon</t>
  </si>
  <si>
    <t>10. Kpatchamè</t>
  </si>
  <si>
    <t>11. Wankon</t>
  </si>
  <si>
    <t>12. Wédji</t>
  </si>
  <si>
    <t>HEKANME</t>
  </si>
  <si>
    <t>1. Agbata</t>
  </si>
  <si>
    <t>2. Akpalihonou</t>
  </si>
  <si>
    <t>3. Awokpa</t>
  </si>
  <si>
    <t>4. Gbozounmè</t>
  </si>
  <si>
    <t>5. Hèkanmè</t>
  </si>
  <si>
    <t>6. Houédota</t>
  </si>
  <si>
    <t>7. Houédota-Djoko</t>
  </si>
  <si>
    <t>8. Houéhounta</t>
  </si>
  <si>
    <t>9. Mangassa</t>
  </si>
  <si>
    <t>10. Togoudo</t>
  </si>
  <si>
    <t>KOUNDOKPOE</t>
  </si>
  <si>
    <t>1. Aïfa</t>
  </si>
  <si>
    <t>2. Houégnonkpa</t>
  </si>
  <si>
    <t>3. Houéhounta-Tozounkpa</t>
  </si>
  <si>
    <t>4. Koundokpoé</t>
  </si>
  <si>
    <t>5. Tangnigbadji</t>
  </si>
  <si>
    <t>6. Togbonou</t>
  </si>
  <si>
    <t>7. Wédjamè</t>
  </si>
  <si>
    <t>SEDJE-DENOU</t>
  </si>
  <si>
    <t>1. Agbohounsou</t>
  </si>
  <si>
    <t>2. Agondénou</t>
  </si>
  <si>
    <t>3. Agongbo</t>
  </si>
  <si>
    <t>4. Aguiakpa</t>
  </si>
  <si>
    <t>5. Sèdjè-Dénou</t>
  </si>
  <si>
    <t>6. Sèdjè-Kpota</t>
  </si>
  <si>
    <t>7. Sèdjè-Zounmey-Aga</t>
  </si>
  <si>
    <t>SEDJE-HOUEGOUDO</t>
  </si>
  <si>
    <t>1. Aglangbin</t>
  </si>
  <si>
    <t>2. Ahozonnoudé</t>
  </si>
  <si>
    <t>3. Akpomey</t>
  </si>
  <si>
    <t>4. Ayahounta-Fifadji</t>
  </si>
  <si>
    <t>5. Bodji</t>
  </si>
  <si>
    <t>6. Missèbo</t>
  </si>
  <si>
    <t>7. Sèdjannako</t>
  </si>
  <si>
    <t>8. Sèdjè-Houégoudo</t>
  </si>
  <si>
    <t>TANGBO</t>
  </si>
  <si>
    <t>1. Adjago</t>
  </si>
  <si>
    <t>2. Agbodjèdo</t>
  </si>
  <si>
    <t>3. Anavié</t>
  </si>
  <si>
    <t>4. Avléssa</t>
  </si>
  <si>
    <t>5. Azonkanmè</t>
  </si>
  <si>
    <t>6. Djitin-Aga</t>
  </si>
  <si>
    <t>7. Glégbodji Agah</t>
  </si>
  <si>
    <t>8. Glégbodji Do</t>
  </si>
  <si>
    <t>9. Houézè</t>
  </si>
  <si>
    <t>10. Tangbo-Aga</t>
  </si>
  <si>
    <t>11. Tangbo-Do</t>
  </si>
  <si>
    <t>12. Tanmey</t>
  </si>
  <si>
    <t>13. Yèvi</t>
  </si>
  <si>
    <t>YOKPO</t>
  </si>
  <si>
    <t>1. Adjakpa</t>
  </si>
  <si>
    <t>2. Adjrako</t>
  </si>
  <si>
    <t>3. Awonsèdja</t>
  </si>
  <si>
    <t>4. Hounliko</t>
  </si>
  <si>
    <t>5. Hounsagoudo</t>
  </si>
  <si>
    <t>6. Koudjannada-Tota</t>
  </si>
  <si>
    <t>7. Wawata-Dandji</t>
  </si>
  <si>
    <t>8. Wawata-Zounto</t>
  </si>
  <si>
    <t>9. Yokpo-Centre</t>
  </si>
  <si>
    <t>1. Akpali</t>
  </si>
  <si>
    <t>2. Akpali-Do</t>
  </si>
  <si>
    <t>3. Dokota</t>
  </si>
  <si>
    <t>4. Dokota-Aga</t>
  </si>
  <si>
    <t>5. Goulo</t>
  </si>
  <si>
    <t>6. Guékoumèdé</t>
  </si>
  <si>
    <t>7. Havikpa</t>
  </si>
  <si>
    <t>8. Houédazounkpa</t>
  </si>
  <si>
    <t>9. Sodji</t>
  </si>
  <si>
    <t>10. Waga</t>
  </si>
  <si>
    <t>11. Zannoudji</t>
  </si>
  <si>
    <t>12. Zè</t>
  </si>
  <si>
    <t>13. Zè-Wédji</t>
  </si>
  <si>
    <t>14. Zoungbomey</t>
  </si>
  <si>
    <t>BORGOU</t>
  </si>
  <si>
    <t>BEMBEREKE</t>
  </si>
  <si>
    <t>1. Bèmbèrèkè Peulh</t>
  </si>
  <si>
    <t>2. Bèmbèrèkè-Est</t>
  </si>
  <si>
    <t>3. Bèmbèrèkè-Ouest</t>
  </si>
  <si>
    <t>4. Bérou</t>
  </si>
  <si>
    <t>5. Gamaré</t>
  </si>
  <si>
    <t>6. Gando</t>
  </si>
  <si>
    <t>7. Guéré</t>
  </si>
  <si>
    <t>8. Kénékou</t>
  </si>
  <si>
    <t>9. Kéroukpogo</t>
  </si>
  <si>
    <t>10. Kokabo</t>
  </si>
  <si>
    <t>11. Kossou</t>
  </si>
  <si>
    <t>12. Pédarou</t>
  </si>
  <si>
    <t>13. Saoré</t>
  </si>
  <si>
    <t>14. Wanrarou</t>
  </si>
  <si>
    <t>BEROUBOUAY</t>
  </si>
  <si>
    <t>1. Béroubouay Peulh</t>
  </si>
  <si>
    <t>2. Béroubouay-Est</t>
  </si>
  <si>
    <t>3. Béroubouay-Ouest</t>
  </si>
  <si>
    <t>4. Bouratèbè</t>
  </si>
  <si>
    <t>5. Kabanou</t>
  </si>
  <si>
    <t>6. Kongou-Peulh</t>
  </si>
  <si>
    <t>7. Sombouan</t>
  </si>
  <si>
    <t>BOUANRI</t>
  </si>
  <si>
    <t>2. Bouanri-Gourou</t>
  </si>
  <si>
    <t>3. Bouanri-Songoura</t>
  </si>
  <si>
    <t>4. Bouanri-Maro</t>
  </si>
  <si>
    <t>5. Gando-Borou</t>
  </si>
  <si>
    <t>6. Gbérou-Daba</t>
  </si>
  <si>
    <t>7. Guéra-N’kali</t>
  </si>
  <si>
    <t>8. Guéra-N’kali-Tassi</t>
  </si>
  <si>
    <t>9. Kassarou</t>
  </si>
  <si>
    <t>10. Sissigourou</t>
  </si>
  <si>
    <t>11. Témé</t>
  </si>
  <si>
    <t>GAMIA</t>
  </si>
  <si>
    <t>1. Baoura</t>
  </si>
  <si>
    <t>2. Bèrèkè-Gando</t>
  </si>
  <si>
    <t>3. Bèrèkè-Gourou</t>
  </si>
  <si>
    <t>4. Bouay</t>
  </si>
  <si>
    <t>5. Bouri</t>
  </si>
  <si>
    <t>6. Dantcha</t>
  </si>
  <si>
    <t>7. Gamia-Ouest</t>
  </si>
  <si>
    <t>8. Gamia-Est</t>
  </si>
  <si>
    <t>9. Ganro</t>
  </si>
  <si>
    <t>10. Guessou-Nord</t>
  </si>
  <si>
    <t>11. Kpébéra</t>
  </si>
  <si>
    <t>12. Mani-Boké</t>
  </si>
  <si>
    <t>13. Timbouré</t>
  </si>
  <si>
    <t>INA</t>
  </si>
  <si>
    <t>1. Goua</t>
  </si>
  <si>
    <t>2. Guessou-Banm Taka</t>
  </si>
  <si>
    <t>3. Guessou-Banm Taka-Peulh</t>
  </si>
  <si>
    <t>4. Guessou-Banm Taka-Ouest</t>
  </si>
  <si>
    <t>5. Ina</t>
  </si>
  <si>
    <t>6. Ina-Gando</t>
  </si>
  <si>
    <t>7. Ina-Peulh</t>
  </si>
  <si>
    <t>8. Ina-Est</t>
  </si>
  <si>
    <t>9. Ina-Ouest</t>
  </si>
  <si>
    <t>10. Konou</t>
  </si>
  <si>
    <t>11. Sikouro</t>
  </si>
  <si>
    <t>12. Wodora</t>
  </si>
  <si>
    <t>13. Wonka-Gourou</t>
  </si>
  <si>
    <t>NIKKI</t>
  </si>
  <si>
    <t>BIRO</t>
  </si>
  <si>
    <t>1. Biro</t>
  </si>
  <si>
    <t>2. Gnanhoun</t>
  </si>
  <si>
    <t>3. Massiagourou</t>
  </si>
  <si>
    <t>4. Nallou</t>
  </si>
  <si>
    <t>5. Ningouarou</t>
  </si>
  <si>
    <t>6. Ourarou</t>
  </si>
  <si>
    <t>7. Sonsonrè</t>
  </si>
  <si>
    <t>8. Tèbo</t>
  </si>
  <si>
    <t>GNONKOUROKALI</t>
  </si>
  <si>
    <t>1. Gbari</t>
  </si>
  <si>
    <t>2. Gneltoko</t>
  </si>
  <si>
    <t>3. Gnonkourakali</t>
  </si>
  <si>
    <t>4. Gourou-Pibou</t>
  </si>
  <si>
    <t>5. Guema</t>
  </si>
  <si>
    <t>6. Guinrou</t>
  </si>
  <si>
    <t>7. Guinrou-Peulh</t>
  </si>
  <si>
    <t>8. Soubo-Baraworou</t>
  </si>
  <si>
    <t>9. Soubo-Gandérou</t>
  </si>
  <si>
    <t>10. Woroumangassarou</t>
  </si>
  <si>
    <t>1. Angankirou</t>
  </si>
  <si>
    <t>2. Barkèdjè</t>
  </si>
  <si>
    <t>3. Barougouroussi</t>
  </si>
  <si>
    <t>4. Bellè</t>
  </si>
  <si>
    <t>5. Boo</t>
  </si>
  <si>
    <t>6. Boukanèrè</t>
  </si>
  <si>
    <t>7. Danri</t>
  </si>
  <si>
    <t>8. Donkparawi</t>
  </si>
  <si>
    <t>9. Gah- Maro-Peulh</t>
  </si>
  <si>
    <t>10. Gah-Maro</t>
  </si>
  <si>
    <t>11. Gbaoussi</t>
  </si>
  <si>
    <t>12. Gbaoussi-Kpaa</t>
  </si>
  <si>
    <t>13. Gori</t>
  </si>
  <si>
    <t>14. Gouré-Gbata</t>
  </si>
  <si>
    <t>15. Gourou</t>
  </si>
  <si>
    <t>16. Guidandolé</t>
  </si>
  <si>
    <t>17. Kali</t>
  </si>
  <si>
    <t>18. Koussoukou</t>
  </si>
  <si>
    <t>19. Kparissérou</t>
  </si>
  <si>
    <t>20. Kpawolou</t>
  </si>
  <si>
    <t>21. Maro</t>
  </si>
  <si>
    <t>22. Monnon</t>
  </si>
  <si>
    <t>23. Sakabansi</t>
  </si>
  <si>
    <t>24. Sonworé</t>
  </si>
  <si>
    <t>25. Takou</t>
  </si>
  <si>
    <t>26. Tépa</t>
  </si>
  <si>
    <t>27. Tontarou</t>
  </si>
  <si>
    <t>28. Tontarou-Peulh</t>
  </si>
  <si>
    <t>29. Totorou</t>
  </si>
  <si>
    <t>30. Wonko</t>
  </si>
  <si>
    <t>31. Yako-Kparou</t>
  </si>
  <si>
    <t>OUENOU</t>
  </si>
  <si>
    <t>1. Alafiarou</t>
  </si>
  <si>
    <t>2. Fombawi</t>
  </si>
  <si>
    <t>3. Gnelkiradjé</t>
  </si>
  <si>
    <t>4. Gnelsanda</t>
  </si>
  <si>
    <t>5. Gossogui-Gourébata</t>
  </si>
  <si>
    <t>6. Gotel</t>
  </si>
  <si>
    <t>7. Goure baba</t>
  </si>
  <si>
    <t>8. Ouroumon</t>
  </si>
  <si>
    <t>9. Ouroumonsi- Peulh</t>
  </si>
  <si>
    <t>10. Ouénou -Nikki</t>
  </si>
  <si>
    <t>11. Sansi</t>
  </si>
  <si>
    <t>12. Tchicandou</t>
  </si>
  <si>
    <t>13. Wékétèrè</t>
  </si>
  <si>
    <t>SEREKALI</t>
  </si>
  <si>
    <t>1. Baani</t>
  </si>
  <si>
    <t>2. Ganrou</t>
  </si>
  <si>
    <t>3. Ganrou -Peulh</t>
  </si>
  <si>
    <t>4. Gbégourou</t>
  </si>
  <si>
    <t>5. Kassapéré</t>
  </si>
  <si>
    <t>6. Koni</t>
  </si>
  <si>
    <t>7. Moussouré</t>
  </si>
  <si>
    <t>8. Ouenra-Peulh</t>
  </si>
  <si>
    <t>9. Sérékali -Baka</t>
  </si>
  <si>
    <t>10. Séréwondirou</t>
  </si>
  <si>
    <t>11. Yao-Gourou</t>
  </si>
  <si>
    <t>12. Yorarou</t>
  </si>
  <si>
    <t>SUYA</t>
  </si>
  <si>
    <t>1. Bantérè</t>
  </si>
  <si>
    <t>2. Chein-Daroukpara</t>
  </si>
  <si>
    <t>3. Dannon</t>
  </si>
  <si>
    <t>4. Daroukpara</t>
  </si>
  <si>
    <t>5. Ganchon</t>
  </si>
  <si>
    <t>6. Soumarou</t>
  </si>
  <si>
    <t>7. Suya</t>
  </si>
  <si>
    <t>TASSO</t>
  </si>
  <si>
    <t>1. Chein-Tasso</t>
  </si>
  <si>
    <t>2. Déman</t>
  </si>
  <si>
    <t>3. Fo- Darou</t>
  </si>
  <si>
    <t>4. Gan -Gbérou</t>
  </si>
  <si>
    <t>5. Gbabiré</t>
  </si>
  <si>
    <t>6. Goré</t>
  </si>
  <si>
    <t>7. Kpébourabou</t>
  </si>
  <si>
    <t>8. Sinangourou</t>
  </si>
  <si>
    <t>9. Tanakpé</t>
  </si>
  <si>
    <t>10. Tasso</t>
  </si>
  <si>
    <t>SINENDE</t>
  </si>
  <si>
    <t>FÔ-BOURE</t>
  </si>
  <si>
    <t>1. Fô-Bouko</t>
  </si>
  <si>
    <t>2. Fô-Bouré</t>
  </si>
  <si>
    <t>3. Fô-Bouré-Peulh</t>
  </si>
  <si>
    <t>4. Gamagui</t>
  </si>
  <si>
    <t>5. Narérou</t>
  </si>
  <si>
    <t>6. Sakarou</t>
  </si>
  <si>
    <t>7. Sèrou</t>
  </si>
  <si>
    <t>8. Sokka</t>
  </si>
  <si>
    <t>9. Sonkorou</t>
  </si>
  <si>
    <t>10. Toumè</t>
  </si>
  <si>
    <t>SEKERE</t>
  </si>
  <si>
    <t>1. Kparo</t>
  </si>
  <si>
    <t>2. Sèkèrè-Maro</t>
  </si>
  <si>
    <t>3. Sèkèrè-Gando</t>
  </si>
  <si>
    <t>4. Sèkèrè-Peulh</t>
  </si>
  <si>
    <t>5. Séko-Kparou</t>
  </si>
  <si>
    <t>6. Yarra-Bariba</t>
  </si>
  <si>
    <t>7. Yarra-Gando</t>
  </si>
  <si>
    <t>8. Yarra-Kouri</t>
  </si>
  <si>
    <t>9. Yarra-Peulh</t>
  </si>
  <si>
    <t>SIKKI</t>
  </si>
  <si>
    <t>1. Dombouri</t>
  </si>
  <si>
    <t>2. Gah-Baka</t>
  </si>
  <si>
    <t>3. Goro-Bani</t>
  </si>
  <si>
    <t>4. Monsi</t>
  </si>
  <si>
    <t>5. Sikki-Gando</t>
  </si>
  <si>
    <t>6. Sikki-Gourou</t>
  </si>
  <si>
    <t>7. Sikki-Maro</t>
  </si>
  <si>
    <t>8. Wari</t>
  </si>
  <si>
    <t>9. Wari-Gando</t>
  </si>
  <si>
    <t>10. Wari-Peulh</t>
  </si>
  <si>
    <t>1. Bouro</t>
  </si>
  <si>
    <t>2. Diadia</t>
  </si>
  <si>
    <t>3. Didi</t>
  </si>
  <si>
    <t>4. Gakpérou</t>
  </si>
  <si>
    <t>5. Gnanro-Baatonworou</t>
  </si>
  <si>
    <t>6. Gnanro-Gando</t>
  </si>
  <si>
    <t>7. Gouré-Guessou</t>
  </si>
  <si>
    <t>8. Gourou</t>
  </si>
  <si>
    <t>9. Gourou-Kpérou</t>
  </si>
  <si>
    <t>10. Guessou-Bani</t>
  </si>
  <si>
    <t>11. Guessou-Bani-Peulh</t>
  </si>
  <si>
    <t>12. Haoussa</t>
  </si>
  <si>
    <t>13. Kossia</t>
  </si>
  <si>
    <t>14. Lémanou</t>
  </si>
  <si>
    <t>KALALE</t>
  </si>
  <si>
    <t>BASSO</t>
  </si>
  <si>
    <t>1. Banagbasson</t>
  </si>
  <si>
    <t>2. Banézi</t>
  </si>
  <si>
    <t>3. Basso</t>
  </si>
  <si>
    <t>4. Basso-Peulh</t>
  </si>
  <si>
    <t>5. Gawézi</t>
  </si>
  <si>
    <t>6. Gbèkona</t>
  </si>
  <si>
    <t>7. Gorogawo</t>
  </si>
  <si>
    <t>8. Néganzi</t>
  </si>
  <si>
    <t>9. Néganzi-Peulh</t>
  </si>
  <si>
    <t>BOUCA</t>
  </si>
  <si>
    <t>1. Ada-Kpané</t>
  </si>
  <si>
    <t>2. Bessassi-Bouca</t>
  </si>
  <si>
    <t>3. Bouca</t>
  </si>
  <si>
    <t>4. Bouca-Gando</t>
  </si>
  <si>
    <t>5. Bouca-Peulh</t>
  </si>
  <si>
    <t>6. Bouca-Woorou</t>
  </si>
  <si>
    <t>7. Bouraourè</t>
  </si>
  <si>
    <t>8. Gando-Gourou</t>
  </si>
  <si>
    <t>9. Gbassi</t>
  </si>
  <si>
    <t>10. Gbérougbassi</t>
  </si>
  <si>
    <t>11. Gnel-Boucatou</t>
  </si>
  <si>
    <t>12. Kaala</t>
  </si>
  <si>
    <t>13. Karèl</t>
  </si>
  <si>
    <t>14. Kourel</t>
  </si>
  <si>
    <t>15. Sérégourou</t>
  </si>
  <si>
    <t>DERASSI</t>
  </si>
  <si>
    <t>1. Alafiarou-Dérassi</t>
  </si>
  <si>
    <t>2. Dérassi</t>
  </si>
  <si>
    <t>3. Gannourè-Hèrè</t>
  </si>
  <si>
    <t>4. Gnel-Kélé</t>
  </si>
  <si>
    <t>5. Guiri-Peulh</t>
  </si>
  <si>
    <t>6. Guiri-Gando</t>
  </si>
  <si>
    <t>7. Kakatinnin</t>
  </si>
  <si>
    <t>8. Mareguinta</t>
  </si>
  <si>
    <t>9. Matchorè</t>
  </si>
  <si>
    <t>10. Toucarè</t>
  </si>
  <si>
    <t>11. Wonko</t>
  </si>
  <si>
    <t>DUNKASSA</t>
  </si>
  <si>
    <t>1. Alafiarou-Gando</t>
  </si>
  <si>
    <t>2. Batin</t>
  </si>
  <si>
    <t>3. Dadi</t>
  </si>
  <si>
    <t>4. Dangorou</t>
  </si>
  <si>
    <t>5. Gnel-Gamadjè</t>
  </si>
  <si>
    <t>6. Djèga-Dunkassa</t>
  </si>
  <si>
    <t>7. Djilidjalaré</t>
  </si>
  <si>
    <t>8. Dunkassa</t>
  </si>
  <si>
    <t>9. Dunkassa-Peulh</t>
  </si>
  <si>
    <t>10. Gbéssakpérou</t>
  </si>
  <si>
    <t>11. Gorobani</t>
  </si>
  <si>
    <t>12. Kiricoubè</t>
  </si>
  <si>
    <t>13. Ouénagourou</t>
  </si>
  <si>
    <t>1. Bessassi</t>
  </si>
  <si>
    <t>2. Bessassi-Béa</t>
  </si>
  <si>
    <t>3. Bessassi-Gando</t>
  </si>
  <si>
    <t>4. Danganzi</t>
  </si>
  <si>
    <t>5. Djega-Kalalé</t>
  </si>
  <si>
    <t>6. Goudéma</t>
  </si>
  <si>
    <t>7. Kalalé</t>
  </si>
  <si>
    <t>8. Kalalé-Peulh</t>
  </si>
  <si>
    <t>9. Kalalé-Sessouan</t>
  </si>
  <si>
    <t>10. Kalalé-Zina</t>
  </si>
  <si>
    <t>11. Kidaroukpérou</t>
  </si>
  <si>
    <t>12. Lou</t>
  </si>
  <si>
    <t>13. Nassiconzi</t>
  </si>
  <si>
    <t>14. Sébana</t>
  </si>
  <si>
    <t>15. Wobadjè</t>
  </si>
  <si>
    <t>16. Yolla</t>
  </si>
  <si>
    <t>17. Zambara</t>
  </si>
  <si>
    <t>PEONGA</t>
  </si>
  <si>
    <t>1. Angaradébou</t>
  </si>
  <si>
    <t>2. Bagaria</t>
  </si>
  <si>
    <t>3. Boa</t>
  </si>
  <si>
    <t>4. Boa-Gando</t>
  </si>
  <si>
    <t>5. Gando-Baka</t>
  </si>
  <si>
    <t>6. Gbéï</t>
  </si>
  <si>
    <t>7. Gnel-Djobo</t>
  </si>
  <si>
    <t>8. Gnel-Yakan</t>
  </si>
  <si>
    <t>9. Gossodji</t>
  </si>
  <si>
    <t>10. Korodji</t>
  </si>
  <si>
    <t>11. Péonga</t>
  </si>
  <si>
    <t>PARAKOU</t>
  </si>
  <si>
    <t>1er ARRONDISSEMENT</t>
  </si>
  <si>
    <t>1. Albarika</t>
  </si>
  <si>
    <t>2. Alaga</t>
  </si>
  <si>
    <t>3. Bakinkoura</t>
  </si>
  <si>
    <t>4. Bakpérou</t>
  </si>
  <si>
    <t>5. Banikanni-Douwérou</t>
  </si>
  <si>
    <t>6. Bèyarou</t>
  </si>
  <si>
    <t>7. Boundarou</t>
  </si>
  <si>
    <t>8. Camp-Adagbè</t>
  </si>
  <si>
    <t>9. Bosso-Camps-Peulhs</t>
  </si>
  <si>
    <t>10. Damagourou</t>
  </si>
  <si>
    <t>11. Dépôt</t>
  </si>
  <si>
    <t>12. Gaanon</t>
  </si>
  <si>
    <t>13. Gounin</t>
  </si>
  <si>
    <t>14. Kabassira</t>
  </si>
  <si>
    <t>15. Kadéra</t>
  </si>
  <si>
    <t>16. Kpébié</t>
  </si>
  <si>
    <t>17. Kpérou-Guéra</t>
  </si>
  <si>
    <t>18. Madina</t>
  </si>
  <si>
    <t>19. Monnon</t>
  </si>
  <si>
    <t>20. Ouézé</t>
  </si>
  <si>
    <t>21. Sawararou</t>
  </si>
  <si>
    <t>22. Sinagourou</t>
  </si>
  <si>
    <t>23. Sourou</t>
  </si>
  <si>
    <t>24. Thian</t>
  </si>
  <si>
    <t>25. Titirou</t>
  </si>
  <si>
    <t>26. Tourou-Dispensaire</t>
  </si>
  <si>
    <t>27. Tourou-Palais-Royal</t>
  </si>
  <si>
    <t>28. Worou-Tokorou</t>
  </si>
  <si>
    <t>29. Zazira</t>
  </si>
  <si>
    <t>2ème Arrondissement</t>
  </si>
  <si>
    <t>1. Agba agba</t>
  </si>
  <si>
    <t>2. Assagbinin- Baka</t>
  </si>
  <si>
    <t>3. Bakounourou</t>
  </si>
  <si>
    <t>4. Banikanni</t>
  </si>
  <si>
    <t>5. Banikanni-ENI</t>
  </si>
  <si>
    <t>6. Banikanni-Madjatom</t>
  </si>
  <si>
    <t>7. Baparapé</t>
  </si>
  <si>
    <t>8. Goromosso</t>
  </si>
  <si>
    <t>9. Korobororou</t>
  </si>
  <si>
    <t>10. Korobororou-Peulh</t>
  </si>
  <si>
    <t>11. Ladjifarani</t>
  </si>
  <si>
    <t>12. Ladjifarani-Petit Père</t>
  </si>
  <si>
    <t>13. Lémanda</t>
  </si>
  <si>
    <t>14. Nima-Sokounon</t>
  </si>
  <si>
    <t>15. Rose-Croix Bah Mora</t>
  </si>
  <si>
    <t>16. Woubékou-Gah</t>
  </si>
  <si>
    <t>17. Zongo-Zénon</t>
  </si>
  <si>
    <t>3ème Arrondissement</t>
  </si>
  <si>
    <t>1. Amanwignon</t>
  </si>
  <si>
    <t>2. Dokparou</t>
  </si>
  <si>
    <t>3. Gah</t>
  </si>
  <si>
    <t>4. Ganou</t>
  </si>
  <si>
    <t>5. Gbira</t>
  </si>
  <si>
    <t>6. Guéma</t>
  </si>
  <si>
    <t>7. Nikkikpérou</t>
  </si>
  <si>
    <t>8. Swinrou-Kpassagambou</t>
  </si>
  <si>
    <t>9. Tranza</t>
  </si>
  <si>
    <t>10. Wansirou</t>
  </si>
  <si>
    <t>11. Woré</t>
  </si>
  <si>
    <t>12. Zongo</t>
  </si>
  <si>
    <t>N’DALI</t>
  </si>
  <si>
    <t>BORI</t>
  </si>
  <si>
    <t>2. Bio-Sika</t>
  </si>
  <si>
    <t>3. Bori</t>
  </si>
  <si>
    <t>4. Bori-N’Darnon</t>
  </si>
  <si>
    <t>5. Bori-Peulh</t>
  </si>
  <si>
    <t>6. Darnon-Gourou</t>
  </si>
  <si>
    <t>7. Gbitébou</t>
  </si>
  <si>
    <t>8. Gounin</t>
  </si>
  <si>
    <t>9. Kori</t>
  </si>
  <si>
    <t>10. Marégourou</t>
  </si>
  <si>
    <t>11. Marégourou-Peulh</t>
  </si>
  <si>
    <t>12. Sonnoumon</t>
  </si>
  <si>
    <t>13. Sonnoumon-Gando</t>
  </si>
  <si>
    <t>14. Sonnoumon-Peulh</t>
  </si>
  <si>
    <t>15. Souarou</t>
  </si>
  <si>
    <t>16. Témé</t>
  </si>
  <si>
    <t>17. Témé-Peulh</t>
  </si>
  <si>
    <t>GBEGOUROU</t>
  </si>
  <si>
    <t>2. Binassi</t>
  </si>
  <si>
    <t>3. Darnon</t>
  </si>
  <si>
    <t>4. Douroubé</t>
  </si>
  <si>
    <t>5. Gbégourou</t>
  </si>
  <si>
    <t>6. Guessou</t>
  </si>
  <si>
    <t>7. Sinawourarou</t>
  </si>
  <si>
    <t>1. Banhoun</t>
  </si>
  <si>
    <t>2. Banhoun-Gando</t>
  </si>
  <si>
    <t>3. Kèri</t>
  </si>
  <si>
    <t>4. N’Dali-Peulh</t>
  </si>
  <si>
    <t>5. Sakarou</t>
  </si>
  <si>
    <t>6. Sinisson</t>
  </si>
  <si>
    <t>7. Suanin</t>
  </si>
  <si>
    <t>8. Tèpa</t>
  </si>
  <si>
    <t>9. Tréboun</t>
  </si>
  <si>
    <t>10. Wari-Goura</t>
  </si>
  <si>
    <t>11. Woasson</t>
  </si>
  <si>
    <t>12. Wobakarou</t>
  </si>
  <si>
    <t>13. Yèroumarou</t>
  </si>
  <si>
    <t>SIRAROU</t>
  </si>
  <si>
    <t>1. Boko</t>
  </si>
  <si>
    <t>2. Dabou</t>
  </si>
  <si>
    <t>3. Gah Alérou</t>
  </si>
  <si>
    <t>4. Gah-Sankounin</t>
  </si>
  <si>
    <t>5. Gandou-Nomba</t>
  </si>
  <si>
    <t>6. Gbéguina</t>
  </si>
  <si>
    <t>7. Kakara</t>
  </si>
  <si>
    <t>8. Komiguéa</t>
  </si>
  <si>
    <t>9. Maréborou</t>
  </si>
  <si>
    <t>10. Sakarou</t>
  </si>
  <si>
    <t>11. Samounin</t>
  </si>
  <si>
    <t>12. Sirarou</t>
  </si>
  <si>
    <t>13. Tinré</t>
  </si>
  <si>
    <t>14. Tounré</t>
  </si>
  <si>
    <t>15. Yankoï</t>
  </si>
  <si>
    <t>1. Banhoun-Kpo</t>
  </si>
  <si>
    <t>2. Bounin</t>
  </si>
  <si>
    <t>3. Bouyérou</t>
  </si>
  <si>
    <t>4. Dankourou</t>
  </si>
  <si>
    <t>5. Gah-Winra</t>
  </si>
  <si>
    <t>6. Moussoukouré</t>
  </si>
  <si>
    <t>7. Ouénou</t>
  </si>
  <si>
    <t>8. Ouénou-Peulh</t>
  </si>
  <si>
    <t>9. Pouramparè</t>
  </si>
  <si>
    <t>10. Tamarou</t>
  </si>
  <si>
    <t>11. Warikpa</t>
  </si>
  <si>
    <t>12. Wèrèkè</t>
  </si>
  <si>
    <t>PERERE</t>
  </si>
  <si>
    <t>GNINSY</t>
  </si>
  <si>
    <t>1. Assagnahoun</t>
  </si>
  <si>
    <t>3. Diguidirou</t>
  </si>
  <si>
    <t>4. Diguidirou -Peulh</t>
  </si>
  <si>
    <t>5. Gninsy</t>
  </si>
  <si>
    <t>6. Gninsy-Gando</t>
  </si>
  <si>
    <t>7. Gninsy-Peulh</t>
  </si>
  <si>
    <t>8. Gorobani</t>
  </si>
  <si>
    <t>9. Koukoumbou</t>
  </si>
  <si>
    <t>10. Sandilo</t>
  </si>
  <si>
    <t>11. Sandilo-Gando</t>
  </si>
  <si>
    <t>12. Sanrékou</t>
  </si>
  <si>
    <t>13. Sombirikpérou</t>
  </si>
  <si>
    <t>GUINAGOUROU</t>
  </si>
  <si>
    <t>1. Banigourou</t>
  </si>
  <si>
    <t>2. Bérékoudo</t>
  </si>
  <si>
    <t>3. Bougnankou</t>
  </si>
  <si>
    <t>4. Gah-Maro</t>
  </si>
  <si>
    <t>5. Gando-Alafiarou</t>
  </si>
  <si>
    <t>6. Gbandé</t>
  </si>
  <si>
    <t>7. Gommey</t>
  </si>
  <si>
    <t>8. Gounkparé</t>
  </si>
  <si>
    <t>9. Guinagourou</t>
  </si>
  <si>
    <t>10. Guinagourou-Peulh</t>
  </si>
  <si>
    <t>11. Kabadou</t>
  </si>
  <si>
    <t>12. Kpawolou</t>
  </si>
  <si>
    <t>13. Nanin</t>
  </si>
  <si>
    <t>14. Nassy</t>
  </si>
  <si>
    <t>15. Nassy-Gando</t>
  </si>
  <si>
    <t>16. Ogamoin</t>
  </si>
  <si>
    <t>17. Sinanimoin</t>
  </si>
  <si>
    <t>18. Sonon</t>
  </si>
  <si>
    <t>19. Wokparou</t>
  </si>
  <si>
    <t>20. Wondou</t>
  </si>
  <si>
    <t>KPEBIE</t>
  </si>
  <si>
    <t>1. Guinro</t>
  </si>
  <si>
    <t>2. Kpébié</t>
  </si>
  <si>
    <t>3. Kpébié-Gando</t>
  </si>
  <si>
    <t>4. Tchori</t>
  </si>
  <si>
    <t>5. Won</t>
  </si>
  <si>
    <t>PANE</t>
  </si>
  <si>
    <t>1. Bougnérou</t>
  </si>
  <si>
    <t>2. Panè-Guéa</t>
  </si>
  <si>
    <t>3. Tabérou</t>
  </si>
  <si>
    <t>1. Bawèra</t>
  </si>
  <si>
    <t>2. Bohérou</t>
  </si>
  <si>
    <t>3. Bokérou</t>
  </si>
  <si>
    <t>4. Borikirou</t>
  </si>
  <si>
    <t>5. Kousso</t>
  </si>
  <si>
    <t>6. Nima-Béri</t>
  </si>
  <si>
    <t>7. Ourarou</t>
  </si>
  <si>
    <t>8. Pèrèrè-Gourou</t>
  </si>
  <si>
    <t>9. Pèrèrè -Peulh</t>
  </si>
  <si>
    <t>10. Sakparou</t>
  </si>
  <si>
    <t>11. Soria</t>
  </si>
  <si>
    <t>12. Soubado</t>
  </si>
  <si>
    <t>13. Tissèrou</t>
  </si>
  <si>
    <t>14. Worokpo</t>
  </si>
  <si>
    <t>SONTOU</t>
  </si>
  <si>
    <t>2. Bani-Peulh</t>
  </si>
  <si>
    <t>3. Bonrou</t>
  </si>
  <si>
    <t>4. Bonrou-Gando</t>
  </si>
  <si>
    <t>5. Gbamon</t>
  </si>
  <si>
    <t>6. Sontou</t>
  </si>
  <si>
    <t>TCHAOUROU</t>
  </si>
  <si>
    <t>ALAFIAROU</t>
  </si>
  <si>
    <t>1. Agbassa</t>
  </si>
  <si>
    <t>2. Agramarou</t>
  </si>
  <si>
    <t>3. Alafiarou</t>
  </si>
  <si>
    <t>4. Ayégourou</t>
  </si>
  <si>
    <t>5. Babarou</t>
  </si>
  <si>
    <t>6. Koda</t>
  </si>
  <si>
    <t>7. Koko</t>
  </si>
  <si>
    <t>8. Oloungbé</t>
  </si>
  <si>
    <t>BETEROU</t>
  </si>
  <si>
    <t>1. Adamou-Kpara</t>
  </si>
  <si>
    <t>2. Banigri</t>
  </si>
  <si>
    <t>3. Bétérou</t>
  </si>
  <si>
    <t>4. Kaki Koka</t>
  </si>
  <si>
    <t>5. Kpawa</t>
  </si>
  <si>
    <t>6. Kpessou</t>
  </si>
  <si>
    <t>7. Oubérou</t>
  </si>
  <si>
    <t>8. Sinahou</t>
  </si>
  <si>
    <t>9. Somou – Gah</t>
  </si>
  <si>
    <t>10. Tchokpassi</t>
  </si>
  <si>
    <t>11. Wari-Maro</t>
  </si>
  <si>
    <t>12. Yébessi</t>
  </si>
  <si>
    <t>GORO</t>
  </si>
  <si>
    <t>1. Gah -Gourou</t>
  </si>
  <si>
    <t>2. Gbéba</t>
  </si>
  <si>
    <t>3. Goro</t>
  </si>
  <si>
    <t>4. Nim Souambou</t>
  </si>
  <si>
    <t>KIKA</t>
  </si>
  <si>
    <t>1. Bonwoubérou</t>
  </si>
  <si>
    <t>2. Bouay</t>
  </si>
  <si>
    <t>3. Camp Zato</t>
  </si>
  <si>
    <t>4. Gouroubara</t>
  </si>
  <si>
    <t>5. Kabo</t>
  </si>
  <si>
    <t>6. Kika</t>
  </si>
  <si>
    <t>7. Kika-Barrage</t>
  </si>
  <si>
    <t>8. Kokobè</t>
  </si>
  <si>
    <t>9. Kpari</t>
  </si>
  <si>
    <t>10. Kpassa</t>
  </si>
  <si>
    <t>11. Kpéwonkou</t>
  </si>
  <si>
    <t>12. Monrawonkourou</t>
  </si>
  <si>
    <t>13. Nannonrou</t>
  </si>
  <si>
    <t>14. Sonna</t>
  </si>
  <si>
    <t>15. Sui -Gourou</t>
  </si>
  <si>
    <t>16. Tandou</t>
  </si>
  <si>
    <t>17. Tangué</t>
  </si>
  <si>
    <t>18. Tourou-Souanré</t>
  </si>
  <si>
    <t>19. Warankpérou</t>
  </si>
  <si>
    <t>20. Winra</t>
  </si>
  <si>
    <t>21. Yèroumarou</t>
  </si>
  <si>
    <t>SANSON</t>
  </si>
  <si>
    <t>1. Amadou-Kpara</t>
  </si>
  <si>
    <t>2. Barérou</t>
  </si>
  <si>
    <t>3. Gbétébou</t>
  </si>
  <si>
    <t>4. Gombouerou</t>
  </si>
  <si>
    <t>5. Kaya</t>
  </si>
  <si>
    <t>6. Kpassatona</t>
  </si>
  <si>
    <t>7. Sanson</t>
  </si>
  <si>
    <t>8. Sébou</t>
  </si>
  <si>
    <t>9. Téou-Kpara</t>
  </si>
  <si>
    <t>10. Toko- Bio</t>
  </si>
  <si>
    <t>TCHATCHOU</t>
  </si>
  <si>
    <t>1. Atira-Kparou</t>
  </si>
  <si>
    <t>2. Badékparou</t>
  </si>
  <si>
    <t>3. Boukousséra</t>
  </si>
  <si>
    <t>4. Gararou</t>
  </si>
  <si>
    <t>5. Gbékpanin</t>
  </si>
  <si>
    <t>6. Gokanna</t>
  </si>
  <si>
    <t>7. Goussouambou</t>
  </si>
  <si>
    <t>8. Kinnou-Kparou</t>
  </si>
  <si>
    <t>9. Kontoubarou</t>
  </si>
  <si>
    <t>10. Koubou</t>
  </si>
  <si>
    <t>11. Sakana- Kpéba</t>
  </si>
  <si>
    <t>12. Soumon-Gah</t>
  </si>
  <si>
    <t>13. Tchatchou</t>
  </si>
  <si>
    <t>14. Tékparou</t>
  </si>
  <si>
    <t>15. Toukossari</t>
  </si>
  <si>
    <t>16. Woria</t>
  </si>
  <si>
    <t>1. Akoundanmon</t>
  </si>
  <si>
    <t>2. Boronin</t>
  </si>
  <si>
    <t>3. Borori</t>
  </si>
  <si>
    <t>4. Dagbara-Gourou</t>
  </si>
  <si>
    <t>5. Gah-Kpénou</t>
  </si>
  <si>
    <t>6. Gango</t>
  </si>
  <si>
    <t>7. Gbéyèkèrou</t>
  </si>
  <si>
    <t>8. Guinirou</t>
  </si>
  <si>
    <t>9. Kassouala</t>
  </si>
  <si>
    <t>10. Kèra</t>
  </si>
  <si>
    <t>11. Kpakpanin</t>
  </si>
  <si>
    <t>12. Lafia-Bido</t>
  </si>
  <si>
    <t>13. Owodé</t>
  </si>
  <si>
    <t>14. Tchalla</t>
  </si>
  <si>
    <t>15. Tchaourou</t>
  </si>
  <si>
    <t>16. Tchaourou-Gobi-Alédji</t>
  </si>
  <si>
    <t>17. Tchaourou-Issalè</t>
  </si>
  <si>
    <t>18. Worogui-Goura</t>
  </si>
  <si>
    <t>19. Yambouan</t>
  </si>
  <si>
    <t>COLLINES</t>
  </si>
  <si>
    <t>BANTE</t>
  </si>
  <si>
    <t>AGOUA</t>
  </si>
  <si>
    <t>1. Cloubou</t>
  </si>
  <si>
    <t>2. Kadjogbé</t>
  </si>
  <si>
    <t>3. N’Tchoché</t>
  </si>
  <si>
    <t>4. N’Tchon</t>
  </si>
  <si>
    <t>AKPASSI</t>
  </si>
  <si>
    <t>1. Banon</t>
  </si>
  <si>
    <t>2. Illagbo</t>
  </si>
  <si>
    <t>3. Illaré</t>
  </si>
  <si>
    <t>4. Okoto</t>
  </si>
  <si>
    <t>ATOKOLIBE</t>
  </si>
  <si>
    <t>1. Agbon</t>
  </si>
  <si>
    <t>2. Aloba</t>
  </si>
  <si>
    <t>3. Atokolibé</t>
  </si>
  <si>
    <t>4. Malomi</t>
  </si>
  <si>
    <t>5. Odjogbilè</t>
  </si>
  <si>
    <t>6. Oguédé</t>
  </si>
  <si>
    <t>7. Okouta-Oro</t>
  </si>
  <si>
    <t>1. Adjantè</t>
  </si>
  <si>
    <t>2. Basson</t>
  </si>
  <si>
    <t>3. Gbégamey</t>
  </si>
  <si>
    <t>4. Illélakoun</t>
  </si>
  <si>
    <t>BOBE</t>
  </si>
  <si>
    <t>1. Assaba</t>
  </si>
  <si>
    <t>2. Bobè</t>
  </si>
  <si>
    <t>3. Djagballo</t>
  </si>
  <si>
    <t>4. Fomon</t>
  </si>
  <si>
    <t>5. Soula</t>
  </si>
  <si>
    <t>GOUKA</t>
  </si>
  <si>
    <t>1. Galata</t>
  </si>
  <si>
    <t>2. Galata-Igberi</t>
  </si>
  <si>
    <t>3. Gbèdjè</t>
  </si>
  <si>
    <t>4. Gouka</t>
  </si>
  <si>
    <t>5. Kafégnigbé</t>
  </si>
  <si>
    <t>6. Kamala-Idjou</t>
  </si>
  <si>
    <t>7. Mamatchoké</t>
  </si>
  <si>
    <t>8. Mayamon</t>
  </si>
  <si>
    <t>9. Montèwo- Atakè- Agbado</t>
  </si>
  <si>
    <t>10. Sako</t>
  </si>
  <si>
    <t>11. Zongo</t>
  </si>
  <si>
    <t>LOUGBA</t>
  </si>
  <si>
    <t>1. Agongni</t>
  </si>
  <si>
    <t>2. Alétan</t>
  </si>
  <si>
    <t>3. Gotcha</t>
  </si>
  <si>
    <t>4. Kotakpa</t>
  </si>
  <si>
    <t>KOKO</t>
  </si>
  <si>
    <t>1. Akpaka</t>
  </si>
  <si>
    <t>2. Issalè</t>
  </si>
  <si>
    <t>3. Itchocobo</t>
  </si>
  <si>
    <t>PIRA</t>
  </si>
  <si>
    <t>1. Adjigo</t>
  </si>
  <si>
    <t>2. Ayigbo-Koto</t>
  </si>
  <si>
    <t>3. Djèro</t>
  </si>
  <si>
    <t>4. Ela-Meta</t>
  </si>
  <si>
    <t>5. Idi-Ogou</t>
  </si>
  <si>
    <t>6. Oké-kagourè</t>
  </si>
  <si>
    <t>7. Okouta-Ossé</t>
  </si>
  <si>
    <t>DASSA-ZOUME</t>
  </si>
  <si>
    <t>AKOFFODJOULE</t>
  </si>
  <si>
    <t>1. Agondokpo</t>
  </si>
  <si>
    <t>2. Akoffodjoulé</t>
  </si>
  <si>
    <t>3. Attinkpayé</t>
  </si>
  <si>
    <t>4. Banigbé</t>
  </si>
  <si>
    <t>5. Bêtêcoucou</t>
  </si>
  <si>
    <t>6. Holli-Gamba-Itchèdoun</t>
  </si>
  <si>
    <t>7. N’gbèga</t>
  </si>
  <si>
    <t>DASSA I</t>
  </si>
  <si>
    <t>1. Agbégbé</t>
  </si>
  <si>
    <t>2. Amangassa</t>
  </si>
  <si>
    <t>3. Arigbokoto</t>
  </si>
  <si>
    <t>4. Essèbrè</t>
  </si>
  <si>
    <t>5. Essèkpa</t>
  </si>
  <si>
    <t>6. Latin</t>
  </si>
  <si>
    <t>7. Yara</t>
  </si>
  <si>
    <t>8. Zongo</t>
  </si>
  <si>
    <t>DASSA II</t>
  </si>
  <si>
    <t>1. Akpari-Arobassa</t>
  </si>
  <si>
    <t>2. Ayédèro</t>
  </si>
  <si>
    <t>3. Ayétou</t>
  </si>
  <si>
    <t>4. Bêtou</t>
  </si>
  <si>
    <t>5. Essèkpré</t>
  </si>
  <si>
    <t>6. Idaho</t>
  </si>
  <si>
    <t>7. Iloulé</t>
  </si>
  <si>
    <t>8. Issalou</t>
  </si>
  <si>
    <t>9. Kpékouté</t>
  </si>
  <si>
    <t>10. Mahou</t>
  </si>
  <si>
    <t>11. Modji-Gangan</t>
  </si>
  <si>
    <t>12. Moudja</t>
  </si>
  <si>
    <t>13. Moumoudji</t>
  </si>
  <si>
    <t>GBAFFO</t>
  </si>
  <si>
    <t>1. Awaya</t>
  </si>
  <si>
    <t>2. Dovi-Some</t>
  </si>
  <si>
    <t>3. Gbaffo</t>
  </si>
  <si>
    <t>4. Gnonkpingnon</t>
  </si>
  <si>
    <t>LEMA</t>
  </si>
  <si>
    <t>1. Agbagoulè</t>
  </si>
  <si>
    <t>2. Erokoya</t>
  </si>
  <si>
    <t>3. Kpakpa</t>
  </si>
  <si>
    <t>4. Lèma</t>
  </si>
  <si>
    <t>KERE</t>
  </si>
  <si>
    <t>1. Ataké</t>
  </si>
  <si>
    <t>2. Erokowari</t>
  </si>
  <si>
    <t>3. Godogossou</t>
  </si>
  <si>
    <t>4. Igoho</t>
  </si>
  <si>
    <t>5. Itagui</t>
  </si>
  <si>
    <t>6. Kèrè</t>
  </si>
  <si>
    <t>7. Kpakpada-Agbakossaré</t>
  </si>
  <si>
    <t>8. Odo-Otchèrè</t>
  </si>
  <si>
    <t>9. Okéméré</t>
  </si>
  <si>
    <t>10. Tangbé</t>
  </si>
  <si>
    <t>11. Tini-Kodjatchan</t>
  </si>
  <si>
    <t>KPINGNI</t>
  </si>
  <si>
    <t>1. Adihinlidji</t>
  </si>
  <si>
    <t>2. Bakèma</t>
  </si>
  <si>
    <t>3. Fita</t>
  </si>
  <si>
    <t>4. Kpingni</t>
  </si>
  <si>
    <t>5. Togon</t>
  </si>
  <si>
    <t>6. Vèdji</t>
  </si>
  <si>
    <t>7. Zougoudo</t>
  </si>
  <si>
    <t>PAOUINGNAN</t>
  </si>
  <si>
    <t>1. Agbogbomè</t>
  </si>
  <si>
    <t>2. Agnanmè</t>
  </si>
  <si>
    <t>3. Assiyo</t>
  </si>
  <si>
    <t>5. Gbédavo</t>
  </si>
  <si>
    <t>6. Gbowêlè</t>
  </si>
  <si>
    <t>7. Goussoé</t>
  </si>
  <si>
    <t>8. Hasséou</t>
  </si>
  <si>
    <t>9. Hounkpogon</t>
  </si>
  <si>
    <t>11. Lissa</t>
  </si>
  <si>
    <t>12. Lokossa</t>
  </si>
  <si>
    <t>13. Lotogo</t>
  </si>
  <si>
    <t>14. Manonfi</t>
  </si>
  <si>
    <t>15. Ouémé</t>
  </si>
  <si>
    <t>16. Ouissi</t>
  </si>
  <si>
    <t>17. Sovogo</t>
  </si>
  <si>
    <t>18. Vidjinatoun</t>
  </si>
  <si>
    <t>19. Zotèdji</t>
  </si>
  <si>
    <t>20. Zouto</t>
  </si>
  <si>
    <t>SOCLOGBO</t>
  </si>
  <si>
    <t>1. Agao</t>
  </si>
  <si>
    <t>2. Agbondjèdo</t>
  </si>
  <si>
    <t>3. Akoba</t>
  </si>
  <si>
    <t>4. Djigbé</t>
  </si>
  <si>
    <t>5. Dogbo</t>
  </si>
  <si>
    <t>6. Gbonou</t>
  </si>
  <si>
    <t>7. Lamanou</t>
  </si>
  <si>
    <t>8. Miniffi</t>
  </si>
  <si>
    <t>9. Sourhèdji-Okpè Olouwa</t>
  </si>
  <si>
    <t>10. Tchaounka</t>
  </si>
  <si>
    <t>TRE</t>
  </si>
  <si>
    <t>1. Adjalè</t>
  </si>
  <si>
    <t>2. Adjokan</t>
  </si>
  <si>
    <t>3. Gankpètin</t>
  </si>
  <si>
    <t>4. Itchégou</t>
  </si>
  <si>
    <t>5. Itchogué-sotré</t>
  </si>
  <si>
    <t>6. Kpékpédè</t>
  </si>
  <si>
    <t>7. Lèma</t>
  </si>
  <si>
    <t>8. Sèmè</t>
  </si>
  <si>
    <t>9. Tchamissi-Laguêma-Atakéagbassa</t>
  </si>
  <si>
    <t>SAVALOU</t>
  </si>
  <si>
    <t>SAVALOU-AGA</t>
  </si>
  <si>
    <t>1. Dagadoho</t>
  </si>
  <si>
    <t>2. Djantadoho</t>
  </si>
  <si>
    <t>3. Djimè</t>
  </si>
  <si>
    <t>4. Dodomey</t>
  </si>
  <si>
    <t>5. Honnoukon</t>
  </si>
  <si>
    <t>6. Kpakpassa</t>
  </si>
  <si>
    <t>7. Lowo</t>
  </si>
  <si>
    <t>8. Missè</t>
  </si>
  <si>
    <t>9. Sohèdji</t>
  </si>
  <si>
    <t>10. Zoundji</t>
  </si>
  <si>
    <t>SAVALOU-AGBADO</t>
  </si>
  <si>
    <t>1. Ahossèdo</t>
  </si>
  <si>
    <t>2. Dozoundji</t>
  </si>
  <si>
    <t>3. Gbaffo Dogoudo</t>
  </si>
  <si>
    <t>4. Gbaffo Houégbo</t>
  </si>
  <si>
    <t>5. Makinnou</t>
  </si>
  <si>
    <t>6. Zongo</t>
  </si>
  <si>
    <t>7. Zouzonkanmè</t>
  </si>
  <si>
    <t>SAVALOU-ATTAKE</t>
  </si>
  <si>
    <t>1. Azonkangoudo</t>
  </si>
  <si>
    <t>2. Covèdji</t>
  </si>
  <si>
    <t>3. Doïssa Honnoukon</t>
  </si>
  <si>
    <t>4. Doïssa Sokpa</t>
  </si>
  <si>
    <t>5. Logbo</t>
  </si>
  <si>
    <t>6. Moussoungo</t>
  </si>
  <si>
    <t>7. N’gbèhan</t>
  </si>
  <si>
    <t>DJALLOUKOU</t>
  </si>
  <si>
    <t>1. Attakplakanmè</t>
  </si>
  <si>
    <t>2. Djalloukou</t>
  </si>
  <si>
    <t>3. Djallouma</t>
  </si>
  <si>
    <t>4. Gbaglodji</t>
  </si>
  <si>
    <t>5. Konkondji</t>
  </si>
  <si>
    <t>6. Monfio</t>
  </si>
  <si>
    <t>7. Zoukpa</t>
  </si>
  <si>
    <t>DOUME</t>
  </si>
  <si>
    <t>1. Aballa</t>
  </si>
  <si>
    <t>2. Abèokouta</t>
  </si>
  <si>
    <t>3. Adjégounlè</t>
  </si>
  <si>
    <t>4. Affé Zongo</t>
  </si>
  <si>
    <t>5. Amou</t>
  </si>
  <si>
    <t>6. Amou Sakaou</t>
  </si>
  <si>
    <t>7. Aroundé</t>
  </si>
  <si>
    <t>8. Bèbiani</t>
  </si>
  <si>
    <t>9. Coffé Agballa</t>
  </si>
  <si>
    <t>10. Doumè Lakoun</t>
  </si>
  <si>
    <t>11. Ekpa</t>
  </si>
  <si>
    <t>12. Felma</t>
  </si>
  <si>
    <t>13. Idjou</t>
  </si>
  <si>
    <t>14. Iroukou</t>
  </si>
  <si>
    <t>15. Kannahoun</t>
  </si>
  <si>
    <t>16. Kpékpélou</t>
  </si>
  <si>
    <t>17. Lèkpa</t>
  </si>
  <si>
    <t>18. Olouwakèmi</t>
  </si>
  <si>
    <t>GOBADA</t>
  </si>
  <si>
    <t>1. Abiadji-Sogoudo</t>
  </si>
  <si>
    <t>2. Gobada</t>
  </si>
  <si>
    <t>3. Govi</t>
  </si>
  <si>
    <t>4. Lama</t>
  </si>
  <si>
    <t>5. Lékè</t>
  </si>
  <si>
    <t>6. Zadowin</t>
  </si>
  <si>
    <t>7. Zankpé-Houéssinhoué</t>
  </si>
  <si>
    <t>KPATABA</t>
  </si>
  <si>
    <t>1. Codji</t>
  </si>
  <si>
    <t>2. Ekpa</t>
  </si>
  <si>
    <t>3. Koutago</t>
  </si>
  <si>
    <t>4. Lozin</t>
  </si>
  <si>
    <t>5. Mèdétèkpo</t>
  </si>
  <si>
    <t>6. Miniki</t>
  </si>
  <si>
    <t>7. Mondji</t>
  </si>
  <si>
    <t>8. N’Dasso</t>
  </si>
  <si>
    <t>LAHOTAN</t>
  </si>
  <si>
    <t>1. Agbomadin</t>
  </si>
  <si>
    <t>2. Ahito</t>
  </si>
  <si>
    <t>3. Awiankanmè</t>
  </si>
  <si>
    <t>4. Damè</t>
  </si>
  <si>
    <t>5. Kpakpavissa</t>
  </si>
  <si>
    <t>6. Sègbèya</t>
  </si>
  <si>
    <t>7. Zomakidji</t>
  </si>
  <si>
    <t>1. Kitikpli</t>
  </si>
  <si>
    <t>2. Kokoro</t>
  </si>
  <si>
    <t>3. Léma</t>
  </si>
  <si>
    <t>4. Okouffo</t>
  </si>
  <si>
    <t>5. Zongo</t>
  </si>
  <si>
    <t>LOGOZOHE</t>
  </si>
  <si>
    <t>1. Bamè</t>
  </si>
  <si>
    <t>2. Honnoukon</t>
  </si>
  <si>
    <t>3. Klougo</t>
  </si>
  <si>
    <t>4. Loukintowin</t>
  </si>
  <si>
    <t>5. Naoudji</t>
  </si>
  <si>
    <t>6. Sègui</t>
  </si>
  <si>
    <t>7. Sozoumè</t>
  </si>
  <si>
    <t>MONKPA</t>
  </si>
  <si>
    <t>1. Agah</t>
  </si>
  <si>
    <t>2. Anigbé</t>
  </si>
  <si>
    <t>3. Dodomey</t>
  </si>
  <si>
    <t>4. Walla</t>
  </si>
  <si>
    <t>OUESSE</t>
  </si>
  <si>
    <t>1. Agbodranfo</t>
  </si>
  <si>
    <t>2. Aglamidjodji</t>
  </si>
  <si>
    <t>3. Agonmey</t>
  </si>
  <si>
    <t>4. Akété</t>
  </si>
  <si>
    <t>5. Lowozoungo</t>
  </si>
  <si>
    <t>6. Ouèssè</t>
  </si>
  <si>
    <t>7. Tchogodo</t>
  </si>
  <si>
    <t>OTTOLA</t>
  </si>
  <si>
    <t>1. Akpaki</t>
  </si>
  <si>
    <t>2. Allè</t>
  </si>
  <si>
    <t>3. Alloudi-Gourè</t>
  </si>
  <si>
    <t>4. Igbéri</t>
  </si>
  <si>
    <t>5. Issalè</t>
  </si>
  <si>
    <t>6. Kadjotché</t>
  </si>
  <si>
    <t>7. Kaman</t>
  </si>
  <si>
    <t>8. Zongo-Albarika</t>
  </si>
  <si>
    <t>TCHETTI</t>
  </si>
  <si>
    <t>1. Adjoya</t>
  </si>
  <si>
    <t>2. Djabigon</t>
  </si>
  <si>
    <t>3. Igbéri</t>
  </si>
  <si>
    <t>4. Koffodoua</t>
  </si>
  <si>
    <t>5. Obicro</t>
  </si>
  <si>
    <t>6. Odo-Agbon</t>
  </si>
  <si>
    <t>7. Ottélé</t>
  </si>
  <si>
    <t>8. Tchetti</t>
  </si>
  <si>
    <t>GLAZOUE</t>
  </si>
  <si>
    <t>AKLAMPA</t>
  </si>
  <si>
    <t>1. Affizoungo</t>
  </si>
  <si>
    <t>2. Affizoungo-Kpota</t>
  </si>
  <si>
    <t>3. Agbagbadji</t>
  </si>
  <si>
    <t>4. Allawénonsa</t>
  </si>
  <si>
    <t>5. Allawénonsa-Tchaha</t>
  </si>
  <si>
    <t>6. Amanhoungavissa</t>
  </si>
  <si>
    <t>7. Antadji</t>
  </si>
  <si>
    <t>8. Djanmandji</t>
  </si>
  <si>
    <t>9. Lagbo</t>
  </si>
  <si>
    <t>10. Sowiandji</t>
  </si>
  <si>
    <t>ASSANTE</t>
  </si>
  <si>
    <t>1. Assanté</t>
  </si>
  <si>
    <t>2. Gbanlin</t>
  </si>
  <si>
    <t>3. Gbanlin-fifadji</t>
  </si>
  <si>
    <t>4. Houin</t>
  </si>
  <si>
    <t>5. Houin-Sègbèya</t>
  </si>
  <si>
    <t>1. Affécia</t>
  </si>
  <si>
    <t>3. Houndjro Kpogandji</t>
  </si>
  <si>
    <t>4. Ogoudako</t>
  </si>
  <si>
    <t>5. Orokoto</t>
  </si>
  <si>
    <t>6. Yémanlin</t>
  </si>
  <si>
    <t>7. Yévèdo</t>
  </si>
  <si>
    <t>GOME</t>
  </si>
  <si>
    <t>1. Gomé</t>
  </si>
  <si>
    <t>2. Haya</t>
  </si>
  <si>
    <t>3. Ifada-Zounguè</t>
  </si>
  <si>
    <t>4. Tankossi</t>
  </si>
  <si>
    <t>5. Tchatchégou</t>
  </si>
  <si>
    <t>KPAKPAZA</t>
  </si>
  <si>
    <t>1. Atogbo</t>
  </si>
  <si>
    <t>2. Kpakpaza</t>
  </si>
  <si>
    <t>3. Sowé</t>
  </si>
  <si>
    <t>4. Sowé-Ikpakpada</t>
  </si>
  <si>
    <t>5. Yawa</t>
  </si>
  <si>
    <t>MAGOUMI</t>
  </si>
  <si>
    <t>1. Aïdjesso</t>
  </si>
  <si>
    <t>2. Boubou</t>
  </si>
  <si>
    <t>3. Haï</t>
  </si>
  <si>
    <t>4. Houala</t>
  </si>
  <si>
    <t>5. Monso</t>
  </si>
  <si>
    <t>6. Oguirin</t>
  </si>
  <si>
    <t>OUEDEME</t>
  </si>
  <si>
    <t>1. Atéguédji</t>
  </si>
  <si>
    <t>2. Déhoudoho</t>
  </si>
  <si>
    <t>3. Goto</t>
  </si>
  <si>
    <t>4. Kpota</t>
  </si>
  <si>
    <t>5. Ouèdèmè Centre</t>
  </si>
  <si>
    <t>6. Yagbo</t>
  </si>
  <si>
    <t>SOKPONTA</t>
  </si>
  <si>
    <t>1. Akouègba</t>
  </si>
  <si>
    <t>2. Camaté</t>
  </si>
  <si>
    <t>3. Oké-Okounou</t>
  </si>
  <si>
    <t>4. Sokponta Centre</t>
  </si>
  <si>
    <t>5. Tchakaloké</t>
  </si>
  <si>
    <t>THIO</t>
  </si>
  <si>
    <t>1. Abéssouhoué</t>
  </si>
  <si>
    <t>2. Agouagon</t>
  </si>
  <si>
    <t>3. Agouagon-Gnonnougbo</t>
  </si>
  <si>
    <t>4. Akomyan</t>
  </si>
  <si>
    <t>5. Assromihoué</t>
  </si>
  <si>
    <t>6. Béthel</t>
  </si>
  <si>
    <t>7. Dokoundji</t>
  </si>
  <si>
    <t>8. Hlassoé</t>
  </si>
  <si>
    <t>9. Hoco</t>
  </si>
  <si>
    <t>10. Kpassali</t>
  </si>
  <si>
    <t>11. Riffo</t>
  </si>
  <si>
    <t>ZAFFE</t>
  </si>
  <si>
    <t>1. Adourékoman</t>
  </si>
  <si>
    <t>2. Egbessi</t>
  </si>
  <si>
    <t>3. Kabolé</t>
  </si>
  <si>
    <t>4. Kpakpazounmè</t>
  </si>
  <si>
    <t>5. Madengbé</t>
  </si>
  <si>
    <t>6. Okéo</t>
  </si>
  <si>
    <t>7. Zaffé Centre</t>
  </si>
  <si>
    <t>CHALLA-OGOÏ</t>
  </si>
  <si>
    <t>1. Agboro-Idouya</t>
  </si>
  <si>
    <t>2. Agboro-Kombon</t>
  </si>
  <si>
    <t>3. Ansêkê</t>
  </si>
  <si>
    <t>4. Botti-Houégbo</t>
  </si>
  <si>
    <t>5. Challa-Ogoï Alougbèdè</t>
  </si>
  <si>
    <t>6. Challa-Ogoï Guêdon</t>
  </si>
  <si>
    <t>7. Gbédé</t>
  </si>
  <si>
    <t>8. Kokoro Awoyo</t>
  </si>
  <si>
    <t>9. Kokoro Centre</t>
  </si>
  <si>
    <t>DJEGBE</t>
  </si>
  <si>
    <t>1. Djègbé-Lokossa</t>
  </si>
  <si>
    <t>2. Djègbé-Odjaha</t>
  </si>
  <si>
    <t>3. Ohoula</t>
  </si>
  <si>
    <t>4. Vodjè</t>
  </si>
  <si>
    <t>GBANLIN</t>
  </si>
  <si>
    <t>1. Azraou</t>
  </si>
  <si>
    <t>3. Gbanlin-Aïzon</t>
  </si>
  <si>
    <t>4. Idadjo</t>
  </si>
  <si>
    <t>5. Tosso</t>
  </si>
  <si>
    <t>6. Vossa</t>
  </si>
  <si>
    <t>7. Wokpa</t>
  </si>
  <si>
    <t>IKEMON</t>
  </si>
  <si>
    <t>1. Akpéro</t>
  </si>
  <si>
    <t>3. Ikèmon-Ewonda</t>
  </si>
  <si>
    <t>4. Ikèmon-Ewontoutou</t>
  </si>
  <si>
    <t>5. Ogbê</t>
  </si>
  <si>
    <t>KILIBO</t>
  </si>
  <si>
    <t>1. Affèssomou</t>
  </si>
  <si>
    <t>2. Kilibo-Adjougou</t>
  </si>
  <si>
    <t>3. Kilibo-Gare</t>
  </si>
  <si>
    <t>4. Kilibo-Olata</t>
  </si>
  <si>
    <t>5. Olouni-N’gbé</t>
  </si>
  <si>
    <t>6. Owolafè</t>
  </si>
  <si>
    <t>7. Suru-Léré</t>
  </si>
  <si>
    <t>8. Yaoui</t>
  </si>
  <si>
    <t>LAMINOU</t>
  </si>
  <si>
    <t>1. Attannondoho</t>
  </si>
  <si>
    <t>2. Botti</t>
  </si>
  <si>
    <t>3. Gbémè</t>
  </si>
  <si>
    <t>4. Kpassa</t>
  </si>
  <si>
    <t>5. Laminou</t>
  </si>
  <si>
    <t>6. Laminou -Aïdjèdo</t>
  </si>
  <si>
    <t>7. Wodji</t>
  </si>
  <si>
    <t>ODOUGBA</t>
  </si>
  <si>
    <t>1. Dokoundoho</t>
  </si>
  <si>
    <t>2. Evaï-Gbaffo</t>
  </si>
  <si>
    <t>3. N’gbèhouédo</t>
  </si>
  <si>
    <t>4. N’gbéhouédo-Routo</t>
  </si>
  <si>
    <t>5. Odougba</t>
  </si>
  <si>
    <t>6. Tchédjannangnon</t>
  </si>
  <si>
    <t>7. Zogba-Trékou</t>
  </si>
  <si>
    <t>1. Adougou</t>
  </si>
  <si>
    <t>2. Adougou-Agah</t>
  </si>
  <si>
    <t>3. Attata</t>
  </si>
  <si>
    <t>4. Lakoko</t>
  </si>
  <si>
    <t>5. Ouèssè Centre</t>
  </si>
  <si>
    <t>6. Ouèssè-Aïzon</t>
  </si>
  <si>
    <t>7. Zogba-Gaou</t>
  </si>
  <si>
    <t>TOUI</t>
  </si>
  <si>
    <t>1. Ayédèro</t>
  </si>
  <si>
    <t>2. Ayétoro</t>
  </si>
  <si>
    <t>3. Malété</t>
  </si>
  <si>
    <t>4. Odo-Akaba</t>
  </si>
  <si>
    <t>5. Ogoutèdo</t>
  </si>
  <si>
    <t>6. Toui-Gare</t>
  </si>
  <si>
    <t>7. Toui-Odélakou</t>
  </si>
  <si>
    <t>8. Toui-Odjoulè</t>
  </si>
  <si>
    <t>9. Toui-PK</t>
  </si>
  <si>
    <t>SAVE</t>
  </si>
  <si>
    <t>ADIDO</t>
  </si>
  <si>
    <t>1. Agbaboué</t>
  </si>
  <si>
    <t>2. Atti</t>
  </si>
  <si>
    <t>3. Djaloumon</t>
  </si>
  <si>
    <t>4. Igboè</t>
  </si>
  <si>
    <t>5. Issalè Otin</t>
  </si>
  <si>
    <t>6. Kingoun</t>
  </si>
  <si>
    <t>7. Tchoui</t>
  </si>
  <si>
    <t>BESSE</t>
  </si>
  <si>
    <t>1. Bessé Owodé</t>
  </si>
  <si>
    <t>2. Djabata</t>
  </si>
  <si>
    <t>3. Igbodja</t>
  </si>
  <si>
    <t>4. Kadjogbé</t>
  </si>
  <si>
    <t>5. Okpa</t>
  </si>
  <si>
    <t>BONI</t>
  </si>
  <si>
    <t>1. Adjégoulè</t>
  </si>
  <si>
    <t>2. Agbadjo</t>
  </si>
  <si>
    <t>3. Agbaïgodo</t>
  </si>
  <si>
    <t>4. Awo Sériki</t>
  </si>
  <si>
    <t>5. Djangbé</t>
  </si>
  <si>
    <t>6. Kilibo-Ogbo</t>
  </si>
  <si>
    <t>7. Madina</t>
  </si>
  <si>
    <t>8. Tchougbé</t>
  </si>
  <si>
    <t>KABOUA</t>
  </si>
  <si>
    <t>1. Alafia</t>
  </si>
  <si>
    <t>2. Atèssè</t>
  </si>
  <si>
    <t>3. Baako</t>
  </si>
  <si>
    <t>4. Babaguidaï</t>
  </si>
  <si>
    <t>5. Gah Akéékéé</t>
  </si>
  <si>
    <t>6. Gogoro</t>
  </si>
  <si>
    <t>7. Montèwo</t>
  </si>
  <si>
    <t>8. Oké Olou -Ossin</t>
  </si>
  <si>
    <t>9. Oké Olou-Otin</t>
  </si>
  <si>
    <t>10. Okounfo</t>
  </si>
  <si>
    <t>11. Tchayagbangba</t>
  </si>
  <si>
    <t>OKPARA</t>
  </si>
  <si>
    <t>1. Akon</t>
  </si>
  <si>
    <t>2. Gbéré</t>
  </si>
  <si>
    <t>3. Monka</t>
  </si>
  <si>
    <t>4. Oké Owo</t>
  </si>
  <si>
    <t>5. Oké Owo-Aga</t>
  </si>
  <si>
    <t>6. Sandéhou</t>
  </si>
  <si>
    <t>PLATEAU</t>
  </si>
  <si>
    <t>1. Boubouhou</t>
  </si>
  <si>
    <t>2. Dakpa</t>
  </si>
  <si>
    <t>3. Dépôt Centre</t>
  </si>
  <si>
    <t>4. Fatchodjonin</t>
  </si>
  <si>
    <t>5. Kpabaï</t>
  </si>
  <si>
    <t>6. Savè-Nouveau</t>
  </si>
  <si>
    <t>7. Zongo</t>
  </si>
  <si>
    <t>SAKIN</t>
  </si>
  <si>
    <t>1. Banigbé</t>
  </si>
  <si>
    <t>2. Diho-Agbongui</t>
  </si>
  <si>
    <t>3. Diho-Ogbo</t>
  </si>
  <si>
    <t>4. Iwéé</t>
  </si>
  <si>
    <t>5. Kadjola</t>
  </si>
  <si>
    <t>6. Ouoghi-Centre</t>
  </si>
  <si>
    <t>7. Ouoghi-Gare</t>
  </si>
  <si>
    <t>8. Ouoghi-Titon</t>
  </si>
  <si>
    <t>9. Tchintchin</t>
  </si>
  <si>
    <t>OFFE</t>
  </si>
  <si>
    <t>1. Atchakpa</t>
  </si>
  <si>
    <t>2. Atchakpa-Kpingni</t>
  </si>
  <si>
    <t>3. Ayédjoko</t>
  </si>
  <si>
    <t>4. Dani</t>
  </si>
  <si>
    <t>5. Eétou</t>
  </si>
  <si>
    <t>6. Etiofè</t>
  </si>
  <si>
    <t>7. Gobé</t>
  </si>
  <si>
    <t>COUFFO</t>
  </si>
  <si>
    <t>APLAHOUE</t>
  </si>
  <si>
    <t>1. Aflantan</t>
  </si>
  <si>
    <t>2. Aplahoué</t>
  </si>
  <si>
    <t>3. Avégodo</t>
  </si>
  <si>
    <t>4. Azondogahoué</t>
  </si>
  <si>
    <t>5. Bossouhoué</t>
  </si>
  <si>
    <t>6. Dannouhoué</t>
  </si>
  <si>
    <t>7. Dhossouhoué</t>
  </si>
  <si>
    <t>8. Djikpamè</t>
  </si>
  <si>
    <t>9. Gbezé</t>
  </si>
  <si>
    <t>10. Hêvi-Sènouhoué</t>
  </si>
  <si>
    <t>11. Hounsahoué</t>
  </si>
  <si>
    <t>12. Kaïtémey</t>
  </si>
  <si>
    <t>13. Kpodji</t>
  </si>
  <si>
    <t>14. Lokogba</t>
  </si>
  <si>
    <t>15. Tchiglihoué</t>
  </si>
  <si>
    <t>16. Zohoudji</t>
  </si>
  <si>
    <t>ATOMEY</t>
  </si>
  <si>
    <t>1. Agbotavou</t>
  </si>
  <si>
    <t>2. Agnamey</t>
  </si>
  <si>
    <t>3. Agodogoui</t>
  </si>
  <si>
    <t>4. Atomey-Avéganmey</t>
  </si>
  <si>
    <t>5. Bavou</t>
  </si>
  <si>
    <t>6. Couffokpa</t>
  </si>
  <si>
    <t>7. Datcha</t>
  </si>
  <si>
    <t>8. Dousso</t>
  </si>
  <si>
    <t>9. Gougouta</t>
  </si>
  <si>
    <t>10. Hevi</t>
  </si>
  <si>
    <t>11. Hontonou</t>
  </si>
  <si>
    <t>12. Kpodji</t>
  </si>
  <si>
    <t>13. Lanhouetomey</t>
  </si>
  <si>
    <t>14. Sodjagohoué</t>
  </si>
  <si>
    <t>15. Vivimey</t>
  </si>
  <si>
    <t>16. Volly-Latadji</t>
  </si>
  <si>
    <t>AZOVE</t>
  </si>
  <si>
    <t>1. Avégodoui</t>
  </si>
  <si>
    <t>2. Avétuimey</t>
  </si>
  <si>
    <t>3. Azové centre</t>
  </si>
  <si>
    <t>4. Dékanmey</t>
  </si>
  <si>
    <t>5. Djimadohoué</t>
  </si>
  <si>
    <t>6. Ekinhoué</t>
  </si>
  <si>
    <t>7. Gblofoly</t>
  </si>
  <si>
    <t>8. Hessouhoué</t>
  </si>
  <si>
    <t>9. Kpakomey</t>
  </si>
  <si>
    <t>10. Ouchihoué</t>
  </si>
  <si>
    <t>11. Yehouémey</t>
  </si>
  <si>
    <t>DEKPO-CENTRE</t>
  </si>
  <si>
    <t>1. Adamè</t>
  </si>
  <si>
    <t>2. Adandéhoué</t>
  </si>
  <si>
    <t>3. Akémé</t>
  </si>
  <si>
    <t>4. Atto-Houé</t>
  </si>
  <si>
    <t>5. Bozinkpe</t>
  </si>
  <si>
    <t>6. Dékandji</t>
  </si>
  <si>
    <t>7. Dékpo-Centre</t>
  </si>
  <si>
    <t>8. Gbètohoué</t>
  </si>
  <si>
    <t>9. Gnonfihoué</t>
  </si>
  <si>
    <t>10. Hontonmey</t>
  </si>
  <si>
    <t>11. Koyohoué</t>
  </si>
  <si>
    <t>12. Lagbavé</t>
  </si>
  <si>
    <t>13. Sèhonouhoué</t>
  </si>
  <si>
    <t>14. Tchatéhoué</t>
  </si>
  <si>
    <t>GODOHOU</t>
  </si>
  <si>
    <t>1. Djowé</t>
  </si>
  <si>
    <t>2. Fandjigahoué</t>
  </si>
  <si>
    <t>3. Gadekohounhoué</t>
  </si>
  <si>
    <t>4. Godohou</t>
  </si>
  <si>
    <t>5. Hontoui</t>
  </si>
  <si>
    <t>6. Kogbétohoué</t>
  </si>
  <si>
    <t>7. Mahougbèhoué</t>
  </si>
  <si>
    <t>8. Sinlita</t>
  </si>
  <si>
    <t>9. Takpatchiomè</t>
  </si>
  <si>
    <t>10. Totchikémè</t>
  </si>
  <si>
    <t>11. Wakpé</t>
  </si>
  <si>
    <t>12. Zamè</t>
  </si>
  <si>
    <t>KISSAMEY</t>
  </si>
  <si>
    <t>1. Bogandji</t>
  </si>
  <si>
    <t>2. Dogohoué</t>
  </si>
  <si>
    <t>3. Edéhoué</t>
  </si>
  <si>
    <t>4. Gbakonou</t>
  </si>
  <si>
    <t>5. Havou</t>
  </si>
  <si>
    <t>6. Hedjinnawa</t>
  </si>
  <si>
    <t>7. Hélétoumey</t>
  </si>
  <si>
    <t>8. Houétan</t>
  </si>
  <si>
    <t>9. Houngbamey</t>
  </si>
  <si>
    <t>10. Kissamey</t>
  </si>
  <si>
    <t>11. Koumakohoué</t>
  </si>
  <si>
    <t>12. Lokossouhoué</t>
  </si>
  <si>
    <t>13. Tannou</t>
  </si>
  <si>
    <t>14. Touvou</t>
  </si>
  <si>
    <t>LONKLY</t>
  </si>
  <si>
    <t>1. Aboloumè</t>
  </si>
  <si>
    <t>2. Agbannaté</t>
  </si>
  <si>
    <t>3. Badjamè</t>
  </si>
  <si>
    <t>4. Bayamè</t>
  </si>
  <si>
    <t>5. Donoumè</t>
  </si>
  <si>
    <t>6. Eglimè</t>
  </si>
  <si>
    <t>7. Hoky</t>
  </si>
  <si>
    <t>8. Kidji</t>
  </si>
  <si>
    <t>9. Lonkly</t>
  </si>
  <si>
    <t>DJAKOTOMEY</t>
  </si>
  <si>
    <t>ADJINTIMEY</t>
  </si>
  <si>
    <t>1. Agohoué-Balimey</t>
  </si>
  <si>
    <t>2. Doumahou</t>
  </si>
  <si>
    <t>3. Fannahinhoué</t>
  </si>
  <si>
    <t>4. Gbotohoué</t>
  </si>
  <si>
    <t>5. Hekpé</t>
  </si>
  <si>
    <t>6. Mahinouhoué</t>
  </si>
  <si>
    <t>7. Sebiohoué-Adjintimey</t>
  </si>
  <si>
    <t>BETOUMEY</t>
  </si>
  <si>
    <t>1. Ablomey</t>
  </si>
  <si>
    <t>2. Aïssanhoué</t>
  </si>
  <si>
    <t>3. Aïvohoué</t>
  </si>
  <si>
    <t>4. Betoumey Centre</t>
  </si>
  <si>
    <t>5. Bota</t>
  </si>
  <si>
    <t>6. Dogohoué</t>
  </si>
  <si>
    <t>7. Goméhouin</t>
  </si>
  <si>
    <t>8. Holou-Loko</t>
  </si>
  <si>
    <t>9. Houngbédjihoué</t>
  </si>
  <si>
    <t>10. Kpatohoué</t>
  </si>
  <si>
    <t>11. Tchanhoué</t>
  </si>
  <si>
    <t>12. Titongon</t>
  </si>
  <si>
    <t>13. Zohoudji</t>
  </si>
  <si>
    <t>DJAKOTOMEY I</t>
  </si>
  <si>
    <t>1. Djakotomey centre</t>
  </si>
  <si>
    <t>2. Danssouhoué</t>
  </si>
  <si>
    <t>3. Agbédranfo</t>
  </si>
  <si>
    <t>4. Améganhoué</t>
  </si>
  <si>
    <t>5. Atchouhoué</t>
  </si>
  <si>
    <t>6. Béotchi</t>
  </si>
  <si>
    <t>7. Hounhomey</t>
  </si>
  <si>
    <t>8. Gbognonhoué</t>
  </si>
  <si>
    <t>9. Sogbavihoué</t>
  </si>
  <si>
    <t>DJAKOTOMEY II</t>
  </si>
  <si>
    <t>1. Babohoué</t>
  </si>
  <si>
    <t>2. Gbognonhoué</t>
  </si>
  <si>
    <t>3. Golamey</t>
  </si>
  <si>
    <t>4. Houngbezanmè</t>
  </si>
  <si>
    <t>5. Kpayahoué</t>
  </si>
  <si>
    <t>6. Lokoui-Bedjamey</t>
  </si>
  <si>
    <t>7. Tohouéhoué</t>
  </si>
  <si>
    <t>GOHOMEY</t>
  </si>
  <si>
    <t>1. Démahouhoué</t>
  </si>
  <si>
    <t>2. Dowomey</t>
  </si>
  <si>
    <t>3. Godouhoué</t>
  </si>
  <si>
    <t>4. Gohomey Centre</t>
  </si>
  <si>
    <t>5. Hagoumey Centre</t>
  </si>
  <si>
    <t>6. Loko-Atoui</t>
  </si>
  <si>
    <t>7. Mouzoukpokpohoué</t>
  </si>
  <si>
    <t>HOUEGAMEY</t>
  </si>
  <si>
    <t>1. Danmakahoué</t>
  </si>
  <si>
    <t>2. Djonouhoué</t>
  </si>
  <si>
    <t>3. Edjihoué</t>
  </si>
  <si>
    <t>4. Gamè-Fodé</t>
  </si>
  <si>
    <t>5. Gamè-Houègbo</t>
  </si>
  <si>
    <t>6. Houégamey</t>
  </si>
  <si>
    <t>7. Houngba</t>
  </si>
  <si>
    <t>8. Kanvihoué</t>
  </si>
  <si>
    <t>9. Kpeladjamey</t>
  </si>
  <si>
    <t>10. Nouboudji</t>
  </si>
  <si>
    <t>11. Tédéhoué</t>
  </si>
  <si>
    <t>12. Wanou</t>
  </si>
  <si>
    <t>KINKINHOUE</t>
  </si>
  <si>
    <t>1. Dassouhoué</t>
  </si>
  <si>
    <t>2. Etonhoué</t>
  </si>
  <si>
    <t>3. Kessahouédji</t>
  </si>
  <si>
    <t>4. Kinkinhoué</t>
  </si>
  <si>
    <t>5. Segbèhoué</t>
  </si>
  <si>
    <t>6. Seglahoué</t>
  </si>
  <si>
    <t>KOKOHOUE</t>
  </si>
  <si>
    <t>1. Fogbadja centre</t>
  </si>
  <si>
    <t>2. Gbemahlouehoué</t>
  </si>
  <si>
    <t>3. Gboyouhoué</t>
  </si>
  <si>
    <t>4. Kansouhoué</t>
  </si>
  <si>
    <t>5. Kokohoué</t>
  </si>
  <si>
    <t>6. Migbowomey</t>
  </si>
  <si>
    <t>7. Sèmanouhoué</t>
  </si>
  <si>
    <t>KPOBA</t>
  </si>
  <si>
    <t>1. Bahoué</t>
  </si>
  <si>
    <t>2. Fantchoutchéhoué</t>
  </si>
  <si>
    <t>3. Kpoba</t>
  </si>
  <si>
    <t>4. Mekpohoué</t>
  </si>
  <si>
    <t>5. Nakidahohoué</t>
  </si>
  <si>
    <t>6. Zohoudji</t>
  </si>
  <si>
    <t>SOKOUHOUE</t>
  </si>
  <si>
    <t>1. Akodébakou</t>
  </si>
  <si>
    <t>2. Assogbahoué</t>
  </si>
  <si>
    <t>3. Avodjihoué</t>
  </si>
  <si>
    <t>4. Avonnouhoué</t>
  </si>
  <si>
    <t>5. Gbékéhoué</t>
  </si>
  <si>
    <t>6. Hounkémey</t>
  </si>
  <si>
    <t>7. Mededjihoué</t>
  </si>
  <si>
    <t>8. Sahou-Sohoué</t>
  </si>
  <si>
    <t>9. Sokouhoué</t>
  </si>
  <si>
    <t>10. Tokpohoué</t>
  </si>
  <si>
    <t>11. Zouzouvou</t>
  </si>
  <si>
    <t>KLOUEKANMEY</t>
  </si>
  <si>
    <t>ADJAHONME</t>
  </si>
  <si>
    <t>1. Adjahonmè</t>
  </si>
  <si>
    <t>2. Bétoumè</t>
  </si>
  <si>
    <t>3. Dayéhoué</t>
  </si>
  <si>
    <t>4. Edahoué</t>
  </si>
  <si>
    <t>5. Godohou</t>
  </si>
  <si>
    <t>6. Hohluimè</t>
  </si>
  <si>
    <t>7. Kpévidji</t>
  </si>
  <si>
    <t>8. Olouhoué</t>
  </si>
  <si>
    <t>9. Sawamè-Hossouhoué</t>
  </si>
  <si>
    <t>10. Tchanhouiwanwoui</t>
  </si>
  <si>
    <t>11. Tchokpohoué</t>
  </si>
  <si>
    <t>12. Toïmè</t>
  </si>
  <si>
    <t>AHOGBEYA</t>
  </si>
  <si>
    <t>1. Aglali</t>
  </si>
  <si>
    <t>2. Ahogbèya</t>
  </si>
  <si>
    <t>3. Dadji</t>
  </si>
  <si>
    <t>4. Djihami</t>
  </si>
  <si>
    <t>5. Gahayadji</t>
  </si>
  <si>
    <t>6. Gahayanou</t>
  </si>
  <si>
    <t>7. Klossou</t>
  </si>
  <si>
    <t>8. Kplakatagon</t>
  </si>
  <si>
    <t>9. Madémè</t>
  </si>
  <si>
    <t>10. Tchéton</t>
  </si>
  <si>
    <t>AYAHOHOUE</t>
  </si>
  <si>
    <t>1. Ahoudji</t>
  </si>
  <si>
    <t>2. Avégandji</t>
  </si>
  <si>
    <t>3. Ayahohoué</t>
  </si>
  <si>
    <t>4. Kédji</t>
  </si>
  <si>
    <t>DJOTTO</t>
  </si>
  <si>
    <t>1. Adahoué</t>
  </si>
  <si>
    <t>2. Akimè</t>
  </si>
  <si>
    <t>3. Avéganmè</t>
  </si>
  <si>
    <t>4. Dangnonchihoué</t>
  </si>
  <si>
    <t>5. Davihoué</t>
  </si>
  <si>
    <t>7. Djotto</t>
  </si>
  <si>
    <t>8. Fidègnonhoué</t>
  </si>
  <si>
    <t>9. Gbéhounkochihoué</t>
  </si>
  <si>
    <t>10. Glolihoué</t>
  </si>
  <si>
    <t>11. Gnigbou</t>
  </si>
  <si>
    <t>12. Gnigbougan</t>
  </si>
  <si>
    <t>13. Houénoussou</t>
  </si>
  <si>
    <t>14. Yénawa</t>
  </si>
  <si>
    <t>15. Yèvihoué</t>
  </si>
  <si>
    <t>HONDJIN</t>
  </si>
  <si>
    <t>1. Gbébléhoué</t>
  </si>
  <si>
    <t>2. Hondjin centre</t>
  </si>
  <si>
    <t>3. Hondjingan</t>
  </si>
  <si>
    <t>4. Kogbétohoué</t>
  </si>
  <si>
    <t>5. Komè</t>
  </si>
  <si>
    <t>6. Soglonouhoué</t>
  </si>
  <si>
    <t>KLOUEKANME</t>
  </si>
  <si>
    <t>1. Agblécomè</t>
  </si>
  <si>
    <t>2. Agbodonhouin</t>
  </si>
  <si>
    <t>3. Tchanvédji</t>
  </si>
  <si>
    <t>4. Davitohoué</t>
  </si>
  <si>
    <t>5. Djidjoli</t>
  </si>
  <si>
    <t>6. Ehuzu</t>
  </si>
  <si>
    <t>7. Klouékanmè-Gare</t>
  </si>
  <si>
    <t>8. Honhlonmitonhou</t>
  </si>
  <si>
    <t>9. Nanome</t>
  </si>
  <si>
    <t>10. Sèglahoué</t>
  </si>
  <si>
    <t>11. Totroyoyou</t>
  </si>
  <si>
    <t>12. Zondrébohoué</t>
  </si>
  <si>
    <t>13. Zouvou</t>
  </si>
  <si>
    <t>LANTA</t>
  </si>
  <si>
    <t>1. Dékandji</t>
  </si>
  <si>
    <t>2. Gbowimè</t>
  </si>
  <si>
    <t>3. Golouhoué</t>
  </si>
  <si>
    <t>4. Lanta Centre</t>
  </si>
  <si>
    <t>5. Sawamè-Houéyiho</t>
  </si>
  <si>
    <t>6. Tokanmè-Kpodji</t>
  </si>
  <si>
    <t>7. Tokanmè-Montou</t>
  </si>
  <si>
    <t>TCHIKPE</t>
  </si>
  <si>
    <t>1. Agbago</t>
  </si>
  <si>
    <t>2. Akouègbadja</t>
  </si>
  <si>
    <t>3. Gnantchimè</t>
  </si>
  <si>
    <t>4. Kpakpassa</t>
  </si>
  <si>
    <t>5. Sokpamè</t>
  </si>
  <si>
    <t>6. Tangbanvimè</t>
  </si>
  <si>
    <t>7. Tchikpé</t>
  </si>
  <si>
    <t>8. Zouzoukanmè</t>
  </si>
  <si>
    <t>DOGBO</t>
  </si>
  <si>
    <t>AYOMI</t>
  </si>
  <si>
    <t>1. Agbédranfo</t>
  </si>
  <si>
    <t>2. Avédjin</t>
  </si>
  <si>
    <t>3. Ayomi Centre</t>
  </si>
  <si>
    <t>4. Gbannavé</t>
  </si>
  <si>
    <t>5. Ketchandji-kpolédji</t>
  </si>
  <si>
    <t>6. Kpodaha centre</t>
  </si>
  <si>
    <t>7. Kpodaha Deka</t>
  </si>
  <si>
    <t>8. Tokpota</t>
  </si>
  <si>
    <t>9. Zohoudji</t>
  </si>
  <si>
    <t>10. Zokpédji</t>
  </si>
  <si>
    <t>DEVE</t>
  </si>
  <si>
    <t>1. Adidévo</t>
  </si>
  <si>
    <t>2. Agnavo</t>
  </si>
  <si>
    <t>3. Dévé-Homey</t>
  </si>
  <si>
    <t>4. Gbakèhoué</t>
  </si>
  <si>
    <t>5. Kpodji</t>
  </si>
  <si>
    <t>HONTON</t>
  </si>
  <si>
    <t>1. Atchanhoué</t>
  </si>
  <si>
    <t>2. Avégodé</t>
  </si>
  <si>
    <t>3. Codjohoué</t>
  </si>
  <si>
    <t>4. Dadohoué</t>
  </si>
  <si>
    <t>5. Koutimé</t>
  </si>
  <si>
    <t>6. Kpoha</t>
  </si>
  <si>
    <t>LOKOGOHOUE</t>
  </si>
  <si>
    <t>1. Hédjamè</t>
  </si>
  <si>
    <t>2. Houndromé</t>
  </si>
  <si>
    <t>3. Hounsa</t>
  </si>
  <si>
    <t>4. Lokogohoué</t>
  </si>
  <si>
    <t>5. Midangbé</t>
  </si>
  <si>
    <t>6. Segba</t>
  </si>
  <si>
    <t>7. Touléhoudji</t>
  </si>
  <si>
    <t>8. Véhidji</t>
  </si>
  <si>
    <t>MADJRE</t>
  </si>
  <si>
    <t>1. Adandro-Akodé</t>
  </si>
  <si>
    <t>2. Ayésso</t>
  </si>
  <si>
    <t>3. Botagbé</t>
  </si>
  <si>
    <t>4. Fafadji</t>
  </si>
  <si>
    <t>6. Kénavo</t>
  </si>
  <si>
    <t>7. Madjrè Centre</t>
  </si>
  <si>
    <t>8. Togannou</t>
  </si>
  <si>
    <t>TOTA</t>
  </si>
  <si>
    <t>1. Achitou</t>
  </si>
  <si>
    <t>2. Agbégnidohoué</t>
  </si>
  <si>
    <t>3. Ahomey</t>
  </si>
  <si>
    <t>4. Dahoué</t>
  </si>
  <si>
    <t>5. Déguihoué</t>
  </si>
  <si>
    <t>7. Fambohoué</t>
  </si>
  <si>
    <t>8. Foncomé Agandannonhoué</t>
  </si>
  <si>
    <t>9. Foncomé Agbohoué</t>
  </si>
  <si>
    <t>10. Foncomé Gouhoun</t>
  </si>
  <si>
    <t>11. Foncomé Tétéhoué</t>
  </si>
  <si>
    <t>12. Houédjamey</t>
  </si>
  <si>
    <t>13. Houngloui</t>
  </si>
  <si>
    <t>14. Kégbéhoué</t>
  </si>
  <si>
    <t>15. Kénouhoué</t>
  </si>
  <si>
    <t>16. Kpodavé</t>
  </si>
  <si>
    <t>17. Kpogodou</t>
  </si>
  <si>
    <t>18. Lokogba</t>
  </si>
  <si>
    <t>19. Madankanmey</t>
  </si>
  <si>
    <t>20. Tota Balimè</t>
  </si>
  <si>
    <t>21. Tota Kpodji</t>
  </si>
  <si>
    <t>22. Zaphi Gnamamey</t>
  </si>
  <si>
    <t>23. Zaphi Houéganmè</t>
  </si>
  <si>
    <t>24. Zaphi Hounsa</t>
  </si>
  <si>
    <t>TOTCHANGNI CENTRE</t>
  </si>
  <si>
    <t>1. Allada</t>
  </si>
  <si>
    <t>2. Gnigbé</t>
  </si>
  <si>
    <t>3. Totchangni</t>
  </si>
  <si>
    <t>LALO</t>
  </si>
  <si>
    <t>ADOUKANDJI</t>
  </si>
  <si>
    <t>1. Adoukandji</t>
  </si>
  <si>
    <t>2. Ahouada</t>
  </si>
  <si>
    <t>3. Eguehoue</t>
  </si>
  <si>
    <t>4. Hazin</t>
  </si>
  <si>
    <t>5. Kingnenouhoué</t>
  </si>
  <si>
    <t>6. Lome</t>
  </si>
  <si>
    <t>7. Sewahoué</t>
  </si>
  <si>
    <t>8. Yamontou</t>
  </si>
  <si>
    <t>AHODJINNAKO</t>
  </si>
  <si>
    <t>1. Adonou</t>
  </si>
  <si>
    <t>2. Ahodjinnako</t>
  </si>
  <si>
    <t>3. Dogouedeta</t>
  </si>
  <si>
    <t>4. Helli</t>
  </si>
  <si>
    <t>5. Lokoli</t>
  </si>
  <si>
    <t>AHOMADEGBE</t>
  </si>
  <si>
    <t>1. Adjaïgbonou</t>
  </si>
  <si>
    <t>2. Ahomadégbé</t>
  </si>
  <si>
    <t>3. Alloya</t>
  </si>
  <si>
    <t>4. Hagnonhoué</t>
  </si>
  <si>
    <t>BANIGBE</t>
  </si>
  <si>
    <t>1. Affomaï</t>
  </si>
  <si>
    <t>2. Banigbé</t>
  </si>
  <si>
    <t>3. Dolohoué</t>
  </si>
  <si>
    <t>4. Koutchikanhoué</t>
  </si>
  <si>
    <t>GNIZOUNME</t>
  </si>
  <si>
    <t>1. Assogbahoué</t>
  </si>
  <si>
    <t>2. Djibahoun</t>
  </si>
  <si>
    <t>3. Gnizounmè</t>
  </si>
  <si>
    <t>4. Hangbannou</t>
  </si>
  <si>
    <t>5. Tandji</t>
  </si>
  <si>
    <t>HLASSAME</t>
  </si>
  <si>
    <t>1. Adjaglimey</t>
  </si>
  <si>
    <t>2. Edah-Gbawlahoué</t>
  </si>
  <si>
    <t>3. Gnigbandjimè</t>
  </si>
  <si>
    <t>4. Kpassakanmè</t>
  </si>
  <si>
    <t>5. Oukanmè</t>
  </si>
  <si>
    <t>6. Klabessihoué</t>
  </si>
  <si>
    <t>7. Sohounouhoué</t>
  </si>
  <si>
    <t>8. Sowanouhoué</t>
  </si>
  <si>
    <t>9. Wéwéhoué</t>
  </si>
  <si>
    <t>1. Lalo</t>
  </si>
  <si>
    <t>2. Adjacomè</t>
  </si>
  <si>
    <t>3. Gouloko</t>
  </si>
  <si>
    <t>4. Koutimè</t>
  </si>
  <si>
    <t>5. Gbéfandji</t>
  </si>
  <si>
    <t>6. Zonmondji</t>
  </si>
  <si>
    <t>LOKOGBA</t>
  </si>
  <si>
    <t>1. Davihoué</t>
  </si>
  <si>
    <t>2. Gnamamè</t>
  </si>
  <si>
    <t>3. Kaïhoué</t>
  </si>
  <si>
    <t>4. Kondjon</t>
  </si>
  <si>
    <t>5. Kuivonhoué</t>
  </si>
  <si>
    <t>6. Lokogba</t>
  </si>
  <si>
    <t>8. Yobohoué</t>
  </si>
  <si>
    <t>9. Zoundjamè</t>
  </si>
  <si>
    <t>TCHITO</t>
  </si>
  <si>
    <t>1. Aboti</t>
  </si>
  <si>
    <t>2. Ouinfa</t>
  </si>
  <si>
    <t>3. Tchito</t>
  </si>
  <si>
    <t>4. Zounhomè</t>
  </si>
  <si>
    <t>5. Zountokpa</t>
  </si>
  <si>
    <t>TOHOU</t>
  </si>
  <si>
    <t>1. Bayékpa Centre</t>
  </si>
  <si>
    <t>2. Govéta</t>
  </si>
  <si>
    <t>3. Hehoukpa</t>
  </si>
  <si>
    <t>4. Sawanou</t>
  </si>
  <si>
    <t>5. Tohou-Centre</t>
  </si>
  <si>
    <t>6. Zoundotan</t>
  </si>
  <si>
    <t>ZALLI</t>
  </si>
  <si>
    <t>1. Adjassagon</t>
  </si>
  <si>
    <t>2. Azangbé</t>
  </si>
  <si>
    <t>3. Kadébou</t>
  </si>
  <si>
    <t>4. Kindji</t>
  </si>
  <si>
    <t>5. Kowomè</t>
  </si>
  <si>
    <t>6. Zalli</t>
  </si>
  <si>
    <t>TOVIKLIN</t>
  </si>
  <si>
    <t>ADJIDO</t>
  </si>
  <si>
    <t>1. Adjido Centre</t>
  </si>
  <si>
    <t>2. Agbozohoudji</t>
  </si>
  <si>
    <t>3. Atchioumè</t>
  </si>
  <si>
    <t>4. Awandji</t>
  </si>
  <si>
    <t>5. Dansouhoué</t>
  </si>
  <si>
    <t>7. Glidji</t>
  </si>
  <si>
    <t>8. Hedjamè</t>
  </si>
  <si>
    <t>9. Houndéhoussohoué</t>
  </si>
  <si>
    <t>10. Kpodji</t>
  </si>
  <si>
    <t>11. Maïboui Kpota</t>
  </si>
  <si>
    <t>12. Maïboui Sodokpohoué</t>
  </si>
  <si>
    <t>AVEDJIN</t>
  </si>
  <si>
    <t>1. Dandjekpohoué</t>
  </si>
  <si>
    <t>2. Natabouhoué</t>
  </si>
  <si>
    <t>3. Sognonnouhoué</t>
  </si>
  <si>
    <t>4. Tohounhoué</t>
  </si>
  <si>
    <t>DOKO</t>
  </si>
  <si>
    <t>1. Djidowanou</t>
  </si>
  <si>
    <t>2. Djouganmè</t>
  </si>
  <si>
    <t>3. Djouvimè</t>
  </si>
  <si>
    <t>4. Doko Centre</t>
  </si>
  <si>
    <t>5. Gboyizounhoué</t>
  </si>
  <si>
    <t>6. Klémè</t>
  </si>
  <si>
    <t>7. Nanonmè</t>
  </si>
  <si>
    <t>8. Tchouléhoudji</t>
  </si>
  <si>
    <t>HOUEDOGLI</t>
  </si>
  <si>
    <t>1. Abloganmè</t>
  </si>
  <si>
    <t>2. Adjohoué</t>
  </si>
  <si>
    <t>3. Affomadi</t>
  </si>
  <si>
    <t>4. Hewogbé</t>
  </si>
  <si>
    <t>5. Houédogli Centre</t>
  </si>
  <si>
    <t>6. Houégangbé</t>
  </si>
  <si>
    <t>7. Kpakouihoué</t>
  </si>
  <si>
    <t>8. Lagbahomè</t>
  </si>
  <si>
    <t>9. Lagbakada</t>
  </si>
  <si>
    <t>10. Tadokomè</t>
  </si>
  <si>
    <t>11. Tchankada</t>
  </si>
  <si>
    <t>12. Zougoumè</t>
  </si>
  <si>
    <t>MISSINKO</t>
  </si>
  <si>
    <t>1. Agbédoumè</t>
  </si>
  <si>
    <t>2. Agomè</t>
  </si>
  <si>
    <t>3. Ayidjèdo</t>
  </si>
  <si>
    <t>4. Djoudomè</t>
  </si>
  <si>
    <t>5. Kodohoué</t>
  </si>
  <si>
    <t>6. Missinko Centre</t>
  </si>
  <si>
    <t>7. Zaffi</t>
  </si>
  <si>
    <t>TANNOU-GOLA</t>
  </si>
  <si>
    <t>1. Djikemè</t>
  </si>
  <si>
    <t>2. Dohodji</t>
  </si>
  <si>
    <t>3. Gbayedji</t>
  </si>
  <si>
    <t>4. Gbinnouhoué</t>
  </si>
  <si>
    <t>5. Oussoumè</t>
  </si>
  <si>
    <t>6. Tannou-Gola Centre</t>
  </si>
  <si>
    <t>7. Tchankoué</t>
  </si>
  <si>
    <t>8. Tossèhoué</t>
  </si>
  <si>
    <t>1. Akomè</t>
  </si>
  <si>
    <t>2. Davi</t>
  </si>
  <si>
    <t>3. Djigangnonhou</t>
  </si>
  <si>
    <t>4. Doko Atchanviguémè</t>
  </si>
  <si>
    <t>5. Doko Djoudomè</t>
  </si>
  <si>
    <t>6. Kpévé</t>
  </si>
  <si>
    <t>7. Kpohoudjou</t>
  </si>
  <si>
    <t>8. Kpohoudjougan</t>
  </si>
  <si>
    <t>9. Sékouhoué</t>
  </si>
  <si>
    <t>10. Tannou Avédji</t>
  </si>
  <si>
    <t>11. Toviklin Centre</t>
  </si>
  <si>
    <t>12. Toviklin Quartier</t>
  </si>
  <si>
    <t>13. Zohénou</t>
  </si>
  <si>
    <t>DONGA</t>
  </si>
  <si>
    <t>DJOUGOU</t>
  </si>
  <si>
    <t>BAREI</t>
  </si>
  <si>
    <t>1. Anoum</t>
  </si>
  <si>
    <t>2. Bandessar</t>
  </si>
  <si>
    <t>3. Bandétchohi</t>
  </si>
  <si>
    <t>4. Barèi-Vaaha</t>
  </si>
  <si>
    <t>5. Barèi-Saoupèhoun</t>
  </si>
  <si>
    <t>6. Dangoussar</t>
  </si>
  <si>
    <t>7. Gondessar</t>
  </si>
  <si>
    <t>8. Kourli</t>
  </si>
  <si>
    <t>9. Sèlra</t>
  </si>
  <si>
    <t>BARIENOU</t>
  </si>
  <si>
    <t>1. Afatalanga</t>
  </si>
  <si>
    <t>2. Akèkèrou</t>
  </si>
  <si>
    <t>3. Bariénou</t>
  </si>
  <si>
    <t>4. Bortoko</t>
  </si>
  <si>
    <t>5. Dèdèra</t>
  </si>
  <si>
    <t>6. Donga</t>
  </si>
  <si>
    <t>7. Foyo</t>
  </si>
  <si>
    <t>8. Gaouga</t>
  </si>
  <si>
    <t>9. Gnansonga</t>
  </si>
  <si>
    <t>10. Gnogambi</t>
  </si>
  <si>
    <t>11. Gnonri</t>
  </si>
  <si>
    <t>12. Gosso</t>
  </si>
  <si>
    <t>13. Kokossika</t>
  </si>
  <si>
    <t>14. Koua</t>
  </si>
  <si>
    <t>15. Kpayèroun</t>
  </si>
  <si>
    <t>16. Monè</t>
  </si>
  <si>
    <t>17. Potokou</t>
  </si>
  <si>
    <t>18. Tamohoun</t>
  </si>
  <si>
    <t>19. Toko-Toko</t>
  </si>
  <si>
    <t>BELLEFOUNGOU</t>
  </si>
  <si>
    <t>1. Angba</t>
  </si>
  <si>
    <t>2. Belléfoungou</t>
  </si>
  <si>
    <t>3. Kpégounou</t>
  </si>
  <si>
    <t>4. Sosso</t>
  </si>
  <si>
    <t>5. Tolra</t>
  </si>
  <si>
    <t>BOUGOU</t>
  </si>
  <si>
    <t>1. Bougou Fana</t>
  </si>
  <si>
    <t>2. Bougou Lira</t>
  </si>
  <si>
    <t>3. Kpandouga</t>
  </si>
  <si>
    <t>4. Kpaouya</t>
  </si>
  <si>
    <t>DJOUGOU I</t>
  </si>
  <si>
    <t>1. Founga</t>
  </si>
  <si>
    <t>2. Gah</t>
  </si>
  <si>
    <t>3. Gogoniga</t>
  </si>
  <si>
    <t>4. Kamouhou</t>
  </si>
  <si>
    <t>5. Kilir</t>
  </si>
  <si>
    <t>7. Morwatchohi</t>
  </si>
  <si>
    <t>8. Pétoni-Poho- Partago</t>
  </si>
  <si>
    <t>9. Pétoni-Poho-Gorobani</t>
  </si>
  <si>
    <t>10. Sapaha</t>
  </si>
  <si>
    <t>11. Sassirou</t>
  </si>
  <si>
    <t>12. Sèlrou</t>
  </si>
  <si>
    <t>13. Soubroukou</t>
  </si>
  <si>
    <t>14. Taïfa</t>
  </si>
  <si>
    <t>15. Zongo</t>
  </si>
  <si>
    <t>DJOUGOU II</t>
  </si>
  <si>
    <t>1. Alfa-Issa</t>
  </si>
  <si>
    <t>2. Angaradébou</t>
  </si>
  <si>
    <t>3. Bassala</t>
  </si>
  <si>
    <t>4. Bonborh</t>
  </si>
  <si>
    <t>5. Djakpingou</t>
  </si>
  <si>
    <t>6. Kakabounou-béri</t>
  </si>
  <si>
    <t>7. Kparsi</t>
  </si>
  <si>
    <t>8. Kpatouhou</t>
  </si>
  <si>
    <t>9. Léman-Bogou</t>
  </si>
  <si>
    <t>10. Léman-mandè</t>
  </si>
  <si>
    <t>11. Nalohou</t>
  </si>
  <si>
    <t>12. Timtim-Bongo</t>
  </si>
  <si>
    <t>13. Wargou</t>
  </si>
  <si>
    <t>DJOUGOU III</t>
  </si>
  <si>
    <t>1. Angara</t>
  </si>
  <si>
    <t>2. Baparapé</t>
  </si>
  <si>
    <t>3. Batoulou</t>
  </si>
  <si>
    <t>4. Batoulou Mounla</t>
  </si>
  <si>
    <t>5. Noumanè</t>
  </si>
  <si>
    <t>6. Déndougou</t>
  </si>
  <si>
    <t>7. Sinassingou</t>
  </si>
  <si>
    <t>8. Formagazi</t>
  </si>
  <si>
    <t>9. Kpamalangou</t>
  </si>
  <si>
    <t>10. Zémbougou-Béri</t>
  </si>
  <si>
    <t>11. Zountori</t>
  </si>
  <si>
    <t>12. Sehvessi</t>
  </si>
  <si>
    <t>KOLOCONDE</t>
  </si>
  <si>
    <t>1. Agorogossi</t>
  </si>
  <si>
    <t>2. Bari</t>
  </si>
  <si>
    <t>3. Boungourou</t>
  </si>
  <si>
    <t>4. Foumbéa</t>
  </si>
  <si>
    <t>5. Gangamou</t>
  </si>
  <si>
    <t>6. Kolokondé-Saoupèhoun</t>
  </si>
  <si>
    <t>7. Kolocondé Zongo</t>
  </si>
  <si>
    <t>8. Kpébouco</t>
  </si>
  <si>
    <t>9. Tébou</t>
  </si>
  <si>
    <t>10. Tèwaou</t>
  </si>
  <si>
    <t>11. Yorossonga</t>
  </si>
  <si>
    <t>ONKLOU</t>
  </si>
  <si>
    <t>1. Bakou</t>
  </si>
  <si>
    <t>2. Danogou</t>
  </si>
  <si>
    <t>3. Daringa</t>
  </si>
  <si>
    <t>5. Issamanga</t>
  </si>
  <si>
    <t>6. Onklou Pahanoun</t>
  </si>
  <si>
    <t>7. Onklou Saoupèhoun</t>
  </si>
  <si>
    <t>8. Wèwè</t>
  </si>
  <si>
    <t>PARTAGO</t>
  </si>
  <si>
    <t>1. Abintaga</t>
  </si>
  <si>
    <t>2. Dabogou</t>
  </si>
  <si>
    <t>3. Démsihou</t>
  </si>
  <si>
    <t>4. Donwari</t>
  </si>
  <si>
    <t>5. Korokou</t>
  </si>
  <si>
    <t>6. Monmongou</t>
  </si>
  <si>
    <t>7. Nanogou</t>
  </si>
  <si>
    <t>8. Partago</t>
  </si>
  <si>
    <t>9. Téprédjissi</t>
  </si>
  <si>
    <t>10. Vanhoui</t>
  </si>
  <si>
    <t>PELEBINA</t>
  </si>
  <si>
    <t>1. Gbessou</t>
  </si>
  <si>
    <t>2. Goumbakou</t>
  </si>
  <si>
    <t>3. Kakindoni</t>
  </si>
  <si>
    <t>4. Koha</t>
  </si>
  <si>
    <t>5. Pélébina</t>
  </si>
  <si>
    <t>6. Wassa</t>
  </si>
  <si>
    <t>7. Yarakèou</t>
  </si>
  <si>
    <t>SEROU</t>
  </si>
  <si>
    <t>1. Alfa kpara</t>
  </si>
  <si>
    <t>2. Bouloum</t>
  </si>
  <si>
    <t>3. Boumvari</t>
  </si>
  <si>
    <t>4. Déwa</t>
  </si>
  <si>
    <t>5. Kpali</t>
  </si>
  <si>
    <t>6. Minanga</t>
  </si>
  <si>
    <t>7. Nagatchohi</t>
  </si>
  <si>
    <t>8. Paparanga</t>
  </si>
  <si>
    <t>9. Sérou</t>
  </si>
  <si>
    <t>BASSILA</t>
  </si>
  <si>
    <t>ALEDJO</t>
  </si>
  <si>
    <t>1. Akaradè</t>
  </si>
  <si>
    <t>2. Alédjo</t>
  </si>
  <si>
    <t>3. Boutou</t>
  </si>
  <si>
    <t>4. Igadougou</t>
  </si>
  <si>
    <t>5. Kadégué</t>
  </si>
  <si>
    <t>6. Kaouté</t>
  </si>
  <si>
    <t>7. Nibadara</t>
  </si>
  <si>
    <t>9. Tchimbéri</t>
  </si>
  <si>
    <t>1. Adjimon</t>
  </si>
  <si>
    <t>2. Adjiro</t>
  </si>
  <si>
    <t>3. Aoro-Lokpa</t>
  </si>
  <si>
    <t>4. Aoro-Nago</t>
  </si>
  <si>
    <t>5. Appi</t>
  </si>
  <si>
    <t>6. Assion</t>
  </si>
  <si>
    <t>7. Bassila Abiguédou</t>
  </si>
  <si>
    <t>8. Bassila Allan</t>
  </si>
  <si>
    <t>9. Bassila Bakabaka</t>
  </si>
  <si>
    <t>10. Biguina Akpassa</t>
  </si>
  <si>
    <t>11. Biguina Holoudè</t>
  </si>
  <si>
    <t>12. Biguina Tosso</t>
  </si>
  <si>
    <t>13. Diépani-Balimboli</t>
  </si>
  <si>
    <t>14. Doguè</t>
  </si>
  <si>
    <t>15. Frigniou</t>
  </si>
  <si>
    <t>16. Guiguisso</t>
  </si>
  <si>
    <t>17. Igbomakro</t>
  </si>
  <si>
    <t>18. Kikélé</t>
  </si>
  <si>
    <t>19. Koïwali</t>
  </si>
  <si>
    <t>20. Kprèkètè</t>
  </si>
  <si>
    <t>MANIGRI</t>
  </si>
  <si>
    <t>1. Igbèrè</t>
  </si>
  <si>
    <t>2. Manigri Oké Igboélé</t>
  </si>
  <si>
    <t>3. Manigri-Ikanni</t>
  </si>
  <si>
    <t>4. Manigri-Oké Souangbé</t>
  </si>
  <si>
    <t>5. Modogui</t>
  </si>
  <si>
    <t>6. Tèkè-Térou</t>
  </si>
  <si>
    <t>7. Wannou</t>
  </si>
  <si>
    <t>PENESSOULOU</t>
  </si>
  <si>
    <t>1. Awo</t>
  </si>
  <si>
    <t>2. Bayakou</t>
  </si>
  <si>
    <t>3. Bodi</t>
  </si>
  <si>
    <t>4. Dingou</t>
  </si>
  <si>
    <t>5. Kodowari</t>
  </si>
  <si>
    <t>6. Mêlan</t>
  </si>
  <si>
    <t>7. Nagayilé</t>
  </si>
  <si>
    <t>8. Nioro- Kolina</t>
  </si>
  <si>
    <t>9. Ouli</t>
  </si>
  <si>
    <t>10. Pénélan</t>
  </si>
  <si>
    <t>11. Pénessoulou</t>
  </si>
  <si>
    <t>12. Salmanga</t>
  </si>
  <si>
    <t>13. Taba</t>
  </si>
  <si>
    <t>14. Tchétou</t>
  </si>
  <si>
    <t>15. Wolo</t>
  </si>
  <si>
    <t>16. Yari</t>
  </si>
  <si>
    <t>COPARGO</t>
  </si>
  <si>
    <t>ANANDANA</t>
  </si>
  <si>
    <t>1. Anandana</t>
  </si>
  <si>
    <t>2. Foungou</t>
  </si>
  <si>
    <t>3. Koubénébéné</t>
  </si>
  <si>
    <t>4. Koubokouborè</t>
  </si>
  <si>
    <t>5. Koukoulbendi</t>
  </si>
  <si>
    <t>6. Koutchanti</t>
  </si>
  <si>
    <t>7. N’Dam</t>
  </si>
  <si>
    <t>8. Pargoutè</t>
  </si>
  <si>
    <t>9. Sètrah</t>
  </si>
  <si>
    <t>1. Babanzaouré</t>
  </si>
  <si>
    <t>2. Copargo</t>
  </si>
  <si>
    <t>3. Dalkpalahou</t>
  </si>
  <si>
    <t>4. Djéssékou</t>
  </si>
  <si>
    <t>5. Galora-Yabaga</t>
  </si>
  <si>
    <t>6. Gossina</t>
  </si>
  <si>
    <t>7. Lèfendi</t>
  </si>
  <si>
    <t>8. Passabia</t>
  </si>
  <si>
    <t>9. Satiéka-Gbamdi</t>
  </si>
  <si>
    <t>10. Tani</t>
  </si>
  <si>
    <t>11. Tchakléro Yarou</t>
  </si>
  <si>
    <t>12. Tchoutchou</t>
  </si>
  <si>
    <t>13. Yaka</t>
  </si>
  <si>
    <t>14. Yaoura</t>
  </si>
  <si>
    <t>PABEGOU</t>
  </si>
  <si>
    <t>1. Bamisso</t>
  </si>
  <si>
    <t>2. Bom-Bom</t>
  </si>
  <si>
    <t>3. Boro-Kouri</t>
  </si>
  <si>
    <t>4. Gnanfounoum</t>
  </si>
  <si>
    <t>5. Pabégou</t>
  </si>
  <si>
    <t>6. Palampagou</t>
  </si>
  <si>
    <t>7. Tchakléro</t>
  </si>
  <si>
    <t>8. Tigninoun</t>
  </si>
  <si>
    <t>SINGRE</t>
  </si>
  <si>
    <t>1. Bissinra</t>
  </si>
  <si>
    <t>2. Cana</t>
  </si>
  <si>
    <t>3. Dakpera</t>
  </si>
  <si>
    <t>4. Kankoulga</t>
  </si>
  <si>
    <t>5. Karhum-Dora</t>
  </si>
  <si>
    <t>6. Karhum-Maléro</t>
  </si>
  <si>
    <t>7. Karhum-Yaourou</t>
  </si>
  <si>
    <t>8. Katabam</t>
  </si>
  <si>
    <t>9. Maho</t>
  </si>
  <si>
    <t>10. Nimourou</t>
  </si>
  <si>
    <t>11. Passangré</t>
  </si>
  <si>
    <t>12. Séma</t>
  </si>
  <si>
    <t>13. Singré</t>
  </si>
  <si>
    <t>14. Taho</t>
  </si>
  <si>
    <t>15. Wadhèrou</t>
  </si>
  <si>
    <t>OUAKE</t>
  </si>
  <si>
    <t>BADJOUDE</t>
  </si>
  <si>
    <t>1. Akpadè</t>
  </si>
  <si>
    <t>2. Alitokoum</t>
  </si>
  <si>
    <t>3. Atchankomou</t>
  </si>
  <si>
    <t>4. Badjoudè</t>
  </si>
  <si>
    <t>5. Bissétougou</t>
  </si>
  <si>
    <t>6. Bohomdo</t>
  </si>
  <si>
    <t>7. Itchodè</t>
  </si>
  <si>
    <t>8. Kadolassi</t>
  </si>
  <si>
    <t>9. Kakpala</t>
  </si>
  <si>
    <t>10. Komtcha</t>
  </si>
  <si>
    <t>11. Pamou</t>
  </si>
  <si>
    <t>12. Talinta</t>
  </si>
  <si>
    <t>13. Tchitchakou</t>
  </si>
  <si>
    <t>KOMDE</t>
  </si>
  <si>
    <t>1. Adjêdè</t>
  </si>
  <si>
    <t>2. Akoussitè</t>
  </si>
  <si>
    <t>3. Assodè</t>
  </si>
  <si>
    <t>4. Komdè</t>
  </si>
  <si>
    <t>5. Mankpassi</t>
  </si>
  <si>
    <t>6. Wèkètè</t>
  </si>
  <si>
    <t>7. Yamsalé</t>
  </si>
  <si>
    <t>1. Alayomdè</t>
  </si>
  <si>
    <t>2. Assaradè</t>
  </si>
  <si>
    <t>3. Awanla</t>
  </si>
  <si>
    <t>4. Kantè</t>
  </si>
  <si>
    <t>5. Kassua-Allah</t>
  </si>
  <si>
    <t>6. Koukoulounda</t>
  </si>
  <si>
    <t>7. Kpélité</t>
  </si>
  <si>
    <t>8. Kpéloudè</t>
  </si>
  <si>
    <t>9. Sobitè</t>
  </si>
  <si>
    <t>10. Sonaholou</t>
  </si>
  <si>
    <t>11. Sonaté</t>
  </si>
  <si>
    <t>12. Tchaladè</t>
  </si>
  <si>
    <t>13. Wakitè</t>
  </si>
  <si>
    <t>SEMERE 1</t>
  </si>
  <si>
    <t>1. Agbandarè</t>
  </si>
  <si>
    <t>2. Atchakitam</t>
  </si>
  <si>
    <t>3. Atchankpa-Kolah</t>
  </si>
  <si>
    <t>4. Baparapéï</t>
  </si>
  <si>
    <t>5. Daka</t>
  </si>
  <si>
    <t>6. Gnalo</t>
  </si>
  <si>
    <t>7. Kim-Kim</t>
  </si>
  <si>
    <t>8. Koubly</t>
  </si>
  <si>
    <t>9. Mami</t>
  </si>
  <si>
    <t>10. Ouramaré</t>
  </si>
  <si>
    <t>11. Tchingayaré</t>
  </si>
  <si>
    <t>SEMERE 2</t>
  </si>
  <si>
    <t>1. Adédéwo</t>
  </si>
  <si>
    <t>2. Aguéou-garba</t>
  </si>
  <si>
    <t>3. Awotobi</t>
  </si>
  <si>
    <t>4. Gao</t>
  </si>
  <si>
    <t>5. Gbaou</t>
  </si>
  <si>
    <t>6. Gnangba Kabia</t>
  </si>
  <si>
    <t>7. Itchèlli</t>
  </si>
  <si>
    <t>8. Kagnifêlê</t>
  </si>
  <si>
    <t>9. Kakpéssia</t>
  </si>
  <si>
    <t>10. Kpakpalaré</t>
  </si>
  <si>
    <t>11. Kpéli-fada</t>
  </si>
  <si>
    <t>12. N’Djakada</t>
  </si>
  <si>
    <t>13. Troucaré-Bas</t>
  </si>
  <si>
    <t>TCHALINGA</t>
  </si>
  <si>
    <t>1. Kawado</t>
  </si>
  <si>
    <t>2. Landa</t>
  </si>
  <si>
    <t>3. Madjatom</t>
  </si>
  <si>
    <t>4. Tchalinga</t>
  </si>
  <si>
    <t>LITTORAL</t>
  </si>
  <si>
    <t>COTONOU</t>
  </si>
  <si>
    <t>1er Arrondissement</t>
  </si>
  <si>
    <t>1. Avotrou Aïmonlonfidé</t>
  </si>
  <si>
    <t>2. Avotrou Gbègo</t>
  </si>
  <si>
    <t>3. Avotrou Houézèkomè</t>
  </si>
  <si>
    <t>4. Dandji</t>
  </si>
  <si>
    <t>5. Dandji Hokanmè</t>
  </si>
  <si>
    <t>6. Donaten</t>
  </si>
  <si>
    <t>7. Finagnon</t>
  </si>
  <si>
    <t>8. N’vènamèdé</t>
  </si>
  <si>
    <t>9. Suru Léré</t>
  </si>
  <si>
    <t>10. Tanto</t>
  </si>
  <si>
    <t>11. Tchanhounkpamè</t>
  </si>
  <si>
    <t>12. Tokplégbé</t>
  </si>
  <si>
    <t>13. Yagbé</t>
  </si>
  <si>
    <t>1. Ahouassa</t>
  </si>
  <si>
    <t>2. Djèdjè-Layé</t>
  </si>
  <si>
    <t>3. Gankpodo</t>
  </si>
  <si>
    <t>4. Irédé</t>
  </si>
  <si>
    <t>5. Kowégbo</t>
  </si>
  <si>
    <t>6. Kpondéhou</t>
  </si>
  <si>
    <t>7. Kpondéhou Tchémè</t>
  </si>
  <si>
    <t>8. Lom-Nava</t>
  </si>
  <si>
    <t>9. Minontchou</t>
  </si>
  <si>
    <t>10. Sènandé</t>
  </si>
  <si>
    <t>11. Sènadé Sékou</t>
  </si>
  <si>
    <t>12. Yénawa</t>
  </si>
  <si>
    <t>13. Yénawa Daho</t>
  </si>
  <si>
    <t>1. Adjégounlè</t>
  </si>
  <si>
    <t>2. Adogléta</t>
  </si>
  <si>
    <t>3. Agbato</t>
  </si>
  <si>
    <t>4. Agbodjèdo</t>
  </si>
  <si>
    <t>5. Ayélawadjè</t>
  </si>
  <si>
    <t>6. Ayélawadjè Agongomè</t>
  </si>
  <si>
    <t>7. Fifatin</t>
  </si>
  <si>
    <t>8. Gbénonkpo</t>
  </si>
  <si>
    <t>9. Hlacomey</t>
  </si>
  <si>
    <t>10. Kpankpan</t>
  </si>
  <si>
    <t>11. Midombo</t>
  </si>
  <si>
    <t>12. Sègbèya Nord</t>
  </si>
  <si>
    <t>13. Sègbèya Sud</t>
  </si>
  <si>
    <t>4ème Arrondissement</t>
  </si>
  <si>
    <t>1. Abokicodji Centre</t>
  </si>
  <si>
    <t>2. Abokicodji Lagune</t>
  </si>
  <si>
    <t>3. Akpakpa Dodomè</t>
  </si>
  <si>
    <t>4. Dédokpo</t>
  </si>
  <si>
    <t>5. Enagnon</t>
  </si>
  <si>
    <t>6. Fifadji Houto</t>
  </si>
  <si>
    <t>7. Gbèdjèwin</t>
  </si>
  <si>
    <t>8. Missessin</t>
  </si>
  <si>
    <t>9. Ohe</t>
  </si>
  <si>
    <t>10. Sodjèatinmè Centre</t>
  </si>
  <si>
    <t>11. Sodjèatinmè Est</t>
  </si>
  <si>
    <t>12. Sodjèatinmè Ouest</t>
  </si>
  <si>
    <t>5ème Arrondissement</t>
  </si>
  <si>
    <t>1. Avlékété Jonquet</t>
  </si>
  <si>
    <t>2. Bocossi Tokpa</t>
  </si>
  <si>
    <t>3. Dota</t>
  </si>
  <si>
    <t>4. Gbédokpo</t>
  </si>
  <si>
    <t>5. Gbéto</t>
  </si>
  <si>
    <t>6. Guinkomey</t>
  </si>
  <si>
    <t>7. Mifongou</t>
  </si>
  <si>
    <t>8. Missèbo</t>
  </si>
  <si>
    <t>9. Missité</t>
  </si>
  <si>
    <t>10. Nouveau Pont</t>
  </si>
  <si>
    <t>11. Tokpa Hoho</t>
  </si>
  <si>
    <t>12. Xwlacodji Kpodji</t>
  </si>
  <si>
    <t>13. Xwlacodji Plage</t>
  </si>
  <si>
    <t>14. Zongo Ehuzu</t>
  </si>
  <si>
    <t>15. Zongo Nima</t>
  </si>
  <si>
    <t>6ème Arrondissement</t>
  </si>
  <si>
    <t>1. Ahouansori Agata</t>
  </si>
  <si>
    <t>2. Ahouansori Agué</t>
  </si>
  <si>
    <t>3. Ahouansori Ladji</t>
  </si>
  <si>
    <t>4. Ahouansori Towéta</t>
  </si>
  <si>
    <t>5. Ahouansori Towéta Kpota</t>
  </si>
  <si>
    <t>6. Aidjèdo</t>
  </si>
  <si>
    <t>7. Aidjèdo Ahito</t>
  </si>
  <si>
    <t>8. Aidjèdo Gbègo</t>
  </si>
  <si>
    <t>9. Aidjèdo Vignon</t>
  </si>
  <si>
    <t>10. Dantokpa</t>
  </si>
  <si>
    <t>11. Djidjè</t>
  </si>
  <si>
    <t>12. Djidjè Aïchédji</t>
  </si>
  <si>
    <t>13. Gbèdjromèdé</t>
  </si>
  <si>
    <t>14. Gbèdjromèdé Sud</t>
  </si>
  <si>
    <t>15. Hindé Nord</t>
  </si>
  <si>
    <t>16. Hindé Sud</t>
  </si>
  <si>
    <t>17. Jéricho Nord</t>
  </si>
  <si>
    <t>18. Jéricho Sud</t>
  </si>
  <si>
    <t>19. Vossa</t>
  </si>
  <si>
    <t>7ème Arrondissement</t>
  </si>
  <si>
    <t>1. Dagbédji-Sikê</t>
  </si>
  <si>
    <t>2. Enagnon-Sikê</t>
  </si>
  <si>
    <t>3. Fignon-Sikê</t>
  </si>
  <si>
    <t>4. Gbèdomidji</t>
  </si>
  <si>
    <t>5. Gbènan</t>
  </si>
  <si>
    <t>6. Missité-Sikê</t>
  </si>
  <si>
    <t>7. Sèdami</t>
  </si>
  <si>
    <t>8. Sèdjro Saint Michel</t>
  </si>
  <si>
    <t>9. Sèhogan-Sikê</t>
  </si>
  <si>
    <t>10. Todoté</t>
  </si>
  <si>
    <t>11. Yévèdo</t>
  </si>
  <si>
    <t>8ème Arrondissement</t>
  </si>
  <si>
    <t>1. Agbodjèdo Ste Rita</t>
  </si>
  <si>
    <t>2. Agontinkon</t>
  </si>
  <si>
    <t>3. Gbèdagba</t>
  </si>
  <si>
    <t>4. Houéhoun</t>
  </si>
  <si>
    <t>5. Houénoussou Ste Rita</t>
  </si>
  <si>
    <t>6. Mèdédjro</t>
  </si>
  <si>
    <t>7. Minonkpo Wologuèdè</t>
  </si>
  <si>
    <t>8. Tonato</t>
  </si>
  <si>
    <t>9ème Arrondissement</t>
  </si>
  <si>
    <t>1. Fifadji</t>
  </si>
  <si>
    <t>2. Kindonou</t>
  </si>
  <si>
    <t>3. Mènontin</t>
  </si>
  <si>
    <t>4. Vossa-Kpodji</t>
  </si>
  <si>
    <t>5. Zogbo</t>
  </si>
  <si>
    <t>6. Zogbohouè</t>
  </si>
  <si>
    <t>10ème Arrondissement</t>
  </si>
  <si>
    <t>1. Agounvocodji</t>
  </si>
  <si>
    <t>2. Gbénonkpo</t>
  </si>
  <si>
    <t>3. Kouhounou</t>
  </si>
  <si>
    <t>4. Midédji</t>
  </si>
  <si>
    <t>5. Missèkplé</t>
  </si>
  <si>
    <t>6. Missogbé</t>
  </si>
  <si>
    <t>7. Sètovi</t>
  </si>
  <si>
    <t>8. Vèdoko</t>
  </si>
  <si>
    <t>9. Yénawa-Fifadji</t>
  </si>
  <si>
    <t>11ème Arrondissement</t>
  </si>
  <si>
    <t>1. Gbèdiga Guêdêhoungue</t>
  </si>
  <si>
    <t>2. Gbégamey Ahito</t>
  </si>
  <si>
    <t>3. Gbégamey Centre</t>
  </si>
  <si>
    <t>4. Gbégamey Dodo Ayidjè</t>
  </si>
  <si>
    <t>5. Gbégamey Gbagoudo</t>
  </si>
  <si>
    <t>6. Gbégamey Mifongou</t>
  </si>
  <si>
    <t>7. Houéyiho</t>
  </si>
  <si>
    <t>8. Houéyiho Tanou</t>
  </si>
  <si>
    <t>9. Saint Jean Gbèdiga</t>
  </si>
  <si>
    <t>10. Vodjè Allobatin</t>
  </si>
  <si>
    <t>11. Vodjè Ayidoté</t>
  </si>
  <si>
    <t>12. Vodjè Centre</t>
  </si>
  <si>
    <t>13. Vodjè Finagnon</t>
  </si>
  <si>
    <t>12ème Arrondissement</t>
  </si>
  <si>
    <t>1. Ahouanlèko</t>
  </si>
  <si>
    <t>2. Aibatin dodo</t>
  </si>
  <si>
    <t>3. Akogbato</t>
  </si>
  <si>
    <t>4. Cadjèhoun Agonga</t>
  </si>
  <si>
    <t>5. Cadjèhoun Aupiais</t>
  </si>
  <si>
    <t>6. Cadjèhoun Azalokogon</t>
  </si>
  <si>
    <t>7. Cadjèhoun Détinsa</t>
  </si>
  <si>
    <t>8. Cadjèhoun Gare</t>
  </si>
  <si>
    <t>9. Cadjèhoun Kpota</t>
  </si>
  <si>
    <t>10. Fidjrossè Centre</t>
  </si>
  <si>
    <t>11. Fidjrossè Kpota</t>
  </si>
  <si>
    <t>12. Fiyégnon Houta</t>
  </si>
  <si>
    <t>13. Fiyégnon Jacquot</t>
  </si>
  <si>
    <t>14. Gbodjètin</t>
  </si>
  <si>
    <t>15. Haie Vive</t>
  </si>
  <si>
    <t>16. Hlazounto</t>
  </si>
  <si>
    <t>17. Les Cocotiers</t>
  </si>
  <si>
    <t>18. Vodjè kpota</t>
  </si>
  <si>
    <t>19. Yémicodji</t>
  </si>
  <si>
    <t>13ème Arrondissement</t>
  </si>
  <si>
    <t>1. Adjaha- Cité</t>
  </si>
  <si>
    <t>2. Agla-Agongbomey</t>
  </si>
  <si>
    <t>3. Agla-Akplomey</t>
  </si>
  <si>
    <t>4. Agla-Figaro</t>
  </si>
  <si>
    <t>5. Agla-Finafa</t>
  </si>
  <si>
    <t>6. Agla-les Pylônes</t>
  </si>
  <si>
    <t>7. Agla-Petit Château</t>
  </si>
  <si>
    <t>8. Agla-Sud</t>
  </si>
  <si>
    <t>9. Ahogbohouè-Cité de l’expérience</t>
  </si>
  <si>
    <t>10. Ahogbohouè-Cité Eucaristie</t>
  </si>
  <si>
    <t>11. Aibatin Kpota</t>
  </si>
  <si>
    <t>12. Gbèdégbé</t>
  </si>
  <si>
    <t>14. Missité</t>
  </si>
  <si>
    <t>MONO</t>
  </si>
  <si>
    <t>ATHIEME</t>
  </si>
  <si>
    <t>ADOHOUN</t>
  </si>
  <si>
    <t>2. Adankpossi</t>
  </si>
  <si>
    <t>3. Agbogbomey</t>
  </si>
  <si>
    <t>4. Aguidahoué</t>
  </si>
  <si>
    <t>5. Anatohoué</t>
  </si>
  <si>
    <t>6. Ayoucomè</t>
  </si>
  <si>
    <t>7. Dékpoé</t>
  </si>
  <si>
    <t>8. Dévèdodji</t>
  </si>
  <si>
    <t>9. Donon</t>
  </si>
  <si>
    <t>10. Gléta</t>
  </si>
  <si>
    <t>11. Kodji</t>
  </si>
  <si>
    <t>13. Sèvotinou</t>
  </si>
  <si>
    <t>14. Tchicomey</t>
  </si>
  <si>
    <t>15. Toguido</t>
  </si>
  <si>
    <t>ATCHANNOU</t>
  </si>
  <si>
    <t>1. Adhamè</t>
  </si>
  <si>
    <t>2. Agbédranfo</t>
  </si>
  <si>
    <t>3. Akonana</t>
  </si>
  <si>
    <t>4. Allounkoui</t>
  </si>
  <si>
    <t>5. Atchannou</t>
  </si>
  <si>
    <t>6. Avégodo</t>
  </si>
  <si>
    <t>7. Goudon</t>
  </si>
  <si>
    <t>8. Hokpamè</t>
  </si>
  <si>
    <t>9. Houèglé</t>
  </si>
  <si>
    <t>10. Hounkpon</t>
  </si>
  <si>
    <t>11. Konouhoué</t>
  </si>
  <si>
    <t>12. Tadocomè</t>
  </si>
  <si>
    <t>13. Togblo</t>
  </si>
  <si>
    <t>1. Adanlokpé</t>
  </si>
  <si>
    <t>2. Adjovè</t>
  </si>
  <si>
    <t>3. Agbobada</t>
  </si>
  <si>
    <t>4. Agniwédji</t>
  </si>
  <si>
    <t>5. Assèdji-Agonsa</t>
  </si>
  <si>
    <t>6. Assèdji-Daho</t>
  </si>
  <si>
    <t>7. Assékomè</t>
  </si>
  <si>
    <t>8. Atchontoé</t>
  </si>
  <si>
    <t>9. Athiémégan</t>
  </si>
  <si>
    <t>10. Awakou</t>
  </si>
  <si>
    <t>11. Awamè-Agbovèdji</t>
  </si>
  <si>
    <t>12. Awamè-Kponou</t>
  </si>
  <si>
    <t>13. Gbédji</t>
  </si>
  <si>
    <t>14. Gbéhossou-Kponou</t>
  </si>
  <si>
    <t>15. Koundohounhoué</t>
  </si>
  <si>
    <t>16. Sazué Kpota</t>
  </si>
  <si>
    <t>17. Zounhouè Kpakpassa</t>
  </si>
  <si>
    <t>DEDEKPOE</t>
  </si>
  <si>
    <t>2. Adjassinhoun – Condji</t>
  </si>
  <si>
    <t>3. Ahoho</t>
  </si>
  <si>
    <t>4. Dévèmè</t>
  </si>
  <si>
    <t>5. Madéboui</t>
  </si>
  <si>
    <t>6. Zindonou</t>
  </si>
  <si>
    <t>KPINNOU</t>
  </si>
  <si>
    <t>1. Avédji</t>
  </si>
  <si>
    <t>2. Azonlihoué</t>
  </si>
  <si>
    <t>3. Bocohoué</t>
  </si>
  <si>
    <t>4. Condji-Agnamè</t>
  </si>
  <si>
    <t>5. Don-Agbodougbé</t>
  </si>
  <si>
    <t>6. Don-Kondji</t>
  </si>
  <si>
    <t>7. Hahamè</t>
  </si>
  <si>
    <t>8. Kodji Kponou</t>
  </si>
  <si>
    <t>9. Kpinnou</t>
  </si>
  <si>
    <t>10. Sazouékpa</t>
  </si>
  <si>
    <t>COME</t>
  </si>
  <si>
    <t>AGATOGBO</t>
  </si>
  <si>
    <t>1. Agatogbo</t>
  </si>
  <si>
    <t>2. Ahouandjigo Codji</t>
  </si>
  <si>
    <t>3. Cocoucodji</t>
  </si>
  <si>
    <t>4. Dohi</t>
  </si>
  <si>
    <t>5. Gonguêgbo</t>
  </si>
  <si>
    <t>6. Gonguêkpè</t>
  </si>
  <si>
    <t>7. Guézin Ahouandjigo</t>
  </si>
  <si>
    <t>8. Guézin Donhuinou</t>
  </si>
  <si>
    <t>9. Guézin Gbadou</t>
  </si>
  <si>
    <t>10. Guézin Zinkpanou</t>
  </si>
  <si>
    <t>11. Kpétou</t>
  </si>
  <si>
    <t>12. Kpétou-Gahouê</t>
  </si>
  <si>
    <t>AKODEHA</t>
  </si>
  <si>
    <t>1. Aclomè</t>
  </si>
  <si>
    <t>2. Bowé-Gbédji</t>
  </si>
  <si>
    <t>4. Gboguinhoué</t>
  </si>
  <si>
    <t>6. Mèdémahoué</t>
  </si>
  <si>
    <t>7. Mongnonhoui</t>
  </si>
  <si>
    <t>8. Tokan</t>
  </si>
  <si>
    <t>9. Tossouhon</t>
  </si>
  <si>
    <t>1. Agoutomè</t>
  </si>
  <si>
    <t>2. Apéhvédji</t>
  </si>
  <si>
    <t>3. Avédji</t>
  </si>
  <si>
    <t>4. Azannou</t>
  </si>
  <si>
    <t>5. Deux Kilos</t>
  </si>
  <si>
    <t>6. Djacoté</t>
  </si>
  <si>
    <t>7. Gadomé</t>
  </si>
  <si>
    <t>8. Gativé</t>
  </si>
  <si>
    <t>9. Hongodé</t>
  </si>
  <si>
    <t>10. Honvê-comè</t>
  </si>
  <si>
    <t>11. Hôtel de ville</t>
  </si>
  <si>
    <t>12. Kandé</t>
  </si>
  <si>
    <t>13. Kpongonou</t>
  </si>
  <si>
    <t>14. Maison des jeunes</t>
  </si>
  <si>
    <t>15. Mon Berger</t>
  </si>
  <si>
    <t>16. Nongo</t>
  </si>
  <si>
    <t>17. Sossigbé</t>
  </si>
  <si>
    <t>18. Soukpotomé</t>
  </si>
  <si>
    <t>OUEDEME-PEDAH</t>
  </si>
  <si>
    <t>1. Agblotomé</t>
  </si>
  <si>
    <t>2. Honnougbo</t>
  </si>
  <si>
    <t>3. Kpétékan</t>
  </si>
  <si>
    <t>5. Mèzintomè</t>
  </si>
  <si>
    <t>6. Pédacomè</t>
  </si>
  <si>
    <t>7. Totchon-Agni</t>
  </si>
  <si>
    <t>8. Zounta</t>
  </si>
  <si>
    <t>OUMAKO</t>
  </si>
  <si>
    <t>1. Djacoté</t>
  </si>
  <si>
    <t>2. Gbèdévinou</t>
  </si>
  <si>
    <t>3. Sivamé</t>
  </si>
  <si>
    <t>4. Tovè</t>
  </si>
  <si>
    <t>GRAND-POPO</t>
  </si>
  <si>
    <t>ADJAHA</t>
  </si>
  <si>
    <t>1. Adjaha</t>
  </si>
  <si>
    <t>2. Conho</t>
  </si>
  <si>
    <t>3. Cotocoli</t>
  </si>
  <si>
    <t>4. Kpovidji</t>
  </si>
  <si>
    <t>5. Seho Condji</t>
  </si>
  <si>
    <t>6. Todjonoukoin</t>
  </si>
  <si>
    <t>7. Tokpa Monoto</t>
  </si>
  <si>
    <t>8. Tokpa-Aïzo</t>
  </si>
  <si>
    <t>AGOUE</t>
  </si>
  <si>
    <t>1. Agoué</t>
  </si>
  <si>
    <t>2. Agoué Gbédjin</t>
  </si>
  <si>
    <t>3. Ayiguinnou</t>
  </si>
  <si>
    <t>4. Hilla Condji</t>
  </si>
  <si>
    <t>5. Louis Condji</t>
  </si>
  <si>
    <t>6. Missihoun Condji</t>
  </si>
  <si>
    <t>7. Nicoué Condji</t>
  </si>
  <si>
    <t>8. Zogbédji</t>
  </si>
  <si>
    <t>AVLO</t>
  </si>
  <si>
    <t>1. Allongo</t>
  </si>
  <si>
    <t>2. Avlo</t>
  </si>
  <si>
    <t>3. Avlo Houta</t>
  </si>
  <si>
    <t>4. Gninhountimè</t>
  </si>
  <si>
    <t>5. Hakouè</t>
  </si>
  <si>
    <t>6. Heyi Gbadji</t>
  </si>
  <si>
    <t>7. Hounkounnou</t>
  </si>
  <si>
    <t>8. Kouèta</t>
  </si>
  <si>
    <t>9. Kpêko</t>
  </si>
  <si>
    <t>DJANGLANMEY</t>
  </si>
  <si>
    <t>1. Dévikanmey</t>
  </si>
  <si>
    <t>2. Djanglamey</t>
  </si>
  <si>
    <t>3. Folly Condji</t>
  </si>
  <si>
    <t>4. Gbédji</t>
  </si>
  <si>
    <t>5. Gountoeto</t>
  </si>
  <si>
    <t>6. Hanmlangni</t>
  </si>
  <si>
    <t>7. Kpatcha-Condji</t>
  </si>
  <si>
    <t>8. Tolèbèkpa</t>
  </si>
  <si>
    <t>9. Tomadjihoué</t>
  </si>
  <si>
    <t>GBEHOUE</t>
  </si>
  <si>
    <t>1. Adimado</t>
  </si>
  <si>
    <t>2. Gbèawa</t>
  </si>
  <si>
    <t>3. Gbéhoué Ouatchi</t>
  </si>
  <si>
    <t>4. Gbéhoué Pédah</t>
  </si>
  <si>
    <t>5. Kpablè</t>
  </si>
  <si>
    <t>6. Sohon</t>
  </si>
  <si>
    <t>7. Tala</t>
  </si>
  <si>
    <t>1. Agonnèkanmey</t>
  </si>
  <si>
    <t>2. Akodessewa</t>
  </si>
  <si>
    <t>3. Apoutagbo</t>
  </si>
  <si>
    <t>4. Ewé Condji</t>
  </si>
  <si>
    <t>5. Hêvê</t>
  </si>
  <si>
    <t>6. Houndjohoundji</t>
  </si>
  <si>
    <t>7. Hounsoukoè</t>
  </si>
  <si>
    <t>8. Onkuihoué</t>
  </si>
  <si>
    <t>9. Saligato</t>
  </si>
  <si>
    <t>10. Toklanhon</t>
  </si>
  <si>
    <t>11. Yodo Condji</t>
  </si>
  <si>
    <t>SAZUE</t>
  </si>
  <si>
    <t>1. Adankpé</t>
  </si>
  <si>
    <t>2. Adjigo</t>
  </si>
  <si>
    <t>3. Awamè</t>
  </si>
  <si>
    <t>4. Bathoto</t>
  </si>
  <si>
    <t>5. Gnito</t>
  </si>
  <si>
    <t>6. Sazué</t>
  </si>
  <si>
    <t>7. Vodomey</t>
  </si>
  <si>
    <t>BOPA</t>
  </si>
  <si>
    <t>AGBODJI</t>
  </si>
  <si>
    <t>1. Agbodji</t>
  </si>
  <si>
    <t>2. Agboh</t>
  </si>
  <si>
    <t>3. Djidjozoun</t>
  </si>
  <si>
    <t>4. Houègbo</t>
  </si>
  <si>
    <t>5. Hounviatouin</t>
  </si>
  <si>
    <t>6. Kowèho</t>
  </si>
  <si>
    <t>7. Logloé</t>
  </si>
  <si>
    <t>8. Mèdétogbo</t>
  </si>
  <si>
    <t>9. Zizaguè</t>
  </si>
  <si>
    <t>10. Zoungbo-Mission</t>
  </si>
  <si>
    <t>BADAZOUIN</t>
  </si>
  <si>
    <t>1. Akplènou</t>
  </si>
  <si>
    <t>2. Atoè</t>
  </si>
  <si>
    <t>3. Badazouin</t>
  </si>
  <si>
    <t>4. Gnidonou</t>
  </si>
  <si>
    <t>5. Hombêtè</t>
  </si>
  <si>
    <t>6. Honhoui</t>
  </si>
  <si>
    <t>7. Kpavè</t>
  </si>
  <si>
    <t>8. Kpodin</t>
  </si>
  <si>
    <t>9. Médéssèdji</t>
  </si>
  <si>
    <t>10. Missiafo</t>
  </si>
  <si>
    <t>11. Ovoun</t>
  </si>
  <si>
    <t>12. Towénou</t>
  </si>
  <si>
    <t>13. Zoungbo</t>
  </si>
  <si>
    <t>1. Agonsa</t>
  </si>
  <si>
    <t>2. Dado</t>
  </si>
  <si>
    <t>3. Dansatingo</t>
  </si>
  <si>
    <t>4. Doguia</t>
  </si>
  <si>
    <t>5. Gantitomey</t>
  </si>
  <si>
    <t>6. Gbédji-Comè</t>
  </si>
  <si>
    <t>7. Hinkpèmè</t>
  </si>
  <si>
    <t>8. Kpindjicomè</t>
  </si>
  <si>
    <t>9. Kpindjigbédji</t>
  </si>
  <si>
    <t>10. Massè</t>
  </si>
  <si>
    <t>11. Sèhougbato</t>
  </si>
  <si>
    <t>12. Tchanhoué-Comè</t>
  </si>
  <si>
    <t>13. Tohonou</t>
  </si>
  <si>
    <t>14. Tokpoé</t>
  </si>
  <si>
    <t>GBAKPODJI</t>
  </si>
  <si>
    <t>1. Ahloumè</t>
  </si>
  <si>
    <t>2. Bolimè</t>
  </si>
  <si>
    <t>3. Djadji</t>
  </si>
  <si>
    <t>4. Gbakpodji</t>
  </si>
  <si>
    <t>5. Hontokpomè</t>
  </si>
  <si>
    <t>6. Houéganmey</t>
  </si>
  <si>
    <t>7. Kplatoè</t>
  </si>
  <si>
    <t>8. Tchantchankpo</t>
  </si>
  <si>
    <t>LOBOGO</t>
  </si>
  <si>
    <t>2. Agongoh</t>
  </si>
  <si>
    <t>3. Atohoué</t>
  </si>
  <si>
    <t>4. Dakpla</t>
  </si>
  <si>
    <t>5. Dévèdji</t>
  </si>
  <si>
    <t>6. Dhodho</t>
  </si>
  <si>
    <t>7. Djofloun</t>
  </si>
  <si>
    <t>8. Foncomè</t>
  </si>
  <si>
    <t>9. Gbèdècomè</t>
  </si>
  <si>
    <t>10. Gbètocomè</t>
  </si>
  <si>
    <t>11. Gbozèhouè</t>
  </si>
  <si>
    <t>12. Hangnanmè</t>
  </si>
  <si>
    <t>13. Hêgoh</t>
  </si>
  <si>
    <t>14. Houngoh</t>
  </si>
  <si>
    <t>15. Hounvè</t>
  </si>
  <si>
    <t>16. Kpota</t>
  </si>
  <si>
    <t>17. Tanvè</t>
  </si>
  <si>
    <t>18. Yêtoè</t>
  </si>
  <si>
    <t>POSSOTOME</t>
  </si>
  <si>
    <t>1. Akokponawa</t>
  </si>
  <si>
    <t>2. Ouassa-Kpodji</t>
  </si>
  <si>
    <t>3. Ouocomè</t>
  </si>
  <si>
    <t>4. Oussa Tokpa</t>
  </si>
  <si>
    <t>5. Possotomè</t>
  </si>
  <si>
    <t>6. Sèhomi-Datoh</t>
  </si>
  <si>
    <t>7. Sèhomi-Kogbomè</t>
  </si>
  <si>
    <t>8. Zinwégoh</t>
  </si>
  <si>
    <t>YEGODOE</t>
  </si>
  <si>
    <t>1. Avéganmè</t>
  </si>
  <si>
    <t>2. Djèkian</t>
  </si>
  <si>
    <t>3. Fandihouin</t>
  </si>
  <si>
    <t>4. Houanguia</t>
  </si>
  <si>
    <t>5. Hounguémè</t>
  </si>
  <si>
    <t>6. Lonfin</t>
  </si>
  <si>
    <t>7. Ozouédjamè</t>
  </si>
  <si>
    <t>8. Sinkpè-Gbolossouhoué</t>
  </si>
  <si>
    <t>9. Tèkozouin</t>
  </si>
  <si>
    <t>10. Tohouéta</t>
  </si>
  <si>
    <t>11. Tohouéta Akloh</t>
  </si>
  <si>
    <t>12. Yêgodoé</t>
  </si>
  <si>
    <t>HOUEYOGBE</t>
  </si>
  <si>
    <t>DAHE</t>
  </si>
  <si>
    <t>1. Aguêhon</t>
  </si>
  <si>
    <t>2. Dahè-Aklo</t>
  </si>
  <si>
    <t>3. Dahè-Gbédji</t>
  </si>
  <si>
    <t>4. Dahè-Kpodji</t>
  </si>
  <si>
    <t>5. Danhoué</t>
  </si>
  <si>
    <t>6. Djètoè</t>
  </si>
  <si>
    <t>7. Djibio</t>
  </si>
  <si>
    <t>8. Gnamako</t>
  </si>
  <si>
    <t>9. Houankpa</t>
  </si>
  <si>
    <t>10. Houankpato</t>
  </si>
  <si>
    <t>11. Kpassakanmè</t>
  </si>
  <si>
    <t>12. Tohouin</t>
  </si>
  <si>
    <t>DOUTOU</t>
  </si>
  <si>
    <t>2. Adromè Gbéto</t>
  </si>
  <si>
    <t>3. Adromè Kpovidji</t>
  </si>
  <si>
    <t>4. Agongoh</t>
  </si>
  <si>
    <t>5. Ahouloumè</t>
  </si>
  <si>
    <t>6. Didongbogoh</t>
  </si>
  <si>
    <t>7. Dodji</t>
  </si>
  <si>
    <t>8. Doutou</t>
  </si>
  <si>
    <t>9. Doutou – Akloh</t>
  </si>
  <si>
    <t>10. Doutou- Fifadji</t>
  </si>
  <si>
    <t>11. Doutou- Hèhouin</t>
  </si>
  <si>
    <t>12. Doutou -Kpodji</t>
  </si>
  <si>
    <t>13. Gahoué</t>
  </si>
  <si>
    <t>14. Gbagbonou</t>
  </si>
  <si>
    <t>15. Gbahossouhoué</t>
  </si>
  <si>
    <t>16. Gboho</t>
  </si>
  <si>
    <t>17. Gogohondji</t>
  </si>
  <si>
    <t>18. Hlassigounmè</t>
  </si>
  <si>
    <t>19. Hlassigounmè-Akloh</t>
  </si>
  <si>
    <t>20. Hounvi Atchago</t>
  </si>
  <si>
    <t>21. Kowénou</t>
  </si>
  <si>
    <t>22. Kpansouingoh</t>
  </si>
  <si>
    <t>23. Maïboui</t>
  </si>
  <si>
    <t>24. Maïboui -Akloh</t>
  </si>
  <si>
    <t>25. N’konouhoué</t>
  </si>
  <si>
    <t>26. Tokpa</t>
  </si>
  <si>
    <t>1. Agongoh</t>
  </si>
  <si>
    <t>2. Dincomè</t>
  </si>
  <si>
    <t>3. Hounvi</t>
  </si>
  <si>
    <t>6. Tohon</t>
  </si>
  <si>
    <t>7. Vègodoé</t>
  </si>
  <si>
    <t>8. Zindjihoué</t>
  </si>
  <si>
    <t>HONHOUE</t>
  </si>
  <si>
    <t>1. Aglè</t>
  </si>
  <si>
    <t>2. Akloh</t>
  </si>
  <si>
    <t>3. Dévèdji</t>
  </si>
  <si>
    <t>4. Gavè</t>
  </si>
  <si>
    <t>5. Gnitonou</t>
  </si>
  <si>
    <t>6. Kpétou-Gbadji</t>
  </si>
  <si>
    <t>7. Togbonou</t>
  </si>
  <si>
    <t>SE</t>
  </si>
  <si>
    <t>2. Allogo</t>
  </si>
  <si>
    <t>3. Danklo</t>
  </si>
  <si>
    <t>4. Drè</t>
  </si>
  <si>
    <t>5. Drè-Lonmnava</t>
  </si>
  <si>
    <t>6. Ekindji</t>
  </si>
  <si>
    <t>7. Gahouin</t>
  </si>
  <si>
    <t>8. Gbadagli</t>
  </si>
  <si>
    <t>9. Gbédji</t>
  </si>
  <si>
    <t>10. Gonfiocomey-Nord</t>
  </si>
  <si>
    <t>11. Gonfiocomey-Sud</t>
  </si>
  <si>
    <t>12. Hindè</t>
  </si>
  <si>
    <t>13. Honnougbo</t>
  </si>
  <si>
    <t>14. Houétihoué</t>
  </si>
  <si>
    <t>15. Logohoué</t>
  </si>
  <si>
    <t>16. Lokohoué</t>
  </si>
  <si>
    <t>17. Sèbo</t>
  </si>
  <si>
    <t>18. Sohounmè</t>
  </si>
  <si>
    <t>19. Zounmè</t>
  </si>
  <si>
    <t>ZOUNGBONOU</t>
  </si>
  <si>
    <t>1. Davè</t>
  </si>
  <si>
    <t>2. Hécondji</t>
  </si>
  <si>
    <t>3. Houingah-Houégbé</t>
  </si>
  <si>
    <t>4. Houingah-Salahoué</t>
  </si>
  <si>
    <t>5. Manonkpon</t>
  </si>
  <si>
    <t>6. Séwacomey</t>
  </si>
  <si>
    <t>7. Tohonou</t>
  </si>
  <si>
    <t>8. Zoungbonou</t>
  </si>
  <si>
    <t>LOKOSSA</t>
  </si>
  <si>
    <t>AGAME</t>
  </si>
  <si>
    <t>1. Adrogbo</t>
  </si>
  <si>
    <t>2. Agamè</t>
  </si>
  <si>
    <t>3. Agnigbavèdji</t>
  </si>
  <si>
    <t>4. Ahotissa</t>
  </si>
  <si>
    <t>5. Aligoudo</t>
  </si>
  <si>
    <t>6. Azizossa</t>
  </si>
  <si>
    <t>7. Gandjazounmè</t>
  </si>
  <si>
    <t>8. Ganwotissa</t>
  </si>
  <si>
    <t>9. Kpota</t>
  </si>
  <si>
    <t>10. Têdéado</t>
  </si>
  <si>
    <t>HOUIN</t>
  </si>
  <si>
    <t>1. Dessa</t>
  </si>
  <si>
    <t>2. Houédaho</t>
  </si>
  <si>
    <t>3. Kessawè</t>
  </si>
  <si>
    <t>4. Logbo</t>
  </si>
  <si>
    <t>5. Sessèhoukanmè</t>
  </si>
  <si>
    <t>6. Tokpa</t>
  </si>
  <si>
    <t>7. Vêha</t>
  </si>
  <si>
    <t>KOUDO</t>
  </si>
  <si>
    <t>1. Ablodé</t>
  </si>
  <si>
    <t>2. Adrodji</t>
  </si>
  <si>
    <t>3. Agnito</t>
  </si>
  <si>
    <t>4. Agnito-Tchicomey</t>
  </si>
  <si>
    <t>5. Houanmè</t>
  </si>
  <si>
    <t>6. Koudo</t>
  </si>
  <si>
    <t>7. Kplogodomè</t>
  </si>
  <si>
    <t>8. Tinou</t>
  </si>
  <si>
    <t>9. Tozounmè</t>
  </si>
  <si>
    <t>10. Tozounmè-Gbédji</t>
  </si>
  <si>
    <t>1. Adjakomey</t>
  </si>
  <si>
    <t>2. Agnivèdji</t>
  </si>
  <si>
    <t>3. Agonvè</t>
  </si>
  <si>
    <t>4. Ahouamè</t>
  </si>
  <si>
    <t>5. Akodédjro</t>
  </si>
  <si>
    <t>6. Atikpéta</t>
  </si>
  <si>
    <t>7. Dékanmè</t>
  </si>
  <si>
    <t>8. Djèhadji</t>
  </si>
  <si>
    <t>9. Doukonta</t>
  </si>
  <si>
    <t>10. Fongba</t>
  </si>
  <si>
    <t>11. Gbodédji</t>
  </si>
  <si>
    <t>12. Glo</t>
  </si>
  <si>
    <t>13. Guéhounkon</t>
  </si>
  <si>
    <t>14. Guinkomey</t>
  </si>
  <si>
    <t>15. Saguè</t>
  </si>
  <si>
    <t>16. Takon-Zongo</t>
  </si>
  <si>
    <t>17. Tchicomey</t>
  </si>
  <si>
    <t>18. Todoga</t>
  </si>
  <si>
    <t>19. Toguèmè</t>
  </si>
  <si>
    <t>20. Tota-Kindji</t>
  </si>
  <si>
    <t>21. Yènawa</t>
  </si>
  <si>
    <t>22. Zoungamè</t>
  </si>
  <si>
    <t>23. Zounhouè</t>
  </si>
  <si>
    <t>OUEDEME-ADJA</t>
  </si>
  <si>
    <t>1. Adjigo-Kpodavè</t>
  </si>
  <si>
    <t>3. Agonkanmè</t>
  </si>
  <si>
    <t>4. Atinmado</t>
  </si>
  <si>
    <t>5. Dansihoué</t>
  </si>
  <si>
    <t>6. Djondji-Zounmè</t>
  </si>
  <si>
    <t>7. Hlodo</t>
  </si>
  <si>
    <t>8. Kinwédji</t>
  </si>
  <si>
    <t>9. Lègo</t>
  </si>
  <si>
    <t>10. Médéhounta</t>
  </si>
  <si>
    <t>11. Monkpa-Sèdji</t>
  </si>
  <si>
    <t>12. Ouèdèmè-Cada</t>
  </si>
  <si>
    <t>13. Ouèdèmè-Djanglanmè</t>
  </si>
  <si>
    <t>14. Sèdjè-Gléta</t>
  </si>
  <si>
    <t>15. Totinga</t>
  </si>
  <si>
    <t>OUEME</t>
  </si>
  <si>
    <t>PORTO-NOVO</t>
  </si>
  <si>
    <t>1. Accron-Gogankomey</t>
  </si>
  <si>
    <t>2. Adjègounlè</t>
  </si>
  <si>
    <t>3. Adomey</t>
  </si>
  <si>
    <t>4. Ahouantikomey</t>
  </si>
  <si>
    <t>5. Akpassa Odo Oba</t>
  </si>
  <si>
    <t>6. Avassa Bagoro Agbokomey</t>
  </si>
  <si>
    <t>7. Ayétoro</t>
  </si>
  <si>
    <t>8. Ayimlonfidé</t>
  </si>
  <si>
    <t>9. Déguèkomè</t>
  </si>
  <si>
    <t>10. Dota-Attingbansa-Azonzakomey</t>
  </si>
  <si>
    <t>11. Ganto</t>
  </si>
  <si>
    <t>12. Gbassou-Itabodo</t>
  </si>
  <si>
    <t>13. Gbêcon</t>
  </si>
  <si>
    <t>14. Guévié-Zinkomey</t>
  </si>
  <si>
    <t>15. Hondji-Honnou Filla</t>
  </si>
  <si>
    <t>16. Houègbo-Hlinkomey</t>
  </si>
  <si>
    <t>17. Houéyogbé-Gbèdji</t>
  </si>
  <si>
    <t>18. Houèzounmey</t>
  </si>
  <si>
    <t>19. Idi-Araba</t>
  </si>
  <si>
    <t>20. Iléfiè</t>
  </si>
  <si>
    <t>21. Kpota Sandodo</t>
  </si>
  <si>
    <t>22. Lokossa</t>
  </si>
  <si>
    <t>23. Oganla-Gare-Est</t>
  </si>
  <si>
    <t>24. Sadognon-Adjégounlè</t>
  </si>
  <si>
    <t>25. Sadognon-Woussa</t>
  </si>
  <si>
    <t>26. Sagbo Kossoukodé</t>
  </si>
  <si>
    <t>27. Sokomey-Toffinkomey</t>
  </si>
  <si>
    <t>28. Togoh – Adankomey</t>
  </si>
  <si>
    <t>29. Vêkpa</t>
  </si>
  <si>
    <t>1. Agbokou Aga</t>
  </si>
  <si>
    <t>2. Agbokou Bassodji Mairie</t>
  </si>
  <si>
    <t>3. Agbokou Centre social</t>
  </si>
  <si>
    <t>4. Agbokou Odo</t>
  </si>
  <si>
    <t>5. Attakè Olory-Togbé</t>
  </si>
  <si>
    <t>6. Attakè Yidi</t>
  </si>
  <si>
    <t>7. Djègan Daho</t>
  </si>
  <si>
    <t>8. Donoukin Lissèssa</t>
  </si>
  <si>
    <t>9. Gbèzounkpa</t>
  </si>
  <si>
    <t>10. Guévié Djèganto</t>
  </si>
  <si>
    <t>11. Hinkoudé</t>
  </si>
  <si>
    <t>12. Kandévié Radio Hokon</t>
  </si>
  <si>
    <t>13. Koutongbé</t>
  </si>
  <si>
    <t>14. Sèdjèko</t>
  </si>
  <si>
    <t>15. Tchinvié</t>
  </si>
  <si>
    <t>16. Zounkpa Houèto</t>
  </si>
  <si>
    <t>1. Adjina Nord</t>
  </si>
  <si>
    <t>2. Adjina Sud</t>
  </si>
  <si>
    <t>3. Avakpa Kpodji</t>
  </si>
  <si>
    <t>4. Avakpa-Tokpa</t>
  </si>
  <si>
    <t>5. Djassin Daho</t>
  </si>
  <si>
    <t>6. Djassin Zounmè</t>
  </si>
  <si>
    <t>7. Foun-Foun Djaguidi</t>
  </si>
  <si>
    <t>8. Foun-Foun Gbègo</t>
  </si>
  <si>
    <t>9. Foun-Foun Sodji</t>
  </si>
  <si>
    <t>10. Foun-Foun Tokpa</t>
  </si>
  <si>
    <t>11. Hassou Agué</t>
  </si>
  <si>
    <t>12. Oganla Atakpamè</t>
  </si>
  <si>
    <t>13. Oganla Nord</t>
  </si>
  <si>
    <t>14. Oganla Poste</t>
  </si>
  <si>
    <t>15. Oganla Sokè</t>
  </si>
  <si>
    <t>16. Oganla Sud</t>
  </si>
  <si>
    <t>17. Ouinlinda Aholoukomey</t>
  </si>
  <si>
    <t>18. Ouinlinda Hôpital</t>
  </si>
  <si>
    <t>19. Zèbou Aga</t>
  </si>
  <si>
    <t>20. Zèbou Ahouangbo</t>
  </si>
  <si>
    <t>21. Zèbou –Itatigri</t>
  </si>
  <si>
    <t>22. Zèbou –Massè</t>
  </si>
  <si>
    <t>1. Anavié</t>
  </si>
  <si>
    <t>2. Anavié Voirie</t>
  </si>
  <si>
    <t>3. Djègan kpèvi</t>
  </si>
  <si>
    <t>4. Dodji</t>
  </si>
  <si>
    <t>5. Gbèdjromèdé Fusion</t>
  </si>
  <si>
    <t>6. Gbodjè</t>
  </si>
  <si>
    <t>7. Guévié</t>
  </si>
  <si>
    <t>8. Hlogou ou Hlongou</t>
  </si>
  <si>
    <t>9. Houinmè Château d’eau</t>
  </si>
  <si>
    <t>10. Houinmè Djaguidi</t>
  </si>
  <si>
    <t>11. Houinmè Ganto</t>
  </si>
  <si>
    <t>12. Houinmè Gbèdjromèdé</t>
  </si>
  <si>
    <t>13. Hounsa</t>
  </si>
  <si>
    <t>14. Hounsouko</t>
  </si>
  <si>
    <t>15. Kandévié Missogbé</t>
  </si>
  <si>
    <t>16. Kandévié Owodé</t>
  </si>
  <si>
    <t>17. Kpogbonmè</t>
  </si>
  <si>
    <t>18. Sèto – Gbodjè</t>
  </si>
  <si>
    <t>1. Akonaboè</t>
  </si>
  <si>
    <t>2. Djlado</t>
  </si>
  <si>
    <t>3. Dowa</t>
  </si>
  <si>
    <t>4. Dowa Aliogbogo</t>
  </si>
  <si>
    <t>5. Dowa Dédomè</t>
  </si>
  <si>
    <t>6. Houinvié</t>
  </si>
  <si>
    <t>7. Louho</t>
  </si>
  <si>
    <t>8. Ouando</t>
  </si>
  <si>
    <t>9. Ouando Clékanmè</t>
  </si>
  <si>
    <t>10. Ouando Kotin</t>
  </si>
  <si>
    <t>11. Tokpota Dadjrougbé</t>
  </si>
  <si>
    <t>12. Tokpota Davo</t>
  </si>
  <si>
    <t>13. Tokpota Vèdo</t>
  </si>
  <si>
    <t>14. Tokpota Zèbè</t>
  </si>
  <si>
    <t>15. Tokpota Zinlivali</t>
  </si>
  <si>
    <t>ADJARRA</t>
  </si>
  <si>
    <t>ADJARRA 1</t>
  </si>
  <si>
    <t>2. Adovié Alaga</t>
  </si>
  <si>
    <t>3. Ahouandji</t>
  </si>
  <si>
    <t>4. Hounhouèko</t>
  </si>
  <si>
    <t>5. Hounsinvié</t>
  </si>
  <si>
    <t>6. Hounvè</t>
  </si>
  <si>
    <t>7. Sèdjè-Gbéta</t>
  </si>
  <si>
    <t>ADJARRA 2</t>
  </si>
  <si>
    <t>1. Adjinan</t>
  </si>
  <si>
    <t>2. Adjinan-Aga</t>
  </si>
  <si>
    <t>3. Agboto</t>
  </si>
  <si>
    <t>4. Drogbo</t>
  </si>
  <si>
    <t>5. Houêgbo</t>
  </si>
  <si>
    <t>6. Kpota</t>
  </si>
  <si>
    <t>7. Sota</t>
  </si>
  <si>
    <t>8. Sota-Tchémè</t>
  </si>
  <si>
    <t>HONVIE</t>
  </si>
  <si>
    <t>1. Adjati-Djogbèhouè</t>
  </si>
  <si>
    <t>2. Adjati-vèdo</t>
  </si>
  <si>
    <t>3. Dossouvié</t>
  </si>
  <si>
    <t>4. Gassako</t>
  </si>
  <si>
    <t>5. Honvié Centre</t>
  </si>
  <si>
    <t>6. Hounsa-Assiogbossa</t>
  </si>
  <si>
    <t>7. Kpadovié</t>
  </si>
  <si>
    <t>8. Kpovié-Gbada</t>
  </si>
  <si>
    <t>9. Djèvié -Wadon</t>
  </si>
  <si>
    <t>AGLOGBE</t>
  </si>
  <si>
    <t>1. Agbomey-Takplikpo</t>
  </si>
  <si>
    <t>2. Aglogbè</t>
  </si>
  <si>
    <t>3. Ayihounzo</t>
  </si>
  <si>
    <t>4. Bokovi-Tchaka</t>
  </si>
  <si>
    <t>5. Do-Hongla</t>
  </si>
  <si>
    <t>6. Hahamè</t>
  </si>
  <si>
    <t>7. Sèdjè</t>
  </si>
  <si>
    <t>8. Tokomè</t>
  </si>
  <si>
    <t>9. Vidjinan</t>
  </si>
  <si>
    <t>MALANHOUI</t>
  </si>
  <si>
    <t>1. Agaougbéta</t>
  </si>
  <si>
    <t>2. Agata</t>
  </si>
  <si>
    <t>3. Anagbo</t>
  </si>
  <si>
    <t>4. Hêvié-Kpota</t>
  </si>
  <si>
    <t>5. Malanhoui</t>
  </si>
  <si>
    <t>6. Malanhoui-Kpodo</t>
  </si>
  <si>
    <t>7. Ouèkè</t>
  </si>
  <si>
    <t>8. Tanmè</t>
  </si>
  <si>
    <t>9. Yèvié</t>
  </si>
  <si>
    <t>MEDEDJONOU</t>
  </si>
  <si>
    <t>1. Alladako</t>
  </si>
  <si>
    <t>2. Alladako-Dégoèto</t>
  </si>
  <si>
    <t>3. Djavi</t>
  </si>
  <si>
    <t>4. Djavi-Zèbè</t>
  </si>
  <si>
    <t>5. Gbangnito</t>
  </si>
  <si>
    <t>6. Gbéhamey</t>
  </si>
  <si>
    <t>7. Lindja-Dangbo</t>
  </si>
  <si>
    <t>8. Médédjonou</t>
  </si>
  <si>
    <t>9. Mèdédjonou-Gbéhadji</t>
  </si>
  <si>
    <t>10. Sèmè</t>
  </si>
  <si>
    <t>11. Tchakou</t>
  </si>
  <si>
    <t>AGUEGUES</t>
  </si>
  <si>
    <t>AVAGBODJI</t>
  </si>
  <si>
    <t>1. Akpadon</t>
  </si>
  <si>
    <t>2. Be’mbè</t>
  </si>
  <si>
    <t>3. Be’mbè Akpa</t>
  </si>
  <si>
    <t>4. Djèkpé</t>
  </si>
  <si>
    <t>5. Gbodjè</t>
  </si>
  <si>
    <t>6. Goussa</t>
  </si>
  <si>
    <t>7. Houinta</t>
  </si>
  <si>
    <t>HOUEDOME</t>
  </si>
  <si>
    <t>1. Agbodjèdo</t>
  </si>
  <si>
    <t>2. Aholoukomè</t>
  </si>
  <si>
    <t>3. Akodji</t>
  </si>
  <si>
    <t>4. Akpakomè</t>
  </si>
  <si>
    <t>5. Akpoloukomè</t>
  </si>
  <si>
    <t>6. Dogodo</t>
  </si>
  <si>
    <t>7. Somayi</t>
  </si>
  <si>
    <t>8. Zinviékomè</t>
  </si>
  <si>
    <t>ZOUNGAME</t>
  </si>
  <si>
    <t>1. Aniviékomè</t>
  </si>
  <si>
    <t>2. Djigbékomè</t>
  </si>
  <si>
    <t>3. Donoukpa</t>
  </si>
  <si>
    <t>5. Kintokomè</t>
  </si>
  <si>
    <t>6. Sohèkomè</t>
  </si>
  <si>
    <t>7. Trankomè</t>
  </si>
  <si>
    <t>8. Woundékomè</t>
  </si>
  <si>
    <t>SEME-PODJI</t>
  </si>
  <si>
    <t>AGBLANGANDAN</t>
  </si>
  <si>
    <t>1. Agbalilamè</t>
  </si>
  <si>
    <t>2. Agblangandan</t>
  </si>
  <si>
    <t>3. Akpokpota</t>
  </si>
  <si>
    <t>4. Davatin</t>
  </si>
  <si>
    <t>5. Gbakpodji</t>
  </si>
  <si>
    <t>6. Kadjacomè</t>
  </si>
  <si>
    <t>7. Kpakpakanmè</t>
  </si>
  <si>
    <t>8. Lokokoukoumè</t>
  </si>
  <si>
    <t>9. Moudokomè</t>
  </si>
  <si>
    <t>10. Sèkandji</t>
  </si>
  <si>
    <t>11. Sèkandji Allamandossi</t>
  </si>
  <si>
    <t>12. Sèkandji Houéyogbé</t>
  </si>
  <si>
    <t>AHOLOUYEME</t>
  </si>
  <si>
    <t>1. Agonsa Gbo</t>
  </si>
  <si>
    <t>2. Aholouyèmè</t>
  </si>
  <si>
    <t>3. Djèho</t>
  </si>
  <si>
    <t>4. Goho</t>
  </si>
  <si>
    <t>5. Kétonou</t>
  </si>
  <si>
    <t>6. Kétonou Tchinsa</t>
  </si>
  <si>
    <t>7. Torri-Agonsa</t>
  </si>
  <si>
    <t>DJEREGBE</t>
  </si>
  <si>
    <t>1. Awanou</t>
  </si>
  <si>
    <t>2. Djèrègbé</t>
  </si>
  <si>
    <t>3. Djèrègbé Houèla</t>
  </si>
  <si>
    <t>4. Gbéhonmè</t>
  </si>
  <si>
    <t>5. Gbokpa</t>
  </si>
  <si>
    <t>6. Houinta</t>
  </si>
  <si>
    <t>7. Houèkè</t>
  </si>
  <si>
    <t>EKPE</t>
  </si>
  <si>
    <t>1. Djèffa Glégbonou</t>
  </si>
  <si>
    <t>2. Djèffa Houédomè</t>
  </si>
  <si>
    <t>3. Djèffa Houédomè Gbago</t>
  </si>
  <si>
    <t>4. Djèffa Kowenou</t>
  </si>
  <si>
    <t>5. Ekpè Wéchindahomè</t>
  </si>
  <si>
    <t>6. Ekpè Kanhonnou</t>
  </si>
  <si>
    <t>7. Ekpè Gbédjamè</t>
  </si>
  <si>
    <t>8. Ekpè-Marina</t>
  </si>
  <si>
    <t>9. Ekpè-PK10</t>
  </si>
  <si>
    <t>10. Ekpè-Kpécomè</t>
  </si>
  <si>
    <t>11. Ekpè-Seyivè</t>
  </si>
  <si>
    <t>12. Tchonvi</t>
  </si>
  <si>
    <t>13. Tchonvi Agbologoun</t>
  </si>
  <si>
    <t>1. Agongo</t>
  </si>
  <si>
    <t>2. Okoun-Sèmè</t>
  </si>
  <si>
    <t>3. Podji-Agué</t>
  </si>
  <si>
    <t>4. Podji-Agué Gbago</t>
  </si>
  <si>
    <t>5. Podji-Missérété</t>
  </si>
  <si>
    <t>6. Sèmè-Podji</t>
  </si>
  <si>
    <t>TOHOUE</t>
  </si>
  <si>
    <t>1. Ahlomè</t>
  </si>
  <si>
    <t>2. Ayokpo</t>
  </si>
  <si>
    <t>3. Dja</t>
  </si>
  <si>
    <t>4. Glogbo</t>
  </si>
  <si>
    <t>5. Glogbo Plage</t>
  </si>
  <si>
    <t>6. Hovidokpo</t>
  </si>
  <si>
    <t>7. Kpoguidi</t>
  </si>
  <si>
    <t>8. Kraké-Daho</t>
  </si>
  <si>
    <t>9. Tohouè</t>
  </si>
  <si>
    <t>10. Wégbégo-Adiemè</t>
  </si>
  <si>
    <t>ADJOHOUN</t>
  </si>
  <si>
    <t>1. Abato</t>
  </si>
  <si>
    <t>2. Agbakon</t>
  </si>
  <si>
    <t>3. Allanzounmè</t>
  </si>
  <si>
    <t>4. Assrossa</t>
  </si>
  <si>
    <t>5. Goutin</t>
  </si>
  <si>
    <t>6. Houèkpa-Kpota</t>
  </si>
  <si>
    <t>7. Kindji-Anamè</t>
  </si>
  <si>
    <t>8. Lokossa</t>
  </si>
  <si>
    <t>9. Wadon</t>
  </si>
  <si>
    <t>10. Zoungbomè</t>
  </si>
  <si>
    <t>11. Zoungodo</t>
  </si>
  <si>
    <t>AKPADA NOU</t>
  </si>
  <si>
    <t>1. Agbossa-Adjakahoué</t>
  </si>
  <si>
    <t>2. Allandohou</t>
  </si>
  <si>
    <t>3. Sèkondji</t>
  </si>
  <si>
    <t>4. Dékanmè</t>
  </si>
  <si>
    <t>5. Fonly</t>
  </si>
  <si>
    <t>6. Houédo-Agué</t>
  </si>
  <si>
    <t>7. Houédo-Wo</t>
  </si>
  <si>
    <t>8. Houinsa</t>
  </si>
  <si>
    <t>9. Kpatinsa</t>
  </si>
  <si>
    <t>10. Sokpètinkon</t>
  </si>
  <si>
    <t>AWONOU</t>
  </si>
  <si>
    <t>1. Abidomey</t>
  </si>
  <si>
    <t>2. Assigui-Gbongodo</t>
  </si>
  <si>
    <t>3. Awogoudo</t>
  </si>
  <si>
    <t>4. Awonou</t>
  </si>
  <si>
    <t>5. Siliko</t>
  </si>
  <si>
    <t>AZOWLISSE</t>
  </si>
  <si>
    <t>1. Abéokouta</t>
  </si>
  <si>
    <t>2. Agué-Milahin</t>
  </si>
  <si>
    <t>3. Akouèhan-Tohoué</t>
  </si>
  <si>
    <t>4. Gbada</t>
  </si>
  <si>
    <t>5. Gbada Kpota</t>
  </si>
  <si>
    <t>6. Gbédogo-Oudanou</t>
  </si>
  <si>
    <t>7. Gbékandji</t>
  </si>
  <si>
    <t>8. Houèda</t>
  </si>
  <si>
    <t>9. Houssa</t>
  </si>
  <si>
    <t>10. Kadébou-Zounmè</t>
  </si>
  <si>
    <t>11. Klogbomey</t>
  </si>
  <si>
    <t>12. Kpodédji</t>
  </si>
  <si>
    <t>13. Kpota</t>
  </si>
  <si>
    <t>14. Saoro</t>
  </si>
  <si>
    <t>15. Sissèkpa</t>
  </si>
  <si>
    <t>16. Todé</t>
  </si>
  <si>
    <t>DEME</t>
  </si>
  <si>
    <t>1. Ahlan</t>
  </si>
  <si>
    <t>2. Démè Centre</t>
  </si>
  <si>
    <t>3. Fanvi</t>
  </si>
  <si>
    <t>4. Gla</t>
  </si>
  <si>
    <t>GANGBAN</t>
  </si>
  <si>
    <t>1. Agonlin</t>
  </si>
  <si>
    <t>2. Ahouandjannafon</t>
  </si>
  <si>
    <t>3. Dannou</t>
  </si>
  <si>
    <t>4. Dannou Ayidagbédji</t>
  </si>
  <si>
    <t>5. Gangban</t>
  </si>
  <si>
    <t>6. Gangban Toganhounsa</t>
  </si>
  <si>
    <t>7. Gbègbessa</t>
  </si>
  <si>
    <t>8. Gogbo</t>
  </si>
  <si>
    <t>9. Lowé</t>
  </si>
  <si>
    <t>KODE</t>
  </si>
  <si>
    <t>1. Gbannan</t>
  </si>
  <si>
    <t>2. Gounouhoué</t>
  </si>
  <si>
    <t>3. Hlankpa</t>
  </si>
  <si>
    <t>4. Kakanitchoé</t>
  </si>
  <si>
    <t>5. Kodé – Akpo</t>
  </si>
  <si>
    <t>6. Kodé-Agué</t>
  </si>
  <si>
    <t>7. Kodé-Gouké</t>
  </si>
  <si>
    <t>TOGBOTA</t>
  </si>
  <si>
    <t>1. Togbota-Agué</t>
  </si>
  <si>
    <t>2. Togbota-Oujra</t>
  </si>
  <si>
    <t>AKPRO-MISSERETE</t>
  </si>
  <si>
    <t>1. Abogomè</t>
  </si>
  <si>
    <t>2. Abogomè-Hlihouè</t>
  </si>
  <si>
    <t>3. Akpakanmè</t>
  </si>
  <si>
    <t>4. Akpro-Hanzounmè</t>
  </si>
  <si>
    <t>5. Akpro-Misserété</t>
  </si>
  <si>
    <t>6. Blèhouan</t>
  </si>
  <si>
    <t>7. Danmè-Lokonon</t>
  </si>
  <si>
    <t>8. Ganmi</t>
  </si>
  <si>
    <t>9. Gbèdji</t>
  </si>
  <si>
    <t>10. Kouvè</t>
  </si>
  <si>
    <t>11. Kpogon</t>
  </si>
  <si>
    <t>12. Tanmè</t>
  </si>
  <si>
    <t>GOME-SOTA</t>
  </si>
  <si>
    <t>1. Agondozoun</t>
  </si>
  <si>
    <t>2. Agondozoun Tanmè</t>
  </si>
  <si>
    <t>3. Gomè-Doko</t>
  </si>
  <si>
    <t>4. Gomè-Sota</t>
  </si>
  <si>
    <t>5. Hounli</t>
  </si>
  <si>
    <t>6. Tchoukou-Kpèvi</t>
  </si>
  <si>
    <t>7. Zoundji</t>
  </si>
  <si>
    <t>KATAGON</t>
  </si>
  <si>
    <t>1. Amouloko</t>
  </si>
  <si>
    <t>2. Anianlin</t>
  </si>
  <si>
    <t>3. Gbakpo-Sèdjè</t>
  </si>
  <si>
    <t>4. Houèzounmè-Daho</t>
  </si>
  <si>
    <t>5. Katagon</t>
  </si>
  <si>
    <t>6. Kiliti</t>
  </si>
  <si>
    <t>7. Ouiya</t>
  </si>
  <si>
    <t>8. Sogbé-Aligo</t>
  </si>
  <si>
    <t>9. Tchian</t>
  </si>
  <si>
    <t>10. Tohouikanmè</t>
  </si>
  <si>
    <t>11. Tokpa-Houété</t>
  </si>
  <si>
    <t>12. Vanté</t>
  </si>
  <si>
    <t>13. Wayi-Sogbé</t>
  </si>
  <si>
    <t>VAKON</t>
  </si>
  <si>
    <t>1. Danto</t>
  </si>
  <si>
    <t>2. Danto les palmiers</t>
  </si>
  <si>
    <t>3. Gouako-kotoclomè</t>
  </si>
  <si>
    <t>4. Sohomey</t>
  </si>
  <si>
    <t>5. Vakon-Adanhou</t>
  </si>
  <si>
    <t>6. Vakon-Agatha</t>
  </si>
  <si>
    <t>7. Vakon-Anago</t>
  </si>
  <si>
    <t>8. Vakon-Azohouè</t>
  </si>
  <si>
    <t>9. Vakon-Gbo</t>
  </si>
  <si>
    <t>10. Vakon-Kpozoungo</t>
  </si>
  <si>
    <t>ZOUNGBOME</t>
  </si>
  <si>
    <t>1. Ahouandji</t>
  </si>
  <si>
    <t>2. Allagba</t>
  </si>
  <si>
    <t>3. Houèzounmè-Kpèvi</t>
  </si>
  <si>
    <t>4. Koudjannada</t>
  </si>
  <si>
    <t>5. Kpanou-Kpadé</t>
  </si>
  <si>
    <t>6. Kpolè</t>
  </si>
  <si>
    <t>7. Zoungbomè</t>
  </si>
  <si>
    <t>8. Zoungbomè Kpadjrakanmè</t>
  </si>
  <si>
    <t>AVRANKOU</t>
  </si>
  <si>
    <t>ATCHOUKPA</t>
  </si>
  <si>
    <t>1. Malé</t>
  </si>
  <si>
    <t>2. Malé-Houngo</t>
  </si>
  <si>
    <t>3. Ouindodji</t>
  </si>
  <si>
    <t>4. Tanzoun</t>
  </si>
  <si>
    <t>5. Tanzoun Bliguédé</t>
  </si>
  <si>
    <t>6. Tchoukou-Daho</t>
  </si>
  <si>
    <t>7. Todèdji</t>
  </si>
  <si>
    <t>8. Tokpa-Yonhossou</t>
  </si>
  <si>
    <t>9. Vodénou</t>
  </si>
  <si>
    <t>10. Zounguè</t>
  </si>
  <si>
    <t>1. Alawa</t>
  </si>
  <si>
    <t>2. Avaligbo</t>
  </si>
  <si>
    <t>3. Dangbodji</t>
  </si>
  <si>
    <t>4. Gbégodo</t>
  </si>
  <si>
    <t>5. Houédakomè</t>
  </si>
  <si>
    <t>6. Houézè</t>
  </si>
  <si>
    <t>7. Houndomè-Aligo</t>
  </si>
  <si>
    <t>8. Kogbomè</t>
  </si>
  <si>
    <t>9. Latchè-Houèzounmè</t>
  </si>
  <si>
    <t>10. Sèdjè</t>
  </si>
  <si>
    <t>DJOMON</t>
  </si>
  <si>
    <t>1. Affandji-Tanmè</t>
  </si>
  <si>
    <t>2. Ahovo</t>
  </si>
  <si>
    <t>3. Bokousso</t>
  </si>
  <si>
    <t>4. Danmè-Kpossou</t>
  </si>
  <si>
    <t>5. Djomon</t>
  </si>
  <si>
    <t>6. Gbétchou</t>
  </si>
  <si>
    <t>7. Gbodjè</t>
  </si>
  <si>
    <t>8. Houéli</t>
  </si>
  <si>
    <t>9. Houngo</t>
  </si>
  <si>
    <t>10. Lotin-Gbégodo</t>
  </si>
  <si>
    <t>11. Lotin-Gbèdjèhouin</t>
  </si>
  <si>
    <t>12. Sèdjè-Ahovo</t>
  </si>
  <si>
    <t>13. Sèkanmè</t>
  </si>
  <si>
    <t>GBOZOUME</t>
  </si>
  <si>
    <t>1. Agamadin</t>
  </si>
  <si>
    <t>2. Agbomassè</t>
  </si>
  <si>
    <t>3. Gbozounmè</t>
  </si>
  <si>
    <t>4. Houngon-Djinon</t>
  </si>
  <si>
    <t>5. Séligon</t>
  </si>
  <si>
    <t>KOUTI</t>
  </si>
  <si>
    <t>1. Affomadjè-Kada</t>
  </si>
  <si>
    <t>2. Gbagla-Ganfan</t>
  </si>
  <si>
    <t>3. Gbagla-Koké</t>
  </si>
  <si>
    <t>4. Gbohoungbo</t>
  </si>
  <si>
    <t>5. Gbagla-Ganfan Flonou</t>
  </si>
  <si>
    <t>6. Kouti- Logon</t>
  </si>
  <si>
    <t>7. Kouti-Karo</t>
  </si>
  <si>
    <t>8. Kouti-Yénawa</t>
  </si>
  <si>
    <t>9. Loko-Davè</t>
  </si>
  <si>
    <t>10. Tokpo</t>
  </si>
  <si>
    <t>OUANHO</t>
  </si>
  <si>
    <t>1. Gbakpo-Aclé</t>
  </si>
  <si>
    <t>2. Gbakpo-Yénou</t>
  </si>
  <si>
    <t>3. Hèhoun</t>
  </si>
  <si>
    <t>4. Ouanho</t>
  </si>
  <si>
    <t>5. Tchakla</t>
  </si>
  <si>
    <t>SADO</t>
  </si>
  <si>
    <t>1. Danmè-Tovihoudji</t>
  </si>
  <si>
    <t>2. Katé-Kliko</t>
  </si>
  <si>
    <t>3. Kotan</t>
  </si>
  <si>
    <t>4. Sado</t>
  </si>
  <si>
    <t>5. Vagnon</t>
  </si>
  <si>
    <t>6. Wamon</t>
  </si>
  <si>
    <t>BONOU</t>
  </si>
  <si>
    <t>AFFAME</t>
  </si>
  <si>
    <t>1. Affamè-Centre</t>
  </si>
  <si>
    <t>2. Agbosso</t>
  </si>
  <si>
    <t>3. Agbosso-Kota</t>
  </si>
  <si>
    <t>4. Dasso</t>
  </si>
  <si>
    <t>5. Sota</t>
  </si>
  <si>
    <t>6. Wovimè</t>
  </si>
  <si>
    <t>7. Zomaï</t>
  </si>
  <si>
    <t>ATCHONSA</t>
  </si>
  <si>
    <t>1. Agbomahan</t>
  </si>
  <si>
    <t>2. Agonhoui</t>
  </si>
  <si>
    <t>3. Agonkon</t>
  </si>
  <si>
    <t>4. Atchonsa-Centre</t>
  </si>
  <si>
    <t>5. Dogba</t>
  </si>
  <si>
    <t>6. Dogba-Hè</t>
  </si>
  <si>
    <t>7. Gboa</t>
  </si>
  <si>
    <t>1. Agbonan</t>
  </si>
  <si>
    <t>2. Atchabita</t>
  </si>
  <si>
    <t>3. Ayogo</t>
  </si>
  <si>
    <t>4. Azongbossa</t>
  </si>
  <si>
    <t>5. Bonou-Centre</t>
  </si>
  <si>
    <t>7. Ouébossou</t>
  </si>
  <si>
    <t>8. Sotinkanmè</t>
  </si>
  <si>
    <t>9. Tovoh</t>
  </si>
  <si>
    <t>DAME-WOGON</t>
  </si>
  <si>
    <t>1. Ahouanzonmè</t>
  </si>
  <si>
    <t>2. Assrossa</t>
  </si>
  <si>
    <t>3. Avlankanmè</t>
  </si>
  <si>
    <t>4. Damè-Wogon</t>
  </si>
  <si>
    <t>5. Gnanhoui Zounmè</t>
  </si>
  <si>
    <t>HOUNVIGUE</t>
  </si>
  <si>
    <t>1. Abêokouta</t>
  </si>
  <si>
    <t>2. Adido</t>
  </si>
  <si>
    <t>3. Allankpon</t>
  </si>
  <si>
    <t>4. Attankpè</t>
  </si>
  <si>
    <t>5. Azonzounmè</t>
  </si>
  <si>
    <t>6. Hounviguè</t>
  </si>
  <si>
    <t>DANGBO</t>
  </si>
  <si>
    <t>1. Dangbo</t>
  </si>
  <si>
    <t>2. Dangbo Honmè</t>
  </si>
  <si>
    <t>3. Dogla</t>
  </si>
  <si>
    <t>4. Dokomè</t>
  </si>
  <si>
    <t>5. Ké</t>
  </si>
  <si>
    <t>6. Monnotokpa</t>
  </si>
  <si>
    <t>7. Tovè</t>
  </si>
  <si>
    <t>DEKIN</t>
  </si>
  <si>
    <t>1. Affio</t>
  </si>
  <si>
    <t>2. Aligbo</t>
  </si>
  <si>
    <t>3. Hounhouè</t>
  </si>
  <si>
    <t>4. Kodékpémè</t>
  </si>
  <si>
    <t>5. Togbohounsou</t>
  </si>
  <si>
    <t>GBEKO</t>
  </si>
  <si>
    <t>1. Agbanta</t>
  </si>
  <si>
    <t>2. Allanwadan</t>
  </si>
  <si>
    <t>3. Danko</t>
  </si>
  <si>
    <t>4. Gbéko Centre</t>
  </si>
  <si>
    <t>5. Gbéko Dékangbo</t>
  </si>
  <si>
    <t>6. Gbéko Sioli</t>
  </si>
  <si>
    <t>7. Gbèssoumè</t>
  </si>
  <si>
    <t>8. Sèho Djigbé</t>
  </si>
  <si>
    <t>HOUEDOMEY</t>
  </si>
  <si>
    <t>2. Agbonou</t>
  </si>
  <si>
    <t>3. Agondo</t>
  </si>
  <si>
    <t>4. Agonguè</t>
  </si>
  <si>
    <t>5. Damè</t>
  </si>
  <si>
    <t>6. Dèwémè-Daho</t>
  </si>
  <si>
    <t>7. Houédomey</t>
  </si>
  <si>
    <t>8. Sodji</t>
  </si>
  <si>
    <t>9. Wozounmey</t>
  </si>
  <si>
    <t>HOZIN</t>
  </si>
  <si>
    <t>1. Akpamè</t>
  </si>
  <si>
    <t>2. Akpamè Vèvi</t>
  </si>
  <si>
    <t>3. Djigbé</t>
  </si>
  <si>
    <t>4. Djigbé Houngon</t>
  </si>
  <si>
    <t>5. Hondji</t>
  </si>
  <si>
    <t>6. Hozin</t>
  </si>
  <si>
    <t>7. Lakè</t>
  </si>
  <si>
    <t>8. Tokpa-Koudjota</t>
  </si>
  <si>
    <t>KESSOUNOU</t>
  </si>
  <si>
    <t>1. Glahounsa</t>
  </si>
  <si>
    <t>2. Glahounsa Sèmè</t>
  </si>
  <si>
    <t>3. Hètin-Gléhoué</t>
  </si>
  <si>
    <t>4. Hètin-Sota</t>
  </si>
  <si>
    <t>5. Kessounou</t>
  </si>
  <si>
    <t>6. Kodonou</t>
  </si>
  <si>
    <t>ZOUNGUE</t>
  </si>
  <si>
    <t>2. Fingninkanmè</t>
  </si>
  <si>
    <t>3. Mitro</t>
  </si>
  <si>
    <t>4. Yokon</t>
  </si>
  <si>
    <t>5. Zounguè</t>
  </si>
  <si>
    <t>6. Zounguè Saï Lagare</t>
  </si>
  <si>
    <t>7. Zounta</t>
  </si>
  <si>
    <t>ADJA-OUERE</t>
  </si>
  <si>
    <t>1. Affacha</t>
  </si>
  <si>
    <t>2. Affessèda</t>
  </si>
  <si>
    <t>3. Dagbla</t>
  </si>
  <si>
    <t>4. Dogbo</t>
  </si>
  <si>
    <t>5. Egbé</t>
  </si>
  <si>
    <t>6. Gbagbata</t>
  </si>
  <si>
    <t>7. Houéli-Gaba</t>
  </si>
  <si>
    <t>8. Igba</t>
  </si>
  <si>
    <t>9. Itchèdè</t>
  </si>
  <si>
    <t>10. Iwoyé-Oko-Igbo</t>
  </si>
  <si>
    <t>11. Obèkè-Ouèrè</t>
  </si>
  <si>
    <t>12. Oké-Odan</t>
  </si>
  <si>
    <t>13. Oké-Odo</t>
  </si>
  <si>
    <t>14. Okoffin</t>
  </si>
  <si>
    <t>15. Toffo</t>
  </si>
  <si>
    <t>IKPINLE</t>
  </si>
  <si>
    <t>2. Attan-Ewé</t>
  </si>
  <si>
    <t>3. Attan-Ouignan-Ayétèdjou</t>
  </si>
  <si>
    <t>4. Fouditi</t>
  </si>
  <si>
    <t>5. Igbo-Iroko</t>
  </si>
  <si>
    <t>6. Igbo-Oro</t>
  </si>
  <si>
    <t>7. Ikpinlè-Itaraka</t>
  </si>
  <si>
    <t>8. Ikpinlè-Sèkanmè</t>
  </si>
  <si>
    <t>9. Ikpinlè-Yénawa</t>
  </si>
  <si>
    <t>10. Ilako-Abiala</t>
  </si>
  <si>
    <t>11. Imoro</t>
  </si>
  <si>
    <t>12. Ita-Bolarinwa</t>
  </si>
  <si>
    <t>13. Kadjola</t>
  </si>
  <si>
    <t>KPOULOU</t>
  </si>
  <si>
    <t>1. Houédamè</t>
  </si>
  <si>
    <t>2. Igbo-Aïdin</t>
  </si>
  <si>
    <t>3. Igbo-Akporo</t>
  </si>
  <si>
    <t>4. Igbo-Iroko</t>
  </si>
  <si>
    <t>5. Kpoulou</t>
  </si>
  <si>
    <t>6. Kpoulou-Idi-Ekpè</t>
  </si>
  <si>
    <t>7. Kpoulou-Itchougan</t>
  </si>
  <si>
    <t>8. Towi</t>
  </si>
  <si>
    <t>9. Trobossi</t>
  </si>
  <si>
    <t>MASSE</t>
  </si>
  <si>
    <t>1. Abadago</t>
  </si>
  <si>
    <t>2. Adjoda</t>
  </si>
  <si>
    <t>3. Ayéladjou</t>
  </si>
  <si>
    <t>4. Danhimè</t>
  </si>
  <si>
    <t>5. Egbè-Agbo</t>
  </si>
  <si>
    <t>6. Ichougbo</t>
  </si>
  <si>
    <t>7. Igbo-Ikoko</t>
  </si>
  <si>
    <t>8. Ita Aholou</t>
  </si>
  <si>
    <t>9. Massè</t>
  </si>
  <si>
    <t>10. Massè-Adjégounlè</t>
  </si>
  <si>
    <t>11. Mowobani</t>
  </si>
  <si>
    <t>12. Ogouro</t>
  </si>
  <si>
    <t>13. Oké-Ola</t>
  </si>
  <si>
    <t>14. Oko-Djèguèdè</t>
  </si>
  <si>
    <t>15. Owochandé</t>
  </si>
  <si>
    <t>16. Teffi-Okéïgbala</t>
  </si>
  <si>
    <t>OKO-AKARE</t>
  </si>
  <si>
    <t>1. Adjélémidé</t>
  </si>
  <si>
    <t>2. Ita-Aro</t>
  </si>
  <si>
    <t>3. Ita-Egbèbi</t>
  </si>
  <si>
    <t>4. Ita-Egbèbi-Alakporou</t>
  </si>
  <si>
    <t>5. Ita-Ogou</t>
  </si>
  <si>
    <t>6. Iwinka</t>
  </si>
  <si>
    <t>7. Kokorokèhoun</t>
  </si>
  <si>
    <t>8. Obanigbé-Fouditi</t>
  </si>
  <si>
    <t>9. Ogoukpatè</t>
  </si>
  <si>
    <t>10. Oko-Akaré</t>
  </si>
  <si>
    <t>11. Ologo</t>
  </si>
  <si>
    <t>12. Ologo Akpakpa</t>
  </si>
  <si>
    <t>TATONNONKON</t>
  </si>
  <si>
    <t>2. Djidagba</t>
  </si>
  <si>
    <t>3. Gbanou</t>
  </si>
  <si>
    <t>4. Itchagba-Gbadodo</t>
  </si>
  <si>
    <t>5. Itchangni</t>
  </si>
  <si>
    <t>6. Logou</t>
  </si>
  <si>
    <t>7. Missèbo</t>
  </si>
  <si>
    <t>8. Olohoungbodjè</t>
  </si>
  <si>
    <t>9. Ouignan-Gbadodo</t>
  </si>
  <si>
    <t>10. Tatonnonkon</t>
  </si>
  <si>
    <t>11. Tatonnonkon Jardin</t>
  </si>
  <si>
    <t>IFANGNI</t>
  </si>
  <si>
    <t>1. Araromi</t>
  </si>
  <si>
    <t>2. Ayétèdjou</t>
  </si>
  <si>
    <t>3. Baodjo</t>
  </si>
  <si>
    <t>4. Ganmi</t>
  </si>
  <si>
    <t>5. Gbokou</t>
  </si>
  <si>
    <t>6. Gbokoutou</t>
  </si>
  <si>
    <t>7. Idi-Oro</t>
  </si>
  <si>
    <t>8. Ifangni-Odofin</t>
  </si>
  <si>
    <t>9. Igolo</t>
  </si>
  <si>
    <t>10. Iguignanhoun</t>
  </si>
  <si>
    <t>11. Iko</t>
  </si>
  <si>
    <t>12. Ita-Elèkpètè</t>
  </si>
  <si>
    <t>13. Ita-Kpako</t>
  </si>
  <si>
    <t>14. Ita-Soumba</t>
  </si>
  <si>
    <t>15. Iyoko</t>
  </si>
  <si>
    <t>16. Oké-Odja</t>
  </si>
  <si>
    <t>17. Sori</t>
  </si>
  <si>
    <t>1. Akadja</t>
  </si>
  <si>
    <t>2. Akadja-Agamadin</t>
  </si>
  <si>
    <t>3. Akadja-Gbodjè</t>
  </si>
  <si>
    <t>4. Akadja-Goutèdo</t>
  </si>
  <si>
    <t>5. Banigbé Gare</t>
  </si>
  <si>
    <t>6. Banigbé Lokossa</t>
  </si>
  <si>
    <t>7. Banigbé-Nagot</t>
  </si>
  <si>
    <t>8. Dangban</t>
  </si>
  <si>
    <t>9. Doké</t>
  </si>
  <si>
    <t>10. Doké-Hanzoumè</t>
  </si>
  <si>
    <t>11. Doké-Sèdjè</t>
  </si>
  <si>
    <t>12. Hègo</t>
  </si>
  <si>
    <t>13. Lokossa-Alihogodo</t>
  </si>
  <si>
    <t>14. Loubé</t>
  </si>
  <si>
    <t>15. Sèdo</t>
  </si>
  <si>
    <t>LAGBE</t>
  </si>
  <si>
    <t>1. Houmbo-Djèdje</t>
  </si>
  <si>
    <t>2. Houmbo-Nagot</t>
  </si>
  <si>
    <t>3. Kouyè</t>
  </si>
  <si>
    <t>4. Lagbè</t>
  </si>
  <si>
    <t>5. Okédjéré</t>
  </si>
  <si>
    <t>6. Sobè</t>
  </si>
  <si>
    <t>7. Sobè-Ayelawadjè</t>
  </si>
  <si>
    <t>8. Sokou</t>
  </si>
  <si>
    <t>9. Sokou-Alihogbogo</t>
  </si>
  <si>
    <t>10. Zian</t>
  </si>
  <si>
    <t>KO-KOUMOLOU</t>
  </si>
  <si>
    <t>1. Kitigbo</t>
  </si>
  <si>
    <t>2. Ko-Agonkessa</t>
  </si>
  <si>
    <t>3. Ko-Ayidjèdo</t>
  </si>
  <si>
    <t>4. Ko-Dogba</t>
  </si>
  <si>
    <t>5. Ko-Gbégodo</t>
  </si>
  <si>
    <t>6. Ko-Houézè</t>
  </si>
  <si>
    <t>7. Ko-Koumolou</t>
  </si>
  <si>
    <t>8. Ko-Ogou</t>
  </si>
  <si>
    <t>9. Ko-Zoungodo</t>
  </si>
  <si>
    <t>DAAGBE</t>
  </si>
  <si>
    <t>1. Adanmayi</t>
  </si>
  <si>
    <t>2. Daagbé-Djèdje</t>
  </si>
  <si>
    <t>3. Daagbé-Nagot</t>
  </si>
  <si>
    <t>4. Loko-Koukou</t>
  </si>
  <si>
    <t>5. Dan</t>
  </si>
  <si>
    <t>6. Djégou-Djèdje</t>
  </si>
  <si>
    <t>7. Djégou-Ayidjèdo</t>
  </si>
  <si>
    <t>8. Djégou-Nagot</t>
  </si>
  <si>
    <t>9. Gblogblo</t>
  </si>
  <si>
    <t>10. Gblogblo Agbodjèdo</t>
  </si>
  <si>
    <t>TCHAADA</t>
  </si>
  <si>
    <t>2. Dessah</t>
  </si>
  <si>
    <t>3. Kétou Gbécon</t>
  </si>
  <si>
    <t>4. Kétoukpè</t>
  </si>
  <si>
    <t>5. Ko-Anagodo</t>
  </si>
  <si>
    <t>6. Mongba</t>
  </si>
  <si>
    <t>7. Tamondo</t>
  </si>
  <si>
    <t>8. Tchaada Centre</t>
  </si>
  <si>
    <t>SAKETE</t>
  </si>
  <si>
    <t>AGUIDI</t>
  </si>
  <si>
    <t>1. Agada-Hounmè</t>
  </si>
  <si>
    <t>2. Akpéchi</t>
  </si>
  <si>
    <t>3. Assa-Gamè</t>
  </si>
  <si>
    <t>4. Assa-Idioché</t>
  </si>
  <si>
    <t>5. Barigbo-Owodé</t>
  </si>
  <si>
    <t>6. Ibadja Sodji</t>
  </si>
  <si>
    <t>7. Idjiboro</t>
  </si>
  <si>
    <t>8. Igbo Egan</t>
  </si>
  <si>
    <t>9. Ikpédjilé</t>
  </si>
  <si>
    <t>10. Illako Idioro</t>
  </si>
  <si>
    <t>11. Illoro Aguidi</t>
  </si>
  <si>
    <t>12. Illougou-Kossomi</t>
  </si>
  <si>
    <t>13. Ita Alabè</t>
  </si>
  <si>
    <t>14. Ita-Ayinla</t>
  </si>
  <si>
    <t>15. Kobèdjo</t>
  </si>
  <si>
    <t>16. Makpa</t>
  </si>
  <si>
    <t>17. Modogan</t>
  </si>
  <si>
    <t>ITA-DJEBOU</t>
  </si>
  <si>
    <t>2. Araromi Ita-Akadi</t>
  </si>
  <si>
    <t>3. Attan Okouta-Kadjola</t>
  </si>
  <si>
    <t>4. Attan-Onibédji</t>
  </si>
  <si>
    <t>5. Ayétoro Oké Awo</t>
  </si>
  <si>
    <t>6. Igba</t>
  </si>
  <si>
    <t>7. Igbo- Assan</t>
  </si>
  <si>
    <t>8. Igbo-Abikou</t>
  </si>
  <si>
    <t>9. Igbola</t>
  </si>
  <si>
    <t>10. Illako Faadji-Ita AKpinty</t>
  </si>
  <si>
    <t>11. Iwéré</t>
  </si>
  <si>
    <t>12. Makpohou</t>
  </si>
  <si>
    <t>SAKETE 1</t>
  </si>
  <si>
    <t>2. Aribidessi</t>
  </si>
  <si>
    <t>3. Attêwo Lara</t>
  </si>
  <si>
    <t>4. Dagbao</t>
  </si>
  <si>
    <t>5. Dégoun</t>
  </si>
  <si>
    <t>6. Djoko</t>
  </si>
  <si>
    <t>7. Gbokoudaï</t>
  </si>
  <si>
    <t>8. Igbo-Eyê</t>
  </si>
  <si>
    <t>9. Ita Oro-Irédé</t>
  </si>
  <si>
    <t>10. Kadjola</t>
  </si>
  <si>
    <t>11. Kologbo Mèkè</t>
  </si>
  <si>
    <t>12. Kossi</t>
  </si>
  <si>
    <t>13. Moro</t>
  </si>
  <si>
    <t>14. Odanyogoun</t>
  </si>
  <si>
    <t>15. Odella</t>
  </si>
  <si>
    <t>16. Sodji</t>
  </si>
  <si>
    <t>17. Suru Léré</t>
  </si>
  <si>
    <t>SAKETE 2</t>
  </si>
  <si>
    <t>2. Dèguè</t>
  </si>
  <si>
    <t>3. Gbozounmon</t>
  </si>
  <si>
    <t>4. Hounmè</t>
  </si>
  <si>
    <t>5. Igbo-Akpa</t>
  </si>
  <si>
    <t>6. Issalè Eko</t>
  </si>
  <si>
    <t>7. Ita Gbokou</t>
  </si>
  <si>
    <t>8. Odanrégoun</t>
  </si>
  <si>
    <t>9. Waï</t>
  </si>
  <si>
    <t>10. Yogou Tohou</t>
  </si>
  <si>
    <t>11. Zimon</t>
  </si>
  <si>
    <t>TAKON</t>
  </si>
  <si>
    <t>1. Adjohoun-Kollé</t>
  </si>
  <si>
    <t>2. Adjohoun-Kollédjèdjè</t>
  </si>
  <si>
    <t>3. Akadja</t>
  </si>
  <si>
    <t>4. Ayidjèdo</t>
  </si>
  <si>
    <t>5. Ayita</t>
  </si>
  <si>
    <t>6. Dra</t>
  </si>
  <si>
    <t>7. Gbagla Nounagnon</t>
  </si>
  <si>
    <t>8. Gbougbouta</t>
  </si>
  <si>
    <t>9. Houègbo</t>
  </si>
  <si>
    <t>10. Ikêmon</t>
  </si>
  <si>
    <t>11. Oké</t>
  </si>
  <si>
    <t>12. Takon Centre</t>
  </si>
  <si>
    <t>YOKO</t>
  </si>
  <si>
    <t>2. Araromi</t>
  </si>
  <si>
    <t>3. Gbagla-Yovogbédji</t>
  </si>
  <si>
    <t>4. Illasso Nagot</t>
  </si>
  <si>
    <t>5. Illasso Saharo</t>
  </si>
  <si>
    <t>6. Okéïgbo</t>
  </si>
  <si>
    <t>7. Saharo Djèdjè</t>
  </si>
  <si>
    <t>8. Saharo Nagot</t>
  </si>
  <si>
    <t>9. Sanrin-Kpinlè</t>
  </si>
  <si>
    <t>10. Tota</t>
  </si>
  <si>
    <t>11. Yoko Centre</t>
  </si>
  <si>
    <t>KETOU</t>
  </si>
  <si>
    <t>ADAKPLAME</t>
  </si>
  <si>
    <t>1. Adakplamè</t>
  </si>
  <si>
    <t>2. Agonlin-Kpahou</t>
  </si>
  <si>
    <t>3. Aguigadji</t>
  </si>
  <si>
    <t>4. Dogo</t>
  </si>
  <si>
    <t>5. Edènou</t>
  </si>
  <si>
    <t>6. Ewè</t>
  </si>
  <si>
    <t>7. Gbaka-Nanzè</t>
  </si>
  <si>
    <t>8. Kinwo</t>
  </si>
  <si>
    <t>9. Kozounvi</t>
  </si>
  <si>
    <t>10. Ohizihan</t>
  </si>
  <si>
    <t>IDIGNY</t>
  </si>
  <si>
    <t>1. Akpakamè</t>
  </si>
  <si>
    <t>2. Alagbé- Illikimoun</t>
  </si>
  <si>
    <t>3. Awaya</t>
  </si>
  <si>
    <t>4. Ayékotonian</t>
  </si>
  <si>
    <t>5. Effèoutè</t>
  </si>
  <si>
    <t>6. Emèda- Igboïloukan</t>
  </si>
  <si>
    <t>7. Idigny</t>
  </si>
  <si>
    <t>8. Idjédjé</t>
  </si>
  <si>
    <t>9. Igbo-Igannan</t>
  </si>
  <si>
    <t>10. Illadji</t>
  </si>
  <si>
    <t>11. Illara-Kanga</t>
  </si>
  <si>
    <t>12. Illèchin</t>
  </si>
  <si>
    <t>13. Illikimoun</t>
  </si>
  <si>
    <t>14. Illikimoun-Kolly</t>
  </si>
  <si>
    <t>15. Issèlou</t>
  </si>
  <si>
    <t>16. Iwéssoun</t>
  </si>
  <si>
    <t>17. Iwoyé-Bénin</t>
  </si>
  <si>
    <t>18. Obatèdo</t>
  </si>
  <si>
    <t>19. Oguélété</t>
  </si>
  <si>
    <t>1. Assèna</t>
  </si>
  <si>
    <t>2. Atchoubi</t>
  </si>
  <si>
    <t>3. Awaï</t>
  </si>
  <si>
    <t>4. Ayélawadjè</t>
  </si>
  <si>
    <t>5. Dagbandji</t>
  </si>
  <si>
    <t>6. Idadjè</t>
  </si>
  <si>
    <t>7. Idéna</t>
  </si>
  <si>
    <t>8. Idjabo</t>
  </si>
  <si>
    <t>9. Idoufin</t>
  </si>
  <si>
    <t>10. Igui-Olou</t>
  </si>
  <si>
    <t>11. Inansè</t>
  </si>
  <si>
    <t>12. Iradigban</t>
  </si>
  <si>
    <t>13. Massafè</t>
  </si>
  <si>
    <t>14. Obafèmi</t>
  </si>
  <si>
    <t>15. Odi- Aro</t>
  </si>
  <si>
    <t>16. Oguidigbo</t>
  </si>
  <si>
    <t>17. Oké-Ola</t>
  </si>
  <si>
    <t>18. Olorounshogo</t>
  </si>
  <si>
    <t>19. Ossokodjo</t>
  </si>
  <si>
    <t>KPANKOU</t>
  </si>
  <si>
    <t>1. Adjozounmè</t>
  </si>
  <si>
    <t>2. Agozounmè</t>
  </si>
  <si>
    <t>3. Aguidi</t>
  </si>
  <si>
    <t>4. Akpambaou</t>
  </si>
  <si>
    <t>5. Alakouta</t>
  </si>
  <si>
    <t>6. Ayékou</t>
  </si>
  <si>
    <t>7. Ayétèdjou</t>
  </si>
  <si>
    <t>8. Gangnigon</t>
  </si>
  <si>
    <t>9. Gbègon</t>
  </si>
  <si>
    <t>10. Kajola</t>
  </si>
  <si>
    <t>11. Kpankou</t>
  </si>
  <si>
    <t>12. Mowodani</t>
  </si>
  <si>
    <t>13. Odokoto</t>
  </si>
  <si>
    <t>14. Sodji</t>
  </si>
  <si>
    <t>15. Vedji</t>
  </si>
  <si>
    <t>16. Woroko</t>
  </si>
  <si>
    <t>17. Zounguè-Igboola</t>
  </si>
  <si>
    <t>18. Zounkpè-Etigbo</t>
  </si>
  <si>
    <t>ODOMETA</t>
  </si>
  <si>
    <t>1. Atanka</t>
  </si>
  <si>
    <t>2. Atan-Ochoukpa</t>
  </si>
  <si>
    <t>3. Bolorounfè</t>
  </si>
  <si>
    <t>4. Igbo- Edè</t>
  </si>
  <si>
    <t>5. Kêwi</t>
  </si>
  <si>
    <t>6. Odomèta</t>
  </si>
  <si>
    <t>7. Oloka</t>
  </si>
  <si>
    <t>OKPOMETA</t>
  </si>
  <si>
    <t>1. Idjou</t>
  </si>
  <si>
    <t>2. Ikoko</t>
  </si>
  <si>
    <t>3. Imonlè-Ayo</t>
  </si>
  <si>
    <t>4. Ofia</t>
  </si>
  <si>
    <t>5. Okpomèta</t>
  </si>
  <si>
    <t>6. Omou</t>
  </si>
  <si>
    <t>POBE</t>
  </si>
  <si>
    <t>AHOYEYE</t>
  </si>
  <si>
    <t>1. Ahoyèyè</t>
  </si>
  <si>
    <t>2. Akpaman</t>
  </si>
  <si>
    <t>3. Banigbé</t>
  </si>
  <si>
    <t>4. Idi-Oro</t>
  </si>
  <si>
    <t>5. Igbidi</t>
  </si>
  <si>
    <t>6. Issalé-Ibèrè</t>
  </si>
  <si>
    <t>7. Ita-Adélèyè</t>
  </si>
  <si>
    <t>8. Oké-Ita</t>
  </si>
  <si>
    <t>2. Adjissou</t>
  </si>
  <si>
    <t>3. Akouho</t>
  </si>
  <si>
    <t>4. Ayérè-Agbarou</t>
  </si>
  <si>
    <t>5. Ayétèdjou</t>
  </si>
  <si>
    <t>6. Idogan</t>
  </si>
  <si>
    <t>7. Igboïché</t>
  </si>
  <si>
    <t>8. Illoussa-Ossomou</t>
  </si>
  <si>
    <t>9. Issalè –Affin</t>
  </si>
  <si>
    <t>10. Issalè- Affin Douane</t>
  </si>
  <si>
    <t>11. Ita-Atinga</t>
  </si>
  <si>
    <t>12. Itchéko</t>
  </si>
  <si>
    <t>13. Mamagué</t>
  </si>
  <si>
    <t>14. Oké Ata</t>
  </si>
  <si>
    <t>15. Oké Ola</t>
  </si>
  <si>
    <t>16. Pobè-Nord</t>
  </si>
  <si>
    <t>17. Talala</t>
  </si>
  <si>
    <t>IGANA</t>
  </si>
  <si>
    <t>1. Agbelè</t>
  </si>
  <si>
    <t>2. Akpaté</t>
  </si>
  <si>
    <t>3. Eguélou</t>
  </si>
  <si>
    <t>4. Igana</t>
  </si>
  <si>
    <t>5. Igbo-Assogba</t>
  </si>
  <si>
    <t>6. Ihoro</t>
  </si>
  <si>
    <t>7. Illèmon</t>
  </si>
  <si>
    <t>8. Ogouba</t>
  </si>
  <si>
    <t>ISSABA</t>
  </si>
  <si>
    <t>1. Abba</t>
  </si>
  <si>
    <t>2. Atchaga</t>
  </si>
  <si>
    <t>3. Gbanago</t>
  </si>
  <si>
    <t>4. Igbo-Ewé</t>
  </si>
  <si>
    <t>5. Illèkpa</t>
  </si>
  <si>
    <t>6. Illoulofin</t>
  </si>
  <si>
    <t>7. Issaba</t>
  </si>
  <si>
    <t>8. Itchagba</t>
  </si>
  <si>
    <t>9. Itchakpo</t>
  </si>
  <si>
    <t>10. Itchédé</t>
  </si>
  <si>
    <t>11. Itchoché</t>
  </si>
  <si>
    <t>12. Iwoyé</t>
  </si>
  <si>
    <t>14. Ketty</t>
  </si>
  <si>
    <t>15. Onigbolo</t>
  </si>
  <si>
    <t>16. Ouignan-Ilé</t>
  </si>
  <si>
    <t>TOWE</t>
  </si>
  <si>
    <t>1. Chaffou</t>
  </si>
  <si>
    <t>2. Ibaté</t>
  </si>
  <si>
    <t>3. Iga</t>
  </si>
  <si>
    <t>4. Igbo-Edè</t>
  </si>
  <si>
    <t>5. Igbokofin-Eguélou</t>
  </si>
  <si>
    <t>6. Igbo-Ocho</t>
  </si>
  <si>
    <t>7. Lafènwa</t>
  </si>
  <si>
    <t>8. Otèkotan</t>
  </si>
  <si>
    <t>9. Towé</t>
  </si>
  <si>
    <t>ZOU</t>
  </si>
  <si>
    <t>ABOMEY</t>
  </si>
  <si>
    <t>AGBOKPA</t>
  </si>
  <si>
    <t>1. Akouessa</t>
  </si>
  <si>
    <t>2. Dokon</t>
  </si>
  <si>
    <t>3. Gnansata</t>
  </si>
  <si>
    <t>4. Ouémè</t>
  </si>
  <si>
    <t>5. Sonou Akouta</t>
  </si>
  <si>
    <t>6. Sonou Fiyè</t>
  </si>
  <si>
    <t>DETOHOU</t>
  </si>
  <si>
    <t>1. Allomakanmè</t>
  </si>
  <si>
    <t>2. Détohou Centre</t>
  </si>
  <si>
    <t>3. Guèguèzogon</t>
  </si>
  <si>
    <t>4. Kodji Centre</t>
  </si>
  <si>
    <t>5. Wo-Tangadji</t>
  </si>
  <si>
    <t>1. Djègbé</t>
  </si>
  <si>
    <t>2. Goho</t>
  </si>
  <si>
    <t>3. Tohizanly</t>
  </si>
  <si>
    <t>4. Sohouè</t>
  </si>
  <si>
    <t>5. Gbècon-Houégbo</t>
  </si>
  <si>
    <t>6. Djimè</t>
  </si>
  <si>
    <t>7. Sogbo-Aliho</t>
  </si>
  <si>
    <t>HOUNLI</t>
  </si>
  <si>
    <t>1. Agblomè</t>
  </si>
  <si>
    <t>2. Agnangnan</t>
  </si>
  <si>
    <t>3. Azali</t>
  </si>
  <si>
    <t>4. Gbèkon Hounli</t>
  </si>
  <si>
    <t>5. Vèkpa</t>
  </si>
  <si>
    <t>6. Wankon</t>
  </si>
  <si>
    <t>7. Zassa</t>
  </si>
  <si>
    <t>SEHOUN</t>
  </si>
  <si>
    <t>1. Houao</t>
  </si>
  <si>
    <t>2. Houéli</t>
  </si>
  <si>
    <t>3. Lèlè</t>
  </si>
  <si>
    <t>4. Sèhoun</t>
  </si>
  <si>
    <t>VIDOLE</t>
  </si>
  <si>
    <t>1. Adandokpodji</t>
  </si>
  <si>
    <t>2. Agbodjannangan</t>
  </si>
  <si>
    <t>3. Ahouaga</t>
  </si>
  <si>
    <t>4. Doguèmè</t>
  </si>
  <si>
    <t>5. Dota</t>
  </si>
  <si>
    <t>6. Hountondji</t>
  </si>
  <si>
    <t>7. Sada</t>
  </si>
  <si>
    <t>ZOUNZONME</t>
  </si>
  <si>
    <t>1. Dilikotcho</t>
  </si>
  <si>
    <t>2. Gbèhizankon</t>
  </si>
  <si>
    <t>3. Lègbaholi</t>
  </si>
  <si>
    <t>4. Lokokanmè</t>
  </si>
  <si>
    <t>5. Zounzonmè</t>
  </si>
  <si>
    <t>AGBANGNIZOUN</t>
  </si>
  <si>
    <t>ADANHONDJIGO</t>
  </si>
  <si>
    <t>1. Adanhondjigon</t>
  </si>
  <si>
    <t>2. Azozoundji</t>
  </si>
  <si>
    <t>3. Gnizinta</t>
  </si>
  <si>
    <t>4. Kpatinmè</t>
  </si>
  <si>
    <t>5. Tangoudo</t>
  </si>
  <si>
    <t>ADINGNIGON</t>
  </si>
  <si>
    <t>1. Adingnigon</t>
  </si>
  <si>
    <t>2. Makpéhogon</t>
  </si>
  <si>
    <t>3. Tossota</t>
  </si>
  <si>
    <t>1. Agbangnizoun</t>
  </si>
  <si>
    <t>2. Akpého-Dokpa</t>
  </si>
  <si>
    <t>3. Akpého-Sèmè</t>
  </si>
  <si>
    <t>4. Avali</t>
  </si>
  <si>
    <t>5. Azankpanto</t>
  </si>
  <si>
    <t>KINTA</t>
  </si>
  <si>
    <t>1. Agbidimè</t>
  </si>
  <si>
    <t>2. Ahissatogon</t>
  </si>
  <si>
    <t>3. Danli</t>
  </si>
  <si>
    <t>4. Gbindounmè</t>
  </si>
  <si>
    <t>5. Wèdjè</t>
  </si>
  <si>
    <t>KPOTA</t>
  </si>
  <si>
    <t>1. Ahouakanmè</t>
  </si>
  <si>
    <t>2. Akodébakou</t>
  </si>
  <si>
    <t>3. Hagbladou</t>
  </si>
  <si>
    <t>5. Zounmè</t>
  </si>
  <si>
    <t>LISSAZOUNME</t>
  </si>
  <si>
    <t>1. Dilly-Fanou</t>
  </si>
  <si>
    <t>2. Houndo</t>
  </si>
  <si>
    <t>3. Lissazounmè</t>
  </si>
  <si>
    <t>4. Mignonhito</t>
  </si>
  <si>
    <t>5. Oungbènoudo</t>
  </si>
  <si>
    <t>6. Sèkidjato</t>
  </si>
  <si>
    <t>7. Zoungbo-Gblomè</t>
  </si>
  <si>
    <t>SAHE</t>
  </si>
  <si>
    <t>1. Abigo</t>
  </si>
  <si>
    <t>2. Fonli</t>
  </si>
  <si>
    <t>3. Gbozoun 1</t>
  </si>
  <si>
    <t>4. Gbozoun 2</t>
  </si>
  <si>
    <t>5. Loukpé</t>
  </si>
  <si>
    <t>6. Sohouè-Dovota</t>
  </si>
  <si>
    <t>SINWE</t>
  </si>
  <si>
    <t>2. Dodomè</t>
  </si>
  <si>
    <t>3. Hounto</t>
  </si>
  <si>
    <t>4. Lègo</t>
  </si>
  <si>
    <t>TANVE</t>
  </si>
  <si>
    <t>1. Dékanmè</t>
  </si>
  <si>
    <t>2. Gboli</t>
  </si>
  <si>
    <t>3. Hodja</t>
  </si>
  <si>
    <t>6. Tanvè</t>
  </si>
  <si>
    <t>7. Towéta</t>
  </si>
  <si>
    <t>ZOUNGOUNDO</t>
  </si>
  <si>
    <t>1. Dodji</t>
  </si>
  <si>
    <t>2. Kanzoun</t>
  </si>
  <si>
    <t>3. Kpoto</t>
  </si>
  <si>
    <t>4. Tokpa</t>
  </si>
  <si>
    <t>5. Zoungoudo</t>
  </si>
  <si>
    <t>BOHICON</t>
  </si>
  <si>
    <t>AGONGOINTO</t>
  </si>
  <si>
    <t>1. Fléli</t>
  </si>
  <si>
    <t>2. Manaboè</t>
  </si>
  <si>
    <t>3. Zakanmè</t>
  </si>
  <si>
    <t>4. Zoungoudo</t>
  </si>
  <si>
    <t>AVOGBANNA</t>
  </si>
  <si>
    <t>2. Agbokou</t>
  </si>
  <si>
    <t>3. Ahouadanou</t>
  </si>
  <si>
    <t>4. Gbéto</t>
  </si>
  <si>
    <t>6. Zounzonmè</t>
  </si>
  <si>
    <t>BOHICON I</t>
  </si>
  <si>
    <t>1. Agbadjagon</t>
  </si>
  <si>
    <t>2. Agbangon</t>
  </si>
  <si>
    <t>3. Agbanwémè</t>
  </si>
  <si>
    <t>5. Aïwémè</t>
  </si>
  <si>
    <t>6. Djèssouhogon</t>
  </si>
  <si>
    <t>7. Djognangbo</t>
  </si>
  <si>
    <t>8. Hèzonho</t>
  </si>
  <si>
    <t>9. Houndonho</t>
  </si>
  <si>
    <t>10. Kpatalocoli</t>
  </si>
  <si>
    <t>11. Sèhouèho</t>
  </si>
  <si>
    <t>BOHICON II</t>
  </si>
  <si>
    <t>1. Adamè-Ahito</t>
  </si>
  <si>
    <t>2. Agonvèzoun</t>
  </si>
  <si>
    <t>3. Ahouamè-Ahito</t>
  </si>
  <si>
    <t>4. Dokon</t>
  </si>
  <si>
    <t>5. Gancon-Ponsa</t>
  </si>
  <si>
    <t>6. Gbanhicon</t>
  </si>
  <si>
    <t>7. Honmèho</t>
  </si>
  <si>
    <t>8. Kodota</t>
  </si>
  <si>
    <t>9. Kpocon</t>
  </si>
  <si>
    <t>10. Siliho</t>
  </si>
  <si>
    <t>11. Sogba</t>
  </si>
  <si>
    <t>12. Zakpo-Agadamè</t>
  </si>
  <si>
    <t>GNIDJAZOUN</t>
  </si>
  <si>
    <t>1. Adamè-Adato</t>
  </si>
  <si>
    <t>2. Aligoudo</t>
  </si>
  <si>
    <t>3. Gnidjazoun</t>
  </si>
  <si>
    <t>LISSEZOUN</t>
  </si>
  <si>
    <t>1. Adagamè-Lisèzoun</t>
  </si>
  <si>
    <t>3. Houndon</t>
  </si>
  <si>
    <t>4. Lissèzoun</t>
  </si>
  <si>
    <t>OUASSAHO</t>
  </si>
  <si>
    <t>1. Ahouali</t>
  </si>
  <si>
    <t>2. Attogouin</t>
  </si>
  <si>
    <t>3. Ouassaho</t>
  </si>
  <si>
    <t>4. Volli</t>
  </si>
  <si>
    <t>5. Wangnassa</t>
  </si>
  <si>
    <t>6. Zounzonsa</t>
  </si>
  <si>
    <t>PASSAGON</t>
  </si>
  <si>
    <t>1. Djonouta</t>
  </si>
  <si>
    <t>2. Hélou</t>
  </si>
  <si>
    <t>3. Lotcho</t>
  </si>
  <si>
    <t>4. Massè-Gbamè</t>
  </si>
  <si>
    <t>5. Sokpadelli</t>
  </si>
  <si>
    <t>6. Tovigomè</t>
  </si>
  <si>
    <t>SACLO</t>
  </si>
  <si>
    <t>1. Atchonmè</t>
  </si>
  <si>
    <t>2. Saclo-Alikpa</t>
  </si>
  <si>
    <t>3. Saclo – Sokon</t>
  </si>
  <si>
    <t>SODOHOME</t>
  </si>
  <si>
    <t>1. Adanminakougon</t>
  </si>
  <si>
    <t>2. Alikpa</t>
  </si>
  <si>
    <t>3. Edjêgbinmêgon</t>
  </si>
  <si>
    <t>4. Lokodavè</t>
  </si>
  <si>
    <t>5. Lokozoun</t>
  </si>
  <si>
    <t>6. Madjè</t>
  </si>
  <si>
    <t>7. Sodohomè</t>
  </si>
  <si>
    <t>8. Todo</t>
  </si>
  <si>
    <t>9. Vèhou</t>
  </si>
  <si>
    <t>10. Zounkpa-Agbotogon</t>
  </si>
  <si>
    <t>DJIDJA</t>
  </si>
  <si>
    <t>AGONDJI</t>
  </si>
  <si>
    <t>1. Agblokpa</t>
  </si>
  <si>
    <t>2. Avokanzoun</t>
  </si>
  <si>
    <t>3. Djoho</t>
  </si>
  <si>
    <t>4. Fonkpamè</t>
  </si>
  <si>
    <t>5. Goutchon</t>
  </si>
  <si>
    <t>6. Savakon</t>
  </si>
  <si>
    <t>AGOUNA</t>
  </si>
  <si>
    <t>1. Assan</t>
  </si>
  <si>
    <t>2. Awotrele</t>
  </si>
  <si>
    <t>3. Dénou</t>
  </si>
  <si>
    <t>4. Djrékpédji</t>
  </si>
  <si>
    <t>5. Gangan</t>
  </si>
  <si>
    <t>6. Kouékouékanmè</t>
  </si>
  <si>
    <t>7. Koutagba</t>
  </si>
  <si>
    <t>8. Sankpiti</t>
  </si>
  <si>
    <t>9. Tokpé</t>
  </si>
  <si>
    <t>10. Zoungahou</t>
  </si>
  <si>
    <t>DAN</t>
  </si>
  <si>
    <t>1. Agbohoutogon</t>
  </si>
  <si>
    <t>2. Assantoun</t>
  </si>
  <si>
    <t>3. Daanon-Kpota</t>
  </si>
  <si>
    <t>4. Dan</t>
  </si>
  <si>
    <t>5. Dridji</t>
  </si>
  <si>
    <t>6. Hanagbo</t>
  </si>
  <si>
    <t>7. Lalo</t>
  </si>
  <si>
    <t>8. Linsinlin</t>
  </si>
  <si>
    <t>9. Wokou</t>
  </si>
  <si>
    <t>1. Agondokpoé</t>
  </si>
  <si>
    <t>2. Agonhohoun</t>
  </si>
  <si>
    <t>3. Djessi</t>
  </si>
  <si>
    <t>4. Djidja-Aligoudo</t>
  </si>
  <si>
    <t>5. Dona</t>
  </si>
  <si>
    <t>6. Gbihoungon</t>
  </si>
  <si>
    <t>7. Hounvi</t>
  </si>
  <si>
    <t>8. Komè</t>
  </si>
  <si>
    <t>9. Madjavi</t>
  </si>
  <si>
    <t>10. Sawlakpa</t>
  </si>
  <si>
    <t>11. Sovlegni</t>
  </si>
  <si>
    <t>12. Wogbaye</t>
  </si>
  <si>
    <t>13. Yè</t>
  </si>
  <si>
    <t>14. Zakan</t>
  </si>
  <si>
    <t>15. Zinkanmè</t>
  </si>
  <si>
    <t>DOHOUIME</t>
  </si>
  <si>
    <t>1. Bohoué</t>
  </si>
  <si>
    <t>2. Dohouimè</t>
  </si>
  <si>
    <t>3. Hevi</t>
  </si>
  <si>
    <t>4. Honhoun</t>
  </si>
  <si>
    <t>5. Houkpa</t>
  </si>
  <si>
    <t>6. Zadakon</t>
  </si>
  <si>
    <t>GOBAIX</t>
  </si>
  <si>
    <t>1. Ahokanmè</t>
  </si>
  <si>
    <t>2. Betta</t>
  </si>
  <si>
    <t>3. Bookou</t>
  </si>
  <si>
    <t>4. Gobaix</t>
  </si>
  <si>
    <t>5. Lagbado</t>
  </si>
  <si>
    <t>6. Lakpo</t>
  </si>
  <si>
    <t>HOUTO</t>
  </si>
  <si>
    <t>1. Aklinmè</t>
  </si>
  <si>
    <t>2. Amontika</t>
  </si>
  <si>
    <t>3. Chié</t>
  </si>
  <si>
    <t>4. Houto</t>
  </si>
  <si>
    <t>5. Kokoroko</t>
  </si>
  <si>
    <t>6. Vévi</t>
  </si>
  <si>
    <t>MOUGNON</t>
  </si>
  <si>
    <t>1. Adamè-Houeglo</t>
  </si>
  <si>
    <t>2. Kpakpanènè</t>
  </si>
  <si>
    <t>3. Lèlè-Adato</t>
  </si>
  <si>
    <t>4. Mougnon-Aké</t>
  </si>
  <si>
    <t>5. Mougnon-Kossou</t>
  </si>
  <si>
    <t>6. Tossota</t>
  </si>
  <si>
    <t>MONSOUROU</t>
  </si>
  <si>
    <t>1. Amakpa</t>
  </si>
  <si>
    <t>2. Fonkpodji</t>
  </si>
  <si>
    <t>3. Gounoukouin</t>
  </si>
  <si>
    <t>4. Katakènon</t>
  </si>
  <si>
    <t>5. Kohougon</t>
  </si>
  <si>
    <t>6. Kougbadji</t>
  </si>
  <si>
    <t>7. Lobeta</t>
  </si>
  <si>
    <t>8. Monsourou</t>
  </si>
  <si>
    <t>9. Yagbanougon</t>
  </si>
  <si>
    <t>OUMBEGAME</t>
  </si>
  <si>
    <t>3. Aïhouidji</t>
  </si>
  <si>
    <t>4. Kingbè</t>
  </si>
  <si>
    <t>5. Kpétèta</t>
  </si>
  <si>
    <t>6. Lotcho-Ahouamè</t>
  </si>
  <si>
    <t>7. Lotcho-Daho</t>
  </si>
  <si>
    <t>8. Sozoun</t>
  </si>
  <si>
    <t>9. Tannouho</t>
  </si>
  <si>
    <t>SETTO</t>
  </si>
  <si>
    <t>1. Gbadagba</t>
  </si>
  <si>
    <t>2. Kassèhlo</t>
  </si>
  <si>
    <t>3. Magassa</t>
  </si>
  <si>
    <t>4. Nontchédigbé</t>
  </si>
  <si>
    <t>5. Saloudji</t>
  </si>
  <si>
    <t>6. Setto</t>
  </si>
  <si>
    <t>7. Tokégon</t>
  </si>
  <si>
    <t>8. ToKounkoun</t>
  </si>
  <si>
    <t>ZOUNKON</t>
  </si>
  <si>
    <t>1. Ahozoun</t>
  </si>
  <si>
    <t>2. Ayogbé</t>
  </si>
  <si>
    <t>3. Danmlonkou</t>
  </si>
  <si>
    <t>4. Zounkon</t>
  </si>
  <si>
    <t>COVE</t>
  </si>
  <si>
    <t>ADOGBE</t>
  </si>
  <si>
    <t>1. Azéhounholi</t>
  </si>
  <si>
    <t>2. Domè</t>
  </si>
  <si>
    <t>3. Voli</t>
  </si>
  <si>
    <t>4. Zounsègo</t>
  </si>
  <si>
    <t>HOUEKO</t>
  </si>
  <si>
    <t>1. Agnangan</t>
  </si>
  <si>
    <t>3. Hounviguèli</t>
  </si>
  <si>
    <t>4. Yénawa</t>
  </si>
  <si>
    <t>HOUIN-HOUNSO</t>
  </si>
  <si>
    <t>1. Agbangnanhoué</t>
  </si>
  <si>
    <t>2. Azonholi</t>
  </si>
  <si>
    <t>3. Dahoué</t>
  </si>
  <si>
    <t>4. Dahouigon</t>
  </si>
  <si>
    <t>5. Gandahogon</t>
  </si>
  <si>
    <t>6. Sèslamè</t>
  </si>
  <si>
    <t>7. Toué</t>
  </si>
  <si>
    <t>GOUNLI</t>
  </si>
  <si>
    <t>3. Hounholi</t>
  </si>
  <si>
    <t>4. Kpagoudo</t>
  </si>
  <si>
    <t>LAÏNTA-COGBE</t>
  </si>
  <si>
    <t>1. Adja</t>
  </si>
  <si>
    <t>2. Aga</t>
  </si>
  <si>
    <t>3. Bagon</t>
  </si>
  <si>
    <t>4. Dangbéhonou</t>
  </si>
  <si>
    <t>5. Dekpada</t>
  </si>
  <si>
    <t>6. Makpegon</t>
  </si>
  <si>
    <t>NAOGON</t>
  </si>
  <si>
    <t>1. Aga</t>
  </si>
  <si>
    <t>2. Aïzondo</t>
  </si>
  <si>
    <t>3. Attogon</t>
  </si>
  <si>
    <t>4. Finangnon</t>
  </si>
  <si>
    <t>5. Houeton</t>
  </si>
  <si>
    <t>6. Houeyiho</t>
  </si>
  <si>
    <t>SOLI</t>
  </si>
  <si>
    <t>1. Abayahoué</t>
  </si>
  <si>
    <t>3. Agossouhoué</t>
  </si>
  <si>
    <t>4. Vèmè</t>
  </si>
  <si>
    <t>ZOGBA</t>
  </si>
  <si>
    <t>1. Akpatchihoué</t>
  </si>
  <si>
    <t>3. Sekon-Djakpa</t>
  </si>
  <si>
    <t>4. Zogoli</t>
  </si>
  <si>
    <t>OUINHI</t>
  </si>
  <si>
    <t>DASSO</t>
  </si>
  <si>
    <t>2. Bossa Kpota</t>
  </si>
  <si>
    <t>3. Bossa Togoudo</t>
  </si>
  <si>
    <t>4. Gbokpago</t>
  </si>
  <si>
    <t>5. Gnanli</t>
  </si>
  <si>
    <t>6. Houanvè</t>
  </si>
  <si>
    <t>7. Oussa</t>
  </si>
  <si>
    <t>8. Tannou</t>
  </si>
  <si>
    <t>9. Tozoungo</t>
  </si>
  <si>
    <t>10. Yaago</t>
  </si>
  <si>
    <t>11. Zounguè</t>
  </si>
  <si>
    <t>1. Adogon</t>
  </si>
  <si>
    <t>2. Ahicon</t>
  </si>
  <si>
    <t>3. Akantè Zaloko</t>
  </si>
  <si>
    <t>4. Akantè Zoungo</t>
  </si>
  <si>
    <t>5. Ganhounmè</t>
  </si>
  <si>
    <t>6. Holli</t>
  </si>
  <si>
    <t>7. Houaidja</t>
  </si>
  <si>
    <t>8. Kinsodji</t>
  </si>
  <si>
    <t>9. Manfougbon</t>
  </si>
  <si>
    <t>10. Monzoungoudo</t>
  </si>
  <si>
    <t>11. Ouokon-Ahlan</t>
  </si>
  <si>
    <t>12. Ouokon-Zoungomè</t>
  </si>
  <si>
    <t>SAGON</t>
  </si>
  <si>
    <t>2. Ahogo</t>
  </si>
  <si>
    <t>3. Aïzè</t>
  </si>
  <si>
    <t>4. Dolivi</t>
  </si>
  <si>
    <t>5. Gakou</t>
  </si>
  <si>
    <t>6. Hinvédo</t>
  </si>
  <si>
    <t>7. Houédja</t>
  </si>
  <si>
    <t>8. Ilaka- Ozokpodji</t>
  </si>
  <si>
    <t>9. Odja-Idossou</t>
  </si>
  <si>
    <t>10. Tévêdji</t>
  </si>
  <si>
    <t>TOHOUES</t>
  </si>
  <si>
    <t>1. Akassa</t>
  </si>
  <si>
    <t>2. Allabandé</t>
  </si>
  <si>
    <t>3. Dokodji</t>
  </si>
  <si>
    <t>4. Gangban</t>
  </si>
  <si>
    <t>5. Hounnoumè</t>
  </si>
  <si>
    <t>6. Kolly-Houssa</t>
  </si>
  <si>
    <t>7. Midjannangnan</t>
  </si>
  <si>
    <t>ZAGNANADO</t>
  </si>
  <si>
    <t>AGONLIN-HOUEGBO</t>
  </si>
  <si>
    <t>1. Ayogo</t>
  </si>
  <si>
    <t>2. Bamè</t>
  </si>
  <si>
    <t>3. Dohounmè</t>
  </si>
  <si>
    <t>4. Houégbo-Aga</t>
  </si>
  <si>
    <t>5. Houégbo-Do</t>
  </si>
  <si>
    <t>6. Zoungo-Wokpa</t>
  </si>
  <si>
    <t>BANAME</t>
  </si>
  <si>
    <t>1. Agbladoho</t>
  </si>
  <si>
    <t>2. Akohagon</t>
  </si>
  <si>
    <t>3. Assiangbomè</t>
  </si>
  <si>
    <t>4. Gbatèzounmè</t>
  </si>
  <si>
    <t>5. Gbonou</t>
  </si>
  <si>
    <t>6. Massagbo</t>
  </si>
  <si>
    <t>7. N’Dokpo</t>
  </si>
  <si>
    <t>8. Sowé</t>
  </si>
  <si>
    <t>9. Zingon</t>
  </si>
  <si>
    <t>DON-TAN</t>
  </si>
  <si>
    <t>1. Don-Aliho</t>
  </si>
  <si>
    <t>2. Don-Tohomè</t>
  </si>
  <si>
    <t>3. Goblidji</t>
  </si>
  <si>
    <t>4. Tan-Adja</t>
  </si>
  <si>
    <t>5. Tan-Houègbo</t>
  </si>
  <si>
    <t>DOVI</t>
  </si>
  <si>
    <t>1. Dizigo</t>
  </si>
  <si>
    <t>2. Dovè</t>
  </si>
  <si>
    <t>3. Klobo</t>
  </si>
  <si>
    <t>4. Lègbado</t>
  </si>
  <si>
    <t>5. Sagbovi</t>
  </si>
  <si>
    <t>6. Vodo</t>
  </si>
  <si>
    <t>7. Zounnou</t>
  </si>
  <si>
    <t>KPEDEKPO</t>
  </si>
  <si>
    <t>1. Agongbodji</t>
  </si>
  <si>
    <t>2. Agonvè</t>
  </si>
  <si>
    <t>3. Ahlan</t>
  </si>
  <si>
    <t>4. Azakpa</t>
  </si>
  <si>
    <t>5. Kpoto</t>
  </si>
  <si>
    <t>6. Loko-Alankpé</t>
  </si>
  <si>
    <t>7. Womèto</t>
  </si>
  <si>
    <t>8. Zantan- Igbo-Ola</t>
  </si>
  <si>
    <t>1. Doga-Aga</t>
  </si>
  <si>
    <t>2. Doga-Alikon</t>
  </si>
  <si>
    <t>3. Doga-Domè</t>
  </si>
  <si>
    <t>4. Kingon</t>
  </si>
  <si>
    <t>5. Tokplégbé</t>
  </si>
  <si>
    <t>6. Zagnanado</t>
  </si>
  <si>
    <t>7. Zonmon</t>
  </si>
  <si>
    <t>8. Zoungoudo</t>
  </si>
  <si>
    <t>ZA-KPOTA</t>
  </si>
  <si>
    <t>ALLAHE</t>
  </si>
  <si>
    <t>1. Allahé</t>
  </si>
  <si>
    <t>2. Amlihohoué-Jardin</t>
  </si>
  <si>
    <t>3. Dangbégon</t>
  </si>
  <si>
    <t>4. Dogbanlin</t>
  </si>
  <si>
    <t>5. Ganhoua</t>
  </si>
  <si>
    <t>6. Hêhounli</t>
  </si>
  <si>
    <t>7. Za-Hla</t>
  </si>
  <si>
    <t>ASSANLIN</t>
  </si>
  <si>
    <t>1. Adjokan</t>
  </si>
  <si>
    <t>2. Akadjamè</t>
  </si>
  <si>
    <t>3. Assanlin</t>
  </si>
  <si>
    <t>4. Kpolokoé</t>
  </si>
  <si>
    <t>5. Sowékpa</t>
  </si>
  <si>
    <t>HOUNGOME</t>
  </si>
  <si>
    <t>2. Akètèkpa</t>
  </si>
  <si>
    <t>3. Folly</t>
  </si>
  <si>
    <t>4. Houngomè</t>
  </si>
  <si>
    <t>5. Koguédé</t>
  </si>
  <si>
    <t>6. Kpokpoé</t>
  </si>
  <si>
    <t>KPAKPAME</t>
  </si>
  <si>
    <t>1. Affossowogba</t>
  </si>
  <si>
    <t>2. Davègo</t>
  </si>
  <si>
    <t>3. Dramè</t>
  </si>
  <si>
    <t>4. Kpakpamè</t>
  </si>
  <si>
    <t>5. Mlinkpin-Guingnin</t>
  </si>
  <si>
    <t>6. Somè</t>
  </si>
  <si>
    <t>7. Tangbé</t>
  </si>
  <si>
    <t>8. Togadji</t>
  </si>
  <si>
    <t>KPOZOUN</t>
  </si>
  <si>
    <t>1. Adovi</t>
  </si>
  <si>
    <t>2. Ahossougon</t>
  </si>
  <si>
    <t>3. Aïtèdékpa</t>
  </si>
  <si>
    <t>4. Dotan</t>
  </si>
  <si>
    <t>5. Houangon</t>
  </si>
  <si>
    <t>7. Lokoli</t>
  </si>
  <si>
    <t>8. Lontonkpa</t>
  </si>
  <si>
    <t>9. Yadin</t>
  </si>
  <si>
    <t>10. Zoungoudo</t>
  </si>
  <si>
    <t>2. Agbogbomey</t>
  </si>
  <si>
    <t>3. Agbokpa</t>
  </si>
  <si>
    <t>4. Dètèkpa</t>
  </si>
  <si>
    <t>5. Djoïtin</t>
  </si>
  <si>
    <t>6. Dokpa</t>
  </si>
  <si>
    <t>7. Gnadokpa</t>
  </si>
  <si>
    <t>8. Houkanmè</t>
  </si>
  <si>
    <t>9. Kèmondji</t>
  </si>
  <si>
    <t>10. Kodota</t>
  </si>
  <si>
    <t>11. Sogbèlankou</t>
  </si>
  <si>
    <t>12. Sohounta</t>
  </si>
  <si>
    <t>13. Za-Kékéré</t>
  </si>
  <si>
    <t>14. Za-Kpota</t>
  </si>
  <si>
    <t>15. Za-Zounmè</t>
  </si>
  <si>
    <t>ZA-TANTA</t>
  </si>
  <si>
    <t>1. Adikogon</t>
  </si>
  <si>
    <t>2. Agbakou</t>
  </si>
  <si>
    <t>4. Agonkanmè</t>
  </si>
  <si>
    <t>5. Alligoudo</t>
  </si>
  <si>
    <t>6. Doutin</t>
  </si>
  <si>
    <t>7. Houanlikpa</t>
  </si>
  <si>
    <t>8. Kéou</t>
  </si>
  <si>
    <t>9. Sohoungo</t>
  </si>
  <si>
    <t>10. Tanta</t>
  </si>
  <si>
    <t>11. Yohouè</t>
  </si>
  <si>
    <t>12. Za-Aga</t>
  </si>
  <si>
    <t>ZEKO</t>
  </si>
  <si>
    <t>1. Adawémè</t>
  </si>
  <si>
    <t>2. Adjoko</t>
  </si>
  <si>
    <t>4. Dantota</t>
  </si>
  <si>
    <t>5. Zéko</t>
  </si>
  <si>
    <t>ZOGBODOMEY</t>
  </si>
  <si>
    <t>AKIZA</t>
  </si>
  <si>
    <t>1. Akiza</t>
  </si>
  <si>
    <t>2. Dénou-Lissèzin</t>
  </si>
  <si>
    <t>3. Djihizidè</t>
  </si>
  <si>
    <t>4. Don-Agonlin</t>
  </si>
  <si>
    <t>5. Don-Akadjamè</t>
  </si>
  <si>
    <t>6. Gomè</t>
  </si>
  <si>
    <t>7. Guémè</t>
  </si>
  <si>
    <t>9. Togbin</t>
  </si>
  <si>
    <t>10. Tovlamè</t>
  </si>
  <si>
    <t>AVLAME</t>
  </si>
  <si>
    <t>1. Alladaho</t>
  </si>
  <si>
    <t>2. Avavi</t>
  </si>
  <si>
    <t>3. Avlamè</t>
  </si>
  <si>
    <t>4. Kotokpa 1</t>
  </si>
  <si>
    <t>5. Samionkpa</t>
  </si>
  <si>
    <t>6. Tohomey</t>
  </si>
  <si>
    <t>7. Yokon</t>
  </si>
  <si>
    <t>CANA I</t>
  </si>
  <si>
    <t>1. Déguèli</t>
  </si>
  <si>
    <t>4. Gandjèkpindji</t>
  </si>
  <si>
    <t>5. Gbamè</t>
  </si>
  <si>
    <t>7. Malè</t>
  </si>
  <si>
    <t>CANA II</t>
  </si>
  <si>
    <t>1. Agouna</t>
  </si>
  <si>
    <t>2. Dohounvè</t>
  </si>
  <si>
    <t>3. Gbangnanmè</t>
  </si>
  <si>
    <t>4. Hadagon</t>
  </si>
  <si>
    <t>5. Zoungbo-Bogon</t>
  </si>
  <si>
    <t>6. Zoungbo-Zounmè</t>
  </si>
  <si>
    <t>DOME</t>
  </si>
  <si>
    <t>2. Agoïta</t>
  </si>
  <si>
    <t>3. Bolamè</t>
  </si>
  <si>
    <t>5. Domè- Go</t>
  </si>
  <si>
    <t>6. Gbaffo</t>
  </si>
  <si>
    <t>7. Gohissanou</t>
  </si>
  <si>
    <t>8. Kessèdjogon</t>
  </si>
  <si>
    <t>MASSI</t>
  </si>
  <si>
    <t>1. Hlagba-Dénou 1</t>
  </si>
  <si>
    <t>2. Hlagba-Dénou Atcha</t>
  </si>
  <si>
    <t>3. Hlagba-Zakpo</t>
  </si>
  <si>
    <t>4. Hlagba-Lonmè</t>
  </si>
  <si>
    <t>5. Hlagba-Ouassa</t>
  </si>
  <si>
    <t>6. Zoungoudo</t>
  </si>
  <si>
    <t>7. Massi</t>
  </si>
  <si>
    <t>8. Massi Alligoudo</t>
  </si>
  <si>
    <t>9. Hon</t>
  </si>
  <si>
    <t>10. Zalimey</t>
  </si>
  <si>
    <t>KOUSSOUKPA</t>
  </si>
  <si>
    <t>1. Dèmè</t>
  </si>
  <si>
    <t>2. Koussoukpa</t>
  </si>
  <si>
    <t>3. Lokoli</t>
  </si>
  <si>
    <t>4. Samionta</t>
  </si>
  <si>
    <t>5. Tchihéigon</t>
  </si>
  <si>
    <t>KPOKISSA</t>
  </si>
  <si>
    <t>1. Kpokissa</t>
  </si>
  <si>
    <t>2. Ahouandjitomè</t>
  </si>
  <si>
    <t>3. Dèhounta</t>
  </si>
  <si>
    <t>4. Avannankanmè</t>
  </si>
  <si>
    <t>5. Gbédin</t>
  </si>
  <si>
    <t>6. Dogo</t>
  </si>
  <si>
    <t>7. Hinzounmè</t>
  </si>
  <si>
    <t>TANWE-HESSOU</t>
  </si>
  <si>
    <t>1. Agadjaligbo</t>
  </si>
  <si>
    <t>2. Agblata</t>
  </si>
  <si>
    <t>3. Don-Zoukoutoudja</t>
  </si>
  <si>
    <t>4. Ouassa</t>
  </si>
  <si>
    <t>5. Tanwé-Hessou</t>
  </si>
  <si>
    <t>6. Tègon</t>
  </si>
  <si>
    <t>7. Towé</t>
  </si>
  <si>
    <t>1. Ahoundomè</t>
  </si>
  <si>
    <t>2. Atchia</t>
  </si>
  <si>
    <t>3. Dovogon</t>
  </si>
  <si>
    <t>4. Haya</t>
  </si>
  <si>
    <t>5. Zado-Adagon</t>
  </si>
  <si>
    <t>6. Zado-Gagbé</t>
  </si>
  <si>
    <t>7. Zogbodomey</t>
  </si>
  <si>
    <t>ZOUKOU</t>
  </si>
  <si>
    <t>1. Agrimey</t>
  </si>
  <si>
    <t>2. Bognongnon</t>
  </si>
  <si>
    <t>3. Dohouè</t>
  </si>
  <si>
    <t>4. Hlanhonou</t>
  </si>
  <si>
    <t>5. Koto</t>
  </si>
  <si>
    <t>6. Zoukou</t>
  </si>
  <si>
    <t>SECTEUR</t>
  </si>
  <si>
    <t>SOUS_SECTEUR</t>
  </si>
  <si>
    <t>PARTENAIRE</t>
  </si>
  <si>
    <t>TYPE_FINANC</t>
  </si>
  <si>
    <t>TYPE_PARTEN</t>
  </si>
  <si>
    <t>SECTEUR_PAG</t>
  </si>
  <si>
    <t>PILIER_PAG</t>
  </si>
  <si>
    <t>AXE_PAG</t>
  </si>
  <si>
    <t>STATUT_PROJET</t>
  </si>
  <si>
    <t>DEPARTEMENTS</t>
  </si>
  <si>
    <t>basePart</t>
  </si>
  <si>
    <t>type_engagem</t>
  </si>
  <si>
    <t>annee</t>
  </si>
  <si>
    <t>trimestre</t>
  </si>
  <si>
    <t>COMMUNES</t>
  </si>
  <si>
    <t>DEVISE</t>
  </si>
  <si>
    <t>MODALITE_INTERV</t>
  </si>
  <si>
    <t>NATURE_FINANC</t>
  </si>
  <si>
    <t>Bilatéral</t>
  </si>
  <si>
    <t>Transformation économique</t>
  </si>
  <si>
    <t>En approbation</t>
  </si>
  <si>
    <t>MAEP</t>
  </si>
  <si>
    <t>trim1</t>
  </si>
  <si>
    <t>XOF - Franc CFA BCEAO</t>
  </si>
  <si>
    <t>ALLEMAGNE</t>
  </si>
  <si>
    <t>Multilatéral</t>
  </si>
  <si>
    <t>Capital humain</t>
  </si>
  <si>
    <t>En cours</t>
  </si>
  <si>
    <t>MS</t>
  </si>
  <si>
    <t>Programme sectoriel</t>
  </si>
  <si>
    <t>trim2</t>
  </si>
  <si>
    <t>EUR - Euro</t>
  </si>
  <si>
    <t>Prêt non-concessionnel</t>
  </si>
  <si>
    <t>Fonds fiduciaire</t>
  </si>
  <si>
    <t>Gouvernance</t>
  </si>
  <si>
    <t>Achevé</t>
  </si>
  <si>
    <t>MENFP</t>
  </si>
  <si>
    <t>trim3</t>
  </si>
  <si>
    <t>USD - Dollar américain</t>
  </si>
  <si>
    <t>PPP</t>
  </si>
  <si>
    <t>ONG internationale</t>
  </si>
  <si>
    <t>Croissance inclusive</t>
  </si>
  <si>
    <t>En retard</t>
  </si>
  <si>
    <t>MEF</t>
  </si>
  <si>
    <t>trim4</t>
  </si>
  <si>
    <t>GBP - Livre sterling</t>
  </si>
  <si>
    <t>BANQUE ATLANTIQUE BENIN</t>
  </si>
  <si>
    <t>Agence spécialisée</t>
  </si>
  <si>
    <t>Infrastructures</t>
  </si>
  <si>
    <t>Abandonné</t>
  </si>
  <si>
    <t>DGFD</t>
  </si>
  <si>
    <t>ODD 5</t>
  </si>
  <si>
    <t>Bohicon</t>
  </si>
  <si>
    <t>CAD - Dollar canadien</t>
  </si>
  <si>
    <t>Garantie souveraine</t>
  </si>
  <si>
    <t>Institution financière</t>
  </si>
  <si>
    <t>Numérique</t>
  </si>
  <si>
    <t>Suspendu</t>
  </si>
  <si>
    <t>MTP</t>
  </si>
  <si>
    <t>Appui budgétaire ciblé</t>
  </si>
  <si>
    <t>CHF - Franc suisse</t>
  </si>
  <si>
    <t>Secteur privé</t>
  </si>
  <si>
    <t>Environnement</t>
  </si>
  <si>
    <t>MCVDD</t>
  </si>
  <si>
    <t>CNY - Yuan chinois</t>
  </si>
  <si>
    <t>BELGIQUE</t>
  </si>
  <si>
    <t>Co-financement</t>
  </si>
  <si>
    <t>MERS</t>
  </si>
  <si>
    <t>JPY - Yen japonais</t>
  </si>
  <si>
    <t>Emprunt obligataire</t>
  </si>
  <si>
    <t>MDN</t>
  </si>
  <si>
    <t>NGN - Naira nigérian</t>
  </si>
  <si>
    <t>MISP</t>
  </si>
  <si>
    <t>ODD 10</t>
  </si>
  <si>
    <t>Kandi</t>
  </si>
  <si>
    <t>GHS - Cedi ghanéen</t>
  </si>
  <si>
    <t>MTCA</t>
  </si>
  <si>
    <t>ZAR - Rand sud-africain</t>
  </si>
  <si>
    <t>MEN</t>
  </si>
  <si>
    <t>ODD 12</t>
  </si>
  <si>
    <t>Dogbo</t>
  </si>
  <si>
    <t>AUD - Dollar australien</t>
  </si>
  <si>
    <t>MSP</t>
  </si>
  <si>
    <t>ODD 13</t>
  </si>
  <si>
    <t>Dassa-Zoumè</t>
  </si>
  <si>
    <t>NZD - Dollar néo-zélandais</t>
  </si>
  <si>
    <t>MJLDH</t>
  </si>
  <si>
    <t>ODD 14</t>
  </si>
  <si>
    <t>Savalou</t>
  </si>
  <si>
    <t>SEK - Couronne suédoise</t>
  </si>
  <si>
    <t>MERPMEDER</t>
  </si>
  <si>
    <t>ODD 15</t>
  </si>
  <si>
    <t>Bassila</t>
  </si>
  <si>
    <t>NOK - Couronne norvégienne</t>
  </si>
  <si>
    <t>BRESIL</t>
  </si>
  <si>
    <t>Présidence</t>
  </si>
  <si>
    <t>AED - Dirham des Émirats arabes unis</t>
  </si>
  <si>
    <t>CANADA</t>
  </si>
  <si>
    <t>Autre</t>
  </si>
  <si>
    <t>Nikki</t>
  </si>
  <si>
    <t>SAR - Riyal saoudien</t>
  </si>
  <si>
    <t>CHINE</t>
  </si>
  <si>
    <t>QAR - Riyal qatari</t>
  </si>
  <si>
    <t>COOPÉRATION SUISSE</t>
  </si>
  <si>
    <t>KWD - Dinar koweïtien</t>
  </si>
  <si>
    <t>DEUTSCHE BANK</t>
  </si>
  <si>
    <t>Sakété</t>
  </si>
  <si>
    <t>BHD - Dinar bahreïni</t>
  </si>
  <si>
    <t>DIAMOND BANK</t>
  </si>
  <si>
    <t>OMR - Rial omanais</t>
  </si>
  <si>
    <t>Avrankou</t>
  </si>
  <si>
    <t>INR - Roupie indienne</t>
  </si>
  <si>
    <t>EUROBOND_21</t>
  </si>
  <si>
    <t>KRW - Won sud-coréen</t>
  </si>
  <si>
    <t>FIDA</t>
  </si>
  <si>
    <t>Akpro-Missérété</t>
  </si>
  <si>
    <t>SGD - Dollar de Singapour</t>
  </si>
  <si>
    <t>Sèmè-Kpodji</t>
  </si>
  <si>
    <t>HKD - Dollar de Hong Kong</t>
  </si>
  <si>
    <t>Aguégués</t>
  </si>
  <si>
    <t>TRY - Livre turque</t>
  </si>
  <si>
    <t>Sotouboua</t>
  </si>
  <si>
    <t>RUB - Rouble russe</t>
  </si>
  <si>
    <t>Glazoué</t>
  </si>
  <si>
    <t>MAD - Dirham marocain</t>
  </si>
  <si>
    <t>Savé</t>
  </si>
  <si>
    <t>TND - Dinar tunisien</t>
  </si>
  <si>
    <t>JAPON</t>
  </si>
  <si>
    <t>Bantè</t>
  </si>
  <si>
    <t>DZD - Dinar algérien</t>
  </si>
  <si>
    <t>KBC ET RABOBANK</t>
  </si>
  <si>
    <t>Ouèssè</t>
  </si>
  <si>
    <t>EGP - Livre égyptienne</t>
  </si>
  <si>
    <t>KFW</t>
  </si>
  <si>
    <t>Zagnanado</t>
  </si>
  <si>
    <t>XAF - Franc CFA BEAC</t>
  </si>
  <si>
    <t>LUXDEV</t>
  </si>
  <si>
    <t>Zangnanado</t>
  </si>
  <si>
    <t>LUXEMBOURG</t>
  </si>
  <si>
    <t>Covè</t>
  </si>
  <si>
    <t>Djidja</t>
  </si>
  <si>
    <t>Mfin</t>
  </si>
  <si>
    <t>Lalo</t>
  </si>
  <si>
    <t>NORVEGE</t>
  </si>
  <si>
    <t>ODDO-BHF</t>
  </si>
  <si>
    <t>Djakotomey</t>
  </si>
  <si>
    <t>Toviklin</t>
  </si>
  <si>
    <t>TURQUIE</t>
  </si>
  <si>
    <t>Bopa</t>
  </si>
  <si>
    <t>UNION EUROPÉENNE</t>
  </si>
  <si>
    <t>Comè</t>
  </si>
  <si>
    <t>Toffo</t>
  </si>
  <si>
    <t>Allada</t>
  </si>
  <si>
    <t>Tori-Bossito</t>
  </si>
  <si>
    <t>Zê</t>
  </si>
  <si>
    <t>Kétou</t>
  </si>
  <si>
    <t>Adja-Ouèrè</t>
  </si>
  <si>
    <t>Ifangni</t>
  </si>
  <si>
    <t>Annee_Suivi</t>
  </si>
  <si>
    <t>Trimestre</t>
  </si>
  <si>
    <t>TEF_Trim</t>
  </si>
  <si>
    <t>Montant_Decaisse_USD</t>
  </si>
  <si>
    <t>Montant_Decaisse_FCFA</t>
  </si>
  <si>
    <t>TEP_Trim</t>
  </si>
  <si>
    <t>Activites_Realisees</t>
  </si>
  <si>
    <t>TEF_Cumule</t>
  </si>
  <si>
    <t>TEP_Cumule</t>
  </si>
  <si>
    <t>Difficultes_Rencontrees</t>
  </si>
  <si>
    <t>Approches_Solution</t>
  </si>
  <si>
    <t>Recommandations</t>
  </si>
  <si>
    <t>Date_Saisie</t>
  </si>
  <si>
    <t>PRJ-2025-001</t>
  </si>
  <si>
    <t>Études techniques lancées, recrutement en cours</t>
  </si>
  <si>
    <t>Retards dans les appels d'offres</t>
  </si>
  <si>
    <t>Renforcement équipe passation des marchés</t>
  </si>
  <si>
    <t>Accélérer procédures DAO Q2</t>
  </si>
  <si>
    <t>ACCORDS DE DÉVELOPPEMENT DU BÉNIN — BASE CONSOLIDÉE ENRICHIE</t>
  </si>
  <si>
    <t>Source : RCD + mabase  |  865 accords  |  Généré le 30/07/2026</t>
  </si>
  <si>
    <t>Cette feuille enrichit la base RCD avec 11 colonnes issues de mabase, appariées par titre d'accord. La colonne Statut_Appariement indique la fiabilité de chaque appariement.</t>
  </si>
  <si>
    <t>TABLE DES ACCORDS CONSOLIDÉS ENRICHIS</t>
  </si>
  <si>
    <t>Code Projet</t>
  </si>
  <si>
    <t>Annee de signature</t>
  </si>
  <si>
    <t xml:space="preserve">Annee de cloture </t>
  </si>
  <si>
    <t>Modalité d'intervention</t>
  </si>
  <si>
    <t>Objet de l'accord</t>
  </si>
  <si>
    <t>Objectif général</t>
  </si>
  <si>
    <t>Source vérifiable</t>
  </si>
  <si>
    <t>Partenaire</t>
  </si>
  <si>
    <t>Sigle_Part</t>
  </si>
  <si>
    <t>Secteur principal</t>
  </si>
  <si>
    <t>Nature (Prêt/Don/Mixte)</t>
  </si>
  <si>
    <t>Montant_Pret_FCFA</t>
  </si>
  <si>
    <t>Montant_Don_FCFA</t>
  </si>
  <si>
    <t>Montant_Total_FCFA</t>
  </si>
  <si>
    <t>Montant total
(devise)</t>
  </si>
  <si>
    <t>Instrument de
financement</t>
  </si>
  <si>
    <t>Date de
signature</t>
  </si>
  <si>
    <t>Date d'approbation</t>
  </si>
  <si>
    <t>Date de clôture</t>
  </si>
  <si>
    <t>Zone</t>
  </si>
  <si>
    <t>APD Oui/non</t>
  </si>
  <si>
    <t>TYPE DE FINANCEMENT</t>
  </si>
  <si>
    <t>TYPE DE CONTRIBUTEUR</t>
  </si>
  <si>
    <t>SOUS SECTEUR</t>
  </si>
  <si>
    <t>AXE PAG</t>
  </si>
  <si>
    <t>PILIER PAG</t>
  </si>
  <si>
    <t>Pilier</t>
  </si>
  <si>
    <t>STATUT (en cours, achevé, en approbation)</t>
  </si>
  <si>
    <t>ALIBORI (BANIKOARA, GOGOUNOU, KANDI, MALANVILLE, SEGBANA) ; BORGOU (BEMBÉRÈKÉ, KALALÉ, N'DALI, NIKKI, PARAKOU, PÉRÉRE, SINENDÉ, TCHAOUROU) ; COLLINES (BANTÈ, DASSA-ZOUMÉ, GLAZOUÉ, OUÈSSÈ, SAVALOU, SAVÈ) ; ZOU (ABOMEY, AGBANGNIZOUN, BOHICON, COVÈ, DJIDJA, OUINHI, ZA-KPOTA, ZAGNANADO, ZOGBODOMEY) ; COUFFO (APLAHOUÉ, DJAKOTOMEY, DOGBO, KLOUÉKANMÈ, LALO, TOVIKLIN) ; MONO (ATHIÉMÉ, BOPA, COMÈ, GRAND-POPO, HOUÉYOGBÉ, LOKOSSA) ; ATLANTIQUE (ABOMEY-CALAVI, ALLADA, KPOMASSÈ, OUIDAH, SÔ-AVA, TOFFO, TORI-BOSSITO, ZÈ) ; OUÉMÉ (ADJARRA, ADJOHOUN, AGÉGUÉ, AKPRO-MISSÉRÉTÉ, AVRANKOU, BONOU, DANGBO, PORTO-NOVO, SÈMÈ-PODJI) ; PLATEAU (ADJA-OUÉRÉ, IFANGNI, KÉTOU, POBÈ, SAKÉTÉ).</t>
  </si>
  <si>
    <t>BORGOU (BEMBÉRÈKÉ(BEMBÉRÈKÉ CENTRE)) ; ALIBORI (GOGOUNOU(GOGOUNOU CENTRE, BAGOU, GOUNAROU), KANDI(KANDI I, KANDI II, DONWARI, SAM), MALANVILLE(MALANVILLE CENTRE, GUÉNÉ, GAROU)).</t>
  </si>
  <si>
    <t>ALIBORI (KANDI(KANDI I), SÉGBANA(SÉGBANA CENTRE, LIBOUSSOU, LOUGOU, SOKOTINDJI(SAMIA))).</t>
  </si>
  <si>
    <t>COLLINES (SAVALOU, DASSA-ZOUMÉ, GLAZOUÉ, OUÈSSÈ) ; ZOU (DJIDJA, SAVALOU) ; BORGOU (TCHAOUROU).</t>
  </si>
  <si>
    <t>LITTORAL (COTONOU).</t>
  </si>
  <si>
    <t>NATIONAL</t>
  </si>
  <si>
    <t>ATLANTIQUE (OUIDAH(OUIDAH I, OUIDAH II, SAVI), TORI-BOSSITO(TORI-CADA, TORI-GBÉGAMEY, TORI-BOSSITO CENTRE), ALLADA(ALLADA CENTRE, LON-AGONMEY, HINVI)).</t>
  </si>
  <si>
    <t>BORGOU (BEMBÉRÈKÉ(INA)) ; ATLANTIQUE (ALLADA(NIAOULI)) ; OUÉMÉ (ADJOHOUN, BONOU, DANGBO).</t>
  </si>
  <si>
    <t>OUÉMÉ (DANGBO, ADJOHOUN, BONOU) ; ZOU (ABOMEY, BOHICON, ZAKPOTA) ; COLLINES (DASSA-ZOUMÉ, SAVALOU) ; ATLANTIQUE (ABOMEY-CALAVI, ZÈ).</t>
  </si>
  <si>
    <t>ATACORA (TANGUIÉTA(TANGUIÉTA CENTRE), KÉROU) ; ALIBORI (BANIKOARA(BANIKOARA CENTRE)).</t>
  </si>
  <si>
    <t>LITTORAL (COTONOU(DU 1ER AU 13ÈME)) ; ATLANTIQUE (ABOMEY-CALAVI(GODOMEY, ABOMEY-CALAVI CENTRE, AKASSATO), OUIDAH) ; OUÉMÉ (PORTO-NOVO(DU 1ER AU 5ÈME), SÈMÈ-PODJI).</t>
  </si>
  <si>
    <t>ATLANTIQUE (ABOMEY-CALAVI(ABOMEY-CALAVI CENTRE, GODOMEY, AKASSATO, ZINVIÉ)).</t>
  </si>
  <si>
    <t>ALIBORI (BANIKOARA, KARIMAMA, MALANVILLE) ; BORGOU (BEMBÉRÈKÉ, KALALÉ, NDALI, NIKKI, SINENDÉ) ; ATACORA (KÉROU, KOUANDÉ, PÉHUNCO, TANGUIÉTA) ; DONGA (DJOUGOU).</t>
  </si>
  <si>
    <t>LITTORAL (COTONOU) ; ATLANTIQUE (ALLADA) ; ZOU (BOHICON) ; COLLINES (SAVALOU, TCHAOUROU) ; BORGOU (PARAKOU) ; ALIBORI (KANDI, MALANVILLE(MALANVILLE CENTRE)) ; OUÉMÉ (PORTO-NOVO).</t>
  </si>
  <si>
    <t>OUÉMÉ (ADJOHOUN, BONOU, DANGBO) ; PLATEAU (POBÈ, KÉTOU) ; ZOU (ABOMEY, BOHICON, ZAKPOTA) ; COLLINES (DASSA-ZOUMÉ, SAVALOU).</t>
  </si>
  <si>
    <t>COLLINES (DASSA-ZOUMÉ, SAVALOU) ; ZOU (BOHICON, DJIDJA) ; BORGOU (TCHAOUROU, PARAKOU) ; DONGA (DJOUGOU).</t>
  </si>
  <si>
    <t>ATACORA (NATITINGOU, BOUKOUMBÉ, TOUCOUNTOUNA, TANGUIÉTA) ; DONGA (DJOUGOU, COPARGO, OUAKÉ).</t>
  </si>
  <si>
    <t>MONO (GRAND-POPO(AGOUÉ(AGOUÉ, HILLACONDJI))) ; ATLANTIQUE (OUIDAH) ; LITTORAL (COTONOU).</t>
  </si>
  <si>
    <t>PLATEAU (KÉTOU) ; BORGOU (TCHAOUROU) ; COLLINES (SAVÈ).</t>
  </si>
  <si>
    <t>ALIBORI (KANDI, SÉGBANA(SÉGBANA CENTRE(SAMIA))).</t>
  </si>
  <si>
    <t>MONO (ATHIÉMÉ(ATHIÉMÉ CENTRE)).</t>
  </si>
  <si>
    <t>ALIBORI ; ATACORA ; BORGOU ; DONGA.</t>
  </si>
  <si>
    <t>COUFFO (LALO) ; ZOU (AGBANGNIZOUN, ABOMEY, DJIDJA) ; COLLINES (SAVALOU(AGOUNA, TCHETTI) ; SAVÈ(DOVÈ, OBOLA)).</t>
  </si>
  <si>
    <t>OUÉMÉ (PORTO-NOVO, AKPRO-MISSÉRÉTÉ, AVRANKOU) ; PLATEAU (POBÈ, ADJA-OUÉRÉ, KÉTOU) ; ZOU (ABOMEY, BOHICON) ; COLLINES (DASSA-ZOUMÉ, SAVALOU).</t>
  </si>
  <si>
    <t>LITTORAL (COTONOU) ; BORGOU (PARAKOU) ; OUÉMÉ (PORTO-NOVO) ; ATACORA (NATITINGOU).</t>
  </si>
  <si>
    <t>LITTORAL (COTONOU(FIDJROSSÈ)) ; ATLANTIQUE (ABOMEY-CALAVI(GODOMEY(TOGBIN)) ; OUIDAH(AVLÉKÉTÉ, HOUAKPÈ-DAHO)).</t>
  </si>
  <si>
    <t>LITTORAL (COTONOU) ; ATLANTIQUE (ABOMEY-CALAVI).</t>
  </si>
  <si>
    <t>ATLANTIQUE (OUIDAH(PAHOU)).</t>
  </si>
  <si>
    <t>LITTORAL (COTONOU) ; ATLANTIQUE (ABOMEY-CALAVI) ; OUÉMÉ (PORTO-NOVO).</t>
  </si>
  <si>
    <t>ATACORA ; DONGA ; BORGOU ; ALIBORI ; ZOU ; COLLINES.</t>
  </si>
  <si>
    <t>ATLANTIQUE (ABOMEY-CALAVI(AKASSATO), ZÈ, TOFFO) ; ZOU (ZOGBODOMEY, BOHICON).</t>
  </si>
  <si>
    <t>ATLANTIQUE (ABOMEY-CALAVI).</t>
  </si>
  <si>
    <t>BORGOU (PARAKOU).</t>
  </si>
  <si>
    <t>ATLANTIQUE (OUIDAH) ; ZOU (BOHICON) ; PLATEAU (POBÈ, SAKÉTÉ) ; COLLINES (DASSA-ZOUMÉ).</t>
  </si>
  <si>
    <t>OUÉMÉ (ADJOHOUN).</t>
  </si>
  <si>
    <t>BORGOU ; ALIBORI ; ATACORA ; DONGA ; ZOU ; COLLINES.</t>
  </si>
  <si>
    <t>ALIBORI (BANIKOARA, KARIMAMA) ; ATACORA (TANGUIÉTA, KÉROU) ; BORGOU (TCHAOUROU).</t>
  </si>
  <si>
    <t>LITTORAL (COTONOU) ; ATLANTIQUE (ABOMEY-CALAVI, OUIDAH) ; OUÉMÉ (PORTO-NOVO, SÈMÈ-PODJI).</t>
  </si>
  <si>
    <t>BORGOU (PARAKOU(TOUROU)).</t>
  </si>
  <si>
    <t>BORGOU (TCHAOUROU(BÉTÉROU, TCHAOUROU CENTRE)).</t>
  </si>
  <si>
    <t>ALIBORI (KANDI) ; COLLINES (SAVALOU) ; ZOU (BOHICON).</t>
  </si>
  <si>
    <t>PLATEAU (KÉTOU) ; BORGOU (TCHAOUROU) ; COLLINES (SAVÈ) ; ATLANTIQUE (KPOMASSÈ).</t>
  </si>
  <si>
    <t>LITTORAL (COTONOU) ; ATLANTIQUE (ABOMEY-CALAVI) ; OUÉMÉ (PORTO-NOVO) ; BORGOU (PARAKOU) ; ZOU (ABOMEY, BOHICON) ; ATACORA (NATITINGOU) ; DONGA (DJOUGOU) ; MONO (LOKOSSA) ; COUFFO (APLAHOUÉ) ; PLATEAU (POBÈ) ; COLLINES (DASSA-ZOUMÉ).</t>
  </si>
  <si>
    <t>BORGOU (PARAKOU) ; DONGA (DJOUGOU).</t>
  </si>
  <si>
    <t>DONGA (DJOUGOU) ; BORGOU (TCHAOUROU) ; COLLINES (SAVÈ) ; ATACORA (TANGUIÉTA).</t>
  </si>
  <si>
    <t>OUÉMÉ (ADJOHOUN, BONOU, DANGBO, AGÉGUÉ) ; ATLANTIQUE (ZÈ).</t>
  </si>
  <si>
    <t>MONO (COMÈ, LOKOSSA, ATHIÉMÉ) ; COUFFO (DOGBO) ; COLLINES (SAVALOU, GLAZOUÉ) ; OUÉMÉ (SÈMÈ-PODJI) ; PLATEAU (IFANGNI).</t>
  </si>
  <si>
    <t>MONO (LOKOSSA).</t>
  </si>
  <si>
    <t>ATACORA ; DONGA ; BORGOU ; ALIBORI.</t>
  </si>
  <si>
    <t>OUÉMÉ (SÈMÈ-PODJI) ; PLATEAU (IFANGNI).</t>
  </si>
  <si>
    <t>ALIBORI ; BORGOU ; ATACORA ; DONGA ; ZOU ; COLLINES ; OUÉMÉ.</t>
  </si>
  <si>
    <t>MONO (ATHIÉMÉ) ; OUÉMÉ (AVRANKOU) ; COUFFO (APLAHOUÉ(AZOVÈ)) ; ATLANTIQUE (ABOMEY-CALAVI(WOMEY, ABOMEY-CALAVI CENTRE)) ; ATACORA (KÉROU) ; ALIBORI (MALANVILLE) ; ZOU (ZOGBODOMEY) ; LITTORAL (COTONOU).</t>
  </si>
  <si>
    <t>MONO (GRAND-POPO(HILLACONDJI)) ; LITTORAL (COTONOU).</t>
  </si>
  <si>
    <t>LITTORAL (COTONOU) ; OUÉMÉ (SÈMÈ-PODJI).</t>
  </si>
  <si>
    <t>ALIBORI (MALANVILLE, KARIMAMA).</t>
  </si>
  <si>
    <t>ATACORA (TANGUIÉTA) ; ALIBORI (BANIKOARA).</t>
  </si>
  <si>
    <t>MONO (ATHIÉMÉ).</t>
  </si>
  <si>
    <t>COLLINES (SAVALOU, GLAZOUÉ).</t>
  </si>
  <si>
    <t>ATLANTIQUE (ABOMEY-CALAVI(TOGBA(MARIA-GLÉTA))).</t>
  </si>
  <si>
    <t>ALIBORI (BANIKOARA) ; ATACORA (KÉROU).</t>
  </si>
  <si>
    <t>BORGOU (BEMBÉRÈKÉ, KALALÉ) ; OUÉMÉ (BONOU) ; MONO (BOPA) ; COUFFO (DOGBO) ; PLATEAU (IFANGNI) ; ALIBORI (KARIMAMA) ; ATACORA (TANGUIÉTA) ; ZOU (ZAKPOTA) ; ATLANTIQUE (ZÈ).</t>
  </si>
  <si>
    <t>ATLANTIQUE (ABOMEY-CALAVI, ALLADA, KPOMASSÈ, OUIDAH, SÔ-AVA, TOFFO, TORI-BOSSITO, ZÈ).</t>
  </si>
  <si>
    <t>COLLINES (BANTÈ, DASSA-ZOUMÉ, GLAZOUÉ, OUÈSSÈ, SAVALOU, SAVÈ).</t>
  </si>
  <si>
    <t>OUÉMÉ (DANGBO).</t>
  </si>
  <si>
    <t>ALIBORI (MALANVILLE, KARIMAMA) ; BORGOU (TCHAOUROU) ; ZOU (OUINHI) ; COUFFO (DOGBO, LALO) ; OUÉMÉ (ADJOHOUN, DANGBO).</t>
  </si>
  <si>
    <t>ATLANTIQUE (ALLADA, TOFFO) ; ALIBORI (BANIKOARA, GOGOUNOU, SÉGBANA) ; COLLINES (BANTÈ, GLAZOUÉ, OUÈSSÈ) ; DONGA (BASSILA) ; ZOU (COVÈ, DJIDJA) ; ATACORA (MATÉRI).</t>
  </si>
  <si>
    <t>BORGOU (TCHAOUROU) ; ALIBORI ; ATACORA ; DONGA.</t>
  </si>
  <si>
    <t>LITTORAL (COTONOU) ; OUÉMÉ (PORTO-NOVO, SÈMÈ-PODJI) ; ATLANTIQUE (ABOMEY-CALAVI).</t>
  </si>
  <si>
    <t>ALIBORI ; BORGOU ; COLLINES.</t>
  </si>
  <si>
    <t>DONGA (DJOUGOU) ; ALIBORI (KANDI) ; BORGOU (TCHAOUROU) ; COUFFO (DJAKOTOMEY) ; ZOU (ZAKPOTA, BOHICON) ; MONO (LOKOSSA) ; ATLANTIQUE (ABOMEY-CALAVI).</t>
  </si>
  <si>
    <t>COUFFO (LALO, KLOUÉKANMÈ, DOGBO, TOVIKLIN) ; MONO (DJAKOTOMEY(ADJAHONMÈ)).</t>
  </si>
  <si>
    <t>COUFFO (APLAHOUÉ).</t>
  </si>
  <si>
    <t>ATLANTIQUE (TOFFO(OUÈGBO, TOFFO CENTRE), ZÈ(TANGBO, ZÈ CENTRE)).</t>
  </si>
  <si>
    <t>6 COMMUNES DU DÉPARTEMENT DES COLLINES (BANTÈ, DASSA ZOUÈ, GLAZOUÉ, OUESSÈ, SAVALOU, SAVÈ).</t>
  </si>
  <si>
    <t>OUÉMÉ ; PLATEAU ; ATLANTIQUE ; LITTORAL ; MONO ; COUFFO ; ZOU ; COLLINES.</t>
  </si>
  <si>
    <t>ATLANTIQUE (OUIDAH) ; LITTORAL (COTONOU) ; MONO (GRAND-POPO).</t>
  </si>
  <si>
    <t>COLLINES (SAVALOU(TCHETTI, LOGOZOHÉ), GLAZOUÉ).</t>
  </si>
  <si>
    <t>COLLINES (GLAZOUÉ, DASSA-ZOUMÉ).</t>
  </si>
  <si>
    <t>ZOU (ABOMEY) ; PLATEAU (KÉTOU).</t>
  </si>
  <si>
    <t>LITTORAL (COTONOU) ; ATLANTIQUE (ABOMEY-CALAVI, SÔ-AVA) ; OUÉMÉ (PORTO-NOVO, SÈMÈ-PODJI, AKPRO-MISSÉRÉTÉ).</t>
  </si>
  <si>
    <t>ATLANTIQUE (ABOMEY-CALAVI(HÈVIÉ, OUÈDO, ZINVIÉ), ZÈ(SÉDJÈDENOU, ZÈ CENTRE)).</t>
  </si>
  <si>
    <t>MONO (COMÈ, LOKOSSA, ATHIÉMÉ) ; COUFFO (DOGBO).</t>
  </si>
  <si>
    <t>OUÉMÉ ; PLATEAU ; ATLANTIQUE ; LITTORAL ; MONO ; COUFFO.</t>
  </si>
  <si>
    <t>ATLANTIQUE (ABOMEY-CALAVI(WOMEY)).</t>
  </si>
  <si>
    <t>ATLANTIQUE (OUIDAH).</t>
  </si>
  <si>
    <t>LITTORAL (COTONOU(KOUHOUNOU)).</t>
  </si>
  <si>
    <t>BORGOU (TCHAOUROU) ; ALIBORI (KANDI, BANIKOARA) ; ATACORA (TANGUIÉTA).</t>
  </si>
  <si>
    <t>ATLANTIQUE (ABOMEY-CALAVI(AKASSATO)).</t>
  </si>
  <si>
    <t>ATACORA ; DONGA ; ALIBORI ; BORGOU.</t>
  </si>
  <si>
    <t>LITTORAL (COTONOU) ; ATLANTIQUE (OUIDAH) ; MONO (GRAND-POPO) ; OUÉMÉ (SÈMÈ-PODJI).</t>
  </si>
  <si>
    <t>LITTORAL (COTONOU) ; ATLANTIQUE (ABOMEY-CALAVI) ; OUÉMÉ (SÈMÈ-PODJI).</t>
  </si>
  <si>
    <t>BORGOU ; ALIBORI.</t>
  </si>
  <si>
    <t>ATACORA (NATITINGOU, BOUKOUMBÉ, COBLY, KÉROU, KOUANDÉ, MATÉRI, TANGUIÉTA, TOUCOUNTOUNA, PÉHUNCO) ; ALIBORI (KANDI).</t>
  </si>
  <si>
    <t>ALIBORI ; BORGOU ; ATACORA ; DONGA.</t>
  </si>
  <si>
    <t>OUÉMÉ ; ZOU ; COLLINES ; ALIBORI.</t>
  </si>
  <si>
    <t>ATLANTIQUE (KPOMASSÈ(TOKPA-DOMÈ)).</t>
  </si>
  <si>
    <t>ZOU (ZOGBODOMEY(ZOUKOU)).</t>
  </si>
  <si>
    <t>OUÉMÉ (PORTO-NOVO).</t>
  </si>
  <si>
    <t>ATACORA (NATITINGOU).</t>
  </si>
  <si>
    <t>ALIBORI (BANIKOARA, KARIMAMA, MALANVILLE) ; BORGOU (BEMBÉRÈKÉ).</t>
  </si>
  <si>
    <t>MONO (GRAND-POPO(AGOUÉ)) ; ATLANTIQUE (OUIDAH) ; LITTORAL (COTONOU).</t>
  </si>
  <si>
    <t>MONO (GRAND-POPO) ; ATLANTIQUE (OUIDAH, ABOMEY-CALAVI) ; LITTORAL (COTONOU) ; OUÉMÉ (SÈMÈ-PODJI).</t>
  </si>
  <si>
    <t>PLATEAU (POBÈ(ONIGBOLO)).</t>
  </si>
  <si>
    <t>ATLANTIQUE ; ZOU ; COLLINES ; BORGOU ; DONGA.</t>
  </si>
  <si>
    <t>ATLANTIQUE (OUIDAH(AVLÉKÉTÉ, DJÈGBADJI)).</t>
  </si>
  <si>
    <t>PLATEAU (KÉTOU(IDIGNY)) ; COLLINES (SAVÈ(IGBODJA)) ; ZOU (KÉTOU(OMOU, ILLADJI)).</t>
  </si>
  <si>
    <t>COLLINES (SAVÈ, DASSA-ZOUMÉ, GLAZOUÉ).</t>
  </si>
  <si>
    <t>LITTORAL (COTONOU) ; OUÉMÉ (SÈMÈ-PODJI) ; ATLANTIQUE (OUIDAH) ; MONO (GRAND-POPO).</t>
  </si>
  <si>
    <t>ATLANTIQUE (ABOMEY-CALAVI(OUÈDO)).</t>
  </si>
  <si>
    <t>MONO (LOKOSSA) ; COUFFO (APLAHOUÉ(DEVÈ)).</t>
  </si>
  <si>
    <t>ALIBORI ; BORGOU ; ATACORA ; DONGA ; COLLINES ; ZOU.</t>
  </si>
  <si>
    <t>BORGOU ; ALIBORI ; ZOU ; COLLINES.</t>
  </si>
  <si>
    <t>PLATEAU (POBÈ(ONIGBOLO)) ; LITTORAL (COTONOU).</t>
  </si>
  <si>
    <t>ATLANTIQUE (TOFFO) ; ALIBORI (KANDI).</t>
  </si>
  <si>
    <t>OUÉMÉ (PORTO-NOVO) ; ATACORA (NATITINGOU).</t>
  </si>
  <si>
    <t>LITTORAL (COTONOU) ; ATLANTIQUE (ABOMEY-CALAVI, SÔ-AVA) ; OUÉMÉ (PORTO-NOVO, SÈMÈ-PODJI).</t>
  </si>
  <si>
    <t>ALIBORI ; BORGOU.</t>
  </si>
  <si>
    <t>ATACORA ; ALIBORI ; BORGOU ; ZOU ; COLLINES.</t>
  </si>
  <si>
    <t>ATACORA ; DONGA ; MONO ; COUFFO.</t>
  </si>
  <si>
    <t>BORGOU ; ALIBORI ; ATACORA ; DONGA.</t>
  </si>
  <si>
    <t>ALIBORI (MALANVILLE(GUÉNÉ), KARIMAMA) ; ATACORA (MATÉRI(PORGA)).</t>
  </si>
  <si>
    <t>ATLANTIQUE (OUIDAH) ; LITTORAL (COTONOU).</t>
  </si>
  <si>
    <t>ATLANTIQUE (ABOMEY-CALAVI, ALLADA, ZÈ) ; OUÉMÉ (PORTO-NOVO, AKPRO-MISSÉRÉTÉ) ; MONO (LOKOSSA).</t>
  </si>
  <si>
    <t>ALIBORI ; BORGOU ; ATACORA ; DONGA ; OUÉMÉ ; PLATEAU.</t>
  </si>
  <si>
    <t>ATLANTIQUE (ABOMEY-CALAVI) ; BORGOU (PARAKOU).</t>
  </si>
  <si>
    <t>ZOU (BOHICON) ; COLLINES (DASSA-ZOUMÉ) ; OUÉMÉ (COMÈ) ; ALIBORI (KANDI).</t>
  </si>
  <si>
    <t>BORGOU (BEMBÉRÈKÉ(BÉROUBOUAY)) ; ALIBORI (KANDI, MALANVILLE).</t>
  </si>
  <si>
    <t>MONO (GRAND-POPO(GBÉKON)).</t>
  </si>
  <si>
    <t>ATLANTIQUE (TOFFO) ; COUFFO (LALO).</t>
  </si>
  <si>
    <t>OUÉMÉ (AKPRO-MISSÉRÉTÉ) ; PLATEAU (POBÈ(OBÈLÈ)).</t>
  </si>
  <si>
    <t>LITTORAL (COTONOU) ; OUÉMÉ (PORTO-NOVO) ; ATLANTIQUE (ABOMEY-CALAVI).</t>
  </si>
  <si>
    <t>ALIBORI (MALANVILLE).</t>
  </si>
  <si>
    <t>OUÉMÉ (AKPRO-MISSÉRÉTÉ) ; PLATEAU (POBÈ(ILLARA)).</t>
  </si>
  <si>
    <t>BORGOU (PARAKOU(CHD BORGOU)).</t>
  </si>
  <si>
    <t>ALIBORI (BANIKOARA) ; BORGOU (TCHAOUROU) ; ZOU ; COLLINES.</t>
  </si>
  <si>
    <t>MONO ; COUFFO ; ZOU ; COLLINES.</t>
  </si>
  <si>
    <t>COLLINES (SAVALOU, DASSA-ZOUMÉ) ; ZOU (DJIDJA) ; BORGOU (TCHAOUROU).</t>
  </si>
  <si>
    <t>ATACORA (NATITINGOU, BOUKOUMBÉ, COBLY, KÉROU, KOUANDÉ, MATÉRI, TANGUIÉTA, TOUCOUNTOUNA, PÉHUNCO).</t>
  </si>
  <si>
    <t>LITTORAL (COTONOU(VÈDOKO)).</t>
  </si>
  <si>
    <t>LITTORAL (COTONOU) ; MONO (GRAND-POPO(HILLACONDJI)) ; ALIBORI (MALANVILLE(GUÉNÉ)) ; PLATEAU (KÉTOU(ILARA)).</t>
  </si>
  <si>
    <t>ATACORA (TOUCOUNTOUNA) ; DONGA (COPARGO) ; ALIBORI (BANIKOARA, KARIMAMA, MALANVILLE).</t>
  </si>
  <si>
    <t>DONGA (DJOUGOU) ; ATACORA (PÉHUNCO, KÉROU) ; ALIBORI (BANIKOARA).</t>
  </si>
  <si>
    <t>ZOU (ZAGNANADO, COVÈ) ; ATACORA (BOUKOUMBÉ).</t>
  </si>
  <si>
    <t>PLATEAU (KÉTOU) ; ZOU (ABOMEY).</t>
  </si>
  <si>
    <t>BORGOU ; ALIBORI ; DONGA ; ATACORA ; ZOU ; COLLINES.</t>
  </si>
  <si>
    <t>ATLANTIQUE (SÔ-AVA(GANVIÉ I, GANVIÉ II)).</t>
  </si>
  <si>
    <t>ATACORA (NATITINGOU, TOUCOUNTOUNA, TANGUIÉTA, MATÉRI(PORGA)).</t>
  </si>
  <si>
    <t>ATACORA ; DONGA.</t>
  </si>
  <si>
    <t>ATLANTIQUE (ABOMEY-CALAVI) ; LITTORAL (COTONOU).</t>
  </si>
  <si>
    <t>MONO (HOUÉYOGBÉ(SÈ)).</t>
  </si>
  <si>
    <t>DONGA (DJOUGOU).</t>
  </si>
  <si>
    <t>ZOU (BOHICON, DASSA-ZOUMÉ) ; COLLINES (GLAZOUÉ, OUÈSSÈ) ; BORGOU (TCHAOUROU, PARAKOU).</t>
  </si>
  <si>
    <t>ALIBORI ; BORGOU ; ATACORA ; DONGA ; ZOU ; COLLINES ; MONO ; COUFFO.</t>
  </si>
  <si>
    <t>ATLANTIQUE (ABOMEY-CALAVI(ARRONDISSEMENT D'AKASSATO(LOCALITÉ D'ADJAGBO))).</t>
  </si>
  <si>
    <t>ATLANTIQUE (ABOMEY-CALAVI(ARRONDISSEMENT DE CALAVI CENTRE)).</t>
  </si>
  <si>
    <t>ATLANTIQUE (ABOMEY-CALAVI, OUIDAH, ZÈ) ; LITTORAL (COTONOU) ; OUÉMÉ (PORTO-NOVO, SÈMÈ-PODJI) ; ZOU (BOHICON).</t>
  </si>
  <si>
    <t>ZOU (ABOMEY).</t>
  </si>
  <si>
    <t>BORGOU (BEMBÉRÈKÉ(GUESSOU SUD), SINENDÉ) ; MONO (COMÈ, BOPA(POSSOTOMÉ)) ; COUFFO (KLOUÉKANMÈ(ZOUNGBONOU)).</t>
  </si>
  <si>
    <t>ATLANTIQUE (ABOMEY-CALAVI) ; OUÉMÉ (PORTO-NOVO) ; BORGOU (PARAKOU) ; ZOU (BOHICON) ; DONGA (DJOUGOU) ; ATACORA (NATITINGOU) ; MONO (LOKOSSA) ; COLLINES (DASSA-ZOUMÉ).</t>
  </si>
  <si>
    <t>ATLANTIQUE (ABOMEY-CALAVI(OUÈDO)) ; OUÉMÉ (PORTO-NOVO) ; BORGOU (PARAKOU).</t>
  </si>
  <si>
    <t>COLLINES ; ZOU ; COUFFO ; MONO ; OUÉMÉ ; PLATEAU.</t>
  </si>
  <si>
    <t>COUFFO (APLAHOUÉ, DJAKOTOMEY, DOGBO, KLOUÉKANMÈ, LALO, TOVIKLIN) ; PLATEAU (ADJA-OUÉRÉ, IFANGNI, KÉTOU, POBÈ, SAKÉTÉ).</t>
  </si>
  <si>
    <t>ATLANTIQUE (ABOMEY-CALAVI(GOLO-DJIGBÉ)).</t>
  </si>
  <si>
    <t>ATACORA (TANGUIÉTA).</t>
  </si>
  <si>
    <t>LITTORAL (COTONOU) ; ATLANTIQUE (ABOMEY-CALAVI) ; OUÉMÉ (PORTO-NOVO) ; BORGOU (PARAKOU).</t>
  </si>
  <si>
    <t>OUÉMÉ (SÈMÈ-PODJI).</t>
  </si>
  <si>
    <t>LITTORAL (COTONOU(CNHU-HKM)) ; BORGOU (PARAKOU(CHD BORGOU)) ; MONO (LOKOSSA).</t>
  </si>
  <si>
    <t>LITTORAL (COTONOU) ; BORGOU (PARAKOU) ; OUÉMÉ (PORTO-NOVO) ; ATACORA (NATITINGOU) ; ZOU (ABOMEY).</t>
  </si>
  <si>
    <t>ALIBORI ; BORGOU ; COLLINES ; ZOU ; COUFFO.</t>
  </si>
  <si>
    <t>ATLANTIQUE (ABOMEY-CALAVI(ARRONDISSEMENT DE CALAVI CENTRE(LOCALITÉ DE ZOPAH / ABOMEY-CALAVI))).</t>
  </si>
  <si>
    <t>LITTORAL (COTONOU(FIDJROSSÈ)) ; ATLANTIQUE (ABOMEY-CALAVI(TOGBIN), OUIDAH(AVLÉKÉTÉ, HOUAKPÈ-DAHO)).</t>
  </si>
  <si>
    <t>ATACORA (NATITINGOU) ; DONGA (DJOUGOU) ; COLLINES (SAVALOU) ; OUÉMÉ (PORTO-NOVO).</t>
  </si>
  <si>
    <t>ALIBORI (BANIKOARA, KANDI) ; BORGOU (TCHAOUROU, NIKKI) ; ZOU ; COLLINES.</t>
  </si>
  <si>
    <t>ATLANTIQUE (ABOMEY-CALAVI(CALAVI CENTRE(ZOPAH / ABOMEY-CALAVI))).</t>
  </si>
  <si>
    <t>ZOU (ABOMEY) ; ATLANTIQUE (OUIDAH) ; COLLINES (SAVALOU) ; BORGOU (NIKKI).</t>
  </si>
  <si>
    <t>COUFFO ; PLATEAU.</t>
  </si>
  <si>
    <t>ALIBORI ; BORGOU ; ATACORA ; DONGA ; COLLINES.</t>
  </si>
  <si>
    <t>ALIBORI ; BORGOU ; ATACORA ; DONGA ; ZOU ; COLLINES ; ATLANTIQUE.</t>
  </si>
  <si>
    <t>PLATEAU (POBÉ).</t>
  </si>
  <si>
    <t>LITTORAL (COTONOU(CNHU-HKM)) ; MONO (LOKOSSA(CHD MONO)).</t>
  </si>
  <si>
    <t>ATACORA (NATITINGOU) ; DONGA (DJOUGOU).</t>
  </si>
  <si>
    <t>ATLANTIQUE (SÔ-AVA).</t>
  </si>
  <si>
    <t>COUFFO (KLOUÉKANMÈ).</t>
  </si>
  <si>
    <t>OUÉMÉ (BONOU).</t>
  </si>
  <si>
    <t>MONO (COMÈ, BOPA) ; COUFFO (KLOUÉKANMÈ).</t>
  </si>
  <si>
    <t>FLEUVE MONO: ATHIÉMÉ (SITE D'ATHIÉMÉ), GRAND-POPO (SITE DE SAZUÉ).</t>
  </si>
  <si>
    <t>COTONOU, ALLADA, BONOU, PORTO-NOVO, GRAND-POPO, DOGBO, MALANVILLE, SÈME-KPOJI, ABOMEY-CALAVI, KARIMAMA, ADJARRA, ZAGNANADO, ZOGBODOMEY, COVÈ, OUINHI, ZA-KPOTA, BOPA, COMÈ, OUIDAH, AVRANKOU, POBÈ, ADJA-OUÈRÈ, KÉTOU, DANGBO, ADJOHOUN, LALO, KLOUÉKANMEY, DJAKOTOMEY, LOKOSSA, APLAHOUÉ, HOUÉYOGBÉ, DJOUGOU, COPARGO, PARAKOU, OUAKÉ, NIKKI, TCHAOUROU, BANIKOARA, SAVÈ, DASSA-ZOUMÈ.</t>
  </si>
  <si>
    <t>ATACORA ; ALIBORI.</t>
  </si>
  <si>
    <t>ATACORA (NATITINGOU) ; MONO (LOKOSSA) ; ZOU (BOHICON).</t>
  </si>
  <si>
    <t>MONO (LOKOSSA, ATHIÉMÉ).</t>
  </si>
  <si>
    <t>ATLANTIQUE (OUIDAH, KPOMASSÈ).</t>
  </si>
  <si>
    <t>ATLANTIQUE, COUFFO, LITTORAL, MONO, OUÉMÉ, PLATEAU ET ZOU.</t>
  </si>
  <si>
    <t>OUÉMÉ ; PLATEAU ; ZOU ; COLLINES ; MONO ; COUFFO ; ATLANTIQUE.</t>
  </si>
  <si>
    <t>OUÉMÉ (ADJOHOUN, DANGBO, AGUÉGUÉS).</t>
  </si>
  <si>
    <t>COLLINES (DASSA-ZOUNMÈ / FITA) ; ZOU.</t>
  </si>
  <si>
    <t>ATLANTIQUE ; COUFFO ; LITTORAL ; MONO ; OUÉMÉ ; PLATEAU ; ZOU.</t>
  </si>
  <si>
    <t>ALLADA, BASSILA</t>
  </si>
  <si>
    <t>ZONES RURALES MULTI-DÉPARTEMENTALES DU BÉNIN.</t>
  </si>
  <si>
    <t>ATACORA ; ALIBORI ; BORGOU ; DONGA.</t>
  </si>
  <si>
    <t>ATACORA (NATITINGOU, TANGUIÉTA, MATÉRI/PORGA).</t>
  </si>
  <si>
    <t>ALIBORI ; BORGOU ; COLLINES ; ZOU.</t>
  </si>
  <si>
    <t>COMMUNES DU NORD DU BÉNIN VULNÉRABLES AUX PRESSIONS DE LA ZONE SAHÉLIENNE</t>
  </si>
  <si>
    <t>ATLANTIQUE (ABOMEY-CALAVI(GODOMEY, AKASSATO), ZÈ, TOFFO) ; ZOU (ZOGBODOMEY, BOHICON).</t>
  </si>
  <si>
    <t>MONO (BOPA) ; OUÉMÉ (PORTO-NOVO) ; BORGOU (BEMBÉRÈKÉ) ; ALIBORI (KANDI) ; PLATEAU (POBÈ) ; LITTORAL (COTONOU).</t>
  </si>
  <si>
    <t>ATACORA (NATITINGOU, BOUKOUMBÉ, COBLY, KÉROU, KOUANDÉ, MATÉRI, TANGUIÉTA, TOUCOUNTOUNA) ; ALIBORI (BANIKOARA).</t>
  </si>
  <si>
    <t>COLLINES (SAVÈ).</t>
  </si>
  <si>
    <t/>
  </si>
  <si>
    <t>Objectifs spécifiques</t>
  </si>
  <si>
    <t>Resultats attendues</t>
  </si>
  <si>
    <t xml:space="preserve">Principales composantes </t>
  </si>
  <si>
    <t xml:space="preserve">Bénéficiaires directes </t>
  </si>
  <si>
    <t>Population cible</t>
  </si>
  <si>
    <t>Production d’électricité</t>
  </si>
  <si>
    <t>Transport d’énergie</t>
  </si>
  <si>
    <t>Distribution d’électricité</t>
  </si>
  <si>
    <t>Électrification rurale</t>
  </si>
  <si>
    <t>Électrification urbaine</t>
  </si>
  <si>
    <t>Énergies renouvelables</t>
  </si>
  <si>
    <t>Énergie solaire</t>
  </si>
  <si>
    <t>Biomasse et biogaz</t>
  </si>
  <si>
    <t>Efficacité énergétique</t>
  </si>
  <si>
    <t>Éclairage public</t>
  </si>
  <si>
    <t>Production végétale</t>
  </si>
  <si>
    <t>Riziculture</t>
  </si>
  <si>
    <t>Maraîchage</t>
  </si>
  <si>
    <t>Cultures de rente</t>
  </si>
  <si>
    <t>Irrigation et maîtrise de l’eau</t>
  </si>
  <si>
    <t>Mécanisation agricole</t>
  </si>
  <si>
    <t>Stockage et conservation</t>
  </si>
  <si>
    <t>Transformation agroalimentaire</t>
  </si>
  <si>
    <t>Recherche et innovation agricoles</t>
  </si>
  <si>
    <t>Conseil agricole</t>
  </si>
  <si>
    <t>Élevage</t>
  </si>
  <si>
    <t>Pêche et aquaculture</t>
  </si>
  <si>
    <t>Sécurité alimentaire</t>
  </si>
  <si>
    <t>Urbanisme</t>
  </si>
  <si>
    <t>Aménagement urbain</t>
  </si>
  <si>
    <t>Habitat et logements sociaux</t>
  </si>
  <si>
    <t>Voirie urbaine</t>
  </si>
  <si>
    <t>Assainissement pluvial</t>
  </si>
  <si>
    <t>Gestion des déchets solides</t>
  </si>
  <si>
    <t>Espaces verts et embellissement</t>
  </si>
  <si>
    <t>Gestion des marchés et équipements urbains</t>
  </si>
  <si>
    <t>Environnement et changements climatiques</t>
  </si>
  <si>
    <t>Gestion des ressources naturelles</t>
  </si>
  <si>
    <t>Lutte contre les inondations</t>
  </si>
  <si>
    <t>Lutte contre l’érosion côtière</t>
  </si>
  <si>
    <t>Patrimoine culturel</t>
  </si>
  <si>
    <t>Musées et sites historiques</t>
  </si>
  <si>
    <t>Arts et spectacles</t>
  </si>
  <si>
    <t>Industries culturelles et créatives</t>
  </si>
  <si>
    <t>Festivals et événements culturels</t>
  </si>
  <si>
    <t>Aménagement de sites touristiques</t>
  </si>
  <si>
    <t>Écotourisme</t>
  </si>
  <si>
    <t>Tourisme balnéaire</t>
  </si>
  <si>
    <t>Hôtellerie et hébergement</t>
  </si>
  <si>
    <t>Promotion de la destination Bénin</t>
  </si>
  <si>
    <t>Formation aux métiers du tourisme</t>
  </si>
  <si>
    <t>Appui aux communes</t>
  </si>
  <si>
    <t>Gouvernance locale</t>
  </si>
  <si>
    <t>Planification locale</t>
  </si>
  <si>
    <t>Développement territorial</t>
  </si>
  <si>
    <t>Participation citoyenne</t>
  </si>
  <si>
    <t>Fiscalité locale</t>
  </si>
  <si>
    <t>Renforcement des capacités des collectivités</t>
  </si>
  <si>
    <t>Intercommunalité</t>
  </si>
  <si>
    <t>Gestion des services publics locaux</t>
  </si>
  <si>
    <t>Développement communautaire</t>
  </si>
  <si>
    <t>Inclusion sociale</t>
  </si>
  <si>
    <t>Promotion de la femme</t>
  </si>
  <si>
    <t>Développement de la famille</t>
  </si>
  <si>
    <t>Cohésion sociale</t>
  </si>
  <si>
    <t>Appui aux groupes vulnérables</t>
  </si>
  <si>
    <t>Développement local participatif</t>
  </si>
  <si>
    <t>Action humanitaire</t>
  </si>
  <si>
    <t>Résilience communautaire</t>
  </si>
  <si>
    <t>Programmes multisectoriels</t>
  </si>
  <si>
    <t>Développement intégré</t>
  </si>
  <si>
    <t>Projets pilotes transversaux</t>
  </si>
  <si>
    <t>Coordination intersectorielle</t>
  </si>
  <si>
    <t>Renforcement institutionnel transversal</t>
  </si>
  <si>
    <t>Relèvement et résilience</t>
  </si>
  <si>
    <t>Développement territorial intégré</t>
  </si>
  <si>
    <t>Approvisionnement en eau potable</t>
  </si>
  <si>
    <t>Hydraulique villageoise</t>
  </si>
  <si>
    <t>Hydraulique urbaine</t>
  </si>
  <si>
    <t>Forages et puits</t>
  </si>
  <si>
    <t>Réseaux d’adduction d’eau</t>
  </si>
  <si>
    <t>Assainissement des eaux usées</t>
  </si>
  <si>
    <t>Latrines et assainissement familial</t>
  </si>
  <si>
    <t>Hygiène communautaire</t>
  </si>
  <si>
    <t>Gestion des boues de vidange</t>
  </si>
  <si>
    <t>Drainage des eaux pluviales</t>
  </si>
  <si>
    <t>Planification économique</t>
  </si>
  <si>
    <t>Politique macroéconomique</t>
  </si>
  <si>
    <t>Compétitivité économique</t>
  </si>
  <si>
    <t>Promotion des investissements</t>
  </si>
  <si>
    <t>Partenariats public-privé</t>
  </si>
  <si>
    <t>Développement du secteur privé</t>
  </si>
  <si>
    <t>Entrepreneuriat</t>
  </si>
  <si>
    <t>Statistiques économiques</t>
  </si>
  <si>
    <t>Commerce régional</t>
  </si>
  <si>
    <t>Intégration économique</t>
  </si>
  <si>
    <t>Enseignement maternel</t>
  </si>
  <si>
    <t>Enseignement primaire</t>
  </si>
  <si>
    <t>Enseignement secondaire</t>
  </si>
  <si>
    <t>Enseignement technique</t>
  </si>
  <si>
    <t>Formation professionnelle</t>
  </si>
  <si>
    <t>Enseignement supérieur</t>
  </si>
  <si>
    <t>Alphabétisation</t>
  </si>
  <si>
    <t>Cantines scolaires</t>
  </si>
  <si>
    <t>Infrastructures scolaires</t>
  </si>
  <si>
    <t>Équipements pédagogiques</t>
  </si>
  <si>
    <t>Formation des enseignants</t>
  </si>
  <si>
    <t>Éducation inclusive</t>
  </si>
  <si>
    <t>Gestion budgétaire</t>
  </si>
  <si>
    <t>Mobilisation des recettes</t>
  </si>
  <si>
    <t>Administration fiscale</t>
  </si>
  <si>
    <t>Administration douanière</t>
  </si>
  <si>
    <t>Dette publique</t>
  </si>
  <si>
    <t>Trésor et comptabilité publique</t>
  </si>
  <si>
    <t>Contrôle et audit publics</t>
  </si>
  <si>
    <t>Gestion des investissements publics</t>
  </si>
  <si>
    <t>Réformes des finances publiques</t>
  </si>
  <si>
    <t>Gestion axée sur les résultats</t>
  </si>
  <si>
    <t>Réforme de l’administration publique</t>
  </si>
  <si>
    <t>Modernisation de l’État</t>
  </si>
  <si>
    <t>Transparence et redevabilité</t>
  </si>
  <si>
    <t>Lutte contre la corruption</t>
  </si>
  <si>
    <t>État civil</t>
  </si>
  <si>
    <t>Gestion des ressources humaines publiques</t>
  </si>
  <si>
    <t>Renforcement institutionnel</t>
  </si>
  <si>
    <t>Suivi-évaluation</t>
  </si>
  <si>
    <t>Systèmes d’information publics</t>
  </si>
  <si>
    <t>Développement industriel</t>
  </si>
  <si>
    <t>Zones industrielles</t>
  </si>
  <si>
    <t>Agro-industrie</t>
  </si>
  <si>
    <t>Petites et moyennes entreprises</t>
  </si>
  <si>
    <t>Artisanat</t>
  </si>
  <si>
    <t>Commerce intérieur</t>
  </si>
  <si>
    <t>Commerce extérieur</t>
  </si>
  <si>
    <t>Promotion des exportations</t>
  </si>
  <si>
    <t>Normalisation et qualité</t>
  </si>
  <si>
    <t>Chaînes de valeur</t>
  </si>
  <si>
    <t>Facilitation des échanges</t>
  </si>
  <si>
    <t>Routes nationales</t>
  </si>
  <si>
    <t>Routes intercommunales</t>
  </si>
  <si>
    <t>Pistes rurales</t>
  </si>
  <si>
    <t>Ponts et ouvrages de franchissement</t>
  </si>
  <si>
    <t>Transport urbain</t>
  </si>
  <si>
    <t>Mobilité urbaine</t>
  </si>
  <si>
    <t>Transport ferroviaire</t>
  </si>
  <si>
    <t>Transport aérien</t>
  </si>
  <si>
    <t>Transport maritime et portuaire</t>
  </si>
  <si>
    <t>Sécurité routière</t>
  </si>
  <si>
    <t>Entretien routier</t>
  </si>
  <si>
    <t>Signalisation et équipements de transport</t>
  </si>
  <si>
    <t>Réforme judiciaire</t>
  </si>
  <si>
    <t>Accès à la justice</t>
  </si>
  <si>
    <t>Infrastructures judiciaires</t>
  </si>
  <si>
    <t>Administration pénitentiaire</t>
  </si>
  <si>
    <t>Assistance juridique</t>
  </si>
  <si>
    <t>Justice de proximité</t>
  </si>
  <si>
    <t>Protection juridique des femmes et des enfants</t>
  </si>
  <si>
    <t>Lutte contre les violences basées sur le genre</t>
  </si>
  <si>
    <t>Formation des acteurs judiciaires</t>
  </si>
  <si>
    <t>Droits humains</t>
  </si>
  <si>
    <t>Institutions de microfinance</t>
  </si>
  <si>
    <t>Inclusion financière</t>
  </si>
  <si>
    <t>Épargne et crédit</t>
  </si>
  <si>
    <t>Financement des PME</t>
  </si>
  <si>
    <t>Finance agricole</t>
  </si>
  <si>
    <t>Produits financiers adaptés</t>
  </si>
  <si>
    <t>Éducation financière</t>
  </si>
  <si>
    <t>Digitalisation des services financiers</t>
  </si>
  <si>
    <t>Renforcement des capacités des IMF</t>
  </si>
  <si>
    <t>Protection des consommateurs financiers</t>
  </si>
  <si>
    <t>Infrastructures numériques</t>
  </si>
  <si>
    <t>Fibre optique</t>
  </si>
  <si>
    <t>Connectivité internet</t>
  </si>
  <si>
    <t>Télécommunications</t>
  </si>
  <si>
    <t>Gouvernement électronique</t>
  </si>
  <si>
    <t>Services publics numériques</t>
  </si>
  <si>
    <t>Cybersécurité</t>
  </si>
  <si>
    <t>Centres de données</t>
  </si>
  <si>
    <t>Innovation technologique</t>
  </si>
  <si>
    <t>Transformation numérique</t>
  </si>
  <si>
    <t>Inclusion numérique</t>
  </si>
  <si>
    <t>Compétences numériques</t>
  </si>
  <si>
    <t>Filets sociaux</t>
  </si>
  <si>
    <t>Transferts monétaires</t>
  </si>
  <si>
    <t>Protection de l’enfance</t>
  </si>
  <si>
    <t>Protection des personnes handicapées</t>
  </si>
  <si>
    <t>Autonomisation des femmes</t>
  </si>
  <si>
    <t>Emploi des jeunes</t>
  </si>
  <si>
    <t>Formation à l’emploi</t>
  </si>
  <si>
    <t>Entrepreneuriat des jeunes</t>
  </si>
  <si>
    <t>Travaux à haute intensité de main-d’œuvre</t>
  </si>
  <si>
    <t>Réinsertion socio-économique</t>
  </si>
  <si>
    <t>Protection des personnes âgées</t>
  </si>
  <si>
    <t>Assurance et sécurité sociales</t>
  </si>
  <si>
    <t>Santé maternelle et infantile</t>
  </si>
  <si>
    <t>Santé reproductive</t>
  </si>
  <si>
    <t>Lutte contre le paludisme</t>
  </si>
  <si>
    <t>Lutte contre le VIH/SIDA</t>
  </si>
  <si>
    <t>Vaccination et immunisation</t>
  </si>
  <si>
    <t>Nutrition</t>
  </si>
  <si>
    <t>Infrastructures sanitaires</t>
  </si>
  <si>
    <t>Équipements biomédicaux</t>
  </si>
  <si>
    <t>Ressources humaines en santé</t>
  </si>
  <si>
    <t>Santé communautaire</t>
  </si>
  <si>
    <t>Surveillance épidémiologique</t>
  </si>
  <si>
    <t>Couverture sanitaire universelle</t>
  </si>
  <si>
    <t>Sécurité intérieure</t>
  </si>
  <si>
    <t>Police républicaine</t>
  </si>
  <si>
    <t>Protection civile</t>
  </si>
  <si>
    <t>Gestion des catastrophes</t>
  </si>
  <si>
    <t>Sécurité frontalière</t>
  </si>
  <si>
    <t>Défense nationale</t>
  </si>
  <si>
    <t>Lutte contre le terrorisme</t>
  </si>
  <si>
    <t>Sécurité maritime</t>
  </si>
  <si>
    <t>Sécurité communautaire</t>
  </si>
  <si>
    <t>Systèmes d’alerte et de secours</t>
  </si>
  <si>
    <t>Équipements de sécurité</t>
  </si>
  <si>
    <t>Infrastructures sportives</t>
  </si>
  <si>
    <t>Sports scolaires</t>
  </si>
  <si>
    <t>Sports universitaires</t>
  </si>
  <si>
    <t>Sports de haut niveau</t>
  </si>
  <si>
    <t>Sports communautaires</t>
  </si>
  <si>
    <t>Centres de jeunesse et de loisirs</t>
  </si>
  <si>
    <t>Loisirs éducatifs</t>
  </si>
  <si>
    <t>Animation socio-éducative</t>
  </si>
  <si>
    <t>Promotion de la jeunesse</t>
  </si>
  <si>
    <t>Volontariat et engagement citoyen</t>
  </si>
  <si>
    <t>Formation des encadreurs sportifs</t>
  </si>
  <si>
    <t>Mines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</si>
</sst>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m/dd/yy"/>
    <numFmt numFmtId="166" formatCode="yyyy\-mm\-dd\ h:mm:ss"/>
  </numFmts>
  <fonts count="12" x14ac:knownFonts="1">
    <font>
      <sz val="11"/>
      <color theme="1"/>
      <name val="Calibri"/>
      <family val="2"/>
      <charset val="1"/>
    </font>
    <font>
      <b/>
      <sz val="10"/>
      <color rgb="FFFFFFFF"/>
      <name val="Arial"/>
      <family val="2"/>
    </font>
    <font>
      <sz val="9"/>
      <name val="Arial"/>
      <family val="2"/>
    </font>
    <font>
      <sz val="9"/>
      <color theme="1"/>
      <name val="Aptos Slab"/>
      <family val="2"/>
    </font>
    <font>
      <b/>
      <sz val="9"/>
      <color theme="1"/>
      <name val="Aptos Slab"/>
      <family val="2"/>
    </font>
    <font>
      <sz val="9"/>
      <color rgb="FF1D1D1F"/>
      <name val="Aptos Slab"/>
      <family val="2"/>
    </font>
    <font>
      <b/>
      <sz val="18"/>
      <color rgb="FF1F4E79"/>
      <name val="Georgia"/>
      <family val="1"/>
    </font>
    <font>
      <i/>
      <sz val="10"/>
      <color rgb="FF666666"/>
      <name val="Calibri"/>
      <family val="2"/>
    </font>
    <font>
      <b/>
      <sz val="12"/>
      <color rgb="FFFFFFFF"/>
      <name val="Calibri"/>
      <family val="2"/>
    </font>
    <font>
      <b/>
      <sz val="9"/>
      <color rgb="FFFFFFFF"/>
      <name val="Nyala"/>
    </font>
    <font>
      <sz val="9"/>
      <color theme="1"/>
      <name val="Nyala"/>
    </font>
    <font>
      <sz val="11"/>
      <name val="Arial"/>
      <family val="2"/>
    </font>
  </fonts>
  <fills count="11">
    <fill>
      <patternFill patternType="none"/>
    </fill>
    <fill>
      <patternFill patternType="gray125"/>
    </fill>
    <fill>
      <patternFill patternType="solid">
        <fgColor rgb="FFFFFFFF"/>
        <bgColor rgb="FFF2F2F2"/>
      </patternFill>
    </fill>
    <fill>
      <patternFill patternType="solid">
        <fgColor rgb="FFF2F2F2"/>
        <bgColor rgb="FFEDEDED"/>
      </patternFill>
    </fill>
    <fill>
      <patternFill patternType="solid">
        <fgColor rgb="FF008751"/>
        <bgColor rgb="FF008080"/>
      </patternFill>
    </fill>
    <fill>
      <patternFill patternType="solid">
        <fgColor rgb="FFFFFFFF"/>
        <bgColor indexed="64"/>
      </patternFill>
    </fill>
    <fill>
      <patternFill patternType="solid">
        <fgColor rgb="FFD6E4F0"/>
        <bgColor rgb="FFD1D1D1"/>
      </patternFill>
    </fill>
    <fill>
      <patternFill patternType="solid">
        <fgColor rgb="FF1F4E79"/>
        <bgColor rgb="FF003366"/>
      </patternFill>
    </fill>
    <fill>
      <patternFill patternType="solid">
        <fgColor rgb="FFF2F7FC"/>
        <bgColor rgb="FFFFFFFF"/>
      </patternFill>
    </fill>
    <fill>
      <patternFill patternType="solid">
        <fgColor theme="5" tint="0.79998168889431442"/>
        <bgColor rgb="FFFFFFFF"/>
      </patternFill>
    </fill>
    <fill>
      <patternFill patternType="solid">
        <fgColor theme="5" tint="0.79998168889431442"/>
        <bgColor indexed="64"/>
      </patternFill>
    </fill>
  </fills>
  <borders count="7">
    <border>
      <left/>
      <right/>
      <top/>
      <bottom/>
      <diagonal/>
    </border>
    <border>
      <left style="thin">
        <color rgb="FFAAAAAA"/>
      </left>
      <right style="thin">
        <color rgb="FFAAAAAA"/>
      </right>
      <top style="thin">
        <color rgb="FFAAAAAA"/>
      </top>
      <bottom style="thin">
        <color rgb="FFAAAAAA"/>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rgb="FFD1D1D1"/>
      </left>
      <right style="thin">
        <color rgb="FFD1D1D1"/>
      </right>
      <top/>
      <bottom style="thin">
        <color rgb="FFD1D1D1"/>
      </bottom>
      <diagonal/>
    </border>
    <border>
      <left style="thin">
        <color rgb="FFD1D1D1"/>
      </left>
      <right style="thin">
        <color rgb="FFD1D1D1"/>
      </right>
      <top style="thin">
        <color rgb="FFD1D1D1"/>
      </top>
      <bottom style="thin">
        <color rgb="FFD1D1D1"/>
      </bottom>
      <diagonal/>
    </border>
    <border>
      <left style="thin">
        <color auto="1"/>
      </left>
      <right style="thin">
        <color auto="1"/>
      </right>
      <top/>
      <bottom/>
      <diagonal/>
    </border>
  </borders>
  <cellStyleXfs count="1">
    <xf numFmtId="0" fontId="0" fillId="0" borderId="0"/>
  </cellStyleXfs>
  <cellXfs count="53">
    <xf numFmtId="0" fontId="0" fillId="0" borderId="0" xfId="0"/>
    <xf numFmtId="0" fontId="0" fillId="2" borderId="0" xfId="0" applyFill="1"/>
    <xf numFmtId="164" fontId="0" fillId="2" borderId="0" xfId="0" applyNumberFormat="1" applyFill="1"/>
    <xf numFmtId="0" fontId="0" fillId="3" borderId="0" xfId="0" applyFill="1"/>
    <xf numFmtId="164" fontId="0" fillId="3" borderId="0" xfId="0" applyNumberFormat="1" applyFill="1"/>
    <xf numFmtId="0" fontId="1" fillId="4" borderId="0" xfId="0" applyFont="1" applyFill="1" applyAlignment="1">
      <alignment horizontal="center" vertical="center" wrapText="1"/>
    </xf>
    <xf numFmtId="0" fontId="2" fillId="3" borderId="0" xfId="0" applyFont="1" applyFill="1"/>
    <xf numFmtId="0" fontId="2" fillId="2" borderId="0" xfId="0" applyFont="1" applyFill="1"/>
    <xf numFmtId="0" fontId="2" fillId="0" borderId="0" xfId="0" applyFont="1"/>
    <xf numFmtId="0" fontId="1" fillId="4" borderId="1" xfId="0" applyFont="1" applyFill="1" applyBorder="1" applyAlignment="1">
      <alignment horizontal="center" vertical="center" wrapText="1"/>
    </xf>
    <xf numFmtId="165" fontId="0" fillId="3" borderId="0" xfId="0" applyNumberFormat="1" applyFill="1"/>
    <xf numFmtId="165" fontId="0" fillId="2" borderId="0" xfId="0" applyNumberFormat="1" applyFill="1"/>
    <xf numFmtId="49" fontId="2" fillId="3" borderId="0" xfId="0" applyNumberFormat="1" applyFont="1" applyFill="1"/>
    <xf numFmtId="49" fontId="2" fillId="2" borderId="0" xfId="0" applyNumberFormat="1" applyFont="1" applyFill="1"/>
    <xf numFmtId="166" fontId="0" fillId="0" borderId="0" xfId="0" applyNumberFormat="1"/>
    <xf numFmtId="0" fontId="0" fillId="0" borderId="0" xfId="0" applyAlignment="1">
      <alignment wrapText="1"/>
    </xf>
    <xf numFmtId="0" fontId="3" fillId="0" borderId="2" xfId="0" applyFont="1" applyBorder="1"/>
    <xf numFmtId="0" fontId="4" fillId="0" borderId="2" xfId="0" applyFont="1" applyBorder="1" applyAlignment="1">
      <alignment horizontal="center" vertical="center" wrapText="1"/>
    </xf>
    <xf numFmtId="0" fontId="3" fillId="0" borderId="2" xfId="0" applyFont="1" applyBorder="1" applyAlignment="1">
      <alignment vertical="center" wrapText="1"/>
    </xf>
    <xf numFmtId="0" fontId="5" fillId="5" borderId="2" xfId="0" applyFont="1" applyFill="1" applyBorder="1" applyAlignment="1">
      <alignment vertical="center" wrapText="1"/>
    </xf>
    <xf numFmtId="0" fontId="6" fillId="0" borderId="0" xfId="0" applyFont="1" applyAlignment="1">
      <alignment vertical="center"/>
    </xf>
    <xf numFmtId="0" fontId="7" fillId="0" borderId="0" xfId="0" applyFont="1" applyAlignment="1">
      <alignment vertical="center"/>
    </xf>
    <xf numFmtId="0" fontId="7" fillId="0" borderId="0" xfId="0" applyFont="1" applyAlignment="1">
      <alignment vertical="center" wrapText="1"/>
    </xf>
    <xf numFmtId="0" fontId="0" fillId="6" borderId="0" xfId="0" applyFill="1"/>
    <xf numFmtId="0" fontId="8" fillId="7" borderId="0" xfId="0" applyFont="1" applyFill="1" applyAlignment="1">
      <alignment horizontal="center" vertical="center"/>
    </xf>
    <xf numFmtId="0" fontId="9" fillId="7" borderId="3" xfId="0" applyFont="1" applyFill="1" applyBorder="1" applyAlignment="1">
      <alignment horizontal="center" vertical="center" wrapText="1"/>
    </xf>
    <xf numFmtId="14" fontId="9" fillId="7" borderId="3" xfId="0" applyNumberFormat="1" applyFont="1" applyFill="1" applyBorder="1" applyAlignment="1">
      <alignment horizontal="center" vertical="center" wrapText="1"/>
    </xf>
    <xf numFmtId="0" fontId="10" fillId="0" borderId="4" xfId="0" applyFont="1" applyBorder="1" applyAlignment="1">
      <alignment horizontal="left" vertical="center" wrapText="1" indent="1"/>
    </xf>
    <xf numFmtId="1" fontId="10" fillId="0" borderId="4" xfId="0" applyNumberFormat="1" applyFont="1" applyBorder="1" applyAlignment="1">
      <alignment horizontal="center" vertical="center"/>
    </xf>
    <xf numFmtId="3" fontId="10" fillId="0" borderId="4" xfId="0" applyNumberFormat="1" applyFont="1" applyBorder="1" applyAlignment="1">
      <alignment horizontal="right" vertical="center"/>
    </xf>
    <xf numFmtId="14" fontId="10" fillId="0" borderId="4" xfId="0" applyNumberFormat="1" applyFont="1" applyBorder="1" applyAlignment="1">
      <alignment horizontal="left" vertical="center" wrapText="1" indent="1"/>
    </xf>
    <xf numFmtId="0" fontId="10" fillId="8" borderId="5" xfId="0" applyFont="1" applyFill="1" applyBorder="1" applyAlignment="1">
      <alignment horizontal="left" vertical="center" wrapText="1" indent="1"/>
    </xf>
    <xf numFmtId="1" fontId="10" fillId="8" borderId="5" xfId="0" applyNumberFormat="1" applyFont="1" applyFill="1" applyBorder="1" applyAlignment="1">
      <alignment horizontal="center" vertical="center"/>
    </xf>
    <xf numFmtId="1" fontId="10" fillId="0" borderId="5" xfId="0" applyNumberFormat="1" applyFont="1" applyBorder="1" applyAlignment="1">
      <alignment horizontal="center" vertical="center"/>
    </xf>
    <xf numFmtId="3" fontId="10" fillId="8" borderId="5" xfId="0" applyNumberFormat="1" applyFont="1" applyFill="1" applyBorder="1" applyAlignment="1">
      <alignment horizontal="right" vertical="center"/>
    </xf>
    <xf numFmtId="14" fontId="10" fillId="8" borderId="5" xfId="0" applyNumberFormat="1" applyFont="1" applyFill="1" applyBorder="1" applyAlignment="1">
      <alignment horizontal="left" vertical="center" wrapText="1" indent="1"/>
    </xf>
    <xf numFmtId="0" fontId="10" fillId="0" borderId="5" xfId="0" applyFont="1" applyBorder="1" applyAlignment="1">
      <alignment horizontal="left" vertical="center" wrapText="1" indent="1"/>
    </xf>
    <xf numFmtId="3" fontId="10" fillId="0" borderId="5" xfId="0" applyNumberFormat="1" applyFont="1" applyBorder="1" applyAlignment="1">
      <alignment horizontal="right" vertical="center"/>
    </xf>
    <xf numFmtId="14" fontId="10" fillId="0" borderId="5" xfId="0" applyNumberFormat="1" applyFont="1" applyBorder="1" applyAlignment="1">
      <alignment horizontal="left" vertical="center" wrapText="1" indent="1"/>
    </xf>
    <xf numFmtId="0" fontId="10" fillId="0" borderId="5" xfId="0" applyFont="1" applyBorder="1" applyAlignment="1">
      <alignment horizontal="center" vertical="center" wrapText="1"/>
    </xf>
    <xf numFmtId="3" fontId="10" fillId="0" borderId="5" xfId="0" applyNumberFormat="1" applyFont="1" applyBorder="1" applyAlignment="1">
      <alignment horizontal="center" vertical="center"/>
    </xf>
    <xf numFmtId="1" fontId="10" fillId="8" borderId="5" xfId="0" applyNumberFormat="1" applyFont="1" applyFill="1" applyBorder="1" applyAlignment="1">
      <alignment horizontal="right" vertical="center"/>
    </xf>
    <xf numFmtId="1" fontId="10" fillId="0" borderId="5" xfId="0" applyNumberFormat="1" applyFont="1" applyBorder="1" applyAlignment="1">
      <alignment horizontal="right" vertical="center"/>
    </xf>
    <xf numFmtId="0" fontId="10" fillId="8" borderId="5" xfId="0" applyFont="1" applyFill="1" applyBorder="1" applyAlignment="1">
      <alignment horizontal="center" vertical="center" wrapText="1"/>
    </xf>
    <xf numFmtId="3" fontId="10" fillId="8" borderId="5" xfId="0" applyNumberFormat="1" applyFont="1" applyFill="1" applyBorder="1" applyAlignment="1">
      <alignment horizontal="center" vertical="center"/>
    </xf>
    <xf numFmtId="166" fontId="10" fillId="8" borderId="5" xfId="0" applyNumberFormat="1" applyFont="1" applyFill="1" applyBorder="1" applyAlignment="1">
      <alignment horizontal="left" vertical="center" wrapText="1" indent="1"/>
    </xf>
    <xf numFmtId="0" fontId="10" fillId="9" borderId="5" xfId="0" applyFont="1" applyFill="1" applyBorder="1" applyAlignment="1">
      <alignment horizontal="left" vertical="center" wrapText="1" indent="1"/>
    </xf>
    <xf numFmtId="166" fontId="10" fillId="0" borderId="5" xfId="0" applyNumberFormat="1" applyFont="1" applyBorder="1" applyAlignment="1">
      <alignment horizontal="left" vertical="center" wrapText="1" indent="1"/>
    </xf>
    <xf numFmtId="0" fontId="10" fillId="10" borderId="5" xfId="0" applyFont="1" applyFill="1" applyBorder="1" applyAlignment="1">
      <alignment horizontal="left" vertical="center" wrapText="1" indent="1"/>
    </xf>
    <xf numFmtId="0" fontId="9" fillId="7" borderId="6" xfId="0" applyFont="1" applyFill="1" applyBorder="1" applyAlignment="1">
      <alignment horizontal="center" vertical="center" wrapText="1"/>
    </xf>
    <xf numFmtId="49" fontId="0" fillId="0" borderId="0" xfId="0" applyNumberFormat="1"/>
    <xf numFmtId="0" fontId="11" fillId="0" borderId="0" xfId="0" applyFont="1"/>
    <xf numFmtId="3" fontId="10"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E8112D"/>
      <rgbColor rgb="FF00FF00"/>
      <rgbColor rgb="FF0000FF"/>
      <rgbColor rgb="FFFFFF00"/>
      <rgbColor rgb="FFFF00FF"/>
      <rgbColor rgb="FF00FFFF"/>
      <rgbColor rgb="FF800000"/>
      <rgbColor rgb="FF008000"/>
      <rgbColor rgb="FF000080"/>
      <rgbColor rgb="FF4F6228"/>
      <rgbColor rgb="FF800080"/>
      <rgbColor rgb="FF008751"/>
      <rgbColor rgb="FFF4CCFF"/>
      <rgbColor rgb="FF808080"/>
      <rgbColor rgb="FF9999FF"/>
      <rgbColor rgb="FF993366"/>
      <rgbColor rgb="FFF2F2F2"/>
      <rgbColor rgb="FFEDEDED"/>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D966"/>
      <rgbColor rgb="FF99CCFF"/>
      <rgbColor rgb="FFFF99CC"/>
      <rgbColor rgb="FFCC99FF"/>
      <rgbColor rgb="FFFFC7CE"/>
      <rgbColor rgb="FF3366FF"/>
      <rgbColor rgb="FF33CCCC"/>
      <rgbColor rgb="FF99CC00"/>
      <rgbColor rgb="FFFCD116"/>
      <rgbColor rgb="FFFF9900"/>
      <rgbColor rgb="FFFF6600"/>
      <rgbColor rgb="FF666699"/>
      <rgbColor rgb="FFAAAAAA"/>
      <rgbColor rgb="FF17375E"/>
      <rgbColor rgb="FF339966"/>
      <rgbColor rgb="FF003300"/>
      <rgbColor rgb="FF333300"/>
      <rgbColor rgb="FF843C0C"/>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K896"/>
  <sheetViews>
    <sheetView topLeftCell="DE1" workbookViewId="0">
      <selection activeCell="DF1" sqref="DF1:DF1048576"/>
    </sheetView>
  </sheetViews>
  <sheetFormatPr baseColWidth="10" defaultColWidth="9.140625" defaultRowHeight="15" x14ac:dyDescent="0.25"/>
  <cols>
    <col min="110" max="110" width="255.7109375" style="15" bestFit="1" customWidth="1"/>
  </cols>
  <sheetData>
    <row r="1" spans="1:115" x14ac:dyDescent="0.25">
      <c r="A1" t="s">
        <v>0</v>
      </c>
    </row>
    <row r="2" spans="1:115" x14ac:dyDescent="0.25">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c r="AW2" t="s">
        <v>49</v>
      </c>
      <c r="AX2" t="s">
        <v>50</v>
      </c>
      <c r="AY2" t="s">
        <v>51</v>
      </c>
      <c r="AZ2" t="s">
        <v>52</v>
      </c>
      <c r="BA2" t="s">
        <v>53</v>
      </c>
      <c r="BB2" t="s">
        <v>54</v>
      </c>
      <c r="BC2" t="s">
        <v>55</v>
      </c>
      <c r="BD2" t="s">
        <v>56</v>
      </c>
      <c r="BE2" t="s">
        <v>57</v>
      </c>
      <c r="BF2" t="s">
        <v>58</v>
      </c>
      <c r="BG2" t="s">
        <v>59</v>
      </c>
      <c r="BH2" t="s">
        <v>60</v>
      </c>
      <c r="BI2" t="s">
        <v>61</v>
      </c>
      <c r="BJ2" t="s">
        <v>62</v>
      </c>
      <c r="BK2" t="s">
        <v>63</v>
      </c>
      <c r="BL2" t="s">
        <v>64</v>
      </c>
      <c r="BM2" t="s">
        <v>65</v>
      </c>
      <c r="BN2" t="s">
        <v>66</v>
      </c>
      <c r="BO2" t="s">
        <v>67</v>
      </c>
      <c r="BP2" t="s">
        <v>68</v>
      </c>
      <c r="BQ2" t="s">
        <v>69</v>
      </c>
      <c r="BR2" t="s">
        <v>70</v>
      </c>
      <c r="BS2" t="s">
        <v>71</v>
      </c>
      <c r="BT2" t="s">
        <v>72</v>
      </c>
      <c r="BU2" t="s">
        <v>73</v>
      </c>
      <c r="BV2" t="s">
        <v>74</v>
      </c>
      <c r="BW2" t="s">
        <v>75</v>
      </c>
      <c r="BX2" t="s">
        <v>76</v>
      </c>
      <c r="BY2" t="s">
        <v>77</v>
      </c>
      <c r="BZ2" t="s">
        <v>78</v>
      </c>
      <c r="CA2" t="s">
        <v>79</v>
      </c>
      <c r="CB2" t="s">
        <v>80</v>
      </c>
      <c r="CC2" t="s">
        <v>81</v>
      </c>
      <c r="CD2" t="s">
        <v>82</v>
      </c>
      <c r="CE2" t="s">
        <v>83</v>
      </c>
      <c r="CF2" t="s">
        <v>84</v>
      </c>
      <c r="CG2" t="s">
        <v>85</v>
      </c>
      <c r="CH2" t="s">
        <v>86</v>
      </c>
      <c r="CI2" t="s">
        <v>87</v>
      </c>
      <c r="CJ2" t="s">
        <v>88</v>
      </c>
      <c r="CK2" t="s">
        <v>89</v>
      </c>
      <c r="CL2" t="s">
        <v>90</v>
      </c>
      <c r="CM2" t="s">
        <v>91</v>
      </c>
      <c r="CN2" t="s">
        <v>92</v>
      </c>
      <c r="CO2" t="s">
        <v>93</v>
      </c>
      <c r="CP2" t="s">
        <v>94</v>
      </c>
      <c r="CQ2" t="s">
        <v>95</v>
      </c>
      <c r="CR2" t="s">
        <v>96</v>
      </c>
      <c r="CS2" t="s">
        <v>97</v>
      </c>
      <c r="CT2" t="s">
        <v>98</v>
      </c>
      <c r="CU2" t="s">
        <v>99</v>
      </c>
      <c r="CV2" t="s">
        <v>100</v>
      </c>
      <c r="CW2" t="s">
        <v>101</v>
      </c>
      <c r="CX2" t="s">
        <v>102</v>
      </c>
      <c r="CY2" t="s">
        <v>103</v>
      </c>
      <c r="CZ2" t="s">
        <v>104</v>
      </c>
      <c r="DA2" t="s">
        <v>105</v>
      </c>
      <c r="DB2" t="s">
        <v>106</v>
      </c>
      <c r="DC2" t="s">
        <v>107</v>
      </c>
      <c r="DD2" t="s">
        <v>108</v>
      </c>
      <c r="DE2" t="s">
        <v>109</v>
      </c>
      <c r="DF2" s="15" t="s">
        <v>110</v>
      </c>
      <c r="DG2" t="s">
        <v>111</v>
      </c>
      <c r="DH2" t="s">
        <v>112</v>
      </c>
      <c r="DI2" t="s">
        <v>113</v>
      </c>
      <c r="DJ2" t="s">
        <v>114</v>
      </c>
      <c r="DK2" t="s">
        <v>115</v>
      </c>
    </row>
    <row r="3" spans="1:115" ht="45" x14ac:dyDescent="0.25">
      <c r="A3" t="s">
        <v>116</v>
      </c>
      <c r="B3" t="s">
        <v>117</v>
      </c>
      <c r="F3" t="s">
        <v>118</v>
      </c>
      <c r="N3" t="s">
        <v>119</v>
      </c>
      <c r="U3" t="s">
        <v>120</v>
      </c>
      <c r="V3" t="s">
        <v>121</v>
      </c>
      <c r="Z3" s="14">
        <v>40511</v>
      </c>
      <c r="AA3" s="14">
        <v>40548</v>
      </c>
      <c r="AD3" s="14">
        <v>43100</v>
      </c>
      <c r="AL3" t="s">
        <v>122</v>
      </c>
      <c r="AN3">
        <v>10000000000</v>
      </c>
      <c r="AR3">
        <v>0</v>
      </c>
      <c r="AS3">
        <v>10000000000</v>
      </c>
      <c r="BA3" t="s">
        <v>123</v>
      </c>
      <c r="BB3" t="s">
        <v>124</v>
      </c>
      <c r="BC3" t="s">
        <v>125</v>
      </c>
      <c r="DF3" s="15" t="s">
        <v>9303</v>
      </c>
      <c r="DG3" t="s">
        <v>126</v>
      </c>
      <c r="DH3" t="s">
        <v>127</v>
      </c>
      <c r="DI3" t="s">
        <v>128</v>
      </c>
      <c r="DJ3" t="s">
        <v>129</v>
      </c>
      <c r="DK3">
        <v>20000000</v>
      </c>
    </row>
    <row r="4" spans="1:115" x14ac:dyDescent="0.25">
      <c r="A4" t="s">
        <v>130</v>
      </c>
      <c r="B4" t="s">
        <v>131</v>
      </c>
      <c r="F4" t="s">
        <v>118</v>
      </c>
      <c r="N4" t="s">
        <v>132</v>
      </c>
      <c r="U4" t="s">
        <v>133</v>
      </c>
      <c r="V4" t="s">
        <v>134</v>
      </c>
      <c r="W4" t="s">
        <v>135</v>
      </c>
      <c r="Z4" s="14">
        <v>40527</v>
      </c>
      <c r="AA4" s="14">
        <v>40565</v>
      </c>
      <c r="AD4" s="14">
        <v>42735</v>
      </c>
      <c r="AL4" t="s">
        <v>136</v>
      </c>
      <c r="AN4">
        <v>20000000000</v>
      </c>
      <c r="AR4">
        <v>0</v>
      </c>
      <c r="AS4">
        <v>20000000000</v>
      </c>
      <c r="BA4" t="s">
        <v>137</v>
      </c>
      <c r="BB4" t="s">
        <v>138</v>
      </c>
      <c r="BC4" t="s">
        <v>125</v>
      </c>
      <c r="DF4" s="15" t="s">
        <v>9304</v>
      </c>
      <c r="DG4" t="s">
        <v>126</v>
      </c>
      <c r="DH4" t="s">
        <v>127</v>
      </c>
      <c r="DI4" t="s">
        <v>128</v>
      </c>
      <c r="DJ4" t="s">
        <v>139</v>
      </c>
      <c r="DK4">
        <v>20000000000</v>
      </c>
    </row>
    <row r="5" spans="1:115" x14ac:dyDescent="0.25">
      <c r="A5" t="s">
        <v>140</v>
      </c>
      <c r="B5" t="s">
        <v>141</v>
      </c>
      <c r="F5" t="s">
        <v>142</v>
      </c>
      <c r="N5" t="s">
        <v>143</v>
      </c>
      <c r="U5" t="s">
        <v>144</v>
      </c>
      <c r="V5" t="s">
        <v>145</v>
      </c>
      <c r="W5" t="s">
        <v>146</v>
      </c>
      <c r="X5" t="s">
        <v>147</v>
      </c>
      <c r="Z5" s="14">
        <v>40528</v>
      </c>
      <c r="AA5" s="14">
        <v>40556</v>
      </c>
      <c r="AD5" s="14">
        <v>43281</v>
      </c>
      <c r="AL5" t="s">
        <v>122</v>
      </c>
      <c r="AN5">
        <v>5225000000</v>
      </c>
      <c r="AR5">
        <v>0</v>
      </c>
      <c r="AS5">
        <v>5225000000</v>
      </c>
      <c r="BA5" t="s">
        <v>148</v>
      </c>
      <c r="BB5" t="s">
        <v>149</v>
      </c>
      <c r="BC5" t="s">
        <v>125</v>
      </c>
      <c r="DF5" s="15" t="s">
        <v>9305</v>
      </c>
      <c r="DG5" t="s">
        <v>126</v>
      </c>
      <c r="DH5" t="s">
        <v>127</v>
      </c>
      <c r="DI5" t="s">
        <v>150</v>
      </c>
      <c r="DJ5" t="s">
        <v>151</v>
      </c>
      <c r="DK5">
        <v>11000000</v>
      </c>
    </row>
    <row r="6" spans="1:115" x14ac:dyDescent="0.25">
      <c r="A6" t="s">
        <v>152</v>
      </c>
      <c r="B6" t="s">
        <v>153</v>
      </c>
      <c r="F6" t="s">
        <v>118</v>
      </c>
      <c r="N6" t="s">
        <v>154</v>
      </c>
      <c r="U6" t="s">
        <v>155</v>
      </c>
      <c r="V6" t="s">
        <v>156</v>
      </c>
      <c r="Z6" s="14">
        <v>40522</v>
      </c>
      <c r="AA6" s="14">
        <v>40574</v>
      </c>
      <c r="AD6" s="14">
        <v>43100</v>
      </c>
      <c r="AL6" t="s">
        <v>122</v>
      </c>
      <c r="AN6">
        <v>983935500</v>
      </c>
      <c r="AR6">
        <v>983935500</v>
      </c>
      <c r="AS6">
        <v>0</v>
      </c>
      <c r="BA6" t="s">
        <v>157</v>
      </c>
      <c r="BB6" t="s">
        <v>158</v>
      </c>
      <c r="BC6" t="s">
        <v>125</v>
      </c>
      <c r="DF6" s="15" t="s">
        <v>9306</v>
      </c>
      <c r="DG6" t="s">
        <v>126</v>
      </c>
      <c r="DH6" t="s">
        <v>159</v>
      </c>
      <c r="DI6" t="s">
        <v>159</v>
      </c>
      <c r="DJ6" t="s">
        <v>160</v>
      </c>
      <c r="DK6">
        <v>1500000</v>
      </c>
    </row>
    <row r="7" spans="1:115" x14ac:dyDescent="0.25">
      <c r="A7" t="s">
        <v>161</v>
      </c>
      <c r="B7" t="s">
        <v>162</v>
      </c>
      <c r="F7" t="s">
        <v>163</v>
      </c>
      <c r="N7" t="s">
        <v>164</v>
      </c>
      <c r="U7" t="s">
        <v>165</v>
      </c>
      <c r="V7" t="s">
        <v>166</v>
      </c>
      <c r="Z7" s="14">
        <v>40532</v>
      </c>
      <c r="AA7" s="14">
        <v>40588</v>
      </c>
      <c r="AD7" s="14">
        <v>42004</v>
      </c>
      <c r="AL7" t="s">
        <v>167</v>
      </c>
      <c r="AN7">
        <v>150000000</v>
      </c>
      <c r="AR7">
        <v>150000000</v>
      </c>
      <c r="AS7">
        <v>0</v>
      </c>
      <c r="BA7" t="s">
        <v>168</v>
      </c>
      <c r="BB7" t="s">
        <v>169</v>
      </c>
      <c r="BC7" t="s">
        <v>125</v>
      </c>
      <c r="DF7" s="15" t="s">
        <v>9307</v>
      </c>
      <c r="DG7" t="s">
        <v>170</v>
      </c>
      <c r="DH7" t="s">
        <v>159</v>
      </c>
      <c r="DI7" t="s">
        <v>171</v>
      </c>
      <c r="DJ7" t="s">
        <v>172</v>
      </c>
      <c r="DK7">
        <v>200000</v>
      </c>
    </row>
    <row r="8" spans="1:115" x14ac:dyDescent="0.25">
      <c r="A8" t="s">
        <v>173</v>
      </c>
      <c r="B8" t="s">
        <v>174</v>
      </c>
      <c r="F8" t="s">
        <v>163</v>
      </c>
      <c r="N8" t="s">
        <v>175</v>
      </c>
      <c r="U8" t="s">
        <v>176</v>
      </c>
      <c r="Z8" s="14">
        <v>40631</v>
      </c>
      <c r="AA8" s="14">
        <v>40660</v>
      </c>
      <c r="AD8" s="14">
        <v>41274</v>
      </c>
      <c r="AL8" t="s">
        <v>177</v>
      </c>
      <c r="AN8">
        <v>11000000000</v>
      </c>
      <c r="AR8">
        <v>11000000000</v>
      </c>
      <c r="AS8">
        <v>0</v>
      </c>
      <c r="BA8" t="s">
        <v>178</v>
      </c>
      <c r="BB8" t="s">
        <v>179</v>
      </c>
      <c r="BC8" t="s">
        <v>125</v>
      </c>
      <c r="DF8" s="15" t="s">
        <v>9308</v>
      </c>
      <c r="DG8" t="s">
        <v>180</v>
      </c>
      <c r="DH8" t="s">
        <v>159</v>
      </c>
      <c r="DI8" t="s">
        <v>159</v>
      </c>
      <c r="DJ8" t="s">
        <v>181</v>
      </c>
      <c r="DK8">
        <v>14000000</v>
      </c>
    </row>
    <row r="9" spans="1:115" x14ac:dyDescent="0.25">
      <c r="A9" t="s">
        <v>182</v>
      </c>
      <c r="B9" t="s">
        <v>183</v>
      </c>
      <c r="F9" t="s">
        <v>142</v>
      </c>
      <c r="N9" t="s">
        <v>184</v>
      </c>
      <c r="U9" t="s">
        <v>185</v>
      </c>
      <c r="V9" t="s">
        <v>186</v>
      </c>
      <c r="W9" t="s">
        <v>187</v>
      </c>
      <c r="Z9" s="14">
        <v>40527</v>
      </c>
      <c r="AA9" s="14">
        <v>40681</v>
      </c>
      <c r="AD9" s="14">
        <v>42735</v>
      </c>
      <c r="AL9" t="s">
        <v>136</v>
      </c>
      <c r="AN9">
        <v>5320000000</v>
      </c>
      <c r="AR9">
        <v>0</v>
      </c>
      <c r="AS9">
        <v>5320000000</v>
      </c>
      <c r="BA9" t="s">
        <v>137</v>
      </c>
      <c r="BB9" t="s">
        <v>138</v>
      </c>
      <c r="BC9" t="s">
        <v>125</v>
      </c>
      <c r="DF9" s="15" t="s">
        <v>9309</v>
      </c>
      <c r="DG9" t="s">
        <v>126</v>
      </c>
      <c r="DH9" t="s">
        <v>127</v>
      </c>
      <c r="DI9" t="s">
        <v>128</v>
      </c>
      <c r="DJ9" t="s">
        <v>139</v>
      </c>
      <c r="DK9">
        <v>5320000000</v>
      </c>
    </row>
    <row r="10" spans="1:115" x14ac:dyDescent="0.25">
      <c r="A10" t="s">
        <v>188</v>
      </c>
      <c r="B10" t="s">
        <v>189</v>
      </c>
      <c r="F10" t="s">
        <v>190</v>
      </c>
      <c r="N10" t="s">
        <v>191</v>
      </c>
      <c r="U10" t="s">
        <v>192</v>
      </c>
      <c r="V10" t="s">
        <v>193</v>
      </c>
      <c r="W10" t="s">
        <v>194</v>
      </c>
      <c r="Z10" s="14">
        <v>40626</v>
      </c>
      <c r="AA10" s="14">
        <v>40701</v>
      </c>
      <c r="AD10" s="14">
        <v>42735</v>
      </c>
      <c r="AL10" t="s">
        <v>177</v>
      </c>
      <c r="AN10">
        <v>8400000000</v>
      </c>
      <c r="AR10">
        <v>8400000000</v>
      </c>
      <c r="AS10">
        <v>0</v>
      </c>
      <c r="BA10" t="s">
        <v>178</v>
      </c>
      <c r="BB10" t="s">
        <v>179</v>
      </c>
      <c r="BC10" t="s">
        <v>125</v>
      </c>
      <c r="DF10" s="15" t="s">
        <v>9310</v>
      </c>
      <c r="DG10" t="s">
        <v>126</v>
      </c>
      <c r="DH10" t="s">
        <v>159</v>
      </c>
      <c r="DI10" t="s">
        <v>159</v>
      </c>
      <c r="DJ10" t="s">
        <v>181</v>
      </c>
      <c r="DK10">
        <v>11000000</v>
      </c>
    </row>
    <row r="11" spans="1:115" x14ac:dyDescent="0.25">
      <c r="A11" t="s">
        <v>195</v>
      </c>
      <c r="B11" t="s">
        <v>196</v>
      </c>
      <c r="F11" t="s">
        <v>190</v>
      </c>
      <c r="N11" t="s">
        <v>197</v>
      </c>
      <c r="U11" t="s">
        <v>198</v>
      </c>
      <c r="V11" t="s">
        <v>199</v>
      </c>
      <c r="Z11" s="14">
        <v>40626</v>
      </c>
      <c r="AA11" s="14">
        <v>40701</v>
      </c>
      <c r="AD11" s="14">
        <v>42794</v>
      </c>
      <c r="AL11" t="s">
        <v>200</v>
      </c>
      <c r="AN11">
        <v>23000000000</v>
      </c>
      <c r="AR11">
        <v>7500000000</v>
      </c>
      <c r="AS11">
        <v>15500000000</v>
      </c>
      <c r="BA11" t="s">
        <v>178</v>
      </c>
      <c r="BB11" t="s">
        <v>179</v>
      </c>
      <c r="BC11" t="s">
        <v>125</v>
      </c>
      <c r="DF11" s="15" t="s">
        <v>9311</v>
      </c>
      <c r="DG11" t="s">
        <v>126</v>
      </c>
      <c r="DH11" t="s">
        <v>201</v>
      </c>
      <c r="DI11" t="s">
        <v>202</v>
      </c>
      <c r="DJ11" t="s">
        <v>181</v>
      </c>
      <c r="DK11">
        <v>35000000</v>
      </c>
    </row>
    <row r="12" spans="1:115" x14ac:dyDescent="0.25">
      <c r="A12" t="s">
        <v>203</v>
      </c>
      <c r="B12" t="s">
        <v>204</v>
      </c>
      <c r="F12" t="s">
        <v>205</v>
      </c>
      <c r="N12" t="s">
        <v>206</v>
      </c>
      <c r="U12" t="s">
        <v>198</v>
      </c>
      <c r="V12" t="s">
        <v>199</v>
      </c>
      <c r="Z12" s="14">
        <v>40631</v>
      </c>
      <c r="AA12" s="14">
        <v>40701</v>
      </c>
      <c r="AD12" s="14">
        <v>43646</v>
      </c>
      <c r="AL12" t="s">
        <v>200</v>
      </c>
      <c r="AN12">
        <v>3450000000</v>
      </c>
      <c r="AR12">
        <v>3450000000</v>
      </c>
      <c r="AS12">
        <v>0</v>
      </c>
      <c r="BA12" t="s">
        <v>178</v>
      </c>
      <c r="BB12" t="s">
        <v>179</v>
      </c>
      <c r="BC12" t="s">
        <v>125</v>
      </c>
      <c r="DF12" s="15" t="s">
        <v>9311</v>
      </c>
      <c r="DG12" t="s">
        <v>126</v>
      </c>
      <c r="DH12" t="s">
        <v>159</v>
      </c>
      <c r="DI12" t="s">
        <v>207</v>
      </c>
      <c r="DJ12" t="s">
        <v>181</v>
      </c>
      <c r="DK12">
        <v>5200000</v>
      </c>
    </row>
    <row r="13" spans="1:115" x14ac:dyDescent="0.25">
      <c r="A13" t="s">
        <v>208</v>
      </c>
      <c r="B13" t="s">
        <v>209</v>
      </c>
      <c r="F13" t="s">
        <v>205</v>
      </c>
      <c r="N13" t="s">
        <v>210</v>
      </c>
      <c r="U13" t="s">
        <v>211</v>
      </c>
      <c r="V13" t="s">
        <v>212</v>
      </c>
      <c r="W13" t="s">
        <v>213</v>
      </c>
      <c r="Z13" s="14">
        <v>40631</v>
      </c>
      <c r="AA13" s="14">
        <v>40701</v>
      </c>
      <c r="AD13" s="14">
        <v>43496</v>
      </c>
      <c r="AL13" t="s">
        <v>177</v>
      </c>
      <c r="AN13">
        <v>25000000000</v>
      </c>
      <c r="AR13">
        <v>0</v>
      </c>
      <c r="AS13">
        <v>25000000000</v>
      </c>
      <c r="BA13" t="s">
        <v>178</v>
      </c>
      <c r="BB13" t="s">
        <v>179</v>
      </c>
      <c r="BC13" t="s">
        <v>125</v>
      </c>
      <c r="DF13" s="15" t="s">
        <v>9312</v>
      </c>
      <c r="DG13" t="s">
        <v>126</v>
      </c>
      <c r="DH13" t="s">
        <v>127</v>
      </c>
      <c r="DI13" t="s">
        <v>150</v>
      </c>
      <c r="DJ13" t="s">
        <v>181</v>
      </c>
      <c r="DK13">
        <v>31600000</v>
      </c>
    </row>
    <row r="14" spans="1:115" x14ac:dyDescent="0.25">
      <c r="A14" t="s">
        <v>214</v>
      </c>
      <c r="B14" t="s">
        <v>215</v>
      </c>
      <c r="F14" t="s">
        <v>216</v>
      </c>
      <c r="N14" t="s">
        <v>217</v>
      </c>
      <c r="U14" t="s">
        <v>218</v>
      </c>
      <c r="V14" t="s">
        <v>219</v>
      </c>
      <c r="W14" t="s">
        <v>220</v>
      </c>
      <c r="Z14" s="14">
        <v>40687</v>
      </c>
      <c r="AA14" s="14">
        <v>40724</v>
      </c>
      <c r="AD14" s="14">
        <v>42735</v>
      </c>
      <c r="AL14" t="s">
        <v>122</v>
      </c>
      <c r="AN14">
        <v>1398890500</v>
      </c>
      <c r="AR14">
        <v>1398890500</v>
      </c>
      <c r="AS14">
        <v>0</v>
      </c>
      <c r="BA14" t="s">
        <v>178</v>
      </c>
      <c r="BB14" t="s">
        <v>179</v>
      </c>
      <c r="BC14" t="s">
        <v>125</v>
      </c>
      <c r="DF14" s="15" t="s">
        <v>9313</v>
      </c>
      <c r="DG14" t="s">
        <v>126</v>
      </c>
      <c r="DH14" t="s">
        <v>159</v>
      </c>
      <c r="DI14" t="s">
        <v>159</v>
      </c>
      <c r="DJ14" t="s">
        <v>129</v>
      </c>
      <c r="DK14">
        <v>2797781</v>
      </c>
    </row>
    <row r="15" spans="1:115" x14ac:dyDescent="0.25">
      <c r="A15" t="s">
        <v>221</v>
      </c>
      <c r="B15" t="s">
        <v>222</v>
      </c>
      <c r="F15" t="s">
        <v>205</v>
      </c>
      <c r="N15" t="s">
        <v>223</v>
      </c>
      <c r="U15" t="s">
        <v>185</v>
      </c>
      <c r="V15" t="s">
        <v>224</v>
      </c>
      <c r="W15" t="s">
        <v>225</v>
      </c>
      <c r="Z15" s="14">
        <v>40688</v>
      </c>
      <c r="AA15" s="14">
        <v>40739</v>
      </c>
      <c r="AD15" s="14">
        <v>42735</v>
      </c>
      <c r="AL15" t="s">
        <v>136</v>
      </c>
      <c r="AN15">
        <v>6500000000</v>
      </c>
      <c r="AR15">
        <v>0</v>
      </c>
      <c r="AS15">
        <v>6500000000</v>
      </c>
      <c r="BA15" t="s">
        <v>137</v>
      </c>
      <c r="BB15" t="s">
        <v>138</v>
      </c>
      <c r="BC15" t="s">
        <v>125</v>
      </c>
      <c r="DF15" s="15" t="s">
        <v>9314</v>
      </c>
      <c r="DG15" t="s">
        <v>126</v>
      </c>
      <c r="DH15" t="s">
        <v>127</v>
      </c>
      <c r="DI15" t="s">
        <v>128</v>
      </c>
      <c r="DJ15" t="s">
        <v>139</v>
      </c>
      <c r="DK15">
        <v>6500000000</v>
      </c>
    </row>
    <row r="16" spans="1:115" x14ac:dyDescent="0.25">
      <c r="A16" t="s">
        <v>226</v>
      </c>
      <c r="B16" t="s">
        <v>227</v>
      </c>
      <c r="F16" t="s">
        <v>163</v>
      </c>
      <c r="N16" t="s">
        <v>228</v>
      </c>
      <c r="U16" t="s">
        <v>165</v>
      </c>
      <c r="V16" t="s">
        <v>166</v>
      </c>
      <c r="Z16" s="14">
        <v>40709</v>
      </c>
      <c r="AA16" s="14">
        <v>40781</v>
      </c>
      <c r="AD16" s="14">
        <v>42369</v>
      </c>
      <c r="AL16" t="s">
        <v>122</v>
      </c>
      <c r="AN16">
        <v>240875000</v>
      </c>
      <c r="AR16">
        <v>240875000</v>
      </c>
      <c r="AS16">
        <v>0</v>
      </c>
      <c r="BA16" t="s">
        <v>178</v>
      </c>
      <c r="BB16" t="s">
        <v>179</v>
      </c>
      <c r="BC16" t="s">
        <v>125</v>
      </c>
      <c r="DF16" s="15" t="s">
        <v>9307</v>
      </c>
      <c r="DG16" t="s">
        <v>170</v>
      </c>
      <c r="DH16" t="s">
        <v>159</v>
      </c>
      <c r="DI16" t="s">
        <v>229</v>
      </c>
      <c r="DJ16" t="s">
        <v>172</v>
      </c>
      <c r="DK16">
        <v>481750</v>
      </c>
    </row>
    <row r="17" spans="1:115" x14ac:dyDescent="0.25">
      <c r="A17" t="s">
        <v>230</v>
      </c>
      <c r="B17" t="s">
        <v>231</v>
      </c>
      <c r="F17" t="s">
        <v>190</v>
      </c>
      <c r="N17" t="s">
        <v>232</v>
      </c>
      <c r="U17" t="s">
        <v>233</v>
      </c>
      <c r="V17" t="s">
        <v>234</v>
      </c>
      <c r="Z17" s="14">
        <v>40688</v>
      </c>
      <c r="AA17" s="14">
        <v>40794</v>
      </c>
      <c r="AD17" s="14">
        <v>41820</v>
      </c>
      <c r="AL17" t="s">
        <v>136</v>
      </c>
      <c r="AN17">
        <v>380000000</v>
      </c>
      <c r="AR17">
        <v>0</v>
      </c>
      <c r="AS17">
        <v>380000000</v>
      </c>
      <c r="BA17" t="s">
        <v>137</v>
      </c>
      <c r="BB17" t="s">
        <v>138</v>
      </c>
      <c r="BC17" t="s">
        <v>125</v>
      </c>
      <c r="DF17" s="15" t="s">
        <v>9315</v>
      </c>
      <c r="DG17" t="s">
        <v>235</v>
      </c>
      <c r="DH17" t="s">
        <v>127</v>
      </c>
      <c r="DI17" t="s">
        <v>236</v>
      </c>
      <c r="DJ17" t="s">
        <v>139</v>
      </c>
      <c r="DK17">
        <v>380000000</v>
      </c>
    </row>
    <row r="18" spans="1:115" x14ac:dyDescent="0.25">
      <c r="A18" t="s">
        <v>237</v>
      </c>
      <c r="B18" t="s">
        <v>238</v>
      </c>
      <c r="F18" t="s">
        <v>190</v>
      </c>
      <c r="N18" t="s">
        <v>239</v>
      </c>
      <c r="U18" t="s">
        <v>176</v>
      </c>
      <c r="Z18" s="14">
        <v>40724</v>
      </c>
      <c r="AA18" s="14">
        <v>40808</v>
      </c>
      <c r="AD18" s="14">
        <v>43465</v>
      </c>
      <c r="AL18" t="s">
        <v>122</v>
      </c>
      <c r="AN18">
        <v>2500000000</v>
      </c>
      <c r="AR18">
        <v>2500000000</v>
      </c>
      <c r="AS18">
        <v>0</v>
      </c>
      <c r="BA18" t="s">
        <v>240</v>
      </c>
      <c r="BB18" t="s">
        <v>241</v>
      </c>
      <c r="BC18" t="s">
        <v>242</v>
      </c>
      <c r="DF18" s="15" t="s">
        <v>9308</v>
      </c>
      <c r="DG18" t="s">
        <v>126</v>
      </c>
      <c r="DH18" t="s">
        <v>159</v>
      </c>
      <c r="DI18" t="s">
        <v>159</v>
      </c>
      <c r="DJ18" t="s">
        <v>129</v>
      </c>
      <c r="DK18">
        <v>5000000</v>
      </c>
    </row>
    <row r="19" spans="1:115" x14ac:dyDescent="0.25">
      <c r="A19" t="s">
        <v>243</v>
      </c>
      <c r="B19" t="s">
        <v>244</v>
      </c>
      <c r="F19" t="s">
        <v>245</v>
      </c>
      <c r="N19" t="s">
        <v>246</v>
      </c>
      <c r="U19" t="s">
        <v>247</v>
      </c>
      <c r="V19" t="s">
        <v>248</v>
      </c>
      <c r="W19" t="s">
        <v>249</v>
      </c>
      <c r="Z19" s="14">
        <v>40715</v>
      </c>
      <c r="AA19" s="14">
        <v>40856</v>
      </c>
      <c r="AD19" s="14">
        <v>43008</v>
      </c>
      <c r="AL19" t="s">
        <v>177</v>
      </c>
      <c r="AN19">
        <v>3750000000</v>
      </c>
      <c r="AR19">
        <v>3750000000</v>
      </c>
      <c r="AS19">
        <v>0</v>
      </c>
      <c r="BA19" t="s">
        <v>178</v>
      </c>
      <c r="BB19" t="s">
        <v>179</v>
      </c>
      <c r="BC19" t="s">
        <v>125</v>
      </c>
      <c r="DF19" s="15" t="s">
        <v>9316</v>
      </c>
      <c r="DG19" t="s">
        <v>126</v>
      </c>
      <c r="DH19" t="s">
        <v>159</v>
      </c>
      <c r="DI19" t="s">
        <v>159</v>
      </c>
      <c r="DJ19" t="s">
        <v>181</v>
      </c>
      <c r="DK19">
        <v>4800000</v>
      </c>
    </row>
    <row r="20" spans="1:115" x14ac:dyDescent="0.25">
      <c r="A20" t="s">
        <v>250</v>
      </c>
      <c r="B20" t="s">
        <v>251</v>
      </c>
      <c r="F20" t="s">
        <v>190</v>
      </c>
      <c r="N20" t="s">
        <v>252</v>
      </c>
      <c r="U20" t="s">
        <v>253</v>
      </c>
      <c r="V20" t="s">
        <v>254</v>
      </c>
      <c r="Z20" s="14">
        <v>40673</v>
      </c>
      <c r="AA20" s="14">
        <v>40856</v>
      </c>
      <c r="AD20" s="14">
        <v>42735</v>
      </c>
      <c r="AL20" t="s">
        <v>122</v>
      </c>
      <c r="AN20">
        <v>1282658000</v>
      </c>
      <c r="AR20">
        <v>1282658000</v>
      </c>
      <c r="AS20">
        <v>0</v>
      </c>
      <c r="BA20" t="s">
        <v>178</v>
      </c>
      <c r="BB20" t="s">
        <v>179</v>
      </c>
      <c r="BC20" t="s">
        <v>125</v>
      </c>
      <c r="DF20" s="15" t="s">
        <v>9317</v>
      </c>
      <c r="DG20" t="s">
        <v>126</v>
      </c>
      <c r="DH20" t="s">
        <v>159</v>
      </c>
      <c r="DI20" t="s">
        <v>159</v>
      </c>
      <c r="DJ20" t="s">
        <v>181</v>
      </c>
      <c r="DK20">
        <v>2565316</v>
      </c>
    </row>
    <row r="21" spans="1:115" x14ac:dyDescent="0.25">
      <c r="A21" t="s">
        <v>255</v>
      </c>
      <c r="B21" t="s">
        <v>256</v>
      </c>
      <c r="F21" t="s">
        <v>118</v>
      </c>
      <c r="N21" t="s">
        <v>257</v>
      </c>
      <c r="U21" t="s">
        <v>258</v>
      </c>
      <c r="V21" t="s">
        <v>259</v>
      </c>
      <c r="Z21" s="14">
        <v>40717</v>
      </c>
      <c r="AA21" s="14">
        <v>40856</v>
      </c>
      <c r="AD21" s="14">
        <v>43100</v>
      </c>
      <c r="AL21" t="s">
        <v>122</v>
      </c>
      <c r="AN21">
        <v>1000000000</v>
      </c>
      <c r="AR21">
        <v>1000000000</v>
      </c>
      <c r="AS21">
        <v>0</v>
      </c>
      <c r="BA21" t="s">
        <v>178</v>
      </c>
      <c r="BB21" t="s">
        <v>179</v>
      </c>
      <c r="BC21" t="s">
        <v>125</v>
      </c>
      <c r="DF21" s="15" t="s">
        <v>9318</v>
      </c>
      <c r="DG21" t="s">
        <v>126</v>
      </c>
      <c r="DH21" t="s">
        <v>159</v>
      </c>
      <c r="DI21" t="s">
        <v>260</v>
      </c>
      <c r="DJ21" t="s">
        <v>160</v>
      </c>
      <c r="DK21">
        <v>2000000</v>
      </c>
    </row>
    <row r="22" spans="1:115" x14ac:dyDescent="0.25">
      <c r="A22" t="s">
        <v>261</v>
      </c>
      <c r="B22" t="s">
        <v>262</v>
      </c>
      <c r="F22" t="s">
        <v>263</v>
      </c>
      <c r="N22" t="s">
        <v>264</v>
      </c>
      <c r="U22" t="s">
        <v>265</v>
      </c>
      <c r="V22" t="s">
        <v>266</v>
      </c>
      <c r="Z22" s="14">
        <v>40861</v>
      </c>
      <c r="AA22" s="14">
        <v>40871</v>
      </c>
      <c r="AD22" s="14">
        <v>42369</v>
      </c>
      <c r="AL22" t="s">
        <v>122</v>
      </c>
      <c r="AN22">
        <v>13776000000</v>
      </c>
      <c r="AR22">
        <v>13776000000</v>
      </c>
      <c r="AS22">
        <v>0</v>
      </c>
      <c r="BA22" t="s">
        <v>267</v>
      </c>
      <c r="BB22" t="s">
        <v>267</v>
      </c>
      <c r="BC22" t="s">
        <v>242</v>
      </c>
      <c r="DF22" s="15" t="s">
        <v>9319</v>
      </c>
      <c r="DG22" t="s">
        <v>126</v>
      </c>
      <c r="DH22" t="s">
        <v>159</v>
      </c>
      <c r="DI22" t="s">
        <v>268</v>
      </c>
      <c r="DJ22" t="s">
        <v>129</v>
      </c>
      <c r="DK22">
        <v>21000000</v>
      </c>
    </row>
    <row r="23" spans="1:115" x14ac:dyDescent="0.25">
      <c r="A23" t="s">
        <v>269</v>
      </c>
      <c r="B23" t="s">
        <v>270</v>
      </c>
      <c r="F23" t="s">
        <v>142</v>
      </c>
      <c r="N23" t="s">
        <v>271</v>
      </c>
      <c r="U23" t="s">
        <v>272</v>
      </c>
      <c r="V23" t="s">
        <v>273</v>
      </c>
      <c r="W23" t="s">
        <v>274</v>
      </c>
      <c r="X23" t="s">
        <v>275</v>
      </c>
      <c r="Z23" s="14">
        <v>40837</v>
      </c>
      <c r="AA23" s="14">
        <v>40879</v>
      </c>
      <c r="AD23" s="14">
        <v>43830</v>
      </c>
      <c r="AL23" t="s">
        <v>276</v>
      </c>
      <c r="AN23">
        <v>52330000000</v>
      </c>
      <c r="AR23">
        <v>24520000000</v>
      </c>
      <c r="AS23">
        <v>27810000000</v>
      </c>
      <c r="BA23" t="s">
        <v>277</v>
      </c>
      <c r="BB23" t="s">
        <v>278</v>
      </c>
      <c r="BC23" t="s">
        <v>125</v>
      </c>
      <c r="DF23" s="15" t="s">
        <v>9320</v>
      </c>
      <c r="DG23" t="s">
        <v>126</v>
      </c>
      <c r="DH23" t="s">
        <v>201</v>
      </c>
      <c r="DI23" t="s">
        <v>279</v>
      </c>
      <c r="DJ23" t="s">
        <v>151</v>
      </c>
      <c r="DK23">
        <v>73140000</v>
      </c>
    </row>
    <row r="24" spans="1:115" x14ac:dyDescent="0.25">
      <c r="A24" t="s">
        <v>280</v>
      </c>
      <c r="B24" t="s">
        <v>281</v>
      </c>
      <c r="F24" t="s">
        <v>282</v>
      </c>
      <c r="N24" t="s">
        <v>283</v>
      </c>
      <c r="U24" t="s">
        <v>176</v>
      </c>
      <c r="Z24" s="14">
        <v>40855</v>
      </c>
      <c r="AA24" s="14">
        <v>40892</v>
      </c>
      <c r="AD24" s="14">
        <v>42004</v>
      </c>
      <c r="AL24" t="s">
        <v>122</v>
      </c>
      <c r="AN24">
        <v>5903613000</v>
      </c>
      <c r="AR24">
        <v>5903613000</v>
      </c>
      <c r="AS24">
        <v>0</v>
      </c>
      <c r="BA24" t="s">
        <v>267</v>
      </c>
      <c r="BB24" t="s">
        <v>267</v>
      </c>
      <c r="BC24" t="s">
        <v>242</v>
      </c>
      <c r="DF24" s="15" t="s">
        <v>9308</v>
      </c>
      <c r="DG24" t="s">
        <v>284</v>
      </c>
      <c r="DH24" t="s">
        <v>159</v>
      </c>
      <c r="DI24" t="s">
        <v>159</v>
      </c>
      <c r="DJ24" t="s">
        <v>129</v>
      </c>
      <c r="DK24">
        <v>9000000</v>
      </c>
    </row>
    <row r="25" spans="1:115" x14ac:dyDescent="0.25">
      <c r="A25" t="s">
        <v>285</v>
      </c>
      <c r="B25" t="s">
        <v>286</v>
      </c>
      <c r="F25" t="s">
        <v>163</v>
      </c>
      <c r="N25" t="s">
        <v>287</v>
      </c>
      <c r="U25" t="s">
        <v>176</v>
      </c>
      <c r="Z25" s="14">
        <v>40631</v>
      </c>
      <c r="AA25" s="14">
        <v>40898</v>
      </c>
      <c r="AD25" s="14">
        <v>41274</v>
      </c>
      <c r="AL25" t="s">
        <v>122</v>
      </c>
      <c r="AN25">
        <v>15000000000</v>
      </c>
      <c r="AR25">
        <v>15000000000</v>
      </c>
      <c r="AS25">
        <v>0</v>
      </c>
      <c r="BA25" t="s">
        <v>178</v>
      </c>
      <c r="BB25" t="s">
        <v>179</v>
      </c>
      <c r="BC25" t="s">
        <v>125</v>
      </c>
      <c r="DF25" s="15" t="s">
        <v>9308</v>
      </c>
      <c r="DG25" t="s">
        <v>126</v>
      </c>
      <c r="DH25" t="s">
        <v>159</v>
      </c>
      <c r="DI25" t="s">
        <v>159</v>
      </c>
      <c r="DJ25" t="s">
        <v>181</v>
      </c>
      <c r="DK25">
        <v>30000000</v>
      </c>
    </row>
    <row r="26" spans="1:115" x14ac:dyDescent="0.25">
      <c r="A26" t="s">
        <v>288</v>
      </c>
      <c r="B26" t="s">
        <v>289</v>
      </c>
      <c r="F26" t="s">
        <v>205</v>
      </c>
      <c r="N26" t="s">
        <v>290</v>
      </c>
      <c r="U26" t="s">
        <v>291</v>
      </c>
      <c r="V26" t="s">
        <v>292</v>
      </c>
      <c r="Z26" s="14">
        <v>40681</v>
      </c>
      <c r="AA26" s="14">
        <v>40908</v>
      </c>
      <c r="AD26" s="14">
        <v>42185</v>
      </c>
      <c r="AL26" t="s">
        <v>136</v>
      </c>
      <c r="AN26">
        <v>7000000000</v>
      </c>
      <c r="AR26">
        <v>0</v>
      </c>
      <c r="AS26">
        <v>7000000000</v>
      </c>
      <c r="BA26" t="s">
        <v>137</v>
      </c>
      <c r="BB26" t="s">
        <v>138</v>
      </c>
      <c r="BC26" t="s">
        <v>125</v>
      </c>
      <c r="DF26" s="15" t="s">
        <v>9321</v>
      </c>
      <c r="DG26" t="s">
        <v>126</v>
      </c>
      <c r="DH26" t="s">
        <v>127</v>
      </c>
      <c r="DI26" t="s">
        <v>128</v>
      </c>
      <c r="DJ26" t="s">
        <v>139</v>
      </c>
      <c r="DK26">
        <v>7000000000</v>
      </c>
    </row>
    <row r="27" spans="1:115" x14ac:dyDescent="0.25">
      <c r="A27" t="s">
        <v>293</v>
      </c>
      <c r="B27" t="s">
        <v>141</v>
      </c>
      <c r="F27" t="s">
        <v>142</v>
      </c>
      <c r="N27" t="s">
        <v>294</v>
      </c>
      <c r="U27" t="s">
        <v>144</v>
      </c>
      <c r="V27" t="s">
        <v>145</v>
      </c>
      <c r="W27" t="s">
        <v>295</v>
      </c>
      <c r="X27" t="s">
        <v>147</v>
      </c>
      <c r="Z27" s="14">
        <v>40994</v>
      </c>
      <c r="AA27" s="14">
        <v>41043</v>
      </c>
      <c r="AD27" s="14">
        <v>43830</v>
      </c>
      <c r="AL27" t="s">
        <v>296</v>
      </c>
      <c r="AN27">
        <v>8000000000</v>
      </c>
      <c r="AR27">
        <v>0</v>
      </c>
      <c r="AS27">
        <v>8000000000</v>
      </c>
      <c r="BA27" t="s">
        <v>297</v>
      </c>
      <c r="BB27" t="s">
        <v>298</v>
      </c>
      <c r="BC27" t="s">
        <v>242</v>
      </c>
      <c r="DF27" s="15" t="s">
        <v>9322</v>
      </c>
      <c r="DG27" t="s">
        <v>126</v>
      </c>
      <c r="DH27" t="s">
        <v>127</v>
      </c>
      <c r="DI27" t="s">
        <v>150</v>
      </c>
      <c r="DJ27" t="s">
        <v>151</v>
      </c>
      <c r="DK27">
        <v>60000000</v>
      </c>
    </row>
    <row r="28" spans="1:115" x14ac:dyDescent="0.25">
      <c r="A28" t="s">
        <v>299</v>
      </c>
      <c r="B28" t="s">
        <v>300</v>
      </c>
      <c r="F28" t="s">
        <v>142</v>
      </c>
      <c r="N28" t="s">
        <v>301</v>
      </c>
      <c r="U28" t="s">
        <v>302</v>
      </c>
      <c r="V28" t="s">
        <v>303</v>
      </c>
      <c r="W28" t="s">
        <v>304</v>
      </c>
      <c r="Z28" s="14">
        <v>40865</v>
      </c>
      <c r="AA28" s="14">
        <v>40926</v>
      </c>
      <c r="AD28" s="14">
        <v>43646</v>
      </c>
      <c r="AL28" t="s">
        <v>122</v>
      </c>
      <c r="AN28">
        <v>5200000000</v>
      </c>
      <c r="AR28">
        <v>0</v>
      </c>
      <c r="AS28">
        <v>5200000000</v>
      </c>
      <c r="BA28" t="s">
        <v>305</v>
      </c>
      <c r="BB28" t="s">
        <v>306</v>
      </c>
      <c r="BC28" t="s">
        <v>125</v>
      </c>
      <c r="DF28" s="15" t="s">
        <v>9323</v>
      </c>
      <c r="DG28" t="s">
        <v>126</v>
      </c>
      <c r="DH28" t="s">
        <v>127</v>
      </c>
      <c r="DI28" t="s">
        <v>150</v>
      </c>
      <c r="DJ28" t="s">
        <v>151</v>
      </c>
      <c r="DK28">
        <v>10400000</v>
      </c>
    </row>
    <row r="29" spans="1:115" x14ac:dyDescent="0.25">
      <c r="A29" t="s">
        <v>307</v>
      </c>
      <c r="B29" t="s">
        <v>308</v>
      </c>
      <c r="F29" t="s">
        <v>282</v>
      </c>
      <c r="N29" t="s">
        <v>309</v>
      </c>
      <c r="U29" t="s">
        <v>176</v>
      </c>
      <c r="Z29" s="14">
        <v>40941</v>
      </c>
      <c r="AA29" s="14">
        <v>41011</v>
      </c>
      <c r="AD29" s="14">
        <v>43465</v>
      </c>
      <c r="AL29" t="s">
        <v>310</v>
      </c>
      <c r="AN29">
        <v>3520000000</v>
      </c>
      <c r="AR29">
        <v>3520000000</v>
      </c>
      <c r="AS29">
        <v>0</v>
      </c>
      <c r="BA29" t="s">
        <v>311</v>
      </c>
      <c r="BB29" t="s">
        <v>311</v>
      </c>
      <c r="BC29" t="s">
        <v>242</v>
      </c>
      <c r="DF29" s="15" t="s">
        <v>9308</v>
      </c>
      <c r="DG29" t="s">
        <v>284</v>
      </c>
      <c r="DH29" t="s">
        <v>159</v>
      </c>
      <c r="DI29" t="s">
        <v>159</v>
      </c>
      <c r="DJ29" t="s">
        <v>312</v>
      </c>
      <c r="DK29">
        <v>40000000</v>
      </c>
    </row>
    <row r="30" spans="1:115" x14ac:dyDescent="0.25">
      <c r="A30" t="s">
        <v>313</v>
      </c>
      <c r="B30" t="s">
        <v>314</v>
      </c>
      <c r="F30" t="s">
        <v>315</v>
      </c>
      <c r="N30" t="s">
        <v>316</v>
      </c>
      <c r="U30" t="s">
        <v>176</v>
      </c>
      <c r="Z30" s="14">
        <v>40984</v>
      </c>
      <c r="AA30" s="14">
        <v>41044</v>
      </c>
      <c r="AD30" s="14">
        <v>42916</v>
      </c>
      <c r="AL30" t="s">
        <v>310</v>
      </c>
      <c r="AN30">
        <v>11060000000</v>
      </c>
      <c r="AR30">
        <v>11060000000</v>
      </c>
      <c r="AS30">
        <v>0</v>
      </c>
      <c r="BA30" t="s">
        <v>311</v>
      </c>
      <c r="BB30" t="s">
        <v>311</v>
      </c>
      <c r="BC30" t="s">
        <v>242</v>
      </c>
      <c r="DF30" s="15" t="s">
        <v>9308</v>
      </c>
      <c r="DG30" t="s">
        <v>317</v>
      </c>
      <c r="DH30" t="s">
        <v>159</v>
      </c>
      <c r="DI30" t="s">
        <v>159</v>
      </c>
      <c r="DJ30" t="s">
        <v>129</v>
      </c>
      <c r="DK30">
        <v>125000000</v>
      </c>
    </row>
    <row r="31" spans="1:115" x14ac:dyDescent="0.25">
      <c r="A31" t="s">
        <v>318</v>
      </c>
      <c r="B31" t="s">
        <v>319</v>
      </c>
      <c r="F31" t="s">
        <v>142</v>
      </c>
      <c r="N31" t="s">
        <v>320</v>
      </c>
      <c r="U31" t="s">
        <v>321</v>
      </c>
      <c r="Z31" s="14">
        <v>40984</v>
      </c>
      <c r="AA31" s="14">
        <v>41082</v>
      </c>
      <c r="AD31" s="14">
        <v>43830</v>
      </c>
      <c r="AL31" t="s">
        <v>310</v>
      </c>
      <c r="AN31">
        <v>8850000000</v>
      </c>
      <c r="AR31">
        <v>8850000000</v>
      </c>
      <c r="AS31">
        <v>0</v>
      </c>
      <c r="BA31" t="s">
        <v>311</v>
      </c>
      <c r="BB31" t="s">
        <v>311</v>
      </c>
      <c r="BC31" t="s">
        <v>242</v>
      </c>
      <c r="DF31" s="15" t="s">
        <v>9324</v>
      </c>
      <c r="DG31" t="s">
        <v>317</v>
      </c>
      <c r="DH31" t="s">
        <v>159</v>
      </c>
      <c r="DI31" t="s">
        <v>159</v>
      </c>
      <c r="DJ31" t="s">
        <v>129</v>
      </c>
      <c r="DK31">
        <v>100000000</v>
      </c>
    </row>
    <row r="32" spans="1:115" x14ac:dyDescent="0.25">
      <c r="A32" t="s">
        <v>322</v>
      </c>
      <c r="B32" t="s">
        <v>319</v>
      </c>
      <c r="F32" t="s">
        <v>142</v>
      </c>
      <c r="N32" t="s">
        <v>323</v>
      </c>
      <c r="U32" t="s">
        <v>321</v>
      </c>
      <c r="Z32" s="14">
        <v>41193</v>
      </c>
      <c r="AA32" s="14">
        <v>41201</v>
      </c>
      <c r="AD32" s="14">
        <v>43100</v>
      </c>
      <c r="AL32" t="s">
        <v>122</v>
      </c>
      <c r="AN32">
        <v>3481277936</v>
      </c>
      <c r="AR32">
        <v>3481277936</v>
      </c>
      <c r="AS32">
        <v>0</v>
      </c>
      <c r="BA32" t="s">
        <v>324</v>
      </c>
      <c r="BB32" t="s">
        <v>325</v>
      </c>
      <c r="BC32" t="s">
        <v>242</v>
      </c>
      <c r="DF32" s="15" t="s">
        <v>9324</v>
      </c>
      <c r="DG32" t="s">
        <v>317</v>
      </c>
      <c r="DH32" t="s">
        <v>159</v>
      </c>
      <c r="DI32" t="s">
        <v>159</v>
      </c>
      <c r="DJ32" t="s">
        <v>326</v>
      </c>
      <c r="DK32">
        <v>5307635.2126848605</v>
      </c>
    </row>
    <row r="33" spans="1:115" x14ac:dyDescent="0.25">
      <c r="A33" t="s">
        <v>327</v>
      </c>
      <c r="B33" t="s">
        <v>328</v>
      </c>
      <c r="F33" t="s">
        <v>142</v>
      </c>
      <c r="N33" t="s">
        <v>329</v>
      </c>
      <c r="U33" t="s">
        <v>330</v>
      </c>
      <c r="V33" t="s">
        <v>331</v>
      </c>
      <c r="W33" t="s">
        <v>332</v>
      </c>
      <c r="Z33" s="14">
        <v>40988</v>
      </c>
      <c r="AA33" s="14">
        <v>41054</v>
      </c>
      <c r="AD33" s="14">
        <v>42369</v>
      </c>
      <c r="AL33" t="s">
        <v>136</v>
      </c>
      <c r="AN33">
        <v>480000000</v>
      </c>
      <c r="AR33">
        <v>0</v>
      </c>
      <c r="AS33">
        <v>480000000</v>
      </c>
      <c r="BA33" t="s">
        <v>137</v>
      </c>
      <c r="BB33" t="s">
        <v>138</v>
      </c>
      <c r="BC33" t="s">
        <v>125</v>
      </c>
      <c r="DF33" s="15" t="s">
        <v>9325</v>
      </c>
      <c r="DG33" t="s">
        <v>235</v>
      </c>
      <c r="DH33" t="s">
        <v>127</v>
      </c>
      <c r="DI33" t="s">
        <v>128</v>
      </c>
      <c r="DJ33" t="s">
        <v>139</v>
      </c>
      <c r="DK33">
        <v>480000000</v>
      </c>
    </row>
    <row r="34" spans="1:115" x14ac:dyDescent="0.25">
      <c r="A34" t="s">
        <v>333</v>
      </c>
      <c r="B34" t="s">
        <v>334</v>
      </c>
      <c r="F34" t="s">
        <v>216</v>
      </c>
      <c r="N34" t="s">
        <v>335</v>
      </c>
      <c r="U34" t="s">
        <v>253</v>
      </c>
      <c r="V34" t="s">
        <v>336</v>
      </c>
      <c r="Z34" s="14">
        <v>41044</v>
      </c>
      <c r="AA34" s="14">
        <v>41079</v>
      </c>
      <c r="AD34" s="14">
        <v>43281</v>
      </c>
      <c r="AL34" t="s">
        <v>122</v>
      </c>
      <c r="AN34">
        <v>6559570000</v>
      </c>
      <c r="AR34">
        <v>6559570000</v>
      </c>
      <c r="AS34">
        <v>0</v>
      </c>
      <c r="BA34" t="s">
        <v>337</v>
      </c>
      <c r="BB34" t="s">
        <v>338</v>
      </c>
      <c r="BC34" t="s">
        <v>242</v>
      </c>
      <c r="DF34" s="15" t="s">
        <v>9326</v>
      </c>
      <c r="DG34" t="s">
        <v>317</v>
      </c>
      <c r="DH34" t="s">
        <v>159</v>
      </c>
      <c r="DI34" t="s">
        <v>159</v>
      </c>
      <c r="DJ34" t="s">
        <v>129</v>
      </c>
      <c r="DK34">
        <v>10000000</v>
      </c>
    </row>
    <row r="35" spans="1:115" x14ac:dyDescent="0.25">
      <c r="A35" t="s">
        <v>339</v>
      </c>
      <c r="B35" t="s">
        <v>340</v>
      </c>
      <c r="F35" t="s">
        <v>282</v>
      </c>
      <c r="N35" t="s">
        <v>341</v>
      </c>
      <c r="U35" t="s">
        <v>176</v>
      </c>
      <c r="Z35" s="14">
        <v>41025</v>
      </c>
      <c r="AA35" s="14">
        <v>41087</v>
      </c>
      <c r="AD35" s="14">
        <v>43465</v>
      </c>
      <c r="AL35" t="s">
        <v>177</v>
      </c>
      <c r="AN35">
        <v>23000000000</v>
      </c>
      <c r="AR35">
        <v>0</v>
      </c>
      <c r="AS35">
        <v>23000000000</v>
      </c>
      <c r="BA35" t="s">
        <v>178</v>
      </c>
      <c r="BB35" t="s">
        <v>179</v>
      </c>
      <c r="BC35" t="s">
        <v>125</v>
      </c>
      <c r="DF35" s="15" t="s">
        <v>9308</v>
      </c>
      <c r="DG35" t="s">
        <v>126</v>
      </c>
      <c r="DH35" t="s">
        <v>127</v>
      </c>
      <c r="DI35" t="s">
        <v>150</v>
      </c>
      <c r="DJ35" t="s">
        <v>181</v>
      </c>
      <c r="DK35">
        <v>29600000</v>
      </c>
    </row>
    <row r="36" spans="1:115" x14ac:dyDescent="0.25">
      <c r="A36" t="s">
        <v>342</v>
      </c>
      <c r="B36" t="s">
        <v>343</v>
      </c>
      <c r="F36" t="s">
        <v>216</v>
      </c>
      <c r="N36" t="s">
        <v>344</v>
      </c>
      <c r="U36" t="s">
        <v>345</v>
      </c>
      <c r="V36" t="s">
        <v>346</v>
      </c>
      <c r="Z36" s="14">
        <v>41093</v>
      </c>
      <c r="AA36" s="14">
        <v>41116</v>
      </c>
      <c r="AD36" s="14">
        <v>43100</v>
      </c>
      <c r="AL36" t="s">
        <v>122</v>
      </c>
      <c r="AN36">
        <v>5000000000</v>
      </c>
      <c r="AR36">
        <v>0</v>
      </c>
      <c r="AS36">
        <v>5000000000</v>
      </c>
      <c r="BA36" t="s">
        <v>123</v>
      </c>
      <c r="BB36" t="s">
        <v>124</v>
      </c>
      <c r="BC36" t="s">
        <v>125</v>
      </c>
      <c r="DF36" s="15" t="s">
        <v>9327</v>
      </c>
      <c r="DG36" t="s">
        <v>126</v>
      </c>
      <c r="DH36" t="s">
        <v>127</v>
      </c>
      <c r="DI36" t="s">
        <v>128</v>
      </c>
      <c r="DJ36" t="s">
        <v>326</v>
      </c>
      <c r="DK36">
        <v>10000000</v>
      </c>
    </row>
    <row r="37" spans="1:115" x14ac:dyDescent="0.25">
      <c r="A37" t="s">
        <v>347</v>
      </c>
      <c r="B37" t="s">
        <v>348</v>
      </c>
      <c r="F37" t="s">
        <v>142</v>
      </c>
      <c r="N37" t="s">
        <v>349</v>
      </c>
      <c r="U37" t="s">
        <v>350</v>
      </c>
      <c r="V37" t="s">
        <v>351</v>
      </c>
      <c r="W37" t="s">
        <v>352</v>
      </c>
      <c r="Z37" s="14">
        <v>41054</v>
      </c>
      <c r="AA37" s="14">
        <v>41120</v>
      </c>
      <c r="AD37" s="14">
        <v>42735</v>
      </c>
      <c r="AL37" t="s">
        <v>136</v>
      </c>
      <c r="AN37">
        <v>12000000000</v>
      </c>
      <c r="AR37">
        <v>0</v>
      </c>
      <c r="AS37">
        <v>12000000000</v>
      </c>
      <c r="BA37" t="s">
        <v>137</v>
      </c>
      <c r="BB37" t="s">
        <v>138</v>
      </c>
      <c r="BC37" t="s">
        <v>125</v>
      </c>
      <c r="DF37" s="15" t="s">
        <v>9328</v>
      </c>
      <c r="DG37" t="s">
        <v>126</v>
      </c>
      <c r="DH37" t="s">
        <v>127</v>
      </c>
      <c r="DI37" t="s">
        <v>128</v>
      </c>
      <c r="DJ37" t="s">
        <v>353</v>
      </c>
      <c r="DK37">
        <v>12000000000</v>
      </c>
    </row>
    <row r="38" spans="1:115" x14ac:dyDescent="0.25">
      <c r="A38" t="s">
        <v>354</v>
      </c>
      <c r="B38" t="s">
        <v>355</v>
      </c>
      <c r="F38" t="s">
        <v>163</v>
      </c>
      <c r="N38" t="s">
        <v>356</v>
      </c>
      <c r="U38" t="s">
        <v>350</v>
      </c>
      <c r="V38" t="s">
        <v>351</v>
      </c>
      <c r="Z38" s="14">
        <v>41142</v>
      </c>
      <c r="AA38" s="14">
        <v>41170</v>
      </c>
      <c r="AD38" s="14">
        <v>43100</v>
      </c>
      <c r="AL38" t="s">
        <v>357</v>
      </c>
      <c r="AN38">
        <v>10790000000</v>
      </c>
      <c r="AR38">
        <v>0</v>
      </c>
      <c r="AS38">
        <v>10790000000</v>
      </c>
      <c r="BA38" t="s">
        <v>358</v>
      </c>
      <c r="BB38" t="s">
        <v>358</v>
      </c>
      <c r="BC38" t="s">
        <v>242</v>
      </c>
      <c r="DF38" s="15" t="s">
        <v>9329</v>
      </c>
      <c r="DG38" t="s">
        <v>126</v>
      </c>
      <c r="DH38" t="s">
        <v>127</v>
      </c>
      <c r="DI38" t="s">
        <v>127</v>
      </c>
      <c r="DJ38" t="s">
        <v>172</v>
      </c>
      <c r="DK38">
        <v>141000000</v>
      </c>
    </row>
    <row r="39" spans="1:115" x14ac:dyDescent="0.25">
      <c r="A39" t="s">
        <v>359</v>
      </c>
      <c r="B39" t="s">
        <v>360</v>
      </c>
      <c r="F39" t="s">
        <v>190</v>
      </c>
      <c r="N39" t="s">
        <v>361</v>
      </c>
      <c r="U39" t="s">
        <v>185</v>
      </c>
      <c r="V39" t="s">
        <v>362</v>
      </c>
      <c r="W39" t="s">
        <v>363</v>
      </c>
      <c r="Z39" s="14">
        <v>41064</v>
      </c>
      <c r="AA39" s="14">
        <v>41144</v>
      </c>
      <c r="AD39" s="14">
        <v>42735</v>
      </c>
      <c r="AL39" t="s">
        <v>122</v>
      </c>
      <c r="AN39">
        <v>7500000000</v>
      </c>
      <c r="AR39">
        <v>0</v>
      </c>
      <c r="AS39">
        <v>7500000000</v>
      </c>
      <c r="BA39" t="s">
        <v>364</v>
      </c>
      <c r="BB39" t="s">
        <v>365</v>
      </c>
      <c r="BC39" t="s">
        <v>242</v>
      </c>
      <c r="DF39" s="15" t="s">
        <v>9330</v>
      </c>
      <c r="DG39" t="s">
        <v>126</v>
      </c>
      <c r="DH39" t="s">
        <v>127</v>
      </c>
      <c r="DI39" t="s">
        <v>150</v>
      </c>
      <c r="DJ39" t="s">
        <v>366</v>
      </c>
      <c r="DK39">
        <v>15000000</v>
      </c>
    </row>
    <row r="40" spans="1:115" x14ac:dyDescent="0.25">
      <c r="A40" t="s">
        <v>367</v>
      </c>
      <c r="B40" t="s">
        <v>368</v>
      </c>
      <c r="F40" t="s">
        <v>369</v>
      </c>
      <c r="N40" t="s">
        <v>370</v>
      </c>
      <c r="U40" t="s">
        <v>218</v>
      </c>
      <c r="V40" t="s">
        <v>371</v>
      </c>
      <c r="Z40" s="14">
        <v>41102</v>
      </c>
      <c r="AA40" s="14">
        <v>41156</v>
      </c>
      <c r="AD40" s="14">
        <v>43646</v>
      </c>
      <c r="AL40" t="s">
        <v>177</v>
      </c>
      <c r="AN40">
        <v>17500000000</v>
      </c>
      <c r="AR40">
        <v>0</v>
      </c>
      <c r="AS40">
        <v>17500000000</v>
      </c>
      <c r="BA40" t="s">
        <v>178</v>
      </c>
      <c r="BB40" t="s">
        <v>179</v>
      </c>
      <c r="BC40" t="s">
        <v>125</v>
      </c>
      <c r="DF40" s="15" t="s">
        <v>9331</v>
      </c>
      <c r="DG40" t="s">
        <v>126</v>
      </c>
      <c r="DH40" t="s">
        <v>127</v>
      </c>
      <c r="DI40" t="s">
        <v>150</v>
      </c>
      <c r="DJ40" t="s">
        <v>372</v>
      </c>
      <c r="DK40">
        <v>23200000</v>
      </c>
    </row>
    <row r="41" spans="1:115" x14ac:dyDescent="0.25">
      <c r="A41" t="s">
        <v>373</v>
      </c>
      <c r="B41" t="s">
        <v>374</v>
      </c>
      <c r="F41" t="s">
        <v>216</v>
      </c>
      <c r="N41" t="s">
        <v>375</v>
      </c>
      <c r="U41" t="s">
        <v>376</v>
      </c>
      <c r="Z41" s="14">
        <v>41025</v>
      </c>
      <c r="AA41" s="14">
        <v>41156</v>
      </c>
      <c r="AD41" s="14">
        <v>43100</v>
      </c>
      <c r="AL41" t="s">
        <v>122</v>
      </c>
      <c r="AN41">
        <v>5000000000</v>
      </c>
      <c r="AR41">
        <v>5000000000</v>
      </c>
      <c r="AS41">
        <v>0</v>
      </c>
      <c r="BA41" t="s">
        <v>178</v>
      </c>
      <c r="BB41" t="s">
        <v>179</v>
      </c>
      <c r="BC41" t="s">
        <v>125</v>
      </c>
      <c r="DF41" s="15" t="s">
        <v>9332</v>
      </c>
      <c r="DG41" t="s">
        <v>126</v>
      </c>
      <c r="DH41" t="s">
        <v>159</v>
      </c>
      <c r="DI41" t="s">
        <v>159</v>
      </c>
      <c r="DJ41" t="s">
        <v>372</v>
      </c>
      <c r="DK41">
        <v>10000000</v>
      </c>
    </row>
    <row r="42" spans="1:115" x14ac:dyDescent="0.25">
      <c r="A42" t="s">
        <v>377</v>
      </c>
      <c r="B42" t="s">
        <v>378</v>
      </c>
      <c r="F42" t="s">
        <v>142</v>
      </c>
      <c r="N42" t="s">
        <v>379</v>
      </c>
      <c r="U42" t="s">
        <v>380</v>
      </c>
      <c r="V42" t="s">
        <v>381</v>
      </c>
      <c r="W42" t="s">
        <v>382</v>
      </c>
      <c r="Z42" s="14">
        <v>41187</v>
      </c>
      <c r="AA42" s="14">
        <v>41227</v>
      </c>
      <c r="AD42" s="14">
        <v>43465</v>
      </c>
      <c r="AL42" t="s">
        <v>357</v>
      </c>
      <c r="AN42">
        <v>64232000000</v>
      </c>
      <c r="AR42">
        <v>0</v>
      </c>
      <c r="AS42">
        <v>64232000000</v>
      </c>
      <c r="BA42" t="s">
        <v>358</v>
      </c>
      <c r="BB42" t="s">
        <v>358</v>
      </c>
      <c r="BC42" t="s">
        <v>242</v>
      </c>
      <c r="DF42" s="15" t="s">
        <v>9333</v>
      </c>
      <c r="DG42" t="s">
        <v>126</v>
      </c>
      <c r="DH42" t="s">
        <v>127</v>
      </c>
      <c r="DI42" t="s">
        <v>127</v>
      </c>
      <c r="DJ42" t="s">
        <v>366</v>
      </c>
      <c r="DK42">
        <v>800000000</v>
      </c>
    </row>
    <row r="43" spans="1:115" x14ac:dyDescent="0.25">
      <c r="A43" t="s">
        <v>383</v>
      </c>
      <c r="B43" t="s">
        <v>384</v>
      </c>
      <c r="F43" t="s">
        <v>163</v>
      </c>
      <c r="N43" t="s">
        <v>385</v>
      </c>
      <c r="U43" t="s">
        <v>176</v>
      </c>
      <c r="Z43" s="14">
        <v>41199</v>
      </c>
      <c r="AA43" s="14">
        <v>41206</v>
      </c>
      <c r="AD43" s="14">
        <v>42369</v>
      </c>
      <c r="AL43" t="s">
        <v>276</v>
      </c>
      <c r="AN43">
        <v>23470000000</v>
      </c>
      <c r="AR43">
        <v>0</v>
      </c>
      <c r="AS43">
        <v>23470000000</v>
      </c>
      <c r="BA43" t="s">
        <v>277</v>
      </c>
      <c r="BB43" t="s">
        <v>278</v>
      </c>
      <c r="BC43" t="s">
        <v>125</v>
      </c>
      <c r="DF43" s="15" t="s">
        <v>9308</v>
      </c>
      <c r="DG43" t="s">
        <v>317</v>
      </c>
      <c r="DH43" t="s">
        <v>127</v>
      </c>
      <c r="DI43" t="s">
        <v>150</v>
      </c>
      <c r="DJ43" t="s">
        <v>366</v>
      </c>
      <c r="DK43">
        <v>30000000</v>
      </c>
    </row>
    <row r="44" spans="1:115" x14ac:dyDescent="0.25">
      <c r="A44" t="s">
        <v>386</v>
      </c>
      <c r="B44" t="s">
        <v>387</v>
      </c>
      <c r="F44" t="s">
        <v>315</v>
      </c>
      <c r="N44" t="s">
        <v>388</v>
      </c>
      <c r="U44" t="s">
        <v>185</v>
      </c>
      <c r="V44" t="s">
        <v>224</v>
      </c>
      <c r="Z44" s="14">
        <v>41093</v>
      </c>
      <c r="AA44" s="14">
        <v>41227</v>
      </c>
      <c r="AD44" s="14">
        <v>42369</v>
      </c>
      <c r="AL44" t="s">
        <v>122</v>
      </c>
      <c r="AN44">
        <v>500000000</v>
      </c>
      <c r="AR44">
        <v>500000000</v>
      </c>
      <c r="AS44">
        <v>0</v>
      </c>
      <c r="BA44" t="s">
        <v>389</v>
      </c>
      <c r="BB44" t="s">
        <v>389</v>
      </c>
      <c r="BC44" t="s">
        <v>242</v>
      </c>
      <c r="DF44" s="15" t="s">
        <v>9334</v>
      </c>
      <c r="DG44" t="s">
        <v>126</v>
      </c>
      <c r="DH44" t="s">
        <v>159</v>
      </c>
      <c r="DI44" t="s">
        <v>159</v>
      </c>
      <c r="DJ44" t="s">
        <v>172</v>
      </c>
      <c r="DK44">
        <v>1000000</v>
      </c>
    </row>
    <row r="45" spans="1:115" x14ac:dyDescent="0.25">
      <c r="A45" t="s">
        <v>390</v>
      </c>
      <c r="B45" t="s">
        <v>391</v>
      </c>
      <c r="F45" t="s">
        <v>282</v>
      </c>
      <c r="N45" t="s">
        <v>392</v>
      </c>
      <c r="U45" t="s">
        <v>176</v>
      </c>
      <c r="Z45" s="14">
        <v>41235</v>
      </c>
      <c r="AA45" s="14">
        <v>41240</v>
      </c>
      <c r="AD45" s="14">
        <v>42735</v>
      </c>
      <c r="AL45" t="s">
        <v>122</v>
      </c>
      <c r="AN45">
        <v>327978500</v>
      </c>
      <c r="AR45">
        <v>327978500</v>
      </c>
      <c r="AS45">
        <v>0</v>
      </c>
      <c r="BA45" t="s">
        <v>337</v>
      </c>
      <c r="BB45" t="s">
        <v>338</v>
      </c>
      <c r="BC45" t="s">
        <v>242</v>
      </c>
      <c r="DF45" s="15" t="s">
        <v>9308</v>
      </c>
      <c r="DG45" t="s">
        <v>126</v>
      </c>
      <c r="DH45" t="s">
        <v>159</v>
      </c>
      <c r="DI45" t="s">
        <v>159</v>
      </c>
      <c r="DJ45" t="s">
        <v>326</v>
      </c>
      <c r="DK45">
        <v>500000</v>
      </c>
    </row>
    <row r="46" spans="1:115" x14ac:dyDescent="0.25">
      <c r="A46" t="s">
        <v>393</v>
      </c>
      <c r="B46" t="s">
        <v>394</v>
      </c>
      <c r="F46" t="s">
        <v>263</v>
      </c>
      <c r="N46" t="s">
        <v>395</v>
      </c>
      <c r="U46" t="s">
        <v>176</v>
      </c>
      <c r="Z46" s="14">
        <v>40918</v>
      </c>
      <c r="AA46" s="14">
        <v>41254</v>
      </c>
      <c r="AD46" s="14">
        <v>42369</v>
      </c>
      <c r="AL46" t="s">
        <v>122</v>
      </c>
      <c r="AN46">
        <v>40524000000</v>
      </c>
      <c r="AR46">
        <v>40524000000</v>
      </c>
      <c r="AS46">
        <v>0</v>
      </c>
      <c r="BA46" t="s">
        <v>324</v>
      </c>
      <c r="BB46" t="s">
        <v>325</v>
      </c>
      <c r="BC46" t="s">
        <v>242</v>
      </c>
      <c r="DF46" s="15" t="s">
        <v>9308</v>
      </c>
      <c r="DG46" t="s">
        <v>317</v>
      </c>
      <c r="DH46" t="s">
        <v>159</v>
      </c>
      <c r="DI46" t="s">
        <v>159</v>
      </c>
      <c r="DJ46" t="s">
        <v>326</v>
      </c>
      <c r="DK46">
        <v>61783808.507394403</v>
      </c>
    </row>
    <row r="47" spans="1:115" x14ac:dyDescent="0.25">
      <c r="A47" t="s">
        <v>396</v>
      </c>
      <c r="B47" t="s">
        <v>397</v>
      </c>
      <c r="F47" t="s">
        <v>142</v>
      </c>
      <c r="N47" t="s">
        <v>398</v>
      </c>
      <c r="U47" t="s">
        <v>399</v>
      </c>
      <c r="V47" t="s">
        <v>400</v>
      </c>
      <c r="Z47" s="14">
        <v>41313</v>
      </c>
      <c r="AA47" s="14">
        <v>41409</v>
      </c>
      <c r="AD47" s="14">
        <v>42735</v>
      </c>
      <c r="AL47" t="s">
        <v>136</v>
      </c>
      <c r="AN47">
        <v>195382000</v>
      </c>
      <c r="AR47">
        <v>0</v>
      </c>
      <c r="AS47">
        <v>195382000</v>
      </c>
      <c r="BA47" t="s">
        <v>137</v>
      </c>
      <c r="BB47" t="s">
        <v>138</v>
      </c>
      <c r="BC47" t="s">
        <v>125</v>
      </c>
      <c r="DF47" s="15" t="s">
        <v>9335</v>
      </c>
      <c r="DG47" t="s">
        <v>235</v>
      </c>
      <c r="DH47" t="s">
        <v>127</v>
      </c>
      <c r="DI47" t="s">
        <v>236</v>
      </c>
      <c r="DJ47" t="s">
        <v>353</v>
      </c>
      <c r="DK47">
        <v>195382000</v>
      </c>
    </row>
    <row r="48" spans="1:115" x14ac:dyDescent="0.25">
      <c r="A48" t="s">
        <v>401</v>
      </c>
      <c r="B48" t="s">
        <v>402</v>
      </c>
      <c r="F48" t="s">
        <v>205</v>
      </c>
      <c r="N48" t="s">
        <v>403</v>
      </c>
      <c r="U48" t="s">
        <v>404</v>
      </c>
      <c r="V48" t="s">
        <v>405</v>
      </c>
      <c r="Z48" s="14">
        <v>41317</v>
      </c>
      <c r="AA48" s="14">
        <v>41466</v>
      </c>
      <c r="AD48" s="14">
        <v>43830</v>
      </c>
      <c r="AL48" t="s">
        <v>276</v>
      </c>
      <c r="AN48">
        <v>4505921562</v>
      </c>
      <c r="AR48">
        <v>0</v>
      </c>
      <c r="AS48">
        <v>4505921562</v>
      </c>
      <c r="BA48" t="s">
        <v>123</v>
      </c>
      <c r="BB48" t="s">
        <v>124</v>
      </c>
      <c r="BC48" t="s">
        <v>125</v>
      </c>
      <c r="DF48" s="15" t="s">
        <v>9336</v>
      </c>
      <c r="DG48" t="s">
        <v>126</v>
      </c>
      <c r="DH48" t="s">
        <v>127</v>
      </c>
      <c r="DI48" t="s">
        <v>128</v>
      </c>
      <c r="DJ48" t="s">
        <v>326</v>
      </c>
      <c r="DK48">
        <v>5731765</v>
      </c>
    </row>
    <row r="49" spans="1:115" x14ac:dyDescent="0.25">
      <c r="A49" t="s">
        <v>406</v>
      </c>
      <c r="B49" t="s">
        <v>407</v>
      </c>
      <c r="F49" t="s">
        <v>142</v>
      </c>
      <c r="N49" t="s">
        <v>408</v>
      </c>
      <c r="U49" t="s">
        <v>409</v>
      </c>
      <c r="V49" t="s">
        <v>410</v>
      </c>
      <c r="Z49" s="14">
        <v>41321</v>
      </c>
      <c r="AA49" s="14">
        <v>41374</v>
      </c>
      <c r="AD49" s="14">
        <v>43100</v>
      </c>
      <c r="AL49" t="s">
        <v>167</v>
      </c>
      <c r="AN49">
        <v>4500000000</v>
      </c>
      <c r="AR49">
        <v>0</v>
      </c>
      <c r="AS49">
        <v>4500000000</v>
      </c>
      <c r="BA49" t="s">
        <v>168</v>
      </c>
      <c r="BB49" t="s">
        <v>169</v>
      </c>
      <c r="BC49" t="s">
        <v>125</v>
      </c>
      <c r="DF49" s="15" t="s">
        <v>9337</v>
      </c>
      <c r="DG49" t="s">
        <v>126</v>
      </c>
      <c r="DH49" t="s">
        <v>127</v>
      </c>
      <c r="DI49" t="s">
        <v>150</v>
      </c>
      <c r="DJ49" t="s">
        <v>366</v>
      </c>
      <c r="DK49">
        <v>5880000</v>
      </c>
    </row>
    <row r="50" spans="1:115" x14ac:dyDescent="0.25">
      <c r="A50" t="s">
        <v>411</v>
      </c>
      <c r="B50" t="s">
        <v>412</v>
      </c>
      <c r="F50" t="s">
        <v>190</v>
      </c>
      <c r="N50" t="s">
        <v>413</v>
      </c>
      <c r="U50" t="s">
        <v>414</v>
      </c>
      <c r="Z50" s="14">
        <v>41374</v>
      </c>
      <c r="AA50" s="14">
        <v>41437</v>
      </c>
      <c r="AD50" s="14">
        <v>44196</v>
      </c>
      <c r="AL50" t="s">
        <v>167</v>
      </c>
      <c r="AN50">
        <v>6800000000</v>
      </c>
      <c r="AR50">
        <v>0</v>
      </c>
      <c r="AS50">
        <v>6800000000</v>
      </c>
      <c r="BA50" t="s">
        <v>168</v>
      </c>
      <c r="BB50" t="s">
        <v>169</v>
      </c>
      <c r="BC50" t="s">
        <v>125</v>
      </c>
      <c r="DF50" s="15" t="s">
        <v>9338</v>
      </c>
      <c r="DG50" t="s">
        <v>317</v>
      </c>
      <c r="DH50" t="s">
        <v>127</v>
      </c>
      <c r="DI50" t="s">
        <v>415</v>
      </c>
      <c r="DJ50" t="s">
        <v>366</v>
      </c>
      <c r="DK50">
        <v>8940000</v>
      </c>
    </row>
    <row r="51" spans="1:115" x14ac:dyDescent="0.25">
      <c r="A51" t="s">
        <v>416</v>
      </c>
      <c r="B51" t="s">
        <v>417</v>
      </c>
      <c r="F51" t="s">
        <v>205</v>
      </c>
      <c r="N51" t="s">
        <v>418</v>
      </c>
      <c r="U51" t="s">
        <v>419</v>
      </c>
      <c r="V51" t="s">
        <v>420</v>
      </c>
      <c r="Z51" s="14">
        <v>41354</v>
      </c>
      <c r="AA51" s="14">
        <v>41374</v>
      </c>
      <c r="AD51" s="14">
        <v>43343</v>
      </c>
      <c r="AL51" t="s">
        <v>122</v>
      </c>
      <c r="AN51">
        <v>1000000000</v>
      </c>
      <c r="AR51">
        <v>0</v>
      </c>
      <c r="AS51">
        <v>1000000000</v>
      </c>
      <c r="BA51" t="s">
        <v>178</v>
      </c>
      <c r="BB51" t="s">
        <v>179</v>
      </c>
      <c r="BC51" t="s">
        <v>125</v>
      </c>
      <c r="DF51" s="15" t="s">
        <v>9339</v>
      </c>
      <c r="DG51" t="s">
        <v>126</v>
      </c>
      <c r="DH51" t="s">
        <v>127</v>
      </c>
      <c r="DI51" t="s">
        <v>150</v>
      </c>
      <c r="DJ51" t="s">
        <v>372</v>
      </c>
      <c r="DK51">
        <v>2000000</v>
      </c>
    </row>
    <row r="52" spans="1:115" x14ac:dyDescent="0.25">
      <c r="A52" t="s">
        <v>421</v>
      </c>
      <c r="B52" t="s">
        <v>417</v>
      </c>
      <c r="F52" t="s">
        <v>205</v>
      </c>
      <c r="N52" t="s">
        <v>422</v>
      </c>
      <c r="U52" t="s">
        <v>419</v>
      </c>
      <c r="V52" t="s">
        <v>420</v>
      </c>
      <c r="Z52" s="14">
        <v>41354</v>
      </c>
      <c r="AA52" s="14">
        <v>41374</v>
      </c>
      <c r="AD52" s="14">
        <v>43343</v>
      </c>
      <c r="AL52" t="s">
        <v>122</v>
      </c>
      <c r="AN52">
        <v>2780000000</v>
      </c>
      <c r="AR52">
        <v>2780000000</v>
      </c>
      <c r="AS52">
        <v>0</v>
      </c>
      <c r="BA52" t="s">
        <v>423</v>
      </c>
      <c r="BB52" t="s">
        <v>424</v>
      </c>
      <c r="BC52" t="s">
        <v>125</v>
      </c>
      <c r="DF52" s="15" t="s">
        <v>9339</v>
      </c>
      <c r="DG52" t="s">
        <v>126</v>
      </c>
      <c r="DH52" t="s">
        <v>159</v>
      </c>
      <c r="DI52" t="s">
        <v>260</v>
      </c>
      <c r="DJ52" t="s">
        <v>372</v>
      </c>
      <c r="DK52">
        <v>5560000</v>
      </c>
    </row>
    <row r="53" spans="1:115" x14ac:dyDescent="0.25">
      <c r="A53" t="s">
        <v>425</v>
      </c>
      <c r="B53" t="s">
        <v>426</v>
      </c>
      <c r="F53" t="s">
        <v>163</v>
      </c>
      <c r="N53" t="s">
        <v>427</v>
      </c>
      <c r="U53" t="s">
        <v>176</v>
      </c>
      <c r="Z53" s="14">
        <v>41381</v>
      </c>
      <c r="AA53" s="14">
        <v>41450</v>
      </c>
      <c r="AD53" s="14">
        <v>42004</v>
      </c>
      <c r="AL53" t="s">
        <v>177</v>
      </c>
      <c r="AN53">
        <v>15000000000</v>
      </c>
      <c r="AR53">
        <v>0</v>
      </c>
      <c r="AS53">
        <v>15000000000</v>
      </c>
      <c r="BA53" t="s">
        <v>178</v>
      </c>
      <c r="BB53" t="s">
        <v>179</v>
      </c>
      <c r="BC53" t="s">
        <v>125</v>
      </c>
      <c r="DF53" s="15" t="s">
        <v>9308</v>
      </c>
      <c r="DG53" t="s">
        <v>126</v>
      </c>
      <c r="DH53" t="s">
        <v>127</v>
      </c>
      <c r="DI53" t="s">
        <v>150</v>
      </c>
      <c r="DJ53" t="s">
        <v>372</v>
      </c>
      <c r="DK53">
        <v>19900000</v>
      </c>
    </row>
    <row r="54" spans="1:115" x14ac:dyDescent="0.25">
      <c r="A54" t="s">
        <v>428</v>
      </c>
      <c r="B54" t="s">
        <v>429</v>
      </c>
      <c r="F54" t="s">
        <v>315</v>
      </c>
      <c r="N54" t="s">
        <v>430</v>
      </c>
      <c r="U54" t="s">
        <v>176</v>
      </c>
      <c r="Z54" s="14">
        <v>41430</v>
      </c>
      <c r="AA54" s="14">
        <v>41562</v>
      </c>
      <c r="AD54" s="14">
        <v>42735</v>
      </c>
      <c r="AL54" t="s">
        <v>122</v>
      </c>
      <c r="AN54">
        <v>3279785000</v>
      </c>
      <c r="AR54">
        <v>3279785000</v>
      </c>
      <c r="AS54">
        <v>0</v>
      </c>
      <c r="BA54" t="s">
        <v>267</v>
      </c>
      <c r="BB54" t="s">
        <v>267</v>
      </c>
      <c r="BC54" t="s">
        <v>242</v>
      </c>
      <c r="DF54" s="15" t="s">
        <v>9308</v>
      </c>
      <c r="DG54" t="s">
        <v>284</v>
      </c>
      <c r="DH54" t="s">
        <v>159</v>
      </c>
      <c r="DI54" t="s">
        <v>159</v>
      </c>
      <c r="DJ54" t="s">
        <v>326</v>
      </c>
      <c r="DK54">
        <v>5000000</v>
      </c>
    </row>
    <row r="55" spans="1:115" x14ac:dyDescent="0.25">
      <c r="A55" t="s">
        <v>431</v>
      </c>
      <c r="B55" t="s">
        <v>432</v>
      </c>
      <c r="F55" t="s">
        <v>205</v>
      </c>
      <c r="N55" t="s">
        <v>433</v>
      </c>
      <c r="U55" t="s">
        <v>218</v>
      </c>
      <c r="V55" t="s">
        <v>219</v>
      </c>
      <c r="Z55" s="14">
        <v>41435</v>
      </c>
      <c r="AA55" s="14">
        <v>41600</v>
      </c>
      <c r="AD55" s="14">
        <v>43830</v>
      </c>
      <c r="AL55" t="s">
        <v>122</v>
      </c>
      <c r="AN55">
        <v>728309057</v>
      </c>
      <c r="AR55">
        <v>728309057</v>
      </c>
      <c r="AS55">
        <v>0</v>
      </c>
      <c r="BA55" t="s">
        <v>277</v>
      </c>
      <c r="BB55" t="s">
        <v>278</v>
      </c>
      <c r="BC55" t="s">
        <v>125</v>
      </c>
      <c r="DF55" s="15" t="s">
        <v>9340</v>
      </c>
      <c r="DG55" t="s">
        <v>126</v>
      </c>
      <c r="DH55" t="s">
        <v>159</v>
      </c>
      <c r="DI55" t="s">
        <v>260</v>
      </c>
      <c r="DJ55" t="s">
        <v>366</v>
      </c>
      <c r="DK55">
        <v>1110300</v>
      </c>
    </row>
    <row r="56" spans="1:115" x14ac:dyDescent="0.25">
      <c r="A56" t="s">
        <v>434</v>
      </c>
      <c r="B56" t="s">
        <v>435</v>
      </c>
      <c r="F56" t="s">
        <v>190</v>
      </c>
      <c r="N56" t="s">
        <v>436</v>
      </c>
      <c r="U56" t="s">
        <v>176</v>
      </c>
      <c r="Z56" s="14">
        <v>41437</v>
      </c>
      <c r="AA56" s="14">
        <v>41620</v>
      </c>
      <c r="AD56" s="14">
        <v>42369</v>
      </c>
      <c r="AL56" t="s">
        <v>136</v>
      </c>
      <c r="AN56">
        <v>285000000</v>
      </c>
      <c r="AR56">
        <v>0</v>
      </c>
      <c r="AS56">
        <v>285000000</v>
      </c>
      <c r="BA56" t="s">
        <v>137</v>
      </c>
      <c r="BB56" t="s">
        <v>138</v>
      </c>
      <c r="BC56" t="s">
        <v>125</v>
      </c>
      <c r="DF56" s="15" t="s">
        <v>9308</v>
      </c>
      <c r="DG56" t="s">
        <v>235</v>
      </c>
      <c r="DH56" t="s">
        <v>127</v>
      </c>
      <c r="DI56" t="s">
        <v>236</v>
      </c>
      <c r="DJ56" t="s">
        <v>353</v>
      </c>
      <c r="DK56">
        <v>285000000</v>
      </c>
    </row>
    <row r="57" spans="1:115" x14ac:dyDescent="0.25">
      <c r="A57" t="s">
        <v>437</v>
      </c>
      <c r="B57" t="s">
        <v>438</v>
      </c>
      <c r="F57" t="s">
        <v>142</v>
      </c>
      <c r="N57" t="s">
        <v>439</v>
      </c>
      <c r="U57" t="s">
        <v>399</v>
      </c>
      <c r="V57" t="s">
        <v>400</v>
      </c>
      <c r="W57" t="s">
        <v>440</v>
      </c>
      <c r="Z57" s="14">
        <v>41436</v>
      </c>
      <c r="AA57" s="14">
        <v>41461</v>
      </c>
      <c r="AD57" s="14">
        <v>42369</v>
      </c>
      <c r="AL57" t="s">
        <v>136</v>
      </c>
      <c r="AN57">
        <v>15500000000</v>
      </c>
      <c r="AR57">
        <v>0</v>
      </c>
      <c r="AS57">
        <v>15500000000</v>
      </c>
      <c r="BA57" t="s">
        <v>441</v>
      </c>
      <c r="BB57" t="s">
        <v>441</v>
      </c>
      <c r="BC57" t="s">
        <v>442</v>
      </c>
      <c r="DF57" s="15" t="s">
        <v>9341</v>
      </c>
      <c r="DG57" t="s">
        <v>126</v>
      </c>
      <c r="DH57" t="s">
        <v>127</v>
      </c>
      <c r="DI57" t="s">
        <v>443</v>
      </c>
      <c r="DJ57" t="s">
        <v>366</v>
      </c>
      <c r="DK57">
        <v>15500000000</v>
      </c>
    </row>
    <row r="58" spans="1:115" x14ac:dyDescent="0.25">
      <c r="A58" t="s">
        <v>444</v>
      </c>
      <c r="B58" t="s">
        <v>445</v>
      </c>
      <c r="F58" t="s">
        <v>446</v>
      </c>
      <c r="N58" t="s">
        <v>447</v>
      </c>
      <c r="U58" t="s">
        <v>176</v>
      </c>
      <c r="Z58" s="14">
        <v>41374</v>
      </c>
      <c r="AA58" s="14">
        <v>41470</v>
      </c>
      <c r="AD58" s="14">
        <v>43830</v>
      </c>
      <c r="AL58" t="s">
        <v>122</v>
      </c>
      <c r="AN58">
        <v>15300000000</v>
      </c>
      <c r="AR58">
        <v>7650000000</v>
      </c>
      <c r="AS58">
        <v>7650000000</v>
      </c>
      <c r="BA58" t="s">
        <v>448</v>
      </c>
      <c r="BB58" t="s">
        <v>449</v>
      </c>
      <c r="BC58" t="s">
        <v>125</v>
      </c>
      <c r="DF58" s="15" t="s">
        <v>9308</v>
      </c>
      <c r="DG58" t="s">
        <v>126</v>
      </c>
      <c r="DH58" t="s">
        <v>201</v>
      </c>
      <c r="DI58" t="s">
        <v>279</v>
      </c>
      <c r="DJ58" t="s">
        <v>326</v>
      </c>
      <c r="DK58">
        <v>30600000</v>
      </c>
    </row>
    <row r="59" spans="1:115" x14ac:dyDescent="0.25">
      <c r="A59" t="s">
        <v>450</v>
      </c>
      <c r="B59" t="s">
        <v>451</v>
      </c>
      <c r="F59" t="s">
        <v>142</v>
      </c>
      <c r="N59" t="s">
        <v>452</v>
      </c>
      <c r="U59" t="s">
        <v>399</v>
      </c>
      <c r="V59" t="s">
        <v>453</v>
      </c>
      <c r="W59" t="s">
        <v>454</v>
      </c>
      <c r="Z59" s="14">
        <v>41358</v>
      </c>
      <c r="AA59" s="14">
        <v>41485</v>
      </c>
      <c r="AD59" s="14">
        <v>42369</v>
      </c>
      <c r="AL59" t="s">
        <v>136</v>
      </c>
      <c r="AN59">
        <v>294845000</v>
      </c>
      <c r="AR59">
        <v>0</v>
      </c>
      <c r="AS59">
        <v>294845000</v>
      </c>
      <c r="BA59" t="s">
        <v>137</v>
      </c>
      <c r="BB59" t="s">
        <v>138</v>
      </c>
      <c r="BC59" t="s">
        <v>125</v>
      </c>
      <c r="DF59" s="15" t="s">
        <v>9342</v>
      </c>
      <c r="DG59" t="s">
        <v>235</v>
      </c>
      <c r="DH59" t="s">
        <v>127</v>
      </c>
      <c r="DI59" t="s">
        <v>236</v>
      </c>
      <c r="DJ59" t="s">
        <v>353</v>
      </c>
      <c r="DK59">
        <v>294845000</v>
      </c>
    </row>
    <row r="60" spans="1:115" x14ac:dyDescent="0.25">
      <c r="A60" t="s">
        <v>455</v>
      </c>
      <c r="B60" t="s">
        <v>456</v>
      </c>
      <c r="F60" t="s">
        <v>205</v>
      </c>
      <c r="N60" t="s">
        <v>457</v>
      </c>
      <c r="U60" t="s">
        <v>458</v>
      </c>
      <c r="V60" t="s">
        <v>459</v>
      </c>
      <c r="Z60" s="14">
        <v>41450</v>
      </c>
      <c r="AA60" s="14">
        <v>41485</v>
      </c>
      <c r="AD60" s="14">
        <v>43465</v>
      </c>
      <c r="AL60" t="s">
        <v>136</v>
      </c>
      <c r="AN60">
        <v>6000000000</v>
      </c>
      <c r="AR60">
        <v>0</v>
      </c>
      <c r="AS60">
        <v>6000000000</v>
      </c>
      <c r="BA60" t="s">
        <v>137</v>
      </c>
      <c r="BB60" t="s">
        <v>138</v>
      </c>
      <c r="BC60" t="s">
        <v>125</v>
      </c>
      <c r="DF60" s="15" t="s">
        <v>9343</v>
      </c>
      <c r="DG60" t="s">
        <v>126</v>
      </c>
      <c r="DH60" t="s">
        <v>127</v>
      </c>
      <c r="DI60" t="s">
        <v>128</v>
      </c>
      <c r="DJ60" t="s">
        <v>353</v>
      </c>
      <c r="DK60">
        <v>6000000000</v>
      </c>
    </row>
    <row r="61" spans="1:115" x14ac:dyDescent="0.25">
      <c r="A61" t="s">
        <v>460</v>
      </c>
      <c r="B61" t="s">
        <v>461</v>
      </c>
      <c r="F61" t="s">
        <v>205</v>
      </c>
      <c r="N61" t="s">
        <v>462</v>
      </c>
      <c r="U61" t="s">
        <v>463</v>
      </c>
      <c r="V61" t="s">
        <v>464</v>
      </c>
      <c r="Z61" s="14">
        <v>41485</v>
      </c>
      <c r="AA61" s="14">
        <v>41620</v>
      </c>
      <c r="AD61" s="14">
        <v>43465</v>
      </c>
      <c r="AL61" t="s">
        <v>136</v>
      </c>
      <c r="AN61">
        <v>8000000000</v>
      </c>
      <c r="AR61">
        <v>0</v>
      </c>
      <c r="AS61">
        <v>8000000000</v>
      </c>
      <c r="BA61" t="s">
        <v>137</v>
      </c>
      <c r="BB61" t="s">
        <v>138</v>
      </c>
      <c r="BC61" t="s">
        <v>125</v>
      </c>
      <c r="DF61" s="15" t="s">
        <v>9344</v>
      </c>
      <c r="DG61" t="s">
        <v>126</v>
      </c>
      <c r="DH61" t="s">
        <v>127</v>
      </c>
      <c r="DI61" t="s">
        <v>128</v>
      </c>
      <c r="DJ61" t="s">
        <v>353</v>
      </c>
      <c r="DK61">
        <v>8000000000</v>
      </c>
    </row>
    <row r="62" spans="1:115" x14ac:dyDescent="0.25">
      <c r="A62" t="s">
        <v>465</v>
      </c>
      <c r="B62" t="s">
        <v>466</v>
      </c>
      <c r="F62" t="s">
        <v>216</v>
      </c>
      <c r="N62" t="s">
        <v>467</v>
      </c>
      <c r="U62" t="s">
        <v>176</v>
      </c>
      <c r="Z62" s="14">
        <v>41492</v>
      </c>
      <c r="AA62" s="14">
        <v>41626</v>
      </c>
      <c r="AD62" s="14">
        <v>43465</v>
      </c>
      <c r="AL62" t="s">
        <v>122</v>
      </c>
      <c r="AN62">
        <v>372908500</v>
      </c>
      <c r="AR62">
        <v>372908500</v>
      </c>
      <c r="AS62">
        <v>0</v>
      </c>
      <c r="BA62" t="s">
        <v>178</v>
      </c>
      <c r="BB62" t="s">
        <v>179</v>
      </c>
      <c r="BC62" t="s">
        <v>125</v>
      </c>
      <c r="DF62" s="15" t="s">
        <v>9308</v>
      </c>
      <c r="DG62" t="s">
        <v>126</v>
      </c>
      <c r="DH62" t="s">
        <v>159</v>
      </c>
      <c r="DI62" t="s">
        <v>159</v>
      </c>
      <c r="DJ62" t="s">
        <v>372</v>
      </c>
      <c r="DK62">
        <v>745817</v>
      </c>
    </row>
    <row r="63" spans="1:115" x14ac:dyDescent="0.25">
      <c r="A63" t="s">
        <v>468</v>
      </c>
      <c r="B63" t="s">
        <v>469</v>
      </c>
      <c r="F63" t="s">
        <v>142</v>
      </c>
      <c r="N63" t="s">
        <v>470</v>
      </c>
      <c r="U63" t="s">
        <v>380</v>
      </c>
      <c r="V63" t="s">
        <v>381</v>
      </c>
      <c r="W63" t="s">
        <v>382</v>
      </c>
      <c r="Z63" s="14">
        <v>41418</v>
      </c>
      <c r="AA63" s="14">
        <v>41509</v>
      </c>
      <c r="AD63" s="14">
        <v>42521</v>
      </c>
      <c r="AL63" t="s">
        <v>357</v>
      </c>
      <c r="AN63">
        <v>64800000000</v>
      </c>
      <c r="AR63">
        <v>0</v>
      </c>
      <c r="AS63">
        <v>64800000000</v>
      </c>
      <c r="BA63" t="s">
        <v>471</v>
      </c>
      <c r="BB63" t="s">
        <v>472</v>
      </c>
      <c r="BC63" t="s">
        <v>242</v>
      </c>
      <c r="DF63" s="15" t="s">
        <v>9333</v>
      </c>
      <c r="DG63" t="s">
        <v>126</v>
      </c>
      <c r="DH63" t="s">
        <v>127</v>
      </c>
      <c r="DI63" t="s">
        <v>150</v>
      </c>
      <c r="DJ63" t="s">
        <v>366</v>
      </c>
      <c r="DK63">
        <v>800000000</v>
      </c>
    </row>
    <row r="64" spans="1:115" x14ac:dyDescent="0.25">
      <c r="A64" t="s">
        <v>473</v>
      </c>
      <c r="B64" t="s">
        <v>474</v>
      </c>
      <c r="F64" t="s">
        <v>263</v>
      </c>
      <c r="N64" t="s">
        <v>475</v>
      </c>
      <c r="U64" t="s">
        <v>176</v>
      </c>
      <c r="Z64" s="14">
        <v>41382</v>
      </c>
      <c r="AA64" s="14">
        <v>41523</v>
      </c>
      <c r="AD64" s="14">
        <v>43465</v>
      </c>
      <c r="AL64" t="s">
        <v>122</v>
      </c>
      <c r="AN64">
        <v>21305000000</v>
      </c>
      <c r="AR64">
        <v>0</v>
      </c>
      <c r="AS64">
        <v>21305000000</v>
      </c>
      <c r="BA64" t="s">
        <v>364</v>
      </c>
      <c r="BB64" t="s">
        <v>365</v>
      </c>
      <c r="BC64" t="s">
        <v>242</v>
      </c>
      <c r="DF64" s="15" t="s">
        <v>9308</v>
      </c>
      <c r="DG64" t="s">
        <v>126</v>
      </c>
      <c r="DH64" t="s">
        <v>127</v>
      </c>
      <c r="DI64" t="s">
        <v>150</v>
      </c>
      <c r="DJ64" t="s">
        <v>366</v>
      </c>
      <c r="DK64">
        <v>42610000</v>
      </c>
    </row>
    <row r="65" spans="1:115" x14ac:dyDescent="0.25">
      <c r="A65" t="s">
        <v>476</v>
      </c>
      <c r="B65" t="s">
        <v>477</v>
      </c>
      <c r="F65" t="s">
        <v>282</v>
      </c>
      <c r="N65" t="s">
        <v>478</v>
      </c>
      <c r="U65" t="s">
        <v>479</v>
      </c>
      <c r="V65" t="s">
        <v>480</v>
      </c>
      <c r="Z65" s="14">
        <v>41431</v>
      </c>
      <c r="AA65" s="14">
        <v>41556</v>
      </c>
      <c r="AD65" s="14">
        <v>44196</v>
      </c>
      <c r="AL65" t="s">
        <v>177</v>
      </c>
      <c r="AN65">
        <v>30000000000</v>
      </c>
      <c r="AR65">
        <v>0</v>
      </c>
      <c r="AS65">
        <v>30000000000</v>
      </c>
      <c r="BA65" t="s">
        <v>178</v>
      </c>
      <c r="BB65" t="s">
        <v>179</v>
      </c>
      <c r="BC65" t="s">
        <v>125</v>
      </c>
      <c r="DF65" s="15" t="s">
        <v>9345</v>
      </c>
      <c r="DG65" t="s">
        <v>126</v>
      </c>
      <c r="DH65" t="s">
        <v>127</v>
      </c>
      <c r="DI65" t="s">
        <v>150</v>
      </c>
      <c r="DJ65" t="s">
        <v>372</v>
      </c>
      <c r="DK65">
        <v>40100000</v>
      </c>
    </row>
    <row r="66" spans="1:115" x14ac:dyDescent="0.25">
      <c r="A66" t="s">
        <v>481</v>
      </c>
      <c r="B66" t="s">
        <v>482</v>
      </c>
      <c r="F66" t="s">
        <v>163</v>
      </c>
      <c r="N66" t="s">
        <v>483</v>
      </c>
      <c r="U66" t="s">
        <v>176</v>
      </c>
      <c r="Z66" s="14">
        <v>41344</v>
      </c>
      <c r="AA66" s="14">
        <v>41607</v>
      </c>
      <c r="AD66" s="14">
        <v>43100</v>
      </c>
      <c r="AL66" t="s">
        <v>122</v>
      </c>
      <c r="AN66">
        <v>889000000</v>
      </c>
      <c r="AR66">
        <v>889000000</v>
      </c>
      <c r="AS66">
        <v>0</v>
      </c>
      <c r="BA66" t="s">
        <v>484</v>
      </c>
      <c r="BB66" t="s">
        <v>484</v>
      </c>
      <c r="BC66" t="s">
        <v>242</v>
      </c>
      <c r="DF66" s="15" t="s">
        <v>9308</v>
      </c>
      <c r="DG66" t="s">
        <v>126</v>
      </c>
      <c r="DH66" t="s">
        <v>159</v>
      </c>
      <c r="DI66" t="s">
        <v>159</v>
      </c>
      <c r="DJ66" t="s">
        <v>326</v>
      </c>
      <c r="DK66">
        <v>1355389.5410885799</v>
      </c>
    </row>
    <row r="67" spans="1:115" x14ac:dyDescent="0.25">
      <c r="A67" t="s">
        <v>485</v>
      </c>
      <c r="B67" t="s">
        <v>486</v>
      </c>
      <c r="F67" t="s">
        <v>142</v>
      </c>
      <c r="N67" t="s">
        <v>487</v>
      </c>
      <c r="U67" t="s">
        <v>488</v>
      </c>
      <c r="V67" t="s">
        <v>489</v>
      </c>
      <c r="Z67" s="14">
        <v>41450</v>
      </c>
      <c r="AA67" s="14">
        <v>41631</v>
      </c>
      <c r="AD67" s="14">
        <v>43100</v>
      </c>
      <c r="AL67" t="s">
        <v>136</v>
      </c>
      <c r="AN67">
        <v>25000000000</v>
      </c>
      <c r="AR67">
        <v>0</v>
      </c>
      <c r="AS67">
        <v>25000000000</v>
      </c>
      <c r="BA67" t="s">
        <v>137</v>
      </c>
      <c r="BB67" t="s">
        <v>138</v>
      </c>
      <c r="BC67" t="s">
        <v>125</v>
      </c>
      <c r="DF67" s="15" t="s">
        <v>9346</v>
      </c>
      <c r="DG67" t="s">
        <v>126</v>
      </c>
      <c r="DH67" t="s">
        <v>127</v>
      </c>
      <c r="DI67" t="s">
        <v>128</v>
      </c>
      <c r="DJ67" t="s">
        <v>353</v>
      </c>
      <c r="DK67">
        <v>25000000000</v>
      </c>
    </row>
    <row r="68" spans="1:115" x14ac:dyDescent="0.25">
      <c r="A68" t="s">
        <v>490</v>
      </c>
      <c r="B68" t="s">
        <v>491</v>
      </c>
      <c r="F68" t="s">
        <v>263</v>
      </c>
      <c r="N68" t="s">
        <v>492</v>
      </c>
      <c r="U68" t="s">
        <v>493</v>
      </c>
      <c r="V68" t="s">
        <v>494</v>
      </c>
      <c r="Z68" s="14">
        <v>41450</v>
      </c>
      <c r="AA68" s="14">
        <v>41631</v>
      </c>
      <c r="AD68" s="14">
        <v>43465</v>
      </c>
      <c r="AL68" t="s">
        <v>136</v>
      </c>
      <c r="AN68">
        <v>5811000000</v>
      </c>
      <c r="AR68">
        <v>0</v>
      </c>
      <c r="AS68">
        <v>5811000000</v>
      </c>
      <c r="BA68" t="s">
        <v>137</v>
      </c>
      <c r="BB68" t="s">
        <v>138</v>
      </c>
      <c r="BC68" t="s">
        <v>125</v>
      </c>
      <c r="DF68" s="15" t="s">
        <v>9347</v>
      </c>
      <c r="DG68" t="s">
        <v>126</v>
      </c>
      <c r="DH68" t="s">
        <v>127</v>
      </c>
      <c r="DI68" t="s">
        <v>128</v>
      </c>
      <c r="DJ68" t="s">
        <v>353</v>
      </c>
      <c r="DK68">
        <v>5811000000</v>
      </c>
    </row>
    <row r="69" spans="1:115" x14ac:dyDescent="0.25">
      <c r="A69" t="s">
        <v>495</v>
      </c>
      <c r="B69" t="s">
        <v>496</v>
      </c>
      <c r="F69" t="s">
        <v>205</v>
      </c>
      <c r="N69" t="s">
        <v>497</v>
      </c>
      <c r="U69" t="s">
        <v>404</v>
      </c>
      <c r="V69" t="s">
        <v>405</v>
      </c>
      <c r="Z69" s="14">
        <v>41466</v>
      </c>
      <c r="AA69" s="14">
        <v>41634</v>
      </c>
      <c r="AD69" s="14">
        <v>43465</v>
      </c>
      <c r="AL69" t="s">
        <v>276</v>
      </c>
      <c r="AN69">
        <v>5833956921</v>
      </c>
      <c r="AR69">
        <v>0</v>
      </c>
      <c r="AS69">
        <v>5833956921</v>
      </c>
      <c r="BA69" t="s">
        <v>123</v>
      </c>
      <c r="BB69" t="s">
        <v>124</v>
      </c>
      <c r="BC69" t="s">
        <v>125</v>
      </c>
      <c r="DF69" s="15" t="s">
        <v>9336</v>
      </c>
      <c r="DG69" t="s">
        <v>126</v>
      </c>
      <c r="DH69" t="s">
        <v>127</v>
      </c>
      <c r="DI69" t="s">
        <v>128</v>
      </c>
      <c r="DJ69" t="s">
        <v>326</v>
      </c>
      <c r="DK69">
        <v>7742900</v>
      </c>
    </row>
    <row r="70" spans="1:115" x14ac:dyDescent="0.25">
      <c r="A70" t="s">
        <v>498</v>
      </c>
      <c r="B70" t="s">
        <v>486</v>
      </c>
      <c r="F70" t="s">
        <v>142</v>
      </c>
      <c r="N70" t="s">
        <v>499</v>
      </c>
      <c r="U70" t="s">
        <v>488</v>
      </c>
      <c r="V70" t="s">
        <v>489</v>
      </c>
      <c r="Z70" s="14">
        <v>41831</v>
      </c>
      <c r="AA70" s="14">
        <v>41978</v>
      </c>
      <c r="AD70" s="14">
        <v>43100</v>
      </c>
      <c r="AL70" t="s">
        <v>276</v>
      </c>
      <c r="AN70">
        <v>4000000000</v>
      </c>
      <c r="AR70">
        <v>0</v>
      </c>
      <c r="AS70">
        <v>4000000000</v>
      </c>
      <c r="BA70" t="s">
        <v>123</v>
      </c>
      <c r="BB70" t="s">
        <v>124</v>
      </c>
      <c r="BC70" t="s">
        <v>125</v>
      </c>
      <c r="DF70" s="15" t="s">
        <v>9346</v>
      </c>
      <c r="DG70" t="s">
        <v>126</v>
      </c>
      <c r="DH70" t="s">
        <v>127</v>
      </c>
      <c r="DI70" t="s">
        <v>128</v>
      </c>
      <c r="DJ70" t="s">
        <v>326</v>
      </c>
      <c r="DK70">
        <v>5000000</v>
      </c>
    </row>
    <row r="71" spans="1:115" x14ac:dyDescent="0.25">
      <c r="A71" t="s">
        <v>500</v>
      </c>
      <c r="B71" t="s">
        <v>501</v>
      </c>
      <c r="F71" t="s">
        <v>190</v>
      </c>
      <c r="N71" t="s">
        <v>502</v>
      </c>
      <c r="U71" t="s">
        <v>503</v>
      </c>
      <c r="V71" t="s">
        <v>504</v>
      </c>
      <c r="Z71" s="14">
        <v>41648</v>
      </c>
      <c r="AA71" s="14">
        <v>41716</v>
      </c>
      <c r="AD71" s="14">
        <v>44561</v>
      </c>
      <c r="AL71" t="s">
        <v>276</v>
      </c>
      <c r="AN71">
        <v>30251000000</v>
      </c>
      <c r="AR71">
        <v>401000000</v>
      </c>
      <c r="AS71">
        <v>29850000000</v>
      </c>
      <c r="BA71" t="s">
        <v>277</v>
      </c>
      <c r="BB71" t="s">
        <v>278</v>
      </c>
      <c r="BC71" t="s">
        <v>125</v>
      </c>
      <c r="DF71" s="15" t="s">
        <v>9348</v>
      </c>
      <c r="DG71" t="s">
        <v>126</v>
      </c>
      <c r="DH71" t="s">
        <v>201</v>
      </c>
      <c r="DI71" t="s">
        <v>279</v>
      </c>
      <c r="DJ71" t="s">
        <v>366</v>
      </c>
      <c r="DK71">
        <v>40030000</v>
      </c>
    </row>
    <row r="72" spans="1:115" x14ac:dyDescent="0.25">
      <c r="A72" t="s">
        <v>505</v>
      </c>
      <c r="B72" t="s">
        <v>501</v>
      </c>
      <c r="F72" t="s">
        <v>190</v>
      </c>
      <c r="N72" t="s">
        <v>506</v>
      </c>
      <c r="U72" t="s">
        <v>503</v>
      </c>
      <c r="V72" t="s">
        <v>504</v>
      </c>
      <c r="Z72" s="14">
        <v>41716</v>
      </c>
      <c r="AA72" s="14">
        <v>41929</v>
      </c>
      <c r="AD72" s="14">
        <v>44561</v>
      </c>
      <c r="AL72" t="s">
        <v>276</v>
      </c>
      <c r="AN72">
        <v>3600000000</v>
      </c>
      <c r="AR72">
        <v>3600000000</v>
      </c>
      <c r="AS72">
        <v>0</v>
      </c>
      <c r="BA72" t="s">
        <v>423</v>
      </c>
      <c r="BB72" t="s">
        <v>424</v>
      </c>
      <c r="BC72" t="s">
        <v>125</v>
      </c>
      <c r="DF72" s="15" t="s">
        <v>9348</v>
      </c>
      <c r="DG72" t="s">
        <v>126</v>
      </c>
      <c r="DH72" t="s">
        <v>159</v>
      </c>
      <c r="DI72" t="s">
        <v>260</v>
      </c>
      <c r="DJ72" t="s">
        <v>372</v>
      </c>
      <c r="DK72">
        <v>4800000</v>
      </c>
    </row>
    <row r="73" spans="1:115" x14ac:dyDescent="0.25">
      <c r="A73" t="s">
        <v>507</v>
      </c>
      <c r="B73" t="s">
        <v>508</v>
      </c>
      <c r="F73" t="s">
        <v>216</v>
      </c>
      <c r="N73" t="s">
        <v>509</v>
      </c>
      <c r="U73" t="s">
        <v>176</v>
      </c>
      <c r="Z73" s="14">
        <v>41681</v>
      </c>
      <c r="AA73" s="14">
        <v>41992</v>
      </c>
      <c r="AD73" s="14">
        <v>43830</v>
      </c>
      <c r="AL73" t="s">
        <v>177</v>
      </c>
      <c r="AN73">
        <v>14000000000</v>
      </c>
      <c r="AR73">
        <v>0</v>
      </c>
      <c r="AS73">
        <v>14000000000</v>
      </c>
      <c r="BA73" t="s">
        <v>178</v>
      </c>
      <c r="BB73" t="s">
        <v>179</v>
      </c>
      <c r="BC73" t="s">
        <v>125</v>
      </c>
      <c r="DF73" s="15" t="s">
        <v>9308</v>
      </c>
      <c r="DG73" t="s">
        <v>126</v>
      </c>
      <c r="DH73" t="s">
        <v>127</v>
      </c>
      <c r="DI73" t="s">
        <v>150</v>
      </c>
      <c r="DJ73" t="s">
        <v>372</v>
      </c>
      <c r="DK73">
        <v>18300000</v>
      </c>
    </row>
    <row r="74" spans="1:115" x14ac:dyDescent="0.25">
      <c r="A74" t="s">
        <v>510</v>
      </c>
      <c r="B74" t="s">
        <v>511</v>
      </c>
      <c r="F74" t="s">
        <v>315</v>
      </c>
      <c r="N74" t="s">
        <v>512</v>
      </c>
      <c r="U74" t="s">
        <v>176</v>
      </c>
      <c r="Z74" s="14">
        <v>41708</v>
      </c>
      <c r="AA74" s="14">
        <v>41719</v>
      </c>
      <c r="AD74" s="14">
        <v>43434</v>
      </c>
      <c r="AL74" t="s">
        <v>122</v>
      </c>
      <c r="AN74">
        <v>21150000000</v>
      </c>
      <c r="AR74">
        <v>21150000000</v>
      </c>
      <c r="AS74">
        <v>0</v>
      </c>
      <c r="BA74" t="s">
        <v>178</v>
      </c>
      <c r="BB74" t="s">
        <v>179</v>
      </c>
      <c r="BC74" t="s">
        <v>125</v>
      </c>
      <c r="DF74" s="15" t="s">
        <v>9308</v>
      </c>
      <c r="DG74" t="s">
        <v>126</v>
      </c>
      <c r="DH74" t="s">
        <v>159</v>
      </c>
      <c r="DI74" t="s">
        <v>159</v>
      </c>
      <c r="DJ74" t="s">
        <v>372</v>
      </c>
      <c r="DK74">
        <v>42300000</v>
      </c>
    </row>
    <row r="75" spans="1:115" x14ac:dyDescent="0.25">
      <c r="A75" t="s">
        <v>513</v>
      </c>
      <c r="B75" t="s">
        <v>514</v>
      </c>
      <c r="F75" t="s">
        <v>142</v>
      </c>
      <c r="N75" t="s">
        <v>515</v>
      </c>
      <c r="U75" t="s">
        <v>399</v>
      </c>
      <c r="V75" t="s">
        <v>400</v>
      </c>
      <c r="Z75" s="14">
        <v>41722</v>
      </c>
      <c r="AA75" s="14">
        <v>41729</v>
      </c>
      <c r="AD75" s="14">
        <v>43830</v>
      </c>
      <c r="AL75" t="s">
        <v>136</v>
      </c>
      <c r="AN75">
        <v>10000000000</v>
      </c>
      <c r="AR75">
        <v>0</v>
      </c>
      <c r="AS75">
        <v>10000000000</v>
      </c>
      <c r="BA75" t="s">
        <v>137</v>
      </c>
      <c r="BB75" t="s">
        <v>138</v>
      </c>
      <c r="BC75" t="s">
        <v>125</v>
      </c>
      <c r="DF75" s="15" t="s">
        <v>9335</v>
      </c>
      <c r="DG75" t="s">
        <v>126</v>
      </c>
      <c r="DH75" t="s">
        <v>127</v>
      </c>
      <c r="DI75" t="s">
        <v>128</v>
      </c>
      <c r="DJ75" t="s">
        <v>353</v>
      </c>
      <c r="DK75">
        <v>10000000000</v>
      </c>
    </row>
    <row r="76" spans="1:115" x14ac:dyDescent="0.25">
      <c r="A76" t="s">
        <v>516</v>
      </c>
      <c r="B76" t="s">
        <v>517</v>
      </c>
      <c r="F76" t="s">
        <v>142</v>
      </c>
      <c r="N76" t="s">
        <v>518</v>
      </c>
      <c r="U76" t="s">
        <v>519</v>
      </c>
      <c r="V76" t="s">
        <v>520</v>
      </c>
      <c r="Z76" s="14">
        <v>41729</v>
      </c>
      <c r="AA76" s="14">
        <v>41989</v>
      </c>
      <c r="AD76" s="14">
        <v>44196</v>
      </c>
      <c r="AL76" t="s">
        <v>136</v>
      </c>
      <c r="AN76">
        <v>25000000000</v>
      </c>
      <c r="AR76">
        <v>0</v>
      </c>
      <c r="AS76">
        <v>25000000000</v>
      </c>
      <c r="BA76" t="s">
        <v>137</v>
      </c>
      <c r="BB76" t="s">
        <v>138</v>
      </c>
      <c r="BC76" t="s">
        <v>125</v>
      </c>
      <c r="DF76" s="15" t="s">
        <v>9349</v>
      </c>
      <c r="DG76" t="s">
        <v>126</v>
      </c>
      <c r="DH76" t="s">
        <v>127</v>
      </c>
      <c r="DI76" t="s">
        <v>128</v>
      </c>
      <c r="DJ76" t="s">
        <v>353</v>
      </c>
      <c r="DK76">
        <v>25000000000</v>
      </c>
    </row>
    <row r="77" spans="1:115" x14ac:dyDescent="0.25">
      <c r="A77" t="s">
        <v>521</v>
      </c>
      <c r="B77" t="s">
        <v>522</v>
      </c>
      <c r="F77" t="s">
        <v>282</v>
      </c>
      <c r="N77" t="s">
        <v>523</v>
      </c>
      <c r="U77" t="s">
        <v>176</v>
      </c>
      <c r="Z77" s="14">
        <v>41739</v>
      </c>
      <c r="AA77" s="14">
        <v>41936</v>
      </c>
      <c r="AD77" s="14">
        <v>43281</v>
      </c>
      <c r="AL77" t="s">
        <v>122</v>
      </c>
      <c r="AN77">
        <v>15000000000</v>
      </c>
      <c r="AR77">
        <v>0</v>
      </c>
      <c r="AS77">
        <v>15000000000</v>
      </c>
      <c r="BA77" t="s">
        <v>178</v>
      </c>
      <c r="BB77" t="s">
        <v>179</v>
      </c>
      <c r="BC77" t="s">
        <v>125</v>
      </c>
      <c r="DF77" s="15" t="s">
        <v>9308</v>
      </c>
      <c r="DG77" t="s">
        <v>126</v>
      </c>
      <c r="DH77" t="s">
        <v>127</v>
      </c>
      <c r="DI77" t="s">
        <v>150</v>
      </c>
      <c r="DJ77" t="s">
        <v>372</v>
      </c>
      <c r="DK77">
        <v>30000000</v>
      </c>
    </row>
    <row r="78" spans="1:115" x14ac:dyDescent="0.25">
      <c r="A78" t="s">
        <v>524</v>
      </c>
      <c r="B78" t="s">
        <v>525</v>
      </c>
      <c r="F78" t="s">
        <v>526</v>
      </c>
      <c r="N78" t="s">
        <v>527</v>
      </c>
      <c r="U78" t="s">
        <v>176</v>
      </c>
      <c r="Z78" s="14">
        <v>41709</v>
      </c>
      <c r="AA78" s="14">
        <v>41739</v>
      </c>
      <c r="AD78" s="14">
        <v>44012</v>
      </c>
      <c r="AL78" t="s">
        <v>122</v>
      </c>
      <c r="AN78">
        <v>17500000000</v>
      </c>
      <c r="AR78">
        <v>0</v>
      </c>
      <c r="AS78">
        <v>17500000000</v>
      </c>
      <c r="BA78" t="s">
        <v>178</v>
      </c>
      <c r="BB78" t="s">
        <v>179</v>
      </c>
      <c r="BC78" t="s">
        <v>125</v>
      </c>
      <c r="DF78" s="15" t="s">
        <v>9308</v>
      </c>
      <c r="DG78" t="s">
        <v>126</v>
      </c>
      <c r="DH78" t="s">
        <v>127</v>
      </c>
      <c r="DI78" t="s">
        <v>150</v>
      </c>
      <c r="DJ78" t="s">
        <v>372</v>
      </c>
      <c r="DK78">
        <v>35000000</v>
      </c>
    </row>
    <row r="79" spans="1:115" x14ac:dyDescent="0.25">
      <c r="A79" t="s">
        <v>528</v>
      </c>
      <c r="B79" t="s">
        <v>529</v>
      </c>
      <c r="F79" t="s">
        <v>163</v>
      </c>
      <c r="N79" t="s">
        <v>530</v>
      </c>
      <c r="U79" t="s">
        <v>176</v>
      </c>
      <c r="Z79" s="14">
        <v>41739</v>
      </c>
      <c r="AA79" s="14">
        <v>41956</v>
      </c>
      <c r="AD79" s="14">
        <v>42369</v>
      </c>
      <c r="AL79" t="s">
        <v>122</v>
      </c>
      <c r="AN79">
        <v>10000000000</v>
      </c>
      <c r="AR79">
        <v>0</v>
      </c>
      <c r="AS79">
        <v>10000000000</v>
      </c>
      <c r="BA79" t="s">
        <v>178</v>
      </c>
      <c r="BB79" t="s">
        <v>179</v>
      </c>
      <c r="BC79" t="s">
        <v>125</v>
      </c>
      <c r="DF79" s="15" t="s">
        <v>9308</v>
      </c>
      <c r="DG79" t="s">
        <v>126</v>
      </c>
      <c r="DH79" t="s">
        <v>127</v>
      </c>
      <c r="DI79" t="s">
        <v>150</v>
      </c>
      <c r="DJ79" t="s">
        <v>372</v>
      </c>
      <c r="DK79">
        <v>20000000</v>
      </c>
    </row>
    <row r="80" spans="1:115" x14ac:dyDescent="0.25">
      <c r="A80" t="s">
        <v>531</v>
      </c>
      <c r="B80" t="s">
        <v>532</v>
      </c>
      <c r="F80" t="s">
        <v>315</v>
      </c>
      <c r="N80" t="s">
        <v>533</v>
      </c>
      <c r="U80" t="s">
        <v>302</v>
      </c>
      <c r="V80" t="s">
        <v>534</v>
      </c>
      <c r="Z80" s="14">
        <v>41751</v>
      </c>
      <c r="AA80" s="14">
        <v>41773</v>
      </c>
      <c r="AD80" s="14">
        <v>43830</v>
      </c>
      <c r="AL80" t="s">
        <v>122</v>
      </c>
      <c r="AN80">
        <v>4000000000</v>
      </c>
      <c r="AR80">
        <v>0</v>
      </c>
      <c r="AS80">
        <v>4000000000</v>
      </c>
      <c r="BA80" t="s">
        <v>305</v>
      </c>
      <c r="BB80" t="s">
        <v>306</v>
      </c>
      <c r="BC80" t="s">
        <v>125</v>
      </c>
      <c r="DF80" s="15" t="s">
        <v>9350</v>
      </c>
      <c r="DG80" t="s">
        <v>126</v>
      </c>
      <c r="DH80" t="s">
        <v>127</v>
      </c>
      <c r="DI80" t="s">
        <v>150</v>
      </c>
      <c r="DJ80" t="s">
        <v>366</v>
      </c>
      <c r="DK80">
        <v>8000000</v>
      </c>
    </row>
    <row r="81" spans="1:115" x14ac:dyDescent="0.25">
      <c r="A81" t="s">
        <v>535</v>
      </c>
      <c r="B81" t="s">
        <v>536</v>
      </c>
      <c r="F81" t="s">
        <v>526</v>
      </c>
      <c r="N81" t="s">
        <v>537</v>
      </c>
      <c r="U81" t="s">
        <v>176</v>
      </c>
      <c r="Z81" s="14">
        <v>41765</v>
      </c>
      <c r="AA81" s="14">
        <v>41814</v>
      </c>
      <c r="AD81" s="14">
        <v>43830</v>
      </c>
      <c r="AL81" t="s">
        <v>122</v>
      </c>
      <c r="AN81">
        <v>2623828000</v>
      </c>
      <c r="AR81">
        <v>2623828000</v>
      </c>
      <c r="AS81">
        <v>0</v>
      </c>
      <c r="BA81" t="s">
        <v>337</v>
      </c>
      <c r="BB81" t="s">
        <v>338</v>
      </c>
      <c r="BC81" t="s">
        <v>242</v>
      </c>
      <c r="DF81" s="15" t="s">
        <v>9308</v>
      </c>
      <c r="DG81" t="s">
        <v>317</v>
      </c>
      <c r="DH81" t="s">
        <v>159</v>
      </c>
      <c r="DI81" t="s">
        <v>159</v>
      </c>
      <c r="DJ81" t="s">
        <v>326</v>
      </c>
      <c r="DK81">
        <v>4000000</v>
      </c>
    </row>
    <row r="82" spans="1:115" x14ac:dyDescent="0.25">
      <c r="A82" t="s">
        <v>538</v>
      </c>
      <c r="B82" t="s">
        <v>539</v>
      </c>
      <c r="F82" t="s">
        <v>216</v>
      </c>
      <c r="N82" t="s">
        <v>540</v>
      </c>
      <c r="U82" t="s">
        <v>541</v>
      </c>
      <c r="Z82" s="14">
        <v>41713</v>
      </c>
      <c r="AA82" s="14">
        <v>41768</v>
      </c>
      <c r="AD82" s="14">
        <v>43465</v>
      </c>
      <c r="AL82" t="s">
        <v>167</v>
      </c>
      <c r="AN82">
        <v>3675000000</v>
      </c>
      <c r="AR82">
        <v>0</v>
      </c>
      <c r="AS82">
        <v>3675000000</v>
      </c>
      <c r="BA82" t="s">
        <v>168</v>
      </c>
      <c r="BB82" t="s">
        <v>169</v>
      </c>
      <c r="BC82" t="s">
        <v>125</v>
      </c>
      <c r="DF82" s="15" t="s">
        <v>9351</v>
      </c>
      <c r="DG82" t="s">
        <v>126</v>
      </c>
      <c r="DH82" t="s">
        <v>127</v>
      </c>
      <c r="DI82" t="s">
        <v>150</v>
      </c>
      <c r="DJ82" t="s">
        <v>366</v>
      </c>
      <c r="DK82">
        <v>4830000</v>
      </c>
    </row>
    <row r="83" spans="1:115" x14ac:dyDescent="0.25">
      <c r="A83" t="s">
        <v>542</v>
      </c>
      <c r="B83" t="s">
        <v>543</v>
      </c>
      <c r="F83" t="s">
        <v>315</v>
      </c>
      <c r="N83" t="s">
        <v>544</v>
      </c>
      <c r="U83" t="s">
        <v>185</v>
      </c>
      <c r="V83" t="s">
        <v>224</v>
      </c>
      <c r="Z83" s="14">
        <v>41744</v>
      </c>
      <c r="AA83" s="14">
        <v>41779</v>
      </c>
      <c r="AD83" s="14">
        <v>43830</v>
      </c>
      <c r="AL83" t="s">
        <v>122</v>
      </c>
      <c r="AN83">
        <v>4000000000</v>
      </c>
      <c r="AR83">
        <v>0</v>
      </c>
      <c r="AS83">
        <v>4000000000</v>
      </c>
      <c r="BA83" t="s">
        <v>178</v>
      </c>
      <c r="BB83" t="s">
        <v>179</v>
      </c>
      <c r="BC83" t="s">
        <v>125</v>
      </c>
      <c r="DF83" s="15" t="s">
        <v>9334</v>
      </c>
      <c r="DG83" t="s">
        <v>126</v>
      </c>
      <c r="DH83" t="s">
        <v>127</v>
      </c>
      <c r="DI83" t="s">
        <v>150</v>
      </c>
      <c r="DJ83" t="s">
        <v>372</v>
      </c>
      <c r="DK83">
        <v>8000000</v>
      </c>
    </row>
    <row r="84" spans="1:115" x14ac:dyDescent="0.25">
      <c r="A84" t="s">
        <v>545</v>
      </c>
      <c r="B84" t="s">
        <v>546</v>
      </c>
      <c r="F84" t="s">
        <v>205</v>
      </c>
      <c r="N84" t="s">
        <v>547</v>
      </c>
      <c r="U84" t="s">
        <v>218</v>
      </c>
      <c r="V84" t="s">
        <v>219</v>
      </c>
      <c r="W84" t="s">
        <v>220</v>
      </c>
      <c r="Z84" s="14">
        <v>41739</v>
      </c>
      <c r="AA84" s="14">
        <v>41795</v>
      </c>
      <c r="AD84" s="14">
        <v>42735</v>
      </c>
      <c r="AL84" t="s">
        <v>122</v>
      </c>
      <c r="AN84">
        <v>4000000000</v>
      </c>
      <c r="AR84">
        <v>0</v>
      </c>
      <c r="AS84">
        <v>4000000000</v>
      </c>
      <c r="BA84" t="s">
        <v>178</v>
      </c>
      <c r="BB84" t="s">
        <v>179</v>
      </c>
      <c r="BC84" t="s">
        <v>125</v>
      </c>
      <c r="DF84" s="15" t="s">
        <v>9313</v>
      </c>
      <c r="DG84" t="s">
        <v>126</v>
      </c>
      <c r="DH84" t="s">
        <v>127</v>
      </c>
      <c r="DI84" t="s">
        <v>150</v>
      </c>
      <c r="DJ84" t="s">
        <v>326</v>
      </c>
      <c r="DK84">
        <v>9000000</v>
      </c>
    </row>
    <row r="85" spans="1:115" x14ac:dyDescent="0.25">
      <c r="A85" t="s">
        <v>548</v>
      </c>
      <c r="B85" t="s">
        <v>549</v>
      </c>
      <c r="F85" t="s">
        <v>315</v>
      </c>
      <c r="N85" t="s">
        <v>550</v>
      </c>
      <c r="U85" t="s">
        <v>176</v>
      </c>
      <c r="Z85" s="14">
        <v>41800</v>
      </c>
      <c r="AA85" s="14">
        <v>41802</v>
      </c>
      <c r="AD85" s="14">
        <v>44012</v>
      </c>
      <c r="AL85" t="s">
        <v>551</v>
      </c>
      <c r="AN85">
        <v>6080000000</v>
      </c>
      <c r="AR85">
        <v>0</v>
      </c>
      <c r="AS85">
        <v>6080000000</v>
      </c>
      <c r="BA85" t="s">
        <v>168</v>
      </c>
      <c r="BB85" t="s">
        <v>169</v>
      </c>
      <c r="BC85" t="s">
        <v>125</v>
      </c>
      <c r="DF85" s="15" t="s">
        <v>9308</v>
      </c>
      <c r="DG85" t="s">
        <v>126</v>
      </c>
      <c r="DH85" t="s">
        <v>127</v>
      </c>
      <c r="DI85" t="s">
        <v>552</v>
      </c>
      <c r="DJ85" t="s">
        <v>366</v>
      </c>
      <c r="DK85">
        <v>9670000</v>
      </c>
    </row>
    <row r="86" spans="1:115" x14ac:dyDescent="0.25">
      <c r="A86" t="s">
        <v>553</v>
      </c>
      <c r="B86" t="s">
        <v>554</v>
      </c>
      <c r="F86" t="s">
        <v>263</v>
      </c>
      <c r="I86" t="s">
        <v>555</v>
      </c>
      <c r="N86" t="s">
        <v>556</v>
      </c>
      <c r="U86" t="s">
        <v>376</v>
      </c>
      <c r="Z86" s="14">
        <v>41690</v>
      </c>
      <c r="AA86" s="14">
        <v>41816</v>
      </c>
      <c r="AD86" s="14">
        <v>43465</v>
      </c>
      <c r="AL86" t="s">
        <v>122</v>
      </c>
      <c r="AN86">
        <v>6250000000</v>
      </c>
      <c r="AR86">
        <v>0</v>
      </c>
      <c r="AS86">
        <v>6250000000</v>
      </c>
      <c r="AY86" t="s">
        <v>557</v>
      </c>
      <c r="AZ86" t="s">
        <v>558</v>
      </c>
      <c r="BA86" t="s">
        <v>168</v>
      </c>
      <c r="BB86" t="s">
        <v>169</v>
      </c>
      <c r="BC86" t="s">
        <v>125</v>
      </c>
      <c r="BK86" t="s">
        <v>559</v>
      </c>
      <c r="BM86" t="s">
        <v>560</v>
      </c>
      <c r="BN86" t="s">
        <v>561</v>
      </c>
      <c r="BO86" t="s">
        <v>562</v>
      </c>
      <c r="BP86">
        <v>6.1</v>
      </c>
      <c r="BQ86" t="s">
        <v>563</v>
      </c>
      <c r="DF86" s="15" t="s">
        <v>9332</v>
      </c>
      <c r="DG86" t="s">
        <v>126</v>
      </c>
      <c r="DH86" t="s">
        <v>127</v>
      </c>
      <c r="DI86" t="s">
        <v>552</v>
      </c>
      <c r="DJ86" t="s">
        <v>366</v>
      </c>
      <c r="DK86">
        <v>12500000</v>
      </c>
    </row>
    <row r="87" spans="1:115" x14ac:dyDescent="0.25">
      <c r="A87" t="s">
        <v>564</v>
      </c>
      <c r="B87" t="s">
        <v>565</v>
      </c>
      <c r="F87" t="s">
        <v>263</v>
      </c>
      <c r="N87" t="s">
        <v>566</v>
      </c>
      <c r="U87" t="s">
        <v>176</v>
      </c>
      <c r="Z87" s="14">
        <v>41774</v>
      </c>
      <c r="AA87" s="14">
        <v>41815</v>
      </c>
      <c r="AD87" s="14">
        <v>43465</v>
      </c>
      <c r="AL87" t="s">
        <v>136</v>
      </c>
      <c r="AN87">
        <v>1124584425</v>
      </c>
      <c r="AR87">
        <v>1124584425</v>
      </c>
      <c r="AS87">
        <v>0</v>
      </c>
      <c r="BA87" t="s">
        <v>567</v>
      </c>
      <c r="BB87" t="s">
        <v>568</v>
      </c>
      <c r="BC87" t="s">
        <v>125</v>
      </c>
      <c r="DF87" s="15" t="s">
        <v>9308</v>
      </c>
      <c r="DG87" t="s">
        <v>126</v>
      </c>
      <c r="DH87" t="s">
        <v>159</v>
      </c>
      <c r="DI87" t="s">
        <v>159</v>
      </c>
      <c r="DJ87" t="s">
        <v>366</v>
      </c>
      <c r="DK87">
        <v>1124584425</v>
      </c>
    </row>
    <row r="88" spans="1:115" x14ac:dyDescent="0.25">
      <c r="A88" t="s">
        <v>569</v>
      </c>
      <c r="B88" t="s">
        <v>570</v>
      </c>
      <c r="F88" t="s">
        <v>526</v>
      </c>
      <c r="N88" t="s">
        <v>571</v>
      </c>
      <c r="U88" t="s">
        <v>176</v>
      </c>
      <c r="Z88" s="14">
        <v>41856</v>
      </c>
      <c r="AA88" s="14">
        <v>41922</v>
      </c>
      <c r="AD88" s="14">
        <v>43465</v>
      </c>
      <c r="AL88" t="s">
        <v>122</v>
      </c>
      <c r="AN88">
        <v>682195280</v>
      </c>
      <c r="AR88">
        <v>682195280</v>
      </c>
      <c r="AS88">
        <v>0</v>
      </c>
      <c r="BA88" t="s">
        <v>337</v>
      </c>
      <c r="BB88" t="s">
        <v>338</v>
      </c>
      <c r="BC88" t="s">
        <v>242</v>
      </c>
      <c r="DF88" s="15" t="s">
        <v>9308</v>
      </c>
      <c r="DG88" t="s">
        <v>126</v>
      </c>
      <c r="DH88" t="s">
        <v>159</v>
      </c>
      <c r="DI88" t="s">
        <v>159</v>
      </c>
      <c r="DJ88" t="s">
        <v>326</v>
      </c>
      <c r="DK88">
        <v>1040090.37963104</v>
      </c>
    </row>
    <row r="89" spans="1:115" x14ac:dyDescent="0.25">
      <c r="A89" t="s">
        <v>572</v>
      </c>
      <c r="B89" t="s">
        <v>570</v>
      </c>
      <c r="F89" t="s">
        <v>526</v>
      </c>
      <c r="N89" t="s">
        <v>573</v>
      </c>
      <c r="U89" t="s">
        <v>176</v>
      </c>
      <c r="Z89" s="14">
        <v>41856</v>
      </c>
      <c r="AA89" s="14">
        <v>41922</v>
      </c>
      <c r="AD89" s="14">
        <v>43465</v>
      </c>
      <c r="AL89" t="s">
        <v>122</v>
      </c>
      <c r="AN89">
        <v>5885221934</v>
      </c>
      <c r="AR89">
        <v>5885221934</v>
      </c>
      <c r="AS89">
        <v>0</v>
      </c>
      <c r="BA89" t="s">
        <v>574</v>
      </c>
      <c r="BB89" t="s">
        <v>575</v>
      </c>
      <c r="BC89" t="s">
        <v>125</v>
      </c>
      <c r="DF89" s="15" t="s">
        <v>9308</v>
      </c>
      <c r="DG89" t="s">
        <v>126</v>
      </c>
      <c r="DH89" t="s">
        <v>159</v>
      </c>
      <c r="DI89" t="s">
        <v>159</v>
      </c>
      <c r="DJ89" t="s">
        <v>326</v>
      </c>
      <c r="DK89">
        <v>8972742.6955328602</v>
      </c>
    </row>
    <row r="90" spans="1:115" x14ac:dyDescent="0.25">
      <c r="A90" t="s">
        <v>576</v>
      </c>
      <c r="B90" t="s">
        <v>577</v>
      </c>
      <c r="F90" t="s">
        <v>142</v>
      </c>
      <c r="N90" t="s">
        <v>578</v>
      </c>
      <c r="U90" t="s">
        <v>579</v>
      </c>
      <c r="V90" t="s">
        <v>580</v>
      </c>
      <c r="Z90" s="14">
        <v>41801</v>
      </c>
      <c r="AA90" s="14">
        <v>41878</v>
      </c>
      <c r="AD90" s="14">
        <v>43100</v>
      </c>
      <c r="AL90" t="s">
        <v>136</v>
      </c>
      <c r="AN90">
        <v>9000000000</v>
      </c>
      <c r="AR90">
        <v>0</v>
      </c>
      <c r="AS90">
        <v>9000000000</v>
      </c>
      <c r="BA90" t="s">
        <v>581</v>
      </c>
      <c r="BB90" t="s">
        <v>582</v>
      </c>
      <c r="BC90" t="s">
        <v>442</v>
      </c>
      <c r="DF90" s="15" t="s">
        <v>9352</v>
      </c>
      <c r="DG90" t="s">
        <v>126</v>
      </c>
      <c r="DH90" t="s">
        <v>127</v>
      </c>
      <c r="DI90" t="s">
        <v>443</v>
      </c>
      <c r="DJ90" t="s">
        <v>366</v>
      </c>
      <c r="DK90">
        <v>9000000000</v>
      </c>
    </row>
    <row r="91" spans="1:115" x14ac:dyDescent="0.25">
      <c r="A91" t="s">
        <v>583</v>
      </c>
      <c r="B91" t="s">
        <v>577</v>
      </c>
      <c r="F91" t="s">
        <v>142</v>
      </c>
      <c r="N91" t="s">
        <v>584</v>
      </c>
      <c r="U91" t="s">
        <v>579</v>
      </c>
      <c r="V91" t="s">
        <v>580</v>
      </c>
      <c r="Z91" s="14">
        <v>41801</v>
      </c>
      <c r="AA91" s="14">
        <v>41877</v>
      </c>
      <c r="AD91" s="14">
        <v>43100</v>
      </c>
      <c r="AL91" t="s">
        <v>136</v>
      </c>
      <c r="AN91">
        <v>2000000000</v>
      </c>
      <c r="AR91">
        <v>0</v>
      </c>
      <c r="AS91">
        <v>2000000000</v>
      </c>
      <c r="BA91" t="s">
        <v>441</v>
      </c>
      <c r="BB91" t="s">
        <v>441</v>
      </c>
      <c r="BC91" t="s">
        <v>442</v>
      </c>
      <c r="DF91" s="15" t="s">
        <v>9352</v>
      </c>
      <c r="DG91" t="s">
        <v>126</v>
      </c>
      <c r="DH91" t="s">
        <v>127</v>
      </c>
      <c r="DI91" t="s">
        <v>443</v>
      </c>
      <c r="DJ91" t="s">
        <v>366</v>
      </c>
      <c r="DK91">
        <v>2000000000</v>
      </c>
    </row>
    <row r="92" spans="1:115" x14ac:dyDescent="0.25">
      <c r="A92" t="s">
        <v>585</v>
      </c>
      <c r="B92" t="s">
        <v>586</v>
      </c>
      <c r="F92" t="s">
        <v>190</v>
      </c>
      <c r="N92" t="s">
        <v>587</v>
      </c>
      <c r="U92" t="s">
        <v>588</v>
      </c>
      <c r="Z92" s="14">
        <v>41722</v>
      </c>
      <c r="AA92" s="14">
        <v>41909</v>
      </c>
      <c r="AD92" s="14">
        <v>43465</v>
      </c>
      <c r="AL92" t="s">
        <v>136</v>
      </c>
      <c r="AN92">
        <v>1089000000</v>
      </c>
      <c r="AR92">
        <v>0</v>
      </c>
      <c r="AS92">
        <v>1089000000</v>
      </c>
      <c r="BA92" t="s">
        <v>137</v>
      </c>
      <c r="BB92" t="s">
        <v>138</v>
      </c>
      <c r="BC92" t="s">
        <v>125</v>
      </c>
      <c r="DF92" s="15" t="s">
        <v>9353</v>
      </c>
      <c r="DG92" t="s">
        <v>126</v>
      </c>
      <c r="DH92" t="s">
        <v>127</v>
      </c>
      <c r="DI92" t="s">
        <v>128</v>
      </c>
      <c r="DJ92" t="s">
        <v>589</v>
      </c>
      <c r="DK92">
        <v>1089000000</v>
      </c>
    </row>
    <row r="93" spans="1:115" x14ac:dyDescent="0.25">
      <c r="A93" t="s">
        <v>590</v>
      </c>
      <c r="B93" t="s">
        <v>591</v>
      </c>
      <c r="F93" t="s">
        <v>205</v>
      </c>
      <c r="N93" t="s">
        <v>592</v>
      </c>
      <c r="U93" t="s">
        <v>593</v>
      </c>
      <c r="V93" t="s">
        <v>594</v>
      </c>
      <c r="W93" t="s">
        <v>595</v>
      </c>
      <c r="Z93" s="14">
        <v>41722</v>
      </c>
      <c r="AA93" s="14">
        <v>41909</v>
      </c>
      <c r="AD93" s="14">
        <v>43830</v>
      </c>
      <c r="AL93" t="s">
        <v>136</v>
      </c>
      <c r="AN93">
        <v>20000000000</v>
      </c>
      <c r="AR93">
        <v>0</v>
      </c>
      <c r="AS93">
        <v>20000000000</v>
      </c>
      <c r="BA93" t="s">
        <v>137</v>
      </c>
      <c r="BB93" t="s">
        <v>138</v>
      </c>
      <c r="BC93" t="s">
        <v>125</v>
      </c>
      <c r="DF93" s="15" t="s">
        <v>9354</v>
      </c>
      <c r="DG93" t="s">
        <v>126</v>
      </c>
      <c r="DH93" t="s">
        <v>127</v>
      </c>
      <c r="DI93" t="s">
        <v>128</v>
      </c>
      <c r="DJ93" t="s">
        <v>353</v>
      </c>
      <c r="DK93">
        <v>20000000000</v>
      </c>
    </row>
    <row r="94" spans="1:115" x14ac:dyDescent="0.25">
      <c r="A94" t="s">
        <v>596</v>
      </c>
      <c r="B94" t="s">
        <v>597</v>
      </c>
      <c r="F94" t="s">
        <v>205</v>
      </c>
      <c r="N94" t="s">
        <v>598</v>
      </c>
      <c r="U94" t="s">
        <v>599</v>
      </c>
      <c r="V94" t="s">
        <v>600</v>
      </c>
      <c r="W94" t="s">
        <v>601</v>
      </c>
      <c r="Z94" s="14">
        <v>41773</v>
      </c>
      <c r="AA94" s="14">
        <v>41911</v>
      </c>
      <c r="AD94" s="14">
        <v>42369</v>
      </c>
      <c r="AL94" t="s">
        <v>122</v>
      </c>
      <c r="AN94">
        <v>225000000</v>
      </c>
      <c r="AR94">
        <v>0</v>
      </c>
      <c r="AS94">
        <v>225000000</v>
      </c>
      <c r="BA94" t="s">
        <v>305</v>
      </c>
      <c r="BB94" t="s">
        <v>306</v>
      </c>
      <c r="BC94" t="s">
        <v>125</v>
      </c>
      <c r="DF94" s="15" t="s">
        <v>9355</v>
      </c>
      <c r="DG94" t="s">
        <v>126</v>
      </c>
      <c r="DH94" t="s">
        <v>127</v>
      </c>
      <c r="DI94" t="s">
        <v>150</v>
      </c>
      <c r="DJ94" t="s">
        <v>366</v>
      </c>
      <c r="DK94">
        <v>450000</v>
      </c>
    </row>
    <row r="95" spans="1:115" x14ac:dyDescent="0.25">
      <c r="A95" t="s">
        <v>602</v>
      </c>
      <c r="B95" t="s">
        <v>603</v>
      </c>
      <c r="F95" t="s">
        <v>205</v>
      </c>
      <c r="N95" t="s">
        <v>604</v>
      </c>
      <c r="U95" t="s">
        <v>605</v>
      </c>
      <c r="V95" t="s">
        <v>606</v>
      </c>
      <c r="Z95" s="14">
        <v>41922</v>
      </c>
      <c r="AA95" s="14">
        <v>41963</v>
      </c>
      <c r="AD95" s="14">
        <v>43830</v>
      </c>
      <c r="AL95" t="s">
        <v>122</v>
      </c>
      <c r="AN95">
        <v>1000000000</v>
      </c>
      <c r="AR95">
        <v>0</v>
      </c>
      <c r="AS95">
        <v>1000000000</v>
      </c>
      <c r="BA95" t="s">
        <v>305</v>
      </c>
      <c r="BB95" t="s">
        <v>306</v>
      </c>
      <c r="BC95" t="s">
        <v>125</v>
      </c>
      <c r="DF95" s="15" t="s">
        <v>9356</v>
      </c>
      <c r="DG95" t="s">
        <v>126</v>
      </c>
      <c r="DH95" t="s">
        <v>127</v>
      </c>
      <c r="DI95" t="s">
        <v>150</v>
      </c>
      <c r="DJ95" t="s">
        <v>366</v>
      </c>
      <c r="DK95">
        <v>2000000</v>
      </c>
    </row>
    <row r="96" spans="1:115" x14ac:dyDescent="0.25">
      <c r="A96" t="s">
        <v>607</v>
      </c>
      <c r="B96" t="s">
        <v>603</v>
      </c>
      <c r="F96" t="s">
        <v>205</v>
      </c>
      <c r="N96" t="s">
        <v>608</v>
      </c>
      <c r="U96" t="s">
        <v>605</v>
      </c>
      <c r="V96" t="s">
        <v>606</v>
      </c>
      <c r="Z96" s="14">
        <v>41922</v>
      </c>
      <c r="AA96" s="14">
        <v>41963</v>
      </c>
      <c r="AD96" s="14">
        <v>43830</v>
      </c>
      <c r="AL96" t="s">
        <v>609</v>
      </c>
      <c r="AN96">
        <v>5000000000</v>
      </c>
      <c r="AR96">
        <v>0</v>
      </c>
      <c r="AS96">
        <v>5000000000</v>
      </c>
      <c r="BA96" t="s">
        <v>240</v>
      </c>
      <c r="BB96" t="s">
        <v>241</v>
      </c>
      <c r="BC96" t="s">
        <v>242</v>
      </c>
      <c r="DF96" s="15" t="s">
        <v>9356</v>
      </c>
      <c r="DG96" t="s">
        <v>126</v>
      </c>
      <c r="DH96" t="s">
        <v>127</v>
      </c>
      <c r="DI96" t="s">
        <v>150</v>
      </c>
      <c r="DJ96" t="s">
        <v>366</v>
      </c>
      <c r="DK96">
        <v>3000000</v>
      </c>
    </row>
    <row r="97" spans="1:115" x14ac:dyDescent="0.25">
      <c r="A97" t="s">
        <v>610</v>
      </c>
      <c r="B97" t="s">
        <v>603</v>
      </c>
      <c r="F97" t="s">
        <v>205</v>
      </c>
      <c r="N97" t="s">
        <v>611</v>
      </c>
      <c r="U97" t="s">
        <v>605</v>
      </c>
      <c r="V97" t="s">
        <v>606</v>
      </c>
      <c r="Z97" s="14">
        <v>41922</v>
      </c>
      <c r="AA97" s="14">
        <v>41963</v>
      </c>
      <c r="AD97" s="14">
        <v>43830</v>
      </c>
      <c r="AL97" t="s">
        <v>122</v>
      </c>
      <c r="AN97">
        <v>1500000000</v>
      </c>
      <c r="AR97">
        <v>0</v>
      </c>
      <c r="AS97">
        <v>1500000000</v>
      </c>
      <c r="BA97" t="s">
        <v>612</v>
      </c>
      <c r="BB97" t="s">
        <v>149</v>
      </c>
      <c r="BC97" t="s">
        <v>125</v>
      </c>
      <c r="DF97" s="15" t="s">
        <v>9356</v>
      </c>
      <c r="DG97" t="s">
        <v>126</v>
      </c>
      <c r="DH97" t="s">
        <v>127</v>
      </c>
      <c r="DI97" t="s">
        <v>150</v>
      </c>
      <c r="DJ97" t="s">
        <v>366</v>
      </c>
      <c r="DK97">
        <v>3000000</v>
      </c>
    </row>
    <row r="98" spans="1:115" x14ac:dyDescent="0.25">
      <c r="A98" t="s">
        <v>613</v>
      </c>
      <c r="B98" t="s">
        <v>614</v>
      </c>
      <c r="F98" t="s">
        <v>142</v>
      </c>
      <c r="N98" t="s">
        <v>615</v>
      </c>
      <c r="U98" t="s">
        <v>399</v>
      </c>
      <c r="V98" t="s">
        <v>400</v>
      </c>
      <c r="Z98" s="14">
        <v>41929</v>
      </c>
      <c r="AA98" s="14">
        <v>41991</v>
      </c>
      <c r="AD98" s="14">
        <v>44561</v>
      </c>
      <c r="AL98" t="s">
        <v>276</v>
      </c>
      <c r="AN98">
        <v>17468176600</v>
      </c>
      <c r="AR98">
        <v>0</v>
      </c>
      <c r="AS98">
        <v>17468176600</v>
      </c>
      <c r="BA98" t="s">
        <v>277</v>
      </c>
      <c r="BB98" t="s">
        <v>278</v>
      </c>
      <c r="BC98" t="s">
        <v>125</v>
      </c>
      <c r="DF98" s="15" t="s">
        <v>9335</v>
      </c>
      <c r="DG98" t="s">
        <v>126</v>
      </c>
      <c r="DH98" t="s">
        <v>127</v>
      </c>
      <c r="DI98" t="s">
        <v>150</v>
      </c>
      <c r="DJ98" t="s">
        <v>366</v>
      </c>
      <c r="DK98">
        <v>23800000</v>
      </c>
    </row>
    <row r="99" spans="1:115" x14ac:dyDescent="0.25">
      <c r="A99" t="s">
        <v>616</v>
      </c>
      <c r="B99" t="s">
        <v>614</v>
      </c>
      <c r="F99" t="s">
        <v>142</v>
      </c>
      <c r="N99" t="s">
        <v>617</v>
      </c>
      <c r="U99" t="s">
        <v>399</v>
      </c>
      <c r="V99" t="s">
        <v>400</v>
      </c>
      <c r="Z99" s="14">
        <v>41929</v>
      </c>
      <c r="AA99" s="14">
        <v>41991</v>
      </c>
      <c r="AD99" s="14">
        <v>44561</v>
      </c>
      <c r="AL99" t="s">
        <v>122</v>
      </c>
      <c r="AN99">
        <v>930787000</v>
      </c>
      <c r="AR99">
        <v>930787000</v>
      </c>
      <c r="AS99">
        <v>0</v>
      </c>
      <c r="BA99" t="s">
        <v>618</v>
      </c>
      <c r="BB99" t="s">
        <v>619</v>
      </c>
      <c r="BC99" t="s">
        <v>125</v>
      </c>
      <c r="DF99" s="15" t="s">
        <v>9335</v>
      </c>
      <c r="DG99" t="s">
        <v>126</v>
      </c>
      <c r="DH99" t="s">
        <v>159</v>
      </c>
      <c r="DI99" t="s">
        <v>260</v>
      </c>
      <c r="DJ99" t="s">
        <v>366</v>
      </c>
      <c r="DK99">
        <v>1861574</v>
      </c>
    </row>
    <row r="100" spans="1:115" x14ac:dyDescent="0.25">
      <c r="A100" t="s">
        <v>620</v>
      </c>
      <c r="B100" t="s">
        <v>621</v>
      </c>
      <c r="F100" t="s">
        <v>526</v>
      </c>
      <c r="N100" t="s">
        <v>622</v>
      </c>
      <c r="U100" t="s">
        <v>144</v>
      </c>
      <c r="V100" t="s">
        <v>623</v>
      </c>
      <c r="Z100" s="14">
        <v>41922</v>
      </c>
      <c r="AA100" s="14">
        <v>41929</v>
      </c>
      <c r="AD100" s="14">
        <v>42369</v>
      </c>
      <c r="AL100" t="s">
        <v>624</v>
      </c>
      <c r="AN100">
        <v>400000000</v>
      </c>
      <c r="AR100">
        <v>400000000</v>
      </c>
      <c r="AS100">
        <v>0</v>
      </c>
      <c r="BA100" t="s">
        <v>277</v>
      </c>
      <c r="BB100" t="s">
        <v>278</v>
      </c>
      <c r="BC100" t="s">
        <v>125</v>
      </c>
      <c r="DF100" s="15" t="s">
        <v>9357</v>
      </c>
      <c r="DG100" t="s">
        <v>625</v>
      </c>
      <c r="DH100" t="s">
        <v>159</v>
      </c>
      <c r="DI100" t="s">
        <v>159</v>
      </c>
      <c r="DJ100" t="s">
        <v>326</v>
      </c>
      <c r="DK100">
        <v>609849.06235706701</v>
      </c>
    </row>
    <row r="101" spans="1:115" x14ac:dyDescent="0.25">
      <c r="A101" t="s">
        <v>626</v>
      </c>
      <c r="B101" t="s">
        <v>627</v>
      </c>
      <c r="F101" t="s">
        <v>163</v>
      </c>
      <c r="N101" t="s">
        <v>628</v>
      </c>
      <c r="U101" t="s">
        <v>176</v>
      </c>
      <c r="Z101" s="14">
        <v>41654</v>
      </c>
      <c r="AA101" s="14">
        <v>41958</v>
      </c>
      <c r="AD101" s="14">
        <v>42004</v>
      </c>
      <c r="AL101" t="s">
        <v>122</v>
      </c>
      <c r="AN101">
        <v>243766000</v>
      </c>
      <c r="AR101">
        <v>243766000</v>
      </c>
      <c r="AS101">
        <v>0</v>
      </c>
      <c r="BA101" t="s">
        <v>484</v>
      </c>
      <c r="BB101" t="s">
        <v>484</v>
      </c>
      <c r="BC101" t="s">
        <v>242</v>
      </c>
      <c r="DF101" s="15" t="s">
        <v>9308</v>
      </c>
      <c r="DG101" t="s">
        <v>126</v>
      </c>
      <c r="DH101" t="s">
        <v>159</v>
      </c>
      <c r="DI101" t="s">
        <v>159</v>
      </c>
      <c r="DJ101" t="s">
        <v>326</v>
      </c>
      <c r="DK101">
        <v>371651.16633633198</v>
      </c>
    </row>
    <row r="102" spans="1:115" x14ac:dyDescent="0.25">
      <c r="A102" t="s">
        <v>629</v>
      </c>
      <c r="B102" t="s">
        <v>630</v>
      </c>
      <c r="F102" t="s">
        <v>216</v>
      </c>
      <c r="N102" t="s">
        <v>631</v>
      </c>
      <c r="U102" t="s">
        <v>176</v>
      </c>
      <c r="Z102" s="14">
        <v>41814</v>
      </c>
      <c r="AA102" s="14">
        <v>41958</v>
      </c>
      <c r="AD102" s="14">
        <v>43465</v>
      </c>
      <c r="AL102" t="s">
        <v>122</v>
      </c>
      <c r="AN102">
        <v>327978500</v>
      </c>
      <c r="AR102">
        <v>327978500</v>
      </c>
      <c r="AS102">
        <v>0</v>
      </c>
      <c r="BA102" t="s">
        <v>484</v>
      </c>
      <c r="BB102" t="s">
        <v>484</v>
      </c>
      <c r="BC102" t="s">
        <v>242</v>
      </c>
      <c r="DF102" s="15" t="s">
        <v>9308</v>
      </c>
      <c r="DG102" t="s">
        <v>126</v>
      </c>
      <c r="DH102" t="s">
        <v>159</v>
      </c>
      <c r="DI102" t="s">
        <v>159</v>
      </c>
      <c r="DJ102" t="s">
        <v>326</v>
      </c>
      <c r="DK102">
        <v>500043.45174569299</v>
      </c>
    </row>
    <row r="103" spans="1:115" x14ac:dyDescent="0.25">
      <c r="A103" t="s">
        <v>632</v>
      </c>
      <c r="B103" t="s">
        <v>633</v>
      </c>
      <c r="F103" t="s">
        <v>282</v>
      </c>
      <c r="N103" t="s">
        <v>634</v>
      </c>
      <c r="U103" t="s">
        <v>176</v>
      </c>
      <c r="Z103" s="14">
        <v>41743</v>
      </c>
      <c r="AA103" s="14">
        <v>41969</v>
      </c>
      <c r="AD103" s="14">
        <v>43465</v>
      </c>
      <c r="AL103" t="s">
        <v>122</v>
      </c>
      <c r="AN103">
        <v>9840000000</v>
      </c>
      <c r="AR103">
        <v>9840000000</v>
      </c>
      <c r="AS103">
        <v>0</v>
      </c>
      <c r="BA103" t="s">
        <v>267</v>
      </c>
      <c r="BB103" t="s">
        <v>267</v>
      </c>
      <c r="BC103" t="s">
        <v>242</v>
      </c>
      <c r="DF103" s="15" t="s">
        <v>9308</v>
      </c>
      <c r="DG103" t="s">
        <v>284</v>
      </c>
      <c r="DH103" t="s">
        <v>159</v>
      </c>
      <c r="DI103" t="s">
        <v>159</v>
      </c>
      <c r="DJ103" t="s">
        <v>326</v>
      </c>
      <c r="DK103">
        <v>15002286.933983799</v>
      </c>
    </row>
    <row r="104" spans="1:115" x14ac:dyDescent="0.25">
      <c r="A104" t="s">
        <v>635</v>
      </c>
      <c r="B104" t="s">
        <v>636</v>
      </c>
      <c r="F104" t="s">
        <v>205</v>
      </c>
      <c r="N104" t="s">
        <v>637</v>
      </c>
      <c r="U104" t="s">
        <v>211</v>
      </c>
      <c r="V104" t="s">
        <v>638</v>
      </c>
      <c r="Z104" s="14">
        <v>41787</v>
      </c>
      <c r="AA104" s="14">
        <v>41969</v>
      </c>
      <c r="AD104" s="14">
        <v>43465</v>
      </c>
      <c r="AL104" t="s">
        <v>122</v>
      </c>
      <c r="AN104">
        <v>16989286300</v>
      </c>
      <c r="AR104">
        <v>16989286300</v>
      </c>
      <c r="AS104">
        <v>0</v>
      </c>
      <c r="BA104" t="s">
        <v>267</v>
      </c>
      <c r="BB104" t="s">
        <v>267</v>
      </c>
      <c r="BC104" t="s">
        <v>242</v>
      </c>
      <c r="DF104" s="15" t="s">
        <v>9358</v>
      </c>
      <c r="DG104" t="s">
        <v>126</v>
      </c>
      <c r="DH104" t="s">
        <v>159</v>
      </c>
      <c r="DI104" t="s">
        <v>159</v>
      </c>
      <c r="DJ104" t="s">
        <v>326</v>
      </c>
      <c r="DK104">
        <v>25902250.8004269</v>
      </c>
    </row>
    <row r="105" spans="1:115" x14ac:dyDescent="0.25">
      <c r="A105" t="s">
        <v>639</v>
      </c>
      <c r="B105" t="s">
        <v>640</v>
      </c>
      <c r="F105" t="s">
        <v>118</v>
      </c>
      <c r="N105" t="s">
        <v>641</v>
      </c>
      <c r="U105" t="s">
        <v>302</v>
      </c>
      <c r="V105" t="s">
        <v>303</v>
      </c>
      <c r="Z105" s="14">
        <v>41800</v>
      </c>
      <c r="AA105" s="14">
        <v>41976</v>
      </c>
      <c r="AD105" s="14">
        <v>43465</v>
      </c>
      <c r="AL105" t="s">
        <v>122</v>
      </c>
      <c r="AN105">
        <v>4919677500</v>
      </c>
      <c r="AR105">
        <v>4919677500</v>
      </c>
      <c r="AS105">
        <v>0</v>
      </c>
      <c r="BA105" t="s">
        <v>267</v>
      </c>
      <c r="BB105" t="s">
        <v>267</v>
      </c>
      <c r="BC105" t="s">
        <v>242</v>
      </c>
      <c r="DF105" s="15" t="s">
        <v>9359</v>
      </c>
      <c r="DG105" t="s">
        <v>126</v>
      </c>
      <c r="DH105" t="s">
        <v>159</v>
      </c>
      <c r="DI105" t="s">
        <v>159</v>
      </c>
      <c r="DJ105" t="s">
        <v>326</v>
      </c>
      <c r="DK105">
        <v>7500000</v>
      </c>
    </row>
    <row r="106" spans="1:115" x14ac:dyDescent="0.25">
      <c r="A106" t="s">
        <v>642</v>
      </c>
      <c r="B106" t="s">
        <v>643</v>
      </c>
      <c r="F106" t="s">
        <v>205</v>
      </c>
      <c r="N106" t="s">
        <v>644</v>
      </c>
      <c r="U106" t="s">
        <v>645</v>
      </c>
      <c r="V106" t="s">
        <v>646</v>
      </c>
      <c r="Z106" s="14">
        <v>41831</v>
      </c>
      <c r="AA106" s="14">
        <v>41978</v>
      </c>
      <c r="AD106" s="14">
        <v>43404</v>
      </c>
      <c r="AL106" t="s">
        <v>276</v>
      </c>
      <c r="AN106">
        <v>800000000</v>
      </c>
      <c r="AR106">
        <v>0</v>
      </c>
      <c r="AS106">
        <v>800000000</v>
      </c>
      <c r="BA106" t="s">
        <v>123</v>
      </c>
      <c r="BB106" t="s">
        <v>124</v>
      </c>
      <c r="BC106" t="s">
        <v>125</v>
      </c>
      <c r="DF106" s="15" t="s">
        <v>9360</v>
      </c>
      <c r="DG106" t="s">
        <v>126</v>
      </c>
      <c r="DH106" t="s">
        <v>127</v>
      </c>
      <c r="DI106" t="s">
        <v>128</v>
      </c>
      <c r="DJ106" t="s">
        <v>326</v>
      </c>
      <c r="DK106">
        <v>1021092</v>
      </c>
    </row>
    <row r="107" spans="1:115" x14ac:dyDescent="0.25">
      <c r="A107" t="s">
        <v>647</v>
      </c>
      <c r="B107" t="s">
        <v>648</v>
      </c>
      <c r="F107" t="s">
        <v>163</v>
      </c>
      <c r="N107" t="s">
        <v>649</v>
      </c>
      <c r="U107" t="s">
        <v>165</v>
      </c>
      <c r="V107" t="s">
        <v>166</v>
      </c>
      <c r="Z107" s="14">
        <v>41897</v>
      </c>
      <c r="AA107" s="14">
        <v>41978</v>
      </c>
      <c r="AD107" t="s">
        <v>650</v>
      </c>
      <c r="AL107" t="s">
        <v>357</v>
      </c>
      <c r="AN107">
        <v>24300000000</v>
      </c>
      <c r="AR107">
        <v>4050000000</v>
      </c>
      <c r="AS107">
        <v>20250000000</v>
      </c>
      <c r="BA107" t="s">
        <v>471</v>
      </c>
      <c r="BB107" t="s">
        <v>472</v>
      </c>
      <c r="BC107" t="s">
        <v>242</v>
      </c>
      <c r="DF107" s="15" t="s">
        <v>9307</v>
      </c>
      <c r="DG107" t="s">
        <v>170</v>
      </c>
      <c r="DH107" t="s">
        <v>201</v>
      </c>
      <c r="DI107" t="s">
        <v>279</v>
      </c>
      <c r="DJ107" t="s">
        <v>366</v>
      </c>
      <c r="DK107">
        <v>300000000</v>
      </c>
    </row>
    <row r="108" spans="1:115" x14ac:dyDescent="0.25">
      <c r="A108" t="s">
        <v>651</v>
      </c>
      <c r="B108" t="s">
        <v>652</v>
      </c>
      <c r="F108" t="s">
        <v>118</v>
      </c>
      <c r="N108" t="s">
        <v>653</v>
      </c>
      <c r="U108" t="s">
        <v>185</v>
      </c>
      <c r="V108" t="s">
        <v>224</v>
      </c>
      <c r="W108" t="s">
        <v>654</v>
      </c>
      <c r="X108" t="s">
        <v>655</v>
      </c>
      <c r="Z108" s="14">
        <v>41983</v>
      </c>
      <c r="AA108" s="14">
        <v>41984</v>
      </c>
      <c r="AD108" s="14">
        <v>43830</v>
      </c>
      <c r="AL108" t="s">
        <v>122</v>
      </c>
      <c r="AN108">
        <v>78452457200</v>
      </c>
      <c r="AR108">
        <v>0</v>
      </c>
      <c r="AS108">
        <v>78452457200</v>
      </c>
      <c r="BA108" t="s">
        <v>168</v>
      </c>
      <c r="BB108" t="s">
        <v>169</v>
      </c>
      <c r="BC108" t="s">
        <v>125</v>
      </c>
      <c r="DF108" s="15" t="s">
        <v>9361</v>
      </c>
      <c r="DG108" t="s">
        <v>126</v>
      </c>
      <c r="DH108" t="s">
        <v>127</v>
      </c>
      <c r="DI108" t="s">
        <v>656</v>
      </c>
      <c r="DJ108" t="s">
        <v>366</v>
      </c>
      <c r="DK108">
        <v>119600000</v>
      </c>
    </row>
    <row r="109" spans="1:115" x14ac:dyDescent="0.25">
      <c r="A109" t="s">
        <v>657</v>
      </c>
      <c r="B109" t="s">
        <v>658</v>
      </c>
      <c r="F109" t="s">
        <v>142</v>
      </c>
      <c r="N109" t="s">
        <v>659</v>
      </c>
      <c r="U109" t="s">
        <v>660</v>
      </c>
      <c r="V109" t="s">
        <v>661</v>
      </c>
      <c r="Z109" s="14">
        <v>41983</v>
      </c>
      <c r="AA109" s="14">
        <v>41984</v>
      </c>
      <c r="AD109" s="14">
        <v>44561</v>
      </c>
      <c r="AL109" t="s">
        <v>122</v>
      </c>
      <c r="AN109">
        <v>22958495000</v>
      </c>
      <c r="AR109">
        <v>0</v>
      </c>
      <c r="AS109">
        <v>22958495000</v>
      </c>
      <c r="BA109" t="s">
        <v>168</v>
      </c>
      <c r="BB109" t="s">
        <v>169</v>
      </c>
      <c r="BC109" t="s">
        <v>125</v>
      </c>
      <c r="DF109" s="15" t="s">
        <v>9362</v>
      </c>
      <c r="DG109" t="s">
        <v>126</v>
      </c>
      <c r="DH109" t="s">
        <v>127</v>
      </c>
      <c r="DI109" t="s">
        <v>552</v>
      </c>
      <c r="DJ109" t="s">
        <v>366</v>
      </c>
      <c r="DK109">
        <v>35000000</v>
      </c>
    </row>
    <row r="110" spans="1:115" x14ac:dyDescent="0.25">
      <c r="A110" t="s">
        <v>662</v>
      </c>
      <c r="B110" t="s">
        <v>663</v>
      </c>
      <c r="F110" t="s">
        <v>205</v>
      </c>
      <c r="N110" t="s">
        <v>664</v>
      </c>
      <c r="U110" t="s">
        <v>665</v>
      </c>
      <c r="V110" t="s">
        <v>666</v>
      </c>
      <c r="Z110" s="14">
        <v>41906</v>
      </c>
      <c r="AA110" s="14">
        <v>41990</v>
      </c>
      <c r="AD110" s="14">
        <v>43465</v>
      </c>
      <c r="AL110" t="s">
        <v>136</v>
      </c>
      <c r="AN110">
        <v>15000000000</v>
      </c>
      <c r="AR110">
        <v>0</v>
      </c>
      <c r="AS110">
        <v>15000000000</v>
      </c>
      <c r="BA110" t="s">
        <v>137</v>
      </c>
      <c r="BB110" t="s">
        <v>138</v>
      </c>
      <c r="BC110" t="s">
        <v>125</v>
      </c>
      <c r="DF110" s="15" t="s">
        <v>9363</v>
      </c>
      <c r="DG110" t="s">
        <v>126</v>
      </c>
      <c r="DH110" t="s">
        <v>127</v>
      </c>
      <c r="DI110" t="s">
        <v>128</v>
      </c>
      <c r="DJ110" t="s">
        <v>353</v>
      </c>
      <c r="DK110">
        <v>15000000000</v>
      </c>
    </row>
    <row r="111" spans="1:115" x14ac:dyDescent="0.25">
      <c r="A111" t="s">
        <v>667</v>
      </c>
      <c r="B111" t="s">
        <v>668</v>
      </c>
      <c r="F111" t="s">
        <v>190</v>
      </c>
      <c r="N111" t="s">
        <v>669</v>
      </c>
      <c r="U111" t="s">
        <v>176</v>
      </c>
      <c r="Z111" s="14">
        <v>41961</v>
      </c>
      <c r="AA111" s="14">
        <v>41999</v>
      </c>
      <c r="AD111" s="14">
        <v>43465</v>
      </c>
      <c r="AL111" t="s">
        <v>136</v>
      </c>
      <c r="AN111">
        <v>300000000</v>
      </c>
      <c r="AR111">
        <v>300000000</v>
      </c>
      <c r="AS111">
        <v>0</v>
      </c>
      <c r="BA111" t="s">
        <v>567</v>
      </c>
      <c r="BB111" t="s">
        <v>568</v>
      </c>
      <c r="BC111" t="s">
        <v>125</v>
      </c>
      <c r="DF111" s="15" t="s">
        <v>9308</v>
      </c>
      <c r="DG111" t="s">
        <v>126</v>
      </c>
      <c r="DH111" t="s">
        <v>159</v>
      </c>
      <c r="DI111" t="s">
        <v>159</v>
      </c>
      <c r="DJ111" t="s">
        <v>326</v>
      </c>
      <c r="DK111">
        <v>300000000</v>
      </c>
    </row>
    <row r="112" spans="1:115" x14ac:dyDescent="0.25">
      <c r="A112" t="s">
        <v>670</v>
      </c>
      <c r="B112" t="s">
        <v>671</v>
      </c>
      <c r="F112" t="s">
        <v>190</v>
      </c>
      <c r="N112" t="s">
        <v>672</v>
      </c>
      <c r="U112" t="s">
        <v>176</v>
      </c>
      <c r="Z112" s="14">
        <v>41961</v>
      </c>
      <c r="AA112" s="14">
        <v>41999</v>
      </c>
      <c r="AD112" s="14">
        <v>43465</v>
      </c>
      <c r="AL112" t="s">
        <v>136</v>
      </c>
      <c r="AN112">
        <v>225000000</v>
      </c>
      <c r="AR112">
        <v>225000000</v>
      </c>
      <c r="AS112">
        <v>0</v>
      </c>
      <c r="BA112" t="s">
        <v>567</v>
      </c>
      <c r="BB112" t="s">
        <v>568</v>
      </c>
      <c r="BC112" t="s">
        <v>125</v>
      </c>
      <c r="DF112" s="15" t="s">
        <v>9308</v>
      </c>
      <c r="DG112" t="s">
        <v>126</v>
      </c>
      <c r="DH112" t="s">
        <v>159</v>
      </c>
      <c r="DI112" t="s">
        <v>159</v>
      </c>
      <c r="DJ112" t="s">
        <v>326</v>
      </c>
      <c r="DK112">
        <v>225000000</v>
      </c>
    </row>
    <row r="113" spans="1:115" x14ac:dyDescent="0.25">
      <c r="A113" t="s">
        <v>673</v>
      </c>
      <c r="B113" t="s">
        <v>486</v>
      </c>
      <c r="F113" t="s">
        <v>142</v>
      </c>
      <c r="N113" t="s">
        <v>674</v>
      </c>
      <c r="U113" t="s">
        <v>488</v>
      </c>
      <c r="V113" t="s">
        <v>489</v>
      </c>
      <c r="Z113" s="14">
        <v>42121</v>
      </c>
      <c r="AA113" s="14">
        <v>42152</v>
      </c>
      <c r="AD113" s="14">
        <v>43830</v>
      </c>
      <c r="AL113" t="s">
        <v>136</v>
      </c>
      <c r="AN113">
        <v>7800000000</v>
      </c>
      <c r="AR113">
        <v>0</v>
      </c>
      <c r="AS113">
        <v>7800000000</v>
      </c>
      <c r="BA113" t="s">
        <v>675</v>
      </c>
      <c r="BB113" t="s">
        <v>676</v>
      </c>
      <c r="BC113" t="s">
        <v>442</v>
      </c>
      <c r="DF113" s="15" t="s">
        <v>9346</v>
      </c>
      <c r="DG113" t="s">
        <v>126</v>
      </c>
      <c r="DH113" t="s">
        <v>127</v>
      </c>
      <c r="DI113" t="s">
        <v>443</v>
      </c>
      <c r="DJ113" t="s">
        <v>366</v>
      </c>
      <c r="DK113">
        <v>7800000000</v>
      </c>
    </row>
    <row r="114" spans="1:115" x14ac:dyDescent="0.25">
      <c r="A114" t="s">
        <v>677</v>
      </c>
      <c r="B114" t="s">
        <v>486</v>
      </c>
      <c r="F114" t="s">
        <v>142</v>
      </c>
      <c r="N114" t="s">
        <v>678</v>
      </c>
      <c r="U114" t="s">
        <v>488</v>
      </c>
      <c r="V114" t="s">
        <v>489</v>
      </c>
      <c r="Z114" s="14">
        <v>42142</v>
      </c>
      <c r="AA114" s="14">
        <v>42152</v>
      </c>
      <c r="AD114" s="14">
        <v>43830</v>
      </c>
      <c r="AL114" t="s">
        <v>136</v>
      </c>
      <c r="AN114">
        <v>17000000000</v>
      </c>
      <c r="AR114">
        <v>0</v>
      </c>
      <c r="AS114">
        <v>17000000000</v>
      </c>
      <c r="BA114" t="s">
        <v>581</v>
      </c>
      <c r="BB114" t="s">
        <v>582</v>
      </c>
      <c r="BC114" t="s">
        <v>442</v>
      </c>
      <c r="DF114" s="15" t="s">
        <v>9346</v>
      </c>
      <c r="DG114" t="s">
        <v>126</v>
      </c>
      <c r="DH114" t="s">
        <v>127</v>
      </c>
      <c r="DI114" t="s">
        <v>443</v>
      </c>
      <c r="DJ114" t="s">
        <v>366</v>
      </c>
      <c r="DK114">
        <v>17000000000</v>
      </c>
    </row>
    <row r="115" spans="1:115" x14ac:dyDescent="0.25">
      <c r="A115" t="s">
        <v>679</v>
      </c>
      <c r="B115" t="s">
        <v>486</v>
      </c>
      <c r="F115" t="s">
        <v>142</v>
      </c>
      <c r="N115" t="s">
        <v>680</v>
      </c>
      <c r="U115" t="s">
        <v>488</v>
      </c>
      <c r="V115" t="s">
        <v>489</v>
      </c>
      <c r="Z115" s="14">
        <v>42048</v>
      </c>
      <c r="AA115" s="14">
        <v>42152</v>
      </c>
      <c r="AD115" s="14">
        <v>43830</v>
      </c>
      <c r="AL115" t="s">
        <v>136</v>
      </c>
      <c r="AN115">
        <v>3000000000</v>
      </c>
      <c r="AR115">
        <v>0</v>
      </c>
      <c r="AS115">
        <v>3000000000</v>
      </c>
      <c r="BA115" t="s">
        <v>441</v>
      </c>
      <c r="BB115" t="s">
        <v>441</v>
      </c>
      <c r="BC115" t="s">
        <v>442</v>
      </c>
      <c r="DF115" s="15" t="s">
        <v>9346</v>
      </c>
      <c r="DG115" t="s">
        <v>126</v>
      </c>
      <c r="DH115" t="s">
        <v>127</v>
      </c>
      <c r="DI115" t="s">
        <v>443</v>
      </c>
      <c r="DJ115" t="s">
        <v>366</v>
      </c>
      <c r="DK115">
        <v>3000000000</v>
      </c>
    </row>
    <row r="116" spans="1:115" x14ac:dyDescent="0.25">
      <c r="A116" t="s">
        <v>681</v>
      </c>
      <c r="B116" t="s">
        <v>603</v>
      </c>
      <c r="F116" t="s">
        <v>205</v>
      </c>
      <c r="N116" t="s">
        <v>682</v>
      </c>
      <c r="U116" t="s">
        <v>605</v>
      </c>
      <c r="V116" t="s">
        <v>606</v>
      </c>
      <c r="Z116" s="14">
        <v>42108</v>
      </c>
      <c r="AA116" s="14">
        <v>42165</v>
      </c>
      <c r="AD116" s="14">
        <v>43830</v>
      </c>
      <c r="AL116" t="s">
        <v>122</v>
      </c>
      <c r="AN116">
        <v>3000000000</v>
      </c>
      <c r="AR116">
        <v>0</v>
      </c>
      <c r="AS116">
        <v>3000000000</v>
      </c>
      <c r="BA116" t="s">
        <v>297</v>
      </c>
      <c r="BB116" t="s">
        <v>298</v>
      </c>
      <c r="BC116" t="s">
        <v>242</v>
      </c>
      <c r="DF116" s="15" t="s">
        <v>9356</v>
      </c>
      <c r="DG116" t="s">
        <v>126</v>
      </c>
      <c r="DH116" t="s">
        <v>127</v>
      </c>
      <c r="DI116" t="s">
        <v>150</v>
      </c>
      <c r="DJ116" t="s">
        <v>366</v>
      </c>
      <c r="DK116">
        <v>6000000</v>
      </c>
    </row>
    <row r="117" spans="1:115" x14ac:dyDescent="0.25">
      <c r="A117" t="s">
        <v>683</v>
      </c>
      <c r="B117" t="s">
        <v>684</v>
      </c>
      <c r="F117" t="s">
        <v>118</v>
      </c>
      <c r="N117" t="s">
        <v>685</v>
      </c>
      <c r="U117" t="s">
        <v>185</v>
      </c>
      <c r="V117" t="s">
        <v>686</v>
      </c>
      <c r="Z117" s="14">
        <v>42027</v>
      </c>
      <c r="AA117" s="14">
        <v>42110</v>
      </c>
      <c r="AD117" s="14">
        <v>44561</v>
      </c>
      <c r="AL117" t="s">
        <v>122</v>
      </c>
      <c r="AN117">
        <v>26238280000</v>
      </c>
      <c r="AR117">
        <v>13119140000</v>
      </c>
      <c r="AS117">
        <v>13119140000</v>
      </c>
      <c r="BA117" t="s">
        <v>337</v>
      </c>
      <c r="BB117" t="s">
        <v>338</v>
      </c>
      <c r="BC117" t="s">
        <v>242</v>
      </c>
      <c r="DF117" s="15" t="s">
        <v>9364</v>
      </c>
      <c r="DG117" t="s">
        <v>126</v>
      </c>
      <c r="DH117" t="s">
        <v>201</v>
      </c>
      <c r="DI117" t="s">
        <v>279</v>
      </c>
      <c r="DJ117" t="s">
        <v>326</v>
      </c>
      <c r="DK117">
        <v>40000000</v>
      </c>
    </row>
    <row r="118" spans="1:115" x14ac:dyDescent="0.25">
      <c r="A118" t="s">
        <v>687</v>
      </c>
      <c r="B118" t="s">
        <v>684</v>
      </c>
      <c r="F118" t="s">
        <v>118</v>
      </c>
      <c r="N118" t="s">
        <v>688</v>
      </c>
      <c r="U118" t="s">
        <v>185</v>
      </c>
      <c r="V118" t="s">
        <v>686</v>
      </c>
      <c r="Z118" s="14">
        <v>42038</v>
      </c>
      <c r="AA118" s="14">
        <v>42157</v>
      </c>
      <c r="AD118" s="14">
        <v>44561</v>
      </c>
      <c r="AL118" t="s">
        <v>122</v>
      </c>
      <c r="AN118">
        <v>11807226000</v>
      </c>
      <c r="AR118">
        <v>0</v>
      </c>
      <c r="AS118">
        <v>11807226000</v>
      </c>
      <c r="BA118" t="s">
        <v>689</v>
      </c>
      <c r="BB118" t="s">
        <v>690</v>
      </c>
      <c r="BC118" t="s">
        <v>125</v>
      </c>
      <c r="DF118" s="15" t="s">
        <v>9364</v>
      </c>
      <c r="DG118" t="s">
        <v>126</v>
      </c>
      <c r="DH118" t="s">
        <v>127</v>
      </c>
      <c r="DI118" t="s">
        <v>127</v>
      </c>
      <c r="DJ118" t="s">
        <v>326</v>
      </c>
      <c r="DK118">
        <v>18000000</v>
      </c>
    </row>
    <row r="119" spans="1:115" x14ac:dyDescent="0.25">
      <c r="A119" t="s">
        <v>691</v>
      </c>
      <c r="B119" t="s">
        <v>692</v>
      </c>
      <c r="F119" t="s">
        <v>190</v>
      </c>
      <c r="N119" t="s">
        <v>693</v>
      </c>
      <c r="U119" t="s">
        <v>645</v>
      </c>
      <c r="V119" t="s">
        <v>694</v>
      </c>
      <c r="Z119" s="14">
        <v>42051</v>
      </c>
      <c r="AA119" s="14">
        <v>42165</v>
      </c>
      <c r="AD119" s="14">
        <v>44742</v>
      </c>
      <c r="AL119" t="s">
        <v>122</v>
      </c>
      <c r="AN119">
        <v>7893484000</v>
      </c>
      <c r="AR119">
        <v>655957000</v>
      </c>
      <c r="AS119">
        <v>7237527000</v>
      </c>
      <c r="BA119" t="s">
        <v>337</v>
      </c>
      <c r="BB119" t="s">
        <v>338</v>
      </c>
      <c r="BC119" t="s">
        <v>242</v>
      </c>
      <c r="DF119" s="15" t="s">
        <v>9365</v>
      </c>
      <c r="DG119" t="s">
        <v>126</v>
      </c>
      <c r="DH119" t="s">
        <v>201</v>
      </c>
      <c r="DI119" t="s">
        <v>279</v>
      </c>
      <c r="DJ119" t="s">
        <v>326</v>
      </c>
      <c r="DK119">
        <v>12000000</v>
      </c>
    </row>
    <row r="120" spans="1:115" x14ac:dyDescent="0.25">
      <c r="A120" t="s">
        <v>695</v>
      </c>
      <c r="B120" t="s">
        <v>696</v>
      </c>
      <c r="F120" t="s">
        <v>315</v>
      </c>
      <c r="N120" t="s">
        <v>697</v>
      </c>
      <c r="U120" t="s">
        <v>409</v>
      </c>
      <c r="V120" t="s">
        <v>698</v>
      </c>
      <c r="Z120" s="14">
        <v>42076</v>
      </c>
      <c r="AA120" s="14">
        <v>42093</v>
      </c>
      <c r="AD120" s="14">
        <v>44196</v>
      </c>
      <c r="AL120" t="s">
        <v>122</v>
      </c>
      <c r="AN120">
        <v>2500000000</v>
      </c>
      <c r="AR120">
        <v>0</v>
      </c>
      <c r="AS120">
        <v>2500000000</v>
      </c>
      <c r="BA120" t="s">
        <v>305</v>
      </c>
      <c r="BB120" t="s">
        <v>306</v>
      </c>
      <c r="BC120" t="s">
        <v>125</v>
      </c>
      <c r="DF120" s="15" t="s">
        <v>9366</v>
      </c>
      <c r="DG120" t="s">
        <v>126</v>
      </c>
      <c r="DH120" t="s">
        <v>127</v>
      </c>
      <c r="DI120" t="s">
        <v>150</v>
      </c>
      <c r="DJ120" t="s">
        <v>366</v>
      </c>
      <c r="DK120">
        <v>5000000</v>
      </c>
    </row>
    <row r="121" spans="1:115" x14ac:dyDescent="0.25">
      <c r="A121" t="s">
        <v>699</v>
      </c>
      <c r="B121" t="s">
        <v>700</v>
      </c>
      <c r="F121" t="s">
        <v>369</v>
      </c>
      <c r="N121" t="s">
        <v>701</v>
      </c>
      <c r="U121" t="s">
        <v>176</v>
      </c>
      <c r="Z121" s="14">
        <v>42032</v>
      </c>
      <c r="AA121" s="14">
        <v>42101</v>
      </c>
      <c r="AD121" s="14">
        <v>44104</v>
      </c>
      <c r="AL121" t="s">
        <v>357</v>
      </c>
      <c r="AN121">
        <v>40176000000</v>
      </c>
      <c r="AR121">
        <v>0</v>
      </c>
      <c r="AS121">
        <v>40176000000</v>
      </c>
      <c r="BA121" t="s">
        <v>471</v>
      </c>
      <c r="BB121" t="s">
        <v>472</v>
      </c>
      <c r="BC121" t="s">
        <v>242</v>
      </c>
      <c r="DF121" s="15" t="s">
        <v>9308</v>
      </c>
      <c r="DG121" t="s">
        <v>126</v>
      </c>
      <c r="DH121" t="s">
        <v>127</v>
      </c>
      <c r="DI121" t="s">
        <v>150</v>
      </c>
      <c r="DJ121" t="s">
        <v>366</v>
      </c>
      <c r="DK121">
        <v>496000000</v>
      </c>
    </row>
    <row r="122" spans="1:115" x14ac:dyDescent="0.25">
      <c r="A122" t="s">
        <v>702</v>
      </c>
      <c r="B122" t="s">
        <v>703</v>
      </c>
      <c r="F122" t="s">
        <v>118</v>
      </c>
      <c r="N122" t="s">
        <v>704</v>
      </c>
      <c r="U122" t="s">
        <v>185</v>
      </c>
      <c r="V122" t="s">
        <v>224</v>
      </c>
      <c r="W122" t="s">
        <v>654</v>
      </c>
      <c r="X122" t="s">
        <v>655</v>
      </c>
      <c r="Z122" s="14">
        <v>42088</v>
      </c>
      <c r="AA122" s="14">
        <v>42101</v>
      </c>
      <c r="AD122" s="14">
        <v>44012</v>
      </c>
      <c r="AL122" t="s">
        <v>136</v>
      </c>
      <c r="AN122">
        <v>10000000000</v>
      </c>
      <c r="AR122">
        <v>0</v>
      </c>
      <c r="AS122">
        <v>10000000000</v>
      </c>
      <c r="BA122" t="s">
        <v>137</v>
      </c>
      <c r="BB122" t="s">
        <v>138</v>
      </c>
      <c r="BC122" t="s">
        <v>125</v>
      </c>
      <c r="DF122" s="15" t="s">
        <v>9361</v>
      </c>
      <c r="DG122" t="s">
        <v>126</v>
      </c>
      <c r="DH122" t="s">
        <v>127</v>
      </c>
      <c r="DI122" t="s">
        <v>128</v>
      </c>
      <c r="DJ122" t="s">
        <v>353</v>
      </c>
      <c r="DK122">
        <v>10000000000</v>
      </c>
    </row>
    <row r="123" spans="1:115" x14ac:dyDescent="0.25">
      <c r="A123" t="s">
        <v>705</v>
      </c>
      <c r="B123" t="s">
        <v>706</v>
      </c>
      <c r="F123" t="s">
        <v>263</v>
      </c>
      <c r="N123" t="s">
        <v>707</v>
      </c>
      <c r="U123" t="s">
        <v>399</v>
      </c>
      <c r="V123" t="s">
        <v>400</v>
      </c>
      <c r="Z123" s="14">
        <v>42101</v>
      </c>
      <c r="AA123" s="14">
        <v>42179</v>
      </c>
      <c r="AD123" s="14">
        <v>44196</v>
      </c>
      <c r="AL123" t="s">
        <v>136</v>
      </c>
      <c r="AN123">
        <v>8000000000</v>
      </c>
      <c r="AR123">
        <v>0</v>
      </c>
      <c r="AS123">
        <v>8000000000</v>
      </c>
      <c r="BA123" t="s">
        <v>137</v>
      </c>
      <c r="BB123" t="s">
        <v>138</v>
      </c>
      <c r="BC123" t="s">
        <v>125</v>
      </c>
      <c r="DF123" s="15" t="s">
        <v>9335</v>
      </c>
      <c r="DG123" t="s">
        <v>126</v>
      </c>
      <c r="DH123" t="s">
        <v>127</v>
      </c>
      <c r="DI123" t="s">
        <v>128</v>
      </c>
      <c r="DJ123" t="s">
        <v>589</v>
      </c>
      <c r="DK123">
        <v>8000000000</v>
      </c>
    </row>
    <row r="124" spans="1:115" x14ac:dyDescent="0.25">
      <c r="A124" t="s">
        <v>708</v>
      </c>
      <c r="B124" t="s">
        <v>709</v>
      </c>
      <c r="F124" t="s">
        <v>118</v>
      </c>
      <c r="N124" t="s">
        <v>710</v>
      </c>
      <c r="U124" t="s">
        <v>176</v>
      </c>
      <c r="Z124" s="14">
        <v>42128</v>
      </c>
      <c r="AA124" s="14">
        <v>42139</v>
      </c>
      <c r="AD124" s="14">
        <v>43465</v>
      </c>
      <c r="AL124" t="s">
        <v>136</v>
      </c>
      <c r="AN124">
        <v>5000000000</v>
      </c>
      <c r="AR124">
        <v>0</v>
      </c>
      <c r="AS124">
        <v>5000000000</v>
      </c>
      <c r="BA124" t="s">
        <v>711</v>
      </c>
      <c r="BB124" t="s">
        <v>712</v>
      </c>
      <c r="BC124" t="s">
        <v>442</v>
      </c>
      <c r="DF124" s="15" t="s">
        <v>9308</v>
      </c>
      <c r="DG124" t="s">
        <v>126</v>
      </c>
      <c r="DH124" t="s">
        <v>127</v>
      </c>
      <c r="DI124" t="s">
        <v>443</v>
      </c>
      <c r="DJ124" t="s">
        <v>366</v>
      </c>
      <c r="DK124">
        <v>5000000000</v>
      </c>
    </row>
    <row r="125" spans="1:115" x14ac:dyDescent="0.25">
      <c r="A125" t="s">
        <v>713</v>
      </c>
      <c r="B125" t="s">
        <v>714</v>
      </c>
      <c r="F125" t="s">
        <v>163</v>
      </c>
      <c r="N125" t="s">
        <v>715</v>
      </c>
      <c r="U125" t="s">
        <v>176</v>
      </c>
      <c r="Z125" s="14">
        <v>42045</v>
      </c>
      <c r="AA125" s="14">
        <v>42164</v>
      </c>
      <c r="AD125" s="14">
        <v>43100</v>
      </c>
      <c r="AL125" t="s">
        <v>122</v>
      </c>
      <c r="AN125">
        <v>75000000000</v>
      </c>
      <c r="AR125">
        <v>0</v>
      </c>
      <c r="AS125">
        <v>75000000000</v>
      </c>
      <c r="BA125" t="s">
        <v>716</v>
      </c>
      <c r="BB125" t="s">
        <v>717</v>
      </c>
      <c r="BC125" t="s">
        <v>125</v>
      </c>
      <c r="DF125" s="15" t="s">
        <v>9308</v>
      </c>
      <c r="DG125" t="s">
        <v>126</v>
      </c>
      <c r="DH125" t="s">
        <v>127</v>
      </c>
      <c r="DI125" t="s">
        <v>718</v>
      </c>
      <c r="DJ125" t="s">
        <v>172</v>
      </c>
      <c r="DK125">
        <v>150000000</v>
      </c>
    </row>
    <row r="126" spans="1:115" x14ac:dyDescent="0.25">
      <c r="A126" t="s">
        <v>719</v>
      </c>
      <c r="B126" t="s">
        <v>720</v>
      </c>
      <c r="F126" t="s">
        <v>190</v>
      </c>
      <c r="N126" t="s">
        <v>721</v>
      </c>
      <c r="U126" t="s">
        <v>176</v>
      </c>
      <c r="Z126" s="14">
        <v>42135</v>
      </c>
      <c r="AA126" s="14">
        <v>42164</v>
      </c>
      <c r="AD126" s="14">
        <v>42643</v>
      </c>
      <c r="AL126" t="s">
        <v>122</v>
      </c>
      <c r="AN126">
        <v>15000000000</v>
      </c>
      <c r="AR126">
        <v>0</v>
      </c>
      <c r="AS126">
        <v>15000000000</v>
      </c>
      <c r="BA126" t="s">
        <v>716</v>
      </c>
      <c r="BB126" t="s">
        <v>717</v>
      </c>
      <c r="BC126" t="s">
        <v>125</v>
      </c>
      <c r="DF126" s="15" t="s">
        <v>9308</v>
      </c>
      <c r="DG126" t="s">
        <v>126</v>
      </c>
      <c r="DH126" t="s">
        <v>127</v>
      </c>
      <c r="DI126" t="s">
        <v>718</v>
      </c>
      <c r="DJ126" t="s">
        <v>172</v>
      </c>
      <c r="DK126">
        <v>30000000</v>
      </c>
    </row>
    <row r="127" spans="1:115" x14ac:dyDescent="0.25">
      <c r="A127" t="s">
        <v>722</v>
      </c>
      <c r="B127" t="s">
        <v>723</v>
      </c>
      <c r="F127" t="s">
        <v>190</v>
      </c>
      <c r="N127" t="s">
        <v>724</v>
      </c>
      <c r="U127" t="s">
        <v>725</v>
      </c>
      <c r="V127" t="s">
        <v>726</v>
      </c>
      <c r="Z127" s="14">
        <v>42164</v>
      </c>
      <c r="AA127" s="14">
        <v>42167</v>
      </c>
      <c r="AD127" s="14">
        <v>44926</v>
      </c>
      <c r="AL127" t="s">
        <v>551</v>
      </c>
      <c r="AN127">
        <v>10000000000</v>
      </c>
      <c r="AR127">
        <v>0</v>
      </c>
      <c r="AS127">
        <v>10000000000</v>
      </c>
      <c r="BA127" t="s">
        <v>168</v>
      </c>
      <c r="BB127" t="s">
        <v>169</v>
      </c>
      <c r="BC127" t="s">
        <v>125</v>
      </c>
      <c r="DF127" s="15" t="s">
        <v>9367</v>
      </c>
      <c r="DG127" t="s">
        <v>126</v>
      </c>
      <c r="DH127" t="s">
        <v>127</v>
      </c>
      <c r="DI127" t="s">
        <v>552</v>
      </c>
      <c r="DJ127" t="s">
        <v>366</v>
      </c>
      <c r="DK127">
        <v>16670000</v>
      </c>
    </row>
    <row r="128" spans="1:115" x14ac:dyDescent="0.25">
      <c r="A128" t="s">
        <v>727</v>
      </c>
      <c r="B128" t="s">
        <v>728</v>
      </c>
      <c r="F128" t="s">
        <v>205</v>
      </c>
      <c r="N128" t="s">
        <v>729</v>
      </c>
      <c r="U128" t="s">
        <v>218</v>
      </c>
      <c r="V128" t="s">
        <v>219</v>
      </c>
      <c r="W128" t="s">
        <v>220</v>
      </c>
      <c r="Z128" s="14">
        <v>42172</v>
      </c>
      <c r="AA128" s="14">
        <v>42179</v>
      </c>
      <c r="AD128" s="14">
        <v>42735</v>
      </c>
      <c r="AL128" t="s">
        <v>177</v>
      </c>
      <c r="AN128">
        <v>20000000000</v>
      </c>
      <c r="AR128">
        <v>0</v>
      </c>
      <c r="AS128">
        <v>20000000000</v>
      </c>
      <c r="BA128" t="s">
        <v>178</v>
      </c>
      <c r="BB128" t="s">
        <v>179</v>
      </c>
      <c r="BC128" t="s">
        <v>125</v>
      </c>
      <c r="DF128" s="15" t="s">
        <v>9313</v>
      </c>
      <c r="DG128" t="s">
        <v>126</v>
      </c>
      <c r="DH128" t="s">
        <v>127</v>
      </c>
      <c r="DI128" t="s">
        <v>150</v>
      </c>
      <c r="DJ128" t="s">
        <v>326</v>
      </c>
      <c r="DK128">
        <v>29000000</v>
      </c>
    </row>
    <row r="129" spans="1:115" x14ac:dyDescent="0.25">
      <c r="A129" t="s">
        <v>730</v>
      </c>
      <c r="B129" t="s">
        <v>731</v>
      </c>
      <c r="F129" t="s">
        <v>315</v>
      </c>
      <c r="N129" t="s">
        <v>732</v>
      </c>
      <c r="U129" t="s">
        <v>176</v>
      </c>
      <c r="Z129" s="14">
        <v>42179</v>
      </c>
      <c r="AA129" s="14">
        <v>42187</v>
      </c>
      <c r="AD129" s="14">
        <v>44561</v>
      </c>
      <c r="AL129" t="s">
        <v>122</v>
      </c>
      <c r="AN129">
        <v>6559570000</v>
      </c>
      <c r="AR129">
        <v>6559570000</v>
      </c>
      <c r="AS129">
        <v>0</v>
      </c>
      <c r="BA129" t="s">
        <v>337</v>
      </c>
      <c r="BB129" t="s">
        <v>338</v>
      </c>
      <c r="BC129" t="s">
        <v>242</v>
      </c>
      <c r="DF129" s="15" t="s">
        <v>9308</v>
      </c>
      <c r="DG129" t="s">
        <v>126</v>
      </c>
      <c r="DH129" t="s">
        <v>159</v>
      </c>
      <c r="DI129" t="s">
        <v>159</v>
      </c>
      <c r="DJ129" t="s">
        <v>326</v>
      </c>
      <c r="DK129">
        <v>10000000</v>
      </c>
    </row>
    <row r="130" spans="1:115" x14ac:dyDescent="0.25">
      <c r="A130" t="s">
        <v>733</v>
      </c>
      <c r="B130" t="s">
        <v>734</v>
      </c>
      <c r="F130" t="s">
        <v>369</v>
      </c>
      <c r="N130" t="s">
        <v>735</v>
      </c>
      <c r="U130" t="s">
        <v>176</v>
      </c>
      <c r="Z130" s="14">
        <v>42139</v>
      </c>
      <c r="AA130" s="14">
        <v>42207</v>
      </c>
      <c r="AD130" t="s">
        <v>650</v>
      </c>
      <c r="AL130" t="s">
        <v>136</v>
      </c>
      <c r="AN130">
        <v>8800000000</v>
      </c>
      <c r="AR130">
        <v>0</v>
      </c>
      <c r="AS130">
        <v>8800000000</v>
      </c>
      <c r="BA130" t="s">
        <v>675</v>
      </c>
      <c r="BB130" t="s">
        <v>676</v>
      </c>
      <c r="BC130" t="s">
        <v>442</v>
      </c>
      <c r="DF130" s="15" t="s">
        <v>9308</v>
      </c>
      <c r="DG130" t="s">
        <v>126</v>
      </c>
      <c r="DH130" t="s">
        <v>127</v>
      </c>
      <c r="DI130" t="s">
        <v>443</v>
      </c>
      <c r="DJ130" t="s">
        <v>172</v>
      </c>
      <c r="DK130">
        <v>8800000000</v>
      </c>
    </row>
    <row r="131" spans="1:115" x14ac:dyDescent="0.25">
      <c r="A131" t="s">
        <v>736</v>
      </c>
      <c r="B131" t="s">
        <v>734</v>
      </c>
      <c r="F131" t="s">
        <v>369</v>
      </c>
      <c r="N131" t="s">
        <v>737</v>
      </c>
      <c r="U131" t="s">
        <v>176</v>
      </c>
      <c r="Z131" s="14">
        <v>42139</v>
      </c>
      <c r="AA131" s="14">
        <v>42207</v>
      </c>
      <c r="AD131" t="s">
        <v>650</v>
      </c>
      <c r="AL131" t="s">
        <v>136</v>
      </c>
      <c r="AN131">
        <v>3000000000</v>
      </c>
      <c r="AR131">
        <v>0</v>
      </c>
      <c r="AS131">
        <v>3000000000</v>
      </c>
      <c r="BA131" t="s">
        <v>738</v>
      </c>
      <c r="BB131" t="s">
        <v>739</v>
      </c>
      <c r="BC131" t="s">
        <v>442</v>
      </c>
      <c r="DF131" s="15" t="s">
        <v>9308</v>
      </c>
      <c r="DG131" t="s">
        <v>126</v>
      </c>
      <c r="DH131" t="s">
        <v>127</v>
      </c>
      <c r="DI131" t="s">
        <v>443</v>
      </c>
      <c r="DJ131" t="s">
        <v>172</v>
      </c>
      <c r="DK131">
        <v>3000000000</v>
      </c>
    </row>
    <row r="132" spans="1:115" x14ac:dyDescent="0.25">
      <c r="A132" t="s">
        <v>740</v>
      </c>
      <c r="B132" t="s">
        <v>734</v>
      </c>
      <c r="F132" t="s">
        <v>369</v>
      </c>
      <c r="N132" t="s">
        <v>741</v>
      </c>
      <c r="U132" t="s">
        <v>176</v>
      </c>
      <c r="Z132" s="14">
        <v>42139</v>
      </c>
      <c r="AA132" s="14">
        <v>42207</v>
      </c>
      <c r="AD132" t="s">
        <v>650</v>
      </c>
      <c r="AL132" t="s">
        <v>136</v>
      </c>
      <c r="AN132">
        <v>13730000000</v>
      </c>
      <c r="AR132">
        <v>0</v>
      </c>
      <c r="AS132">
        <v>13730000000</v>
      </c>
      <c r="BA132" t="s">
        <v>581</v>
      </c>
      <c r="BB132" t="s">
        <v>582</v>
      </c>
      <c r="BC132" t="s">
        <v>442</v>
      </c>
      <c r="DF132" s="15" t="s">
        <v>9308</v>
      </c>
      <c r="DG132" t="s">
        <v>126</v>
      </c>
      <c r="DH132" t="s">
        <v>127</v>
      </c>
      <c r="DI132" t="s">
        <v>443</v>
      </c>
      <c r="DJ132" t="s">
        <v>172</v>
      </c>
      <c r="DK132">
        <v>13730000000</v>
      </c>
    </row>
    <row r="133" spans="1:115" x14ac:dyDescent="0.25">
      <c r="A133" t="s">
        <v>742</v>
      </c>
      <c r="B133" t="s">
        <v>734</v>
      </c>
      <c r="F133" t="s">
        <v>369</v>
      </c>
      <c r="N133" t="s">
        <v>743</v>
      </c>
      <c r="U133" t="s">
        <v>176</v>
      </c>
      <c r="Z133" s="14">
        <v>42139</v>
      </c>
      <c r="AA133" s="14">
        <v>42207</v>
      </c>
      <c r="AD133" t="s">
        <v>650</v>
      </c>
      <c r="AL133" t="s">
        <v>136</v>
      </c>
      <c r="AN133">
        <v>10000000000</v>
      </c>
      <c r="AR133">
        <v>0</v>
      </c>
      <c r="AS133">
        <v>10000000000</v>
      </c>
      <c r="BA133" t="s">
        <v>441</v>
      </c>
      <c r="BB133" t="s">
        <v>441</v>
      </c>
      <c r="BC133" t="s">
        <v>442</v>
      </c>
      <c r="DF133" s="15" t="s">
        <v>9308</v>
      </c>
      <c r="DG133" t="s">
        <v>126</v>
      </c>
      <c r="DH133" t="s">
        <v>127</v>
      </c>
      <c r="DI133" t="s">
        <v>443</v>
      </c>
      <c r="DJ133" t="s">
        <v>172</v>
      </c>
      <c r="DK133">
        <v>10000000000</v>
      </c>
    </row>
    <row r="134" spans="1:115" x14ac:dyDescent="0.25">
      <c r="A134" t="s">
        <v>744</v>
      </c>
      <c r="B134" t="s">
        <v>745</v>
      </c>
      <c r="F134" t="s">
        <v>205</v>
      </c>
      <c r="N134" t="s">
        <v>746</v>
      </c>
      <c r="U134" t="s">
        <v>747</v>
      </c>
      <c r="V134" t="s">
        <v>748</v>
      </c>
      <c r="Z134" s="14">
        <v>42207</v>
      </c>
      <c r="AA134" s="14">
        <v>42271</v>
      </c>
      <c r="AD134" s="14">
        <v>44561</v>
      </c>
      <c r="AL134" t="s">
        <v>136</v>
      </c>
      <c r="AN134">
        <v>15000000000</v>
      </c>
      <c r="AR134">
        <v>0</v>
      </c>
      <c r="AS134">
        <v>15000000000</v>
      </c>
      <c r="BA134" t="s">
        <v>137</v>
      </c>
      <c r="BB134" t="s">
        <v>138</v>
      </c>
      <c r="BC134" t="s">
        <v>125</v>
      </c>
      <c r="DF134" s="15" t="s">
        <v>9368</v>
      </c>
      <c r="DG134" t="s">
        <v>126</v>
      </c>
      <c r="DH134" t="s">
        <v>127</v>
      </c>
      <c r="DI134" t="s">
        <v>128</v>
      </c>
      <c r="DJ134" t="s">
        <v>353</v>
      </c>
      <c r="DK134">
        <v>15000000000</v>
      </c>
    </row>
    <row r="135" spans="1:115" x14ac:dyDescent="0.25">
      <c r="A135" t="s">
        <v>749</v>
      </c>
      <c r="B135" t="s">
        <v>750</v>
      </c>
      <c r="F135" t="s">
        <v>216</v>
      </c>
      <c r="N135" t="s">
        <v>751</v>
      </c>
      <c r="U135" t="s">
        <v>752</v>
      </c>
      <c r="V135" t="s">
        <v>453</v>
      </c>
      <c r="Z135" s="14">
        <v>42216</v>
      </c>
      <c r="AA135" s="14">
        <v>42289</v>
      </c>
      <c r="AD135" s="14">
        <v>44926</v>
      </c>
      <c r="AL135" t="s">
        <v>609</v>
      </c>
      <c r="AN135">
        <v>8537808015</v>
      </c>
      <c r="AR135">
        <v>0</v>
      </c>
      <c r="AS135">
        <v>8537808015</v>
      </c>
      <c r="BA135" t="s">
        <v>240</v>
      </c>
      <c r="BB135" t="s">
        <v>241</v>
      </c>
      <c r="BC135" t="s">
        <v>242</v>
      </c>
      <c r="DF135" s="15" t="s">
        <v>9369</v>
      </c>
      <c r="DG135" t="s">
        <v>126</v>
      </c>
      <c r="DH135" t="s">
        <v>127</v>
      </c>
      <c r="DI135" t="s">
        <v>150</v>
      </c>
      <c r="DJ135" t="s">
        <v>326</v>
      </c>
      <c r="DK135">
        <v>5000000</v>
      </c>
    </row>
    <row r="136" spans="1:115" x14ac:dyDescent="0.25">
      <c r="A136" t="s">
        <v>753</v>
      </c>
      <c r="B136" t="s">
        <v>754</v>
      </c>
      <c r="F136" t="s">
        <v>142</v>
      </c>
      <c r="N136" t="s">
        <v>755</v>
      </c>
      <c r="U136" t="s">
        <v>399</v>
      </c>
      <c r="V136" t="s">
        <v>400</v>
      </c>
      <c r="W136" t="s">
        <v>440</v>
      </c>
      <c r="Z136" s="14">
        <v>42046</v>
      </c>
      <c r="AA136" s="14">
        <v>42235</v>
      </c>
      <c r="AD136" s="14">
        <v>43100</v>
      </c>
      <c r="AL136" t="s">
        <v>136</v>
      </c>
      <c r="AN136">
        <v>30000000000</v>
      </c>
      <c r="AR136">
        <v>0</v>
      </c>
      <c r="AS136">
        <v>30000000000</v>
      </c>
      <c r="BA136" t="s">
        <v>581</v>
      </c>
      <c r="BB136" t="s">
        <v>582</v>
      </c>
      <c r="BC136" t="s">
        <v>442</v>
      </c>
      <c r="DF136" s="15" t="s">
        <v>9341</v>
      </c>
      <c r="DG136" t="s">
        <v>126</v>
      </c>
      <c r="DH136" t="s">
        <v>127</v>
      </c>
      <c r="DI136" t="s">
        <v>443</v>
      </c>
      <c r="DJ136" t="s">
        <v>366</v>
      </c>
      <c r="DK136">
        <v>30000000000</v>
      </c>
    </row>
    <row r="137" spans="1:115" x14ac:dyDescent="0.25">
      <c r="A137" t="s">
        <v>756</v>
      </c>
      <c r="B137" t="s">
        <v>757</v>
      </c>
      <c r="F137" t="s">
        <v>118</v>
      </c>
      <c r="N137" t="s">
        <v>758</v>
      </c>
      <c r="U137" t="s">
        <v>176</v>
      </c>
      <c r="Z137" s="14">
        <v>42242</v>
      </c>
      <c r="AA137" s="14">
        <v>42326</v>
      </c>
      <c r="AD137" s="14">
        <v>43830</v>
      </c>
      <c r="AL137" t="s">
        <v>136</v>
      </c>
      <c r="AN137">
        <v>11000000000</v>
      </c>
      <c r="AR137">
        <v>0</v>
      </c>
      <c r="AS137">
        <v>11000000000</v>
      </c>
      <c r="BA137" t="s">
        <v>675</v>
      </c>
      <c r="BB137" t="s">
        <v>676</v>
      </c>
      <c r="BC137" t="s">
        <v>442</v>
      </c>
      <c r="DF137" s="15" t="s">
        <v>9308</v>
      </c>
      <c r="DG137" t="s">
        <v>126</v>
      </c>
      <c r="DH137" t="s">
        <v>127</v>
      </c>
      <c r="DI137" t="s">
        <v>443</v>
      </c>
      <c r="DJ137" t="s">
        <v>366</v>
      </c>
      <c r="DK137">
        <v>11000000000</v>
      </c>
    </row>
    <row r="138" spans="1:115" x14ac:dyDescent="0.25">
      <c r="A138" t="s">
        <v>759</v>
      </c>
      <c r="B138" t="s">
        <v>757</v>
      </c>
      <c r="F138" t="s">
        <v>118</v>
      </c>
      <c r="N138" t="s">
        <v>760</v>
      </c>
      <c r="U138" t="s">
        <v>176</v>
      </c>
      <c r="Z138" s="14">
        <v>42242</v>
      </c>
      <c r="AA138" s="14">
        <v>42326</v>
      </c>
      <c r="AD138" s="14">
        <v>43830</v>
      </c>
      <c r="AL138" t="s">
        <v>136</v>
      </c>
      <c r="AN138">
        <v>2000000000</v>
      </c>
      <c r="AR138">
        <v>0</v>
      </c>
      <c r="AS138">
        <v>2000000000</v>
      </c>
      <c r="BA138" t="s">
        <v>738</v>
      </c>
      <c r="BB138" t="s">
        <v>739</v>
      </c>
      <c r="BC138" t="s">
        <v>442</v>
      </c>
      <c r="DF138" s="15" t="s">
        <v>9308</v>
      </c>
      <c r="DG138" t="s">
        <v>126</v>
      </c>
      <c r="DH138" t="s">
        <v>127</v>
      </c>
      <c r="DI138" t="s">
        <v>443</v>
      </c>
      <c r="DJ138" t="s">
        <v>366</v>
      </c>
      <c r="DK138">
        <v>2000000000</v>
      </c>
    </row>
    <row r="139" spans="1:115" x14ac:dyDescent="0.25">
      <c r="A139" t="s">
        <v>761</v>
      </c>
      <c r="B139" t="s">
        <v>757</v>
      </c>
      <c r="F139" t="s">
        <v>118</v>
      </c>
      <c r="N139" t="s">
        <v>762</v>
      </c>
      <c r="U139" t="s">
        <v>176</v>
      </c>
      <c r="Z139" s="14">
        <v>42242</v>
      </c>
      <c r="AA139" s="14">
        <v>42326</v>
      </c>
      <c r="AD139" s="14">
        <v>43830</v>
      </c>
      <c r="AL139" t="s">
        <v>136</v>
      </c>
      <c r="AN139">
        <v>2000000000</v>
      </c>
      <c r="AR139">
        <v>0</v>
      </c>
      <c r="AS139">
        <v>2000000000</v>
      </c>
      <c r="BA139" t="s">
        <v>763</v>
      </c>
      <c r="BB139" t="s">
        <v>764</v>
      </c>
      <c r="BC139" t="s">
        <v>442</v>
      </c>
      <c r="DF139" s="15" t="s">
        <v>9308</v>
      </c>
      <c r="DG139" t="s">
        <v>126</v>
      </c>
      <c r="DH139" t="s">
        <v>127</v>
      </c>
      <c r="DI139" t="s">
        <v>443</v>
      </c>
      <c r="DJ139" t="s">
        <v>366</v>
      </c>
      <c r="DK139">
        <v>2000000000</v>
      </c>
    </row>
    <row r="140" spans="1:115" x14ac:dyDescent="0.25">
      <c r="A140" t="s">
        <v>765</v>
      </c>
      <c r="B140" t="s">
        <v>766</v>
      </c>
      <c r="F140" t="s">
        <v>163</v>
      </c>
      <c r="N140" t="s">
        <v>767</v>
      </c>
      <c r="U140" t="s">
        <v>176</v>
      </c>
      <c r="Z140" s="14">
        <v>42256</v>
      </c>
      <c r="AA140" s="14">
        <v>42256</v>
      </c>
      <c r="AD140" s="14">
        <v>45099</v>
      </c>
      <c r="AL140" t="s">
        <v>624</v>
      </c>
      <c r="AN140">
        <v>206250000000</v>
      </c>
      <c r="AR140">
        <v>206250000000</v>
      </c>
      <c r="AS140">
        <v>0</v>
      </c>
      <c r="BA140" t="s">
        <v>768</v>
      </c>
      <c r="BB140" t="s">
        <v>769</v>
      </c>
      <c r="BC140" t="s">
        <v>242</v>
      </c>
      <c r="DF140" s="15" t="s">
        <v>9308</v>
      </c>
      <c r="DG140" t="s">
        <v>126</v>
      </c>
      <c r="DH140" t="s">
        <v>159</v>
      </c>
      <c r="DI140" t="s">
        <v>159</v>
      </c>
      <c r="DJ140" t="s">
        <v>326</v>
      </c>
      <c r="DK140">
        <v>375000000</v>
      </c>
    </row>
    <row r="141" spans="1:115" x14ac:dyDescent="0.25">
      <c r="A141" t="s">
        <v>770</v>
      </c>
      <c r="B141" t="s">
        <v>771</v>
      </c>
      <c r="F141" t="s">
        <v>142</v>
      </c>
      <c r="N141" t="s">
        <v>772</v>
      </c>
      <c r="U141" t="s">
        <v>399</v>
      </c>
      <c r="V141" t="s">
        <v>400</v>
      </c>
      <c r="Z141" s="14">
        <v>42262</v>
      </c>
      <c r="AA141" s="14">
        <v>42354</v>
      </c>
      <c r="AD141" s="14">
        <v>44561</v>
      </c>
      <c r="AL141" t="s">
        <v>276</v>
      </c>
      <c r="AN141">
        <v>8460000000</v>
      </c>
      <c r="AR141">
        <v>0</v>
      </c>
      <c r="AS141">
        <v>8460000000</v>
      </c>
      <c r="BA141" t="s">
        <v>277</v>
      </c>
      <c r="BB141" t="s">
        <v>278</v>
      </c>
      <c r="BC141" t="s">
        <v>125</v>
      </c>
      <c r="DF141" s="15" t="s">
        <v>9335</v>
      </c>
      <c r="DG141" t="s">
        <v>126</v>
      </c>
      <c r="DH141" t="s">
        <v>127</v>
      </c>
      <c r="DI141" t="s">
        <v>150</v>
      </c>
      <c r="DJ141" t="s">
        <v>366</v>
      </c>
      <c r="DK141">
        <v>11530000</v>
      </c>
    </row>
    <row r="142" spans="1:115" x14ac:dyDescent="0.25">
      <c r="A142" t="s">
        <v>773</v>
      </c>
      <c r="B142" t="s">
        <v>771</v>
      </c>
      <c r="F142" t="s">
        <v>142</v>
      </c>
      <c r="N142" t="s">
        <v>774</v>
      </c>
      <c r="U142" t="s">
        <v>399</v>
      </c>
      <c r="V142" t="s">
        <v>400</v>
      </c>
      <c r="Z142" s="14">
        <v>42137</v>
      </c>
      <c r="AA142" s="14">
        <v>42354</v>
      </c>
      <c r="AD142" s="14">
        <v>44196</v>
      </c>
      <c r="AL142" t="s">
        <v>136</v>
      </c>
      <c r="AN142">
        <v>15156000000</v>
      </c>
      <c r="AR142">
        <v>0</v>
      </c>
      <c r="AS142">
        <v>15156000000</v>
      </c>
      <c r="BA142" t="s">
        <v>775</v>
      </c>
      <c r="BB142" t="s">
        <v>775</v>
      </c>
      <c r="BC142" t="s">
        <v>442</v>
      </c>
      <c r="DF142" s="15" t="s">
        <v>9335</v>
      </c>
      <c r="DG142" t="s">
        <v>126</v>
      </c>
      <c r="DH142" t="s">
        <v>127</v>
      </c>
      <c r="DI142" t="s">
        <v>443</v>
      </c>
      <c r="DJ142" t="s">
        <v>139</v>
      </c>
      <c r="DK142">
        <v>15156000000</v>
      </c>
    </row>
    <row r="143" spans="1:115" x14ac:dyDescent="0.25">
      <c r="A143" t="s">
        <v>776</v>
      </c>
      <c r="B143" t="s">
        <v>777</v>
      </c>
      <c r="F143" t="s">
        <v>446</v>
      </c>
      <c r="N143" t="s">
        <v>778</v>
      </c>
      <c r="U143" t="s">
        <v>176</v>
      </c>
      <c r="Z143" s="14">
        <v>42138</v>
      </c>
      <c r="AA143" s="14">
        <v>42264</v>
      </c>
      <c r="AD143" s="14">
        <v>43465</v>
      </c>
      <c r="AL143" t="s">
        <v>136</v>
      </c>
      <c r="AN143">
        <v>10000000000</v>
      </c>
      <c r="AR143">
        <v>0</v>
      </c>
      <c r="AS143">
        <v>10000000000</v>
      </c>
      <c r="BA143" t="s">
        <v>581</v>
      </c>
      <c r="BB143" t="s">
        <v>582</v>
      </c>
      <c r="BC143" t="s">
        <v>442</v>
      </c>
      <c r="DF143" s="15" t="s">
        <v>9308</v>
      </c>
      <c r="DG143" t="s">
        <v>126</v>
      </c>
      <c r="DH143" t="s">
        <v>127</v>
      </c>
      <c r="DI143" t="s">
        <v>443</v>
      </c>
      <c r="DJ143" t="s">
        <v>326</v>
      </c>
      <c r="DK143">
        <v>10000000000</v>
      </c>
    </row>
    <row r="144" spans="1:115" x14ac:dyDescent="0.25">
      <c r="A144" t="s">
        <v>779</v>
      </c>
      <c r="B144" t="s">
        <v>780</v>
      </c>
      <c r="F144" t="s">
        <v>163</v>
      </c>
      <c r="N144" t="s">
        <v>781</v>
      </c>
      <c r="U144" t="s">
        <v>176</v>
      </c>
      <c r="Z144" s="14">
        <v>42282</v>
      </c>
      <c r="AA144" s="14">
        <v>42325</v>
      </c>
      <c r="AD144" s="14">
        <v>42735</v>
      </c>
      <c r="AL144" t="s">
        <v>624</v>
      </c>
      <c r="AN144">
        <v>10000000000</v>
      </c>
      <c r="AR144">
        <v>0</v>
      </c>
      <c r="AS144">
        <v>10000000000</v>
      </c>
      <c r="BA144" t="s">
        <v>178</v>
      </c>
      <c r="BB144" t="s">
        <v>179</v>
      </c>
      <c r="BC144" t="s">
        <v>125</v>
      </c>
      <c r="DF144" s="15" t="s">
        <v>9308</v>
      </c>
      <c r="DG144" t="s">
        <v>126</v>
      </c>
      <c r="DH144" t="s">
        <v>127</v>
      </c>
      <c r="DI144" t="s">
        <v>150</v>
      </c>
      <c r="DJ144" t="s">
        <v>372</v>
      </c>
      <c r="DK144">
        <v>20000000</v>
      </c>
    </row>
    <row r="145" spans="1:115" x14ac:dyDescent="0.25">
      <c r="A145" t="s">
        <v>782</v>
      </c>
      <c r="B145" t="s">
        <v>783</v>
      </c>
      <c r="F145" t="s">
        <v>446</v>
      </c>
      <c r="N145" t="s">
        <v>784</v>
      </c>
      <c r="U145" t="s">
        <v>176</v>
      </c>
      <c r="Z145" s="14">
        <v>42076</v>
      </c>
      <c r="AA145" s="14">
        <v>42287</v>
      </c>
      <c r="AD145" s="14">
        <v>43830</v>
      </c>
      <c r="AL145" t="s">
        <v>624</v>
      </c>
      <c r="AN145">
        <v>2750000000</v>
      </c>
      <c r="AR145">
        <v>0</v>
      </c>
      <c r="AS145">
        <v>2750000000</v>
      </c>
      <c r="BA145" t="s">
        <v>305</v>
      </c>
      <c r="BB145" t="s">
        <v>306</v>
      </c>
      <c r="BC145" t="s">
        <v>125</v>
      </c>
      <c r="DF145" s="15" t="s">
        <v>9308</v>
      </c>
      <c r="DG145" t="s">
        <v>785</v>
      </c>
      <c r="DH145" t="s">
        <v>127</v>
      </c>
      <c r="DI145" t="s">
        <v>150</v>
      </c>
      <c r="DJ145" t="s">
        <v>366</v>
      </c>
      <c r="DK145">
        <v>5000000</v>
      </c>
    </row>
    <row r="146" spans="1:115" x14ac:dyDescent="0.25">
      <c r="A146" t="s">
        <v>786</v>
      </c>
      <c r="B146" t="s">
        <v>787</v>
      </c>
      <c r="F146" t="s">
        <v>163</v>
      </c>
      <c r="N146" t="s">
        <v>788</v>
      </c>
      <c r="U146" t="s">
        <v>176</v>
      </c>
      <c r="Z146" s="14">
        <v>42073</v>
      </c>
      <c r="AA146" s="14">
        <v>42292</v>
      </c>
      <c r="AD146" s="14">
        <v>43830</v>
      </c>
      <c r="AL146" t="s">
        <v>122</v>
      </c>
      <c r="AN146">
        <v>327000000</v>
      </c>
      <c r="AR146">
        <v>327000000</v>
      </c>
      <c r="AS146">
        <v>0</v>
      </c>
      <c r="BA146" t="s">
        <v>337</v>
      </c>
      <c r="BB146" t="s">
        <v>338</v>
      </c>
      <c r="BC146" t="s">
        <v>242</v>
      </c>
      <c r="DF146" s="15" t="s">
        <v>9308</v>
      </c>
      <c r="DG146" t="s">
        <v>170</v>
      </c>
      <c r="DH146" t="s">
        <v>159</v>
      </c>
      <c r="DI146" t="s">
        <v>159</v>
      </c>
      <c r="DJ146" t="s">
        <v>326</v>
      </c>
      <c r="DK146">
        <v>500000</v>
      </c>
    </row>
    <row r="147" spans="1:115" x14ac:dyDescent="0.25">
      <c r="A147" t="s">
        <v>789</v>
      </c>
      <c r="B147" t="s">
        <v>790</v>
      </c>
      <c r="F147" t="s">
        <v>205</v>
      </c>
      <c r="N147" t="s">
        <v>791</v>
      </c>
      <c r="U147" t="s">
        <v>165</v>
      </c>
      <c r="V147" t="s">
        <v>166</v>
      </c>
      <c r="Z147" s="14">
        <v>42227</v>
      </c>
      <c r="AA147" s="14">
        <v>42321</v>
      </c>
      <c r="AD147" t="s">
        <v>650</v>
      </c>
      <c r="AL147" t="s">
        <v>136</v>
      </c>
      <c r="AN147">
        <v>3000000000</v>
      </c>
      <c r="AR147">
        <v>0</v>
      </c>
      <c r="AS147">
        <v>3000000000</v>
      </c>
      <c r="BA147" t="s">
        <v>738</v>
      </c>
      <c r="BB147" t="s">
        <v>739</v>
      </c>
      <c r="BC147" t="s">
        <v>442</v>
      </c>
      <c r="DF147" s="15" t="s">
        <v>9307</v>
      </c>
      <c r="DG147" t="s">
        <v>126</v>
      </c>
      <c r="DH147" t="s">
        <v>127</v>
      </c>
      <c r="DI147" t="s">
        <v>443</v>
      </c>
      <c r="DJ147" t="s">
        <v>172</v>
      </c>
      <c r="DK147">
        <v>3000000000</v>
      </c>
    </row>
    <row r="148" spans="1:115" x14ac:dyDescent="0.25">
      <c r="A148" t="s">
        <v>792</v>
      </c>
      <c r="B148" t="s">
        <v>793</v>
      </c>
      <c r="F148" t="s">
        <v>263</v>
      </c>
      <c r="N148" t="s">
        <v>794</v>
      </c>
      <c r="U148" t="s">
        <v>795</v>
      </c>
      <c r="V148" t="s">
        <v>796</v>
      </c>
      <c r="Z148" s="14">
        <v>42324</v>
      </c>
      <c r="AA148" s="14">
        <v>42354</v>
      </c>
      <c r="AD148" s="14">
        <v>44561</v>
      </c>
      <c r="AL148" t="s">
        <v>276</v>
      </c>
      <c r="AN148">
        <v>5500000000</v>
      </c>
      <c r="AR148">
        <v>0</v>
      </c>
      <c r="AS148">
        <v>5500000000</v>
      </c>
      <c r="BA148" t="s">
        <v>277</v>
      </c>
      <c r="BB148" t="s">
        <v>278</v>
      </c>
      <c r="BC148" t="s">
        <v>125</v>
      </c>
      <c r="DF148" s="15" t="s">
        <v>9370</v>
      </c>
      <c r="DG148" t="s">
        <v>126</v>
      </c>
      <c r="DH148" t="s">
        <v>127</v>
      </c>
      <c r="DI148" t="s">
        <v>150</v>
      </c>
      <c r="DJ148" t="s">
        <v>366</v>
      </c>
      <c r="DK148">
        <v>6000000</v>
      </c>
    </row>
    <row r="149" spans="1:115" x14ac:dyDescent="0.25">
      <c r="A149" t="s">
        <v>797</v>
      </c>
      <c r="B149" t="s">
        <v>798</v>
      </c>
      <c r="F149" t="s">
        <v>190</v>
      </c>
      <c r="N149" t="s">
        <v>799</v>
      </c>
      <c r="U149" t="s">
        <v>800</v>
      </c>
      <c r="Z149" s="14">
        <v>42324</v>
      </c>
      <c r="AA149" s="14">
        <v>42354</v>
      </c>
      <c r="AD149" s="14">
        <v>45107</v>
      </c>
      <c r="AL149" t="s">
        <v>624</v>
      </c>
      <c r="AN149">
        <v>13200000000</v>
      </c>
      <c r="AR149">
        <v>13200000000</v>
      </c>
      <c r="AS149">
        <v>0</v>
      </c>
      <c r="BA149" t="s">
        <v>277</v>
      </c>
      <c r="BB149" t="s">
        <v>278</v>
      </c>
      <c r="BC149" t="s">
        <v>125</v>
      </c>
      <c r="DF149" s="15" t="s">
        <v>9371</v>
      </c>
      <c r="DG149" t="s">
        <v>126</v>
      </c>
      <c r="DH149" t="s">
        <v>159</v>
      </c>
      <c r="DI149" t="s">
        <v>159</v>
      </c>
      <c r="DJ149" t="s">
        <v>366</v>
      </c>
      <c r="DK149">
        <v>24000000</v>
      </c>
    </row>
    <row r="150" spans="1:115" x14ac:dyDescent="0.25">
      <c r="A150" t="s">
        <v>801</v>
      </c>
      <c r="B150" t="s">
        <v>802</v>
      </c>
      <c r="F150" t="s">
        <v>163</v>
      </c>
      <c r="N150" t="s">
        <v>803</v>
      </c>
      <c r="U150" t="s">
        <v>176</v>
      </c>
      <c r="Z150" s="14">
        <v>42324</v>
      </c>
      <c r="AA150" s="14">
        <v>42333</v>
      </c>
      <c r="AD150" s="14">
        <v>43100</v>
      </c>
      <c r="AL150" t="s">
        <v>276</v>
      </c>
      <c r="AN150">
        <v>4100000000</v>
      </c>
      <c r="AR150">
        <v>0</v>
      </c>
      <c r="AS150">
        <v>4100000000</v>
      </c>
      <c r="BA150" t="s">
        <v>277</v>
      </c>
      <c r="BB150" t="s">
        <v>278</v>
      </c>
      <c r="BC150" t="s">
        <v>125</v>
      </c>
      <c r="DF150" s="15" t="s">
        <v>9308</v>
      </c>
      <c r="DG150" t="s">
        <v>317</v>
      </c>
      <c r="DH150" t="s">
        <v>127</v>
      </c>
      <c r="DI150" t="s">
        <v>150</v>
      </c>
      <c r="DJ150" t="s">
        <v>366</v>
      </c>
      <c r="DK150">
        <v>4970000</v>
      </c>
    </row>
    <row r="151" spans="1:115" x14ac:dyDescent="0.25">
      <c r="A151" t="s">
        <v>804</v>
      </c>
      <c r="B151" t="s">
        <v>805</v>
      </c>
      <c r="F151" t="s">
        <v>806</v>
      </c>
      <c r="N151" t="s">
        <v>807</v>
      </c>
      <c r="U151" t="s">
        <v>808</v>
      </c>
      <c r="V151" t="s">
        <v>809</v>
      </c>
      <c r="Z151" s="14">
        <v>42137</v>
      </c>
      <c r="AA151" s="14">
        <v>42324</v>
      </c>
      <c r="AD151" s="14">
        <v>43465</v>
      </c>
      <c r="AL151" t="s">
        <v>136</v>
      </c>
      <c r="AN151">
        <v>2000000000</v>
      </c>
      <c r="AR151">
        <v>0</v>
      </c>
      <c r="AS151">
        <v>2000000000</v>
      </c>
      <c r="BA151" t="s">
        <v>775</v>
      </c>
      <c r="BB151" t="s">
        <v>775</v>
      </c>
      <c r="BC151" t="s">
        <v>442</v>
      </c>
      <c r="DF151" s="15" t="s">
        <v>9372</v>
      </c>
      <c r="DG151" t="s">
        <v>126</v>
      </c>
      <c r="DH151" t="s">
        <v>127</v>
      </c>
      <c r="DI151" t="s">
        <v>443</v>
      </c>
      <c r="DJ151" t="s">
        <v>172</v>
      </c>
      <c r="DK151">
        <v>2000000000</v>
      </c>
    </row>
    <row r="152" spans="1:115" x14ac:dyDescent="0.25">
      <c r="A152" t="s">
        <v>810</v>
      </c>
      <c r="B152" t="s">
        <v>811</v>
      </c>
      <c r="F152" t="s">
        <v>118</v>
      </c>
      <c r="N152" t="s">
        <v>812</v>
      </c>
      <c r="U152" t="s">
        <v>176</v>
      </c>
      <c r="Z152" s="14">
        <v>42137</v>
      </c>
      <c r="AA152" s="14">
        <v>42341</v>
      </c>
      <c r="AD152" s="14">
        <v>44196</v>
      </c>
      <c r="AL152" t="s">
        <v>136</v>
      </c>
      <c r="AN152">
        <v>25000000000</v>
      </c>
      <c r="AR152">
        <v>0</v>
      </c>
      <c r="AS152">
        <v>25000000000</v>
      </c>
      <c r="BA152" t="s">
        <v>775</v>
      </c>
      <c r="BB152" t="s">
        <v>775</v>
      </c>
      <c r="BC152" t="s">
        <v>442</v>
      </c>
      <c r="DF152" s="15" t="s">
        <v>9308</v>
      </c>
      <c r="DG152" t="s">
        <v>126</v>
      </c>
      <c r="DH152" t="s">
        <v>127</v>
      </c>
      <c r="DI152" t="s">
        <v>443</v>
      </c>
      <c r="DJ152" t="s">
        <v>172</v>
      </c>
      <c r="DK152">
        <v>25000000000</v>
      </c>
    </row>
    <row r="153" spans="1:115" x14ac:dyDescent="0.25">
      <c r="A153" t="s">
        <v>813</v>
      </c>
      <c r="B153" t="s">
        <v>814</v>
      </c>
      <c r="F153" t="s">
        <v>142</v>
      </c>
      <c r="N153" t="s">
        <v>815</v>
      </c>
      <c r="U153" t="s">
        <v>816</v>
      </c>
      <c r="V153" t="s">
        <v>817</v>
      </c>
      <c r="W153" t="s">
        <v>818</v>
      </c>
      <c r="Z153" s="14">
        <v>42088</v>
      </c>
      <c r="AA153" s="14">
        <v>42349</v>
      </c>
      <c r="AD153" s="14">
        <v>43830</v>
      </c>
      <c r="AL153" t="s">
        <v>136</v>
      </c>
      <c r="AN153">
        <v>23000000000</v>
      </c>
      <c r="AR153">
        <v>0</v>
      </c>
      <c r="AS153">
        <v>23000000000</v>
      </c>
      <c r="BA153" t="s">
        <v>675</v>
      </c>
      <c r="BB153" t="s">
        <v>676</v>
      </c>
      <c r="BC153" t="s">
        <v>442</v>
      </c>
      <c r="DF153" s="15" t="s">
        <v>9373</v>
      </c>
      <c r="DG153" t="s">
        <v>126</v>
      </c>
      <c r="DH153" t="s">
        <v>127</v>
      </c>
      <c r="DI153" t="s">
        <v>443</v>
      </c>
      <c r="DJ153" t="s">
        <v>366</v>
      </c>
      <c r="DK153">
        <v>23000000000</v>
      </c>
    </row>
    <row r="154" spans="1:115" x14ac:dyDescent="0.25">
      <c r="A154" t="s">
        <v>819</v>
      </c>
      <c r="B154" t="s">
        <v>820</v>
      </c>
      <c r="F154" t="s">
        <v>118</v>
      </c>
      <c r="N154" t="s">
        <v>821</v>
      </c>
      <c r="U154" t="s">
        <v>176</v>
      </c>
      <c r="Z154" s="14">
        <v>42166</v>
      </c>
      <c r="AA154" s="14">
        <v>42353</v>
      </c>
      <c r="AD154" s="14">
        <v>44012</v>
      </c>
      <c r="AL154" t="s">
        <v>122</v>
      </c>
      <c r="AN154">
        <v>55756345000</v>
      </c>
      <c r="AR154">
        <v>0</v>
      </c>
      <c r="AS154">
        <v>55756345000</v>
      </c>
      <c r="BA154" t="s">
        <v>822</v>
      </c>
      <c r="BB154" t="s">
        <v>823</v>
      </c>
      <c r="BC154" t="s">
        <v>242</v>
      </c>
      <c r="DF154" s="15" t="s">
        <v>9308</v>
      </c>
      <c r="DG154" t="s">
        <v>126</v>
      </c>
      <c r="DH154" t="s">
        <v>127</v>
      </c>
      <c r="DI154" t="s">
        <v>824</v>
      </c>
      <c r="DJ154" t="s">
        <v>129</v>
      </c>
      <c r="DK154">
        <v>85000000</v>
      </c>
    </row>
    <row r="155" spans="1:115" x14ac:dyDescent="0.25">
      <c r="A155" t="s">
        <v>825</v>
      </c>
      <c r="B155" t="s">
        <v>826</v>
      </c>
      <c r="F155" t="s">
        <v>118</v>
      </c>
      <c r="N155" t="s">
        <v>827</v>
      </c>
      <c r="U155" t="s">
        <v>828</v>
      </c>
      <c r="V155" t="s">
        <v>829</v>
      </c>
      <c r="Z155" s="14">
        <v>42032</v>
      </c>
      <c r="AA155" s="14">
        <v>42356</v>
      </c>
      <c r="AD155" s="14">
        <v>44561</v>
      </c>
      <c r="AL155" t="s">
        <v>624</v>
      </c>
      <c r="AN155">
        <v>105605655000</v>
      </c>
      <c r="AR155">
        <v>0</v>
      </c>
      <c r="AS155">
        <v>105605655000</v>
      </c>
      <c r="BA155" t="s">
        <v>471</v>
      </c>
      <c r="BB155" t="s">
        <v>472</v>
      </c>
      <c r="BC155" t="s">
        <v>242</v>
      </c>
      <c r="DF155" s="15" t="s">
        <v>9374</v>
      </c>
      <c r="DG155" t="s">
        <v>126</v>
      </c>
      <c r="DH155" t="s">
        <v>127</v>
      </c>
      <c r="DI155" t="s">
        <v>824</v>
      </c>
      <c r="DJ155" t="s">
        <v>151</v>
      </c>
      <c r="DK155">
        <v>211311310</v>
      </c>
    </row>
    <row r="156" spans="1:115" x14ac:dyDescent="0.25">
      <c r="A156" t="s">
        <v>830</v>
      </c>
      <c r="B156" t="s">
        <v>831</v>
      </c>
      <c r="F156" t="s">
        <v>190</v>
      </c>
      <c r="N156" t="s">
        <v>832</v>
      </c>
      <c r="U156" t="s">
        <v>176</v>
      </c>
      <c r="Z156" s="14">
        <v>42311</v>
      </c>
      <c r="AA156" s="14">
        <v>42359</v>
      </c>
      <c r="AD156" s="14">
        <v>43830</v>
      </c>
      <c r="AL156" t="s">
        <v>122</v>
      </c>
      <c r="AN156">
        <v>7871484000</v>
      </c>
      <c r="AR156">
        <v>7871484000</v>
      </c>
      <c r="AS156">
        <v>0</v>
      </c>
      <c r="BA156" t="s">
        <v>267</v>
      </c>
      <c r="BB156" t="s">
        <v>267</v>
      </c>
      <c r="BC156" t="s">
        <v>242</v>
      </c>
      <c r="DF156" s="15" t="s">
        <v>9308</v>
      </c>
      <c r="DG156" t="s">
        <v>126</v>
      </c>
      <c r="DH156" t="s">
        <v>159</v>
      </c>
      <c r="DI156" t="s">
        <v>159</v>
      </c>
      <c r="DJ156" t="s">
        <v>129</v>
      </c>
      <c r="DK156">
        <v>12000000</v>
      </c>
    </row>
    <row r="157" spans="1:115" x14ac:dyDescent="0.25">
      <c r="A157" t="s">
        <v>833</v>
      </c>
      <c r="B157" t="s">
        <v>834</v>
      </c>
      <c r="F157" t="s">
        <v>163</v>
      </c>
      <c r="N157" t="s">
        <v>835</v>
      </c>
      <c r="U157" t="s">
        <v>165</v>
      </c>
      <c r="V157" t="s">
        <v>166</v>
      </c>
      <c r="Z157" s="14">
        <v>42352</v>
      </c>
      <c r="AA157" s="14">
        <v>42368</v>
      </c>
      <c r="AD157" s="14">
        <v>43830</v>
      </c>
      <c r="AL157" t="s">
        <v>122</v>
      </c>
      <c r="AN157">
        <v>6559750000</v>
      </c>
      <c r="AR157">
        <v>6559750000</v>
      </c>
      <c r="AS157">
        <v>0</v>
      </c>
      <c r="BA157" t="s">
        <v>267</v>
      </c>
      <c r="BB157" t="s">
        <v>267</v>
      </c>
      <c r="BC157" t="s">
        <v>242</v>
      </c>
      <c r="DF157" s="15" t="s">
        <v>9307</v>
      </c>
      <c r="DG157" t="s">
        <v>126</v>
      </c>
      <c r="DH157" t="s">
        <v>159</v>
      </c>
      <c r="DI157" t="s">
        <v>159</v>
      </c>
      <c r="DJ157" t="s">
        <v>129</v>
      </c>
      <c r="DK157">
        <v>10000000</v>
      </c>
    </row>
    <row r="158" spans="1:115" x14ac:dyDescent="0.25">
      <c r="A158" t="s">
        <v>836</v>
      </c>
      <c r="B158" t="s">
        <v>837</v>
      </c>
      <c r="F158" t="s">
        <v>142</v>
      </c>
      <c r="N158" t="s">
        <v>838</v>
      </c>
      <c r="U158" t="s">
        <v>185</v>
      </c>
      <c r="V158" t="s">
        <v>839</v>
      </c>
      <c r="W158" t="s">
        <v>840</v>
      </c>
      <c r="Z158" s="14">
        <v>42060</v>
      </c>
      <c r="AA158" s="14">
        <v>42368</v>
      </c>
      <c r="AD158" s="14">
        <v>43465</v>
      </c>
      <c r="AL158" t="s">
        <v>136</v>
      </c>
      <c r="AN158">
        <v>15983239315</v>
      </c>
      <c r="AR158">
        <v>0</v>
      </c>
      <c r="AS158">
        <v>15983239315</v>
      </c>
      <c r="BA158" t="s">
        <v>441</v>
      </c>
      <c r="BB158" t="s">
        <v>441</v>
      </c>
      <c r="BC158" t="s">
        <v>442</v>
      </c>
      <c r="DF158" s="15" t="s">
        <v>9375</v>
      </c>
      <c r="DG158" t="s">
        <v>126</v>
      </c>
      <c r="DH158" t="s">
        <v>127</v>
      </c>
      <c r="DI158" t="s">
        <v>841</v>
      </c>
      <c r="DJ158" t="s">
        <v>151</v>
      </c>
      <c r="DK158">
        <v>15983239315</v>
      </c>
    </row>
    <row r="159" spans="1:115" x14ac:dyDescent="0.25">
      <c r="A159" t="s">
        <v>842</v>
      </c>
      <c r="B159" t="s">
        <v>843</v>
      </c>
      <c r="F159" t="s">
        <v>190</v>
      </c>
      <c r="N159" t="s">
        <v>844</v>
      </c>
      <c r="U159" t="s">
        <v>845</v>
      </c>
      <c r="V159" t="s">
        <v>846</v>
      </c>
      <c r="AA159" s="14">
        <v>42051</v>
      </c>
      <c r="AD159" s="14">
        <v>44957</v>
      </c>
      <c r="AL159" t="s">
        <v>122</v>
      </c>
      <c r="AN159">
        <v>7871484000</v>
      </c>
      <c r="AR159">
        <v>0</v>
      </c>
      <c r="AS159">
        <v>7871484000</v>
      </c>
      <c r="BA159" t="s">
        <v>337</v>
      </c>
      <c r="BB159" t="s">
        <v>338</v>
      </c>
      <c r="BC159" t="s">
        <v>242</v>
      </c>
      <c r="DF159" s="15" t="s">
        <v>9376</v>
      </c>
      <c r="DG159" t="s">
        <v>126</v>
      </c>
      <c r="DH159" t="s">
        <v>127</v>
      </c>
      <c r="DI159" t="s">
        <v>150</v>
      </c>
      <c r="DJ159" t="s">
        <v>847</v>
      </c>
      <c r="DK159">
        <v>12000000</v>
      </c>
    </row>
    <row r="160" spans="1:115" x14ac:dyDescent="0.25">
      <c r="A160" t="s">
        <v>848</v>
      </c>
      <c r="B160" t="s">
        <v>826</v>
      </c>
      <c r="F160" t="s">
        <v>118</v>
      </c>
      <c r="N160" t="s">
        <v>849</v>
      </c>
      <c r="U160" t="s">
        <v>828</v>
      </c>
      <c r="V160" t="s">
        <v>829</v>
      </c>
      <c r="Z160" s="14">
        <v>42563</v>
      </c>
      <c r="AA160" s="14">
        <v>42604</v>
      </c>
      <c r="AD160" s="14">
        <v>45657</v>
      </c>
      <c r="AL160" t="s">
        <v>357</v>
      </c>
      <c r="AN160">
        <v>32400000000</v>
      </c>
      <c r="AR160">
        <v>0</v>
      </c>
      <c r="AS160">
        <v>32400000000</v>
      </c>
      <c r="BA160" t="s">
        <v>471</v>
      </c>
      <c r="BB160" t="s">
        <v>472</v>
      </c>
      <c r="BC160" t="s">
        <v>242</v>
      </c>
      <c r="DF160" s="15" t="s">
        <v>9374</v>
      </c>
      <c r="DG160" t="s">
        <v>126</v>
      </c>
      <c r="DH160" t="s">
        <v>127</v>
      </c>
      <c r="DI160" t="s">
        <v>150</v>
      </c>
      <c r="DJ160" t="s">
        <v>151</v>
      </c>
      <c r="DK160">
        <v>400000000</v>
      </c>
    </row>
    <row r="161" spans="1:115" x14ac:dyDescent="0.25">
      <c r="A161" t="s">
        <v>850</v>
      </c>
      <c r="B161" t="s">
        <v>851</v>
      </c>
      <c r="F161" t="s">
        <v>163</v>
      </c>
      <c r="N161" t="s">
        <v>852</v>
      </c>
      <c r="U161" t="s">
        <v>165</v>
      </c>
      <c r="V161" t="s">
        <v>166</v>
      </c>
      <c r="Z161" s="14">
        <v>42387</v>
      </c>
      <c r="AA161" s="14">
        <v>42464</v>
      </c>
      <c r="AD161" s="14">
        <v>43465</v>
      </c>
      <c r="AL161" t="s">
        <v>136</v>
      </c>
      <c r="AN161">
        <v>3000000000</v>
      </c>
      <c r="AR161">
        <v>0</v>
      </c>
      <c r="AS161">
        <v>3000000000</v>
      </c>
      <c r="BA161" t="s">
        <v>123</v>
      </c>
      <c r="BB161" t="s">
        <v>124</v>
      </c>
      <c r="BC161" t="s">
        <v>125</v>
      </c>
      <c r="DF161" s="15" t="s">
        <v>9307</v>
      </c>
      <c r="DG161" t="s">
        <v>235</v>
      </c>
      <c r="DH161" t="s">
        <v>127</v>
      </c>
      <c r="DI161" t="s">
        <v>236</v>
      </c>
      <c r="DJ161" t="s">
        <v>853</v>
      </c>
      <c r="DK161">
        <v>3000000000</v>
      </c>
    </row>
    <row r="162" spans="1:115" x14ac:dyDescent="0.25">
      <c r="A162" t="s">
        <v>854</v>
      </c>
      <c r="B162" t="s">
        <v>855</v>
      </c>
      <c r="F162" t="s">
        <v>190</v>
      </c>
      <c r="I162" t="s">
        <v>856</v>
      </c>
      <c r="N162" t="s">
        <v>857</v>
      </c>
      <c r="U162" t="s">
        <v>858</v>
      </c>
      <c r="Z162" s="14">
        <v>42401</v>
      </c>
      <c r="AA162" s="14">
        <v>42501</v>
      </c>
      <c r="AD162" s="14">
        <v>45291</v>
      </c>
      <c r="AL162" t="s">
        <v>136</v>
      </c>
      <c r="AN162">
        <v>16984914535</v>
      </c>
      <c r="AR162">
        <v>0</v>
      </c>
      <c r="AS162">
        <v>16984914535</v>
      </c>
      <c r="AY162" t="s">
        <v>557</v>
      </c>
      <c r="AZ162" t="s">
        <v>859</v>
      </c>
      <c r="BA162" t="s">
        <v>738</v>
      </c>
      <c r="BB162" t="s">
        <v>739</v>
      </c>
      <c r="BC162" t="s">
        <v>442</v>
      </c>
      <c r="BK162" t="s">
        <v>860</v>
      </c>
      <c r="BM162" t="s">
        <v>861</v>
      </c>
      <c r="BN162" t="s">
        <v>862</v>
      </c>
      <c r="BO162" t="s">
        <v>863</v>
      </c>
      <c r="BP162">
        <v>2.2999999999999998</v>
      </c>
      <c r="BQ162" t="s">
        <v>864</v>
      </c>
      <c r="DF162" s="15" t="s">
        <v>9377</v>
      </c>
      <c r="DG162" t="s">
        <v>126</v>
      </c>
      <c r="DH162" t="s">
        <v>127</v>
      </c>
      <c r="DI162" t="s">
        <v>443</v>
      </c>
      <c r="DJ162" t="s">
        <v>129</v>
      </c>
      <c r="DK162">
        <v>16984914535</v>
      </c>
    </row>
    <row r="163" spans="1:115" x14ac:dyDescent="0.25">
      <c r="A163" t="s">
        <v>865</v>
      </c>
      <c r="B163" t="s">
        <v>855</v>
      </c>
      <c r="F163" t="s">
        <v>190</v>
      </c>
      <c r="I163" t="s">
        <v>856</v>
      </c>
      <c r="N163" t="s">
        <v>866</v>
      </c>
      <c r="U163" t="s">
        <v>858</v>
      </c>
      <c r="Z163" s="14">
        <v>42401</v>
      </c>
      <c r="AA163" s="14">
        <v>42432</v>
      </c>
      <c r="AD163" s="14">
        <v>45291</v>
      </c>
      <c r="AL163" t="s">
        <v>136</v>
      </c>
      <c r="AN163">
        <v>15000000000</v>
      </c>
      <c r="AR163">
        <v>0</v>
      </c>
      <c r="AS163">
        <v>15000000000</v>
      </c>
      <c r="AY163" t="s">
        <v>557</v>
      </c>
      <c r="AZ163" t="s">
        <v>859</v>
      </c>
      <c r="BA163" t="s">
        <v>123</v>
      </c>
      <c r="BB163" t="s">
        <v>124</v>
      </c>
      <c r="BC163" t="s">
        <v>125</v>
      </c>
      <c r="BK163" t="s">
        <v>860</v>
      </c>
      <c r="BM163" t="s">
        <v>861</v>
      </c>
      <c r="BN163" t="s">
        <v>862</v>
      </c>
      <c r="BO163" t="s">
        <v>863</v>
      </c>
      <c r="BP163">
        <v>2.2999999999999998</v>
      </c>
      <c r="BQ163" t="s">
        <v>864</v>
      </c>
      <c r="DF163" s="15" t="s">
        <v>9377</v>
      </c>
      <c r="DG163" t="s">
        <v>126</v>
      </c>
      <c r="DH163" t="s">
        <v>127</v>
      </c>
      <c r="DI163" t="s">
        <v>128</v>
      </c>
      <c r="DJ163" t="s">
        <v>853</v>
      </c>
      <c r="DK163">
        <v>15000000000</v>
      </c>
    </row>
    <row r="164" spans="1:115" x14ac:dyDescent="0.25">
      <c r="A164" t="s">
        <v>867</v>
      </c>
      <c r="B164" t="s">
        <v>855</v>
      </c>
      <c r="F164" t="s">
        <v>190</v>
      </c>
      <c r="I164" t="s">
        <v>856</v>
      </c>
      <c r="N164" t="s">
        <v>868</v>
      </c>
      <c r="U164" t="s">
        <v>858</v>
      </c>
      <c r="Z164" s="14">
        <v>42401</v>
      </c>
      <c r="AA164" s="14">
        <v>42510</v>
      </c>
      <c r="AD164" s="14">
        <v>45291</v>
      </c>
      <c r="AL164" t="s">
        <v>136</v>
      </c>
      <c r="AN164">
        <v>15000000000</v>
      </c>
      <c r="AR164">
        <v>0</v>
      </c>
      <c r="AS164">
        <v>15000000000</v>
      </c>
      <c r="AY164" t="s">
        <v>557</v>
      </c>
      <c r="AZ164" t="s">
        <v>859</v>
      </c>
      <c r="BA164" t="s">
        <v>137</v>
      </c>
      <c r="BB164" t="s">
        <v>138</v>
      </c>
      <c r="BC164" t="s">
        <v>125</v>
      </c>
      <c r="BK164" t="s">
        <v>860</v>
      </c>
      <c r="BM164" t="s">
        <v>861</v>
      </c>
      <c r="BN164" t="s">
        <v>862</v>
      </c>
      <c r="BO164" t="s">
        <v>863</v>
      </c>
      <c r="BP164">
        <v>2.2999999999999998</v>
      </c>
      <c r="BQ164" t="s">
        <v>864</v>
      </c>
      <c r="DF164" s="15" t="s">
        <v>9377</v>
      </c>
      <c r="DG164" t="s">
        <v>126</v>
      </c>
      <c r="DH164" t="s">
        <v>127</v>
      </c>
      <c r="DI164" t="s">
        <v>128</v>
      </c>
      <c r="DJ164" t="s">
        <v>139</v>
      </c>
      <c r="DK164">
        <v>15000000000</v>
      </c>
    </row>
    <row r="165" spans="1:115" x14ac:dyDescent="0.25">
      <c r="A165" t="s">
        <v>869</v>
      </c>
      <c r="B165" t="s">
        <v>855</v>
      </c>
      <c r="F165" t="s">
        <v>190</v>
      </c>
      <c r="I165" t="s">
        <v>856</v>
      </c>
      <c r="N165" t="s">
        <v>870</v>
      </c>
      <c r="U165" t="s">
        <v>858</v>
      </c>
      <c r="Z165" s="14">
        <v>42535</v>
      </c>
      <c r="AA165" s="14">
        <v>42683</v>
      </c>
      <c r="AD165" s="14">
        <v>45291</v>
      </c>
      <c r="AL165" t="s">
        <v>624</v>
      </c>
      <c r="AN165">
        <v>7000000000</v>
      </c>
      <c r="AR165">
        <v>0</v>
      </c>
      <c r="AS165">
        <v>7000000000</v>
      </c>
      <c r="AY165" t="s">
        <v>557</v>
      </c>
      <c r="AZ165" t="s">
        <v>859</v>
      </c>
      <c r="BA165" t="s">
        <v>612</v>
      </c>
      <c r="BB165" t="s">
        <v>149</v>
      </c>
      <c r="BC165" t="s">
        <v>125</v>
      </c>
      <c r="BK165" t="s">
        <v>860</v>
      </c>
      <c r="BM165" t="s">
        <v>861</v>
      </c>
      <c r="BN165" t="s">
        <v>862</v>
      </c>
      <c r="BO165" t="s">
        <v>863</v>
      </c>
      <c r="BP165">
        <v>2.2999999999999998</v>
      </c>
      <c r="BQ165" t="s">
        <v>864</v>
      </c>
      <c r="DF165" s="15" t="s">
        <v>9377</v>
      </c>
      <c r="DG165" t="s">
        <v>126</v>
      </c>
      <c r="DH165" t="s">
        <v>127</v>
      </c>
      <c r="DI165" t="s">
        <v>150</v>
      </c>
      <c r="DJ165" t="s">
        <v>326</v>
      </c>
      <c r="DK165">
        <v>12000000</v>
      </c>
    </row>
    <row r="166" spans="1:115" x14ac:dyDescent="0.25">
      <c r="A166" t="s">
        <v>871</v>
      </c>
      <c r="B166" t="s">
        <v>872</v>
      </c>
      <c r="F166" t="s">
        <v>873</v>
      </c>
      <c r="N166" t="s">
        <v>874</v>
      </c>
      <c r="U166" t="s">
        <v>875</v>
      </c>
      <c r="V166" t="s">
        <v>876</v>
      </c>
      <c r="Z166" s="14">
        <v>42405</v>
      </c>
      <c r="AA166" s="14">
        <v>42472</v>
      </c>
      <c r="AD166" s="14">
        <v>43465</v>
      </c>
      <c r="AL166" t="s">
        <v>624</v>
      </c>
      <c r="AN166">
        <v>15000000000</v>
      </c>
      <c r="AR166">
        <v>0</v>
      </c>
      <c r="AS166">
        <v>15000000000</v>
      </c>
      <c r="BA166" t="s">
        <v>178</v>
      </c>
      <c r="BB166" t="s">
        <v>179</v>
      </c>
      <c r="BC166" t="s">
        <v>125</v>
      </c>
      <c r="DF166" s="15" t="s">
        <v>9378</v>
      </c>
      <c r="DG166" t="s">
        <v>235</v>
      </c>
      <c r="DH166" t="s">
        <v>127</v>
      </c>
      <c r="DI166" t="s">
        <v>236</v>
      </c>
      <c r="DJ166" t="s">
        <v>181</v>
      </c>
      <c r="DK166">
        <v>25000000</v>
      </c>
    </row>
    <row r="167" spans="1:115" x14ac:dyDescent="0.25">
      <c r="A167" t="s">
        <v>877</v>
      </c>
      <c r="B167" t="s">
        <v>878</v>
      </c>
      <c r="F167" t="s">
        <v>446</v>
      </c>
      <c r="I167" t="s">
        <v>856</v>
      </c>
      <c r="N167" t="s">
        <v>879</v>
      </c>
      <c r="U167" t="s">
        <v>176</v>
      </c>
      <c r="Z167" s="14">
        <v>42433</v>
      </c>
      <c r="AA167" s="14">
        <v>42515</v>
      </c>
      <c r="AD167" s="14">
        <v>44561</v>
      </c>
      <c r="AL167" t="s">
        <v>624</v>
      </c>
      <c r="AN167">
        <v>5500000000</v>
      </c>
      <c r="AR167">
        <v>0</v>
      </c>
      <c r="AS167">
        <v>5500000000</v>
      </c>
      <c r="AY167" t="s">
        <v>557</v>
      </c>
      <c r="AZ167" t="s">
        <v>880</v>
      </c>
      <c r="BA167" t="s">
        <v>168</v>
      </c>
      <c r="BB167" t="s">
        <v>169</v>
      </c>
      <c r="BC167" t="s">
        <v>125</v>
      </c>
      <c r="BK167" t="s">
        <v>860</v>
      </c>
      <c r="BM167" t="s">
        <v>861</v>
      </c>
      <c r="BN167" t="s">
        <v>862</v>
      </c>
      <c r="BO167" t="s">
        <v>863</v>
      </c>
      <c r="BP167">
        <v>2.2999999999999998</v>
      </c>
      <c r="BQ167" t="s">
        <v>864</v>
      </c>
      <c r="DF167" s="15" t="s">
        <v>9308</v>
      </c>
      <c r="DG167" t="s">
        <v>126</v>
      </c>
      <c r="DH167" t="s">
        <v>127</v>
      </c>
      <c r="DI167" t="s">
        <v>150</v>
      </c>
      <c r="DJ167" t="s">
        <v>151</v>
      </c>
      <c r="DK167">
        <v>10000000</v>
      </c>
    </row>
    <row r="168" spans="1:115" x14ac:dyDescent="0.25">
      <c r="A168" t="s">
        <v>881</v>
      </c>
      <c r="B168" t="s">
        <v>882</v>
      </c>
      <c r="F168" t="s">
        <v>142</v>
      </c>
      <c r="N168" t="s">
        <v>883</v>
      </c>
      <c r="U168" t="s">
        <v>399</v>
      </c>
      <c r="V168" t="s">
        <v>453</v>
      </c>
      <c r="W168" t="s">
        <v>454</v>
      </c>
      <c r="Z168" s="14">
        <v>42439</v>
      </c>
      <c r="AA168" s="14">
        <v>42525</v>
      </c>
      <c r="AD168" s="14">
        <v>44926</v>
      </c>
      <c r="AL168" t="s">
        <v>624</v>
      </c>
      <c r="AN168">
        <v>2750000000</v>
      </c>
      <c r="AR168">
        <v>0</v>
      </c>
      <c r="AS168">
        <v>2750000000</v>
      </c>
      <c r="BA168" t="s">
        <v>168</v>
      </c>
      <c r="BB168" t="s">
        <v>169</v>
      </c>
      <c r="BC168" t="s">
        <v>125</v>
      </c>
      <c r="DF168" s="15" t="s">
        <v>9342</v>
      </c>
      <c r="DG168" t="s">
        <v>126</v>
      </c>
      <c r="DH168" t="s">
        <v>127</v>
      </c>
      <c r="DI168" t="s">
        <v>150</v>
      </c>
      <c r="DJ168" t="s">
        <v>151</v>
      </c>
      <c r="DK168">
        <v>5000000</v>
      </c>
    </row>
    <row r="169" spans="1:115" x14ac:dyDescent="0.25">
      <c r="A169" t="s">
        <v>884</v>
      </c>
      <c r="B169" t="s">
        <v>885</v>
      </c>
      <c r="F169" t="s">
        <v>142</v>
      </c>
      <c r="N169" t="s">
        <v>886</v>
      </c>
      <c r="U169" t="s">
        <v>645</v>
      </c>
      <c r="V169" t="s">
        <v>646</v>
      </c>
      <c r="W169" t="s">
        <v>887</v>
      </c>
      <c r="Z169" s="14">
        <v>42443</v>
      </c>
      <c r="AA169" s="14">
        <v>42501</v>
      </c>
      <c r="AD169" s="14">
        <v>44561</v>
      </c>
      <c r="AL169" t="s">
        <v>136</v>
      </c>
      <c r="AN169">
        <v>10000000000</v>
      </c>
      <c r="AR169">
        <v>0</v>
      </c>
      <c r="AS169">
        <v>10000000000</v>
      </c>
      <c r="BA169" t="s">
        <v>137</v>
      </c>
      <c r="BB169" t="s">
        <v>138</v>
      </c>
      <c r="BC169" t="s">
        <v>125</v>
      </c>
      <c r="DF169" s="15" t="s">
        <v>9379</v>
      </c>
      <c r="DG169" t="s">
        <v>126</v>
      </c>
      <c r="DH169" t="s">
        <v>127</v>
      </c>
      <c r="DI169" t="s">
        <v>128</v>
      </c>
      <c r="DJ169" t="s">
        <v>139</v>
      </c>
      <c r="DK169">
        <v>10000000000</v>
      </c>
    </row>
    <row r="170" spans="1:115" x14ac:dyDescent="0.25">
      <c r="A170" t="s">
        <v>888</v>
      </c>
      <c r="B170" t="s">
        <v>889</v>
      </c>
      <c r="F170" t="s">
        <v>263</v>
      </c>
      <c r="I170" t="s">
        <v>555</v>
      </c>
      <c r="N170" t="s">
        <v>890</v>
      </c>
      <c r="U170" t="s">
        <v>645</v>
      </c>
      <c r="V170" t="s">
        <v>891</v>
      </c>
      <c r="Z170" s="14">
        <v>42460</v>
      </c>
      <c r="AA170" s="14">
        <v>42502</v>
      </c>
      <c r="AD170" s="14">
        <v>44196</v>
      </c>
      <c r="AL170" t="s">
        <v>624</v>
      </c>
      <c r="AN170">
        <v>5300000000</v>
      </c>
      <c r="AR170">
        <v>5300000000</v>
      </c>
      <c r="AS170">
        <v>0</v>
      </c>
      <c r="AY170" t="s">
        <v>557</v>
      </c>
      <c r="AZ170" t="s">
        <v>880</v>
      </c>
      <c r="BA170" t="s">
        <v>892</v>
      </c>
      <c r="BB170" t="s">
        <v>893</v>
      </c>
      <c r="BC170" t="s">
        <v>242</v>
      </c>
      <c r="BK170" t="s">
        <v>860</v>
      </c>
      <c r="BM170" t="s">
        <v>560</v>
      </c>
      <c r="BN170" t="s">
        <v>561</v>
      </c>
      <c r="BO170" t="s">
        <v>562</v>
      </c>
      <c r="BP170">
        <v>6.1</v>
      </c>
      <c r="BQ170" t="s">
        <v>563</v>
      </c>
      <c r="DF170" s="15" t="s">
        <v>9380</v>
      </c>
      <c r="DG170" t="s">
        <v>126</v>
      </c>
      <c r="DH170" t="s">
        <v>159</v>
      </c>
      <c r="DI170" t="s">
        <v>159</v>
      </c>
      <c r="DJ170" t="s">
        <v>129</v>
      </c>
      <c r="DK170">
        <v>10710000</v>
      </c>
    </row>
    <row r="171" spans="1:115" x14ac:dyDescent="0.25">
      <c r="A171" t="s">
        <v>894</v>
      </c>
      <c r="B171" t="s">
        <v>895</v>
      </c>
      <c r="F171" t="s">
        <v>315</v>
      </c>
      <c r="I171" t="s">
        <v>896</v>
      </c>
      <c r="N171" t="s">
        <v>897</v>
      </c>
      <c r="U171" t="s">
        <v>898</v>
      </c>
      <c r="V171" t="s">
        <v>899</v>
      </c>
      <c r="Z171" s="14">
        <v>42467</v>
      </c>
      <c r="AA171" s="14">
        <v>42515</v>
      </c>
      <c r="AD171" s="14">
        <v>45291</v>
      </c>
      <c r="AL171" t="s">
        <v>122</v>
      </c>
      <c r="AN171">
        <v>96200000000</v>
      </c>
      <c r="AR171">
        <v>0</v>
      </c>
      <c r="AS171">
        <v>96200000000</v>
      </c>
      <c r="AY171" t="s">
        <v>557</v>
      </c>
      <c r="AZ171" t="s">
        <v>558</v>
      </c>
      <c r="BA171" t="s">
        <v>168</v>
      </c>
      <c r="BB171" t="s">
        <v>169</v>
      </c>
      <c r="BC171" t="s">
        <v>125</v>
      </c>
      <c r="BK171" t="s">
        <v>860</v>
      </c>
      <c r="BM171" t="s">
        <v>861</v>
      </c>
      <c r="BN171" t="s">
        <v>900</v>
      </c>
      <c r="BO171" t="s">
        <v>901</v>
      </c>
      <c r="BP171">
        <v>4.0999999999999996</v>
      </c>
      <c r="BQ171" t="s">
        <v>902</v>
      </c>
      <c r="DF171" s="15" t="s">
        <v>9381</v>
      </c>
      <c r="DG171" t="s">
        <v>126</v>
      </c>
      <c r="DH171" t="s">
        <v>127</v>
      </c>
      <c r="DI171" t="s">
        <v>903</v>
      </c>
      <c r="DJ171" t="s">
        <v>151</v>
      </c>
      <c r="DK171">
        <v>146650000</v>
      </c>
    </row>
    <row r="172" spans="1:115" x14ac:dyDescent="0.25">
      <c r="A172" t="s">
        <v>904</v>
      </c>
      <c r="B172" t="s">
        <v>905</v>
      </c>
      <c r="F172" t="s">
        <v>446</v>
      </c>
      <c r="N172" t="s">
        <v>906</v>
      </c>
      <c r="U172" t="s">
        <v>176</v>
      </c>
      <c r="Z172" s="14">
        <v>42467</v>
      </c>
      <c r="AA172" s="14">
        <v>42515</v>
      </c>
      <c r="AD172" s="14">
        <v>44561</v>
      </c>
      <c r="AL172" t="s">
        <v>624</v>
      </c>
      <c r="AN172">
        <v>16500000000</v>
      </c>
      <c r="AR172">
        <v>0</v>
      </c>
      <c r="AS172">
        <v>16500000000</v>
      </c>
      <c r="BA172" t="s">
        <v>168</v>
      </c>
      <c r="BB172" t="s">
        <v>169</v>
      </c>
      <c r="BC172" t="s">
        <v>125</v>
      </c>
      <c r="DF172" s="15" t="s">
        <v>9308</v>
      </c>
      <c r="DG172" t="s">
        <v>126</v>
      </c>
      <c r="DH172" t="s">
        <v>127</v>
      </c>
      <c r="DI172" t="s">
        <v>907</v>
      </c>
      <c r="DJ172" t="s">
        <v>151</v>
      </c>
      <c r="DK172">
        <v>30000000</v>
      </c>
    </row>
    <row r="173" spans="1:115" x14ac:dyDescent="0.25">
      <c r="A173" t="s">
        <v>908</v>
      </c>
      <c r="B173" t="s">
        <v>905</v>
      </c>
      <c r="F173" t="s">
        <v>446</v>
      </c>
      <c r="N173" t="s">
        <v>909</v>
      </c>
      <c r="U173" t="s">
        <v>176</v>
      </c>
      <c r="Z173" s="14">
        <v>42467</v>
      </c>
      <c r="AA173" s="14">
        <v>42515</v>
      </c>
      <c r="AD173" s="14">
        <v>44561</v>
      </c>
      <c r="AL173" t="s">
        <v>624</v>
      </c>
      <c r="AN173">
        <v>11000000000</v>
      </c>
      <c r="AR173">
        <v>0</v>
      </c>
      <c r="AS173">
        <v>11000000000</v>
      </c>
      <c r="BA173" t="s">
        <v>910</v>
      </c>
      <c r="BB173" t="s">
        <v>911</v>
      </c>
      <c r="BC173" t="s">
        <v>125</v>
      </c>
      <c r="DF173" s="15" t="s">
        <v>9308</v>
      </c>
      <c r="DG173" t="s">
        <v>126</v>
      </c>
      <c r="DH173" t="s">
        <v>127</v>
      </c>
      <c r="DI173" t="s">
        <v>127</v>
      </c>
      <c r="DJ173" t="s">
        <v>151</v>
      </c>
      <c r="DK173">
        <v>20000000</v>
      </c>
    </row>
    <row r="174" spans="1:115" x14ac:dyDescent="0.25">
      <c r="A174" t="s">
        <v>912</v>
      </c>
      <c r="B174" t="s">
        <v>913</v>
      </c>
      <c r="F174" t="s">
        <v>263</v>
      </c>
      <c r="N174" t="s">
        <v>914</v>
      </c>
      <c r="U174" t="s">
        <v>218</v>
      </c>
      <c r="V174" t="s">
        <v>915</v>
      </c>
      <c r="Z174" s="14">
        <v>42474</v>
      </c>
      <c r="AA174" s="14">
        <v>42654</v>
      </c>
      <c r="AD174" s="14">
        <v>44926</v>
      </c>
      <c r="AL174" t="s">
        <v>122</v>
      </c>
      <c r="AN174">
        <v>9839355000</v>
      </c>
      <c r="AR174">
        <v>9839355000</v>
      </c>
      <c r="AS174">
        <v>0</v>
      </c>
      <c r="BA174" t="s">
        <v>267</v>
      </c>
      <c r="BB174" t="s">
        <v>267</v>
      </c>
      <c r="BC174" t="s">
        <v>242</v>
      </c>
      <c r="DF174" s="15" t="s">
        <v>9382</v>
      </c>
      <c r="DG174" t="s">
        <v>126</v>
      </c>
      <c r="DH174" t="s">
        <v>159</v>
      </c>
      <c r="DI174" t="s">
        <v>159</v>
      </c>
      <c r="DJ174" t="s">
        <v>129</v>
      </c>
      <c r="DK174">
        <v>15000000</v>
      </c>
    </row>
    <row r="175" spans="1:115" x14ac:dyDescent="0.25">
      <c r="A175" t="s">
        <v>916</v>
      </c>
      <c r="B175" t="s">
        <v>917</v>
      </c>
      <c r="F175" t="s">
        <v>315</v>
      </c>
      <c r="N175" t="s">
        <v>918</v>
      </c>
      <c r="U175" t="s">
        <v>541</v>
      </c>
      <c r="Z175" s="14">
        <v>42558</v>
      </c>
      <c r="AA175" s="14">
        <v>42559</v>
      </c>
      <c r="AD175" s="14">
        <v>44834</v>
      </c>
      <c r="AL175" t="s">
        <v>122</v>
      </c>
      <c r="AN175">
        <v>10495312000</v>
      </c>
      <c r="AR175">
        <v>655957000</v>
      </c>
      <c r="AS175">
        <v>9839355000</v>
      </c>
      <c r="BA175" t="s">
        <v>337</v>
      </c>
      <c r="BB175" t="s">
        <v>338</v>
      </c>
      <c r="BC175" t="s">
        <v>242</v>
      </c>
      <c r="DF175" s="15" t="s">
        <v>9351</v>
      </c>
      <c r="DG175" t="s">
        <v>126</v>
      </c>
      <c r="DH175" t="s">
        <v>201</v>
      </c>
      <c r="DI175" t="s">
        <v>279</v>
      </c>
      <c r="DJ175" t="s">
        <v>129</v>
      </c>
      <c r="DK175">
        <v>16000000</v>
      </c>
    </row>
    <row r="176" spans="1:115" x14ac:dyDescent="0.25">
      <c r="A176" t="s">
        <v>919</v>
      </c>
      <c r="B176" t="s">
        <v>920</v>
      </c>
      <c r="F176" t="s">
        <v>163</v>
      </c>
      <c r="N176" t="s">
        <v>921</v>
      </c>
      <c r="U176" t="s">
        <v>165</v>
      </c>
      <c r="V176" t="s">
        <v>166</v>
      </c>
      <c r="Z176" s="14">
        <v>42558</v>
      </c>
      <c r="AA176" s="14">
        <v>42559</v>
      </c>
      <c r="AD176" s="14">
        <v>44561</v>
      </c>
      <c r="AL176" t="s">
        <v>122</v>
      </c>
      <c r="AN176">
        <v>327978500</v>
      </c>
      <c r="AR176">
        <v>327978500</v>
      </c>
      <c r="AS176">
        <v>0</v>
      </c>
      <c r="BA176" t="s">
        <v>337</v>
      </c>
      <c r="BB176" t="s">
        <v>338</v>
      </c>
      <c r="BC176" t="s">
        <v>242</v>
      </c>
      <c r="DF176" s="15" t="s">
        <v>9307</v>
      </c>
      <c r="DG176" t="s">
        <v>126</v>
      </c>
      <c r="DH176" t="s">
        <v>159</v>
      </c>
      <c r="DI176" t="s">
        <v>159</v>
      </c>
      <c r="DJ176" t="s">
        <v>129</v>
      </c>
      <c r="DK176">
        <v>500000</v>
      </c>
    </row>
    <row r="177" spans="1:115" x14ac:dyDescent="0.25">
      <c r="A177" t="s">
        <v>922</v>
      </c>
      <c r="B177" t="s">
        <v>923</v>
      </c>
      <c r="F177" t="s">
        <v>142</v>
      </c>
      <c r="N177" t="s">
        <v>924</v>
      </c>
      <c r="U177" t="s">
        <v>185</v>
      </c>
      <c r="V177" t="s">
        <v>925</v>
      </c>
      <c r="W177" t="s">
        <v>926</v>
      </c>
      <c r="Z177" s="14">
        <v>42501</v>
      </c>
      <c r="AA177" s="14">
        <v>42573</v>
      </c>
      <c r="AD177" s="14">
        <v>43830</v>
      </c>
      <c r="AL177" t="s">
        <v>136</v>
      </c>
      <c r="AN177">
        <v>64288219505</v>
      </c>
      <c r="AR177">
        <v>0</v>
      </c>
      <c r="AS177">
        <v>64288219505</v>
      </c>
      <c r="BA177" t="s">
        <v>675</v>
      </c>
      <c r="BB177" t="s">
        <v>676</v>
      </c>
      <c r="BC177" t="s">
        <v>442</v>
      </c>
      <c r="DF177" s="15" t="s">
        <v>9383</v>
      </c>
      <c r="DG177" t="s">
        <v>126</v>
      </c>
      <c r="DH177" t="s">
        <v>127</v>
      </c>
      <c r="DI177" t="s">
        <v>443</v>
      </c>
      <c r="DJ177" t="s">
        <v>151</v>
      </c>
      <c r="DK177">
        <v>64288219505</v>
      </c>
    </row>
    <row r="178" spans="1:115" x14ac:dyDescent="0.25">
      <c r="A178" t="s">
        <v>927</v>
      </c>
      <c r="B178" t="s">
        <v>928</v>
      </c>
      <c r="F178" t="s">
        <v>142</v>
      </c>
      <c r="N178" t="s">
        <v>929</v>
      </c>
      <c r="U178" t="s">
        <v>399</v>
      </c>
      <c r="V178" t="s">
        <v>453</v>
      </c>
      <c r="W178" t="s">
        <v>454</v>
      </c>
      <c r="Z178" s="14">
        <v>42515</v>
      </c>
      <c r="AA178" s="14">
        <v>42590</v>
      </c>
      <c r="AD178" s="14">
        <v>44926</v>
      </c>
      <c r="AL178" t="s">
        <v>122</v>
      </c>
      <c r="AN178">
        <v>44684446797</v>
      </c>
      <c r="AR178">
        <v>0</v>
      </c>
      <c r="AS178">
        <v>44684446797</v>
      </c>
      <c r="BA178" t="s">
        <v>168</v>
      </c>
      <c r="BB178" t="s">
        <v>169</v>
      </c>
      <c r="BC178" t="s">
        <v>125</v>
      </c>
      <c r="DF178" s="15" t="s">
        <v>9342</v>
      </c>
      <c r="DG178" t="s">
        <v>126</v>
      </c>
      <c r="DH178" t="s">
        <v>127</v>
      </c>
      <c r="DI178" t="s">
        <v>903</v>
      </c>
      <c r="DJ178" t="s">
        <v>366</v>
      </c>
      <c r="DK178">
        <v>68121000</v>
      </c>
    </row>
    <row r="179" spans="1:115" x14ac:dyDescent="0.25">
      <c r="A179" t="s">
        <v>930</v>
      </c>
      <c r="B179" t="s">
        <v>931</v>
      </c>
      <c r="F179" t="s">
        <v>142</v>
      </c>
      <c r="N179" t="s">
        <v>932</v>
      </c>
      <c r="U179" t="s">
        <v>933</v>
      </c>
      <c r="V179" t="s">
        <v>934</v>
      </c>
      <c r="Z179" s="14">
        <v>42501</v>
      </c>
      <c r="AA179" s="14">
        <v>42614</v>
      </c>
      <c r="AD179" s="14">
        <v>44196</v>
      </c>
      <c r="AL179" t="s">
        <v>136</v>
      </c>
      <c r="AN179">
        <v>29505766907</v>
      </c>
      <c r="AR179">
        <v>0</v>
      </c>
      <c r="AS179">
        <v>29505766907</v>
      </c>
      <c r="BA179" t="s">
        <v>738</v>
      </c>
      <c r="BB179" t="s">
        <v>739</v>
      </c>
      <c r="BC179" t="s">
        <v>442</v>
      </c>
      <c r="DF179" s="15" t="s">
        <v>9384</v>
      </c>
      <c r="DG179" t="s">
        <v>126</v>
      </c>
      <c r="DH179" t="s">
        <v>127</v>
      </c>
      <c r="DI179" t="s">
        <v>443</v>
      </c>
      <c r="DJ179" t="s">
        <v>326</v>
      </c>
      <c r="DK179">
        <v>29505766907</v>
      </c>
    </row>
    <row r="180" spans="1:115" x14ac:dyDescent="0.25">
      <c r="A180" t="s">
        <v>935</v>
      </c>
      <c r="B180" t="s">
        <v>936</v>
      </c>
      <c r="F180" t="s">
        <v>873</v>
      </c>
      <c r="I180" t="s">
        <v>937</v>
      </c>
      <c r="N180" t="s">
        <v>938</v>
      </c>
      <c r="U180" t="s">
        <v>875</v>
      </c>
      <c r="V180" t="s">
        <v>876</v>
      </c>
      <c r="Z180" s="14">
        <v>42453</v>
      </c>
      <c r="AA180" s="14">
        <v>42628</v>
      </c>
      <c r="AD180" s="14">
        <v>45289</v>
      </c>
      <c r="AL180" t="s">
        <v>624</v>
      </c>
      <c r="AN180">
        <v>30108426300</v>
      </c>
      <c r="AR180">
        <v>0</v>
      </c>
      <c r="AS180">
        <v>30108426300</v>
      </c>
      <c r="AY180" t="s">
        <v>557</v>
      </c>
      <c r="AZ180" t="s">
        <v>558</v>
      </c>
      <c r="BA180" t="s">
        <v>178</v>
      </c>
      <c r="BB180" t="s">
        <v>179</v>
      </c>
      <c r="BC180" t="s">
        <v>125</v>
      </c>
      <c r="BK180" t="s">
        <v>860</v>
      </c>
      <c r="BM180" t="s">
        <v>861</v>
      </c>
      <c r="BN180" t="s">
        <v>862</v>
      </c>
      <c r="BO180" t="s">
        <v>939</v>
      </c>
      <c r="BP180">
        <v>11.3</v>
      </c>
      <c r="BQ180" t="s">
        <v>902</v>
      </c>
      <c r="DF180" s="15" t="s">
        <v>9378</v>
      </c>
      <c r="DG180" t="s">
        <v>126</v>
      </c>
      <c r="DH180" t="s">
        <v>127</v>
      </c>
      <c r="DI180" t="s">
        <v>150</v>
      </c>
      <c r="DJ180" t="s">
        <v>372</v>
      </c>
      <c r="DK180">
        <v>50000000</v>
      </c>
    </row>
    <row r="181" spans="1:115" x14ac:dyDescent="0.25">
      <c r="A181" t="s">
        <v>940</v>
      </c>
      <c r="B181" t="s">
        <v>941</v>
      </c>
      <c r="F181" t="s">
        <v>263</v>
      </c>
      <c r="N181" t="s">
        <v>942</v>
      </c>
      <c r="U181" t="s">
        <v>176</v>
      </c>
      <c r="Z181" s="14">
        <v>42474</v>
      </c>
      <c r="AA181" s="14">
        <v>42628</v>
      </c>
      <c r="AD181" s="14">
        <v>43465</v>
      </c>
      <c r="AL181" t="s">
        <v>122</v>
      </c>
      <c r="AN181">
        <v>6203460000</v>
      </c>
      <c r="AR181">
        <v>6203460000</v>
      </c>
      <c r="AS181">
        <v>0</v>
      </c>
      <c r="BA181" t="s">
        <v>484</v>
      </c>
      <c r="BB181" t="s">
        <v>484</v>
      </c>
      <c r="BC181" t="s">
        <v>242</v>
      </c>
      <c r="DF181" s="15" t="s">
        <v>9308</v>
      </c>
      <c r="DG181" t="s">
        <v>126</v>
      </c>
      <c r="DH181" t="s">
        <v>159</v>
      </c>
      <c r="DI181" t="s">
        <v>159</v>
      </c>
      <c r="DJ181" t="s">
        <v>326</v>
      </c>
      <c r="DK181">
        <v>6203460000</v>
      </c>
    </row>
    <row r="182" spans="1:115" x14ac:dyDescent="0.25">
      <c r="A182" t="s">
        <v>943</v>
      </c>
      <c r="B182" t="s">
        <v>944</v>
      </c>
      <c r="F182" t="s">
        <v>163</v>
      </c>
      <c r="N182" t="s">
        <v>945</v>
      </c>
      <c r="U182" t="s">
        <v>165</v>
      </c>
      <c r="V182" t="s">
        <v>166</v>
      </c>
      <c r="Z182" s="14">
        <v>42544</v>
      </c>
      <c r="AA182" s="14">
        <v>42650</v>
      </c>
      <c r="AD182" s="14">
        <v>44926</v>
      </c>
      <c r="AL182" t="s">
        <v>122</v>
      </c>
      <c r="AN182">
        <v>17317264800</v>
      </c>
      <c r="AR182">
        <v>0</v>
      </c>
      <c r="AS182">
        <v>17317264800</v>
      </c>
      <c r="BA182" t="s">
        <v>178</v>
      </c>
      <c r="BB182" t="s">
        <v>179</v>
      </c>
      <c r="BC182" t="s">
        <v>125</v>
      </c>
      <c r="DF182" s="15" t="s">
        <v>9307</v>
      </c>
      <c r="DG182" t="s">
        <v>126</v>
      </c>
      <c r="DH182" t="s">
        <v>127</v>
      </c>
      <c r="DI182" t="s">
        <v>150</v>
      </c>
      <c r="DJ182" t="s">
        <v>372</v>
      </c>
      <c r="DK182">
        <v>26400000</v>
      </c>
    </row>
    <row r="183" spans="1:115" x14ac:dyDescent="0.25">
      <c r="A183" t="s">
        <v>946</v>
      </c>
      <c r="B183" t="s">
        <v>947</v>
      </c>
      <c r="F183" t="s">
        <v>263</v>
      </c>
      <c r="I183" t="s">
        <v>555</v>
      </c>
      <c r="N183" t="s">
        <v>948</v>
      </c>
      <c r="U183" t="s">
        <v>949</v>
      </c>
      <c r="Z183" s="14">
        <v>42654</v>
      </c>
      <c r="AA183" s="14">
        <v>42703</v>
      </c>
      <c r="AD183" s="14">
        <v>44926</v>
      </c>
      <c r="AL183" t="s">
        <v>122</v>
      </c>
      <c r="AN183">
        <v>21892598250</v>
      </c>
      <c r="AR183">
        <v>21892598250</v>
      </c>
      <c r="AS183">
        <v>0</v>
      </c>
      <c r="AY183" t="s">
        <v>557</v>
      </c>
      <c r="AZ183" t="s">
        <v>880</v>
      </c>
      <c r="BA183" t="s">
        <v>484</v>
      </c>
      <c r="BB183" t="s">
        <v>484</v>
      </c>
      <c r="BC183" t="s">
        <v>242</v>
      </c>
      <c r="BK183" t="s">
        <v>860</v>
      </c>
      <c r="BM183" t="s">
        <v>560</v>
      </c>
      <c r="BN183" t="s">
        <v>561</v>
      </c>
      <c r="BO183" t="s">
        <v>562</v>
      </c>
      <c r="BP183">
        <v>6.1</v>
      </c>
      <c r="BQ183" t="s">
        <v>563</v>
      </c>
      <c r="DF183" s="15" t="s">
        <v>9385</v>
      </c>
      <c r="DG183" t="s">
        <v>317</v>
      </c>
      <c r="DH183" t="s">
        <v>159</v>
      </c>
      <c r="DI183" t="s">
        <v>159</v>
      </c>
      <c r="DJ183" t="s">
        <v>326</v>
      </c>
      <c r="DK183">
        <v>33375000</v>
      </c>
    </row>
    <row r="184" spans="1:115" x14ac:dyDescent="0.25">
      <c r="A184" t="s">
        <v>950</v>
      </c>
      <c r="B184" t="s">
        <v>951</v>
      </c>
      <c r="F184" t="s">
        <v>263</v>
      </c>
      <c r="I184" t="s">
        <v>952</v>
      </c>
      <c r="N184" t="s">
        <v>953</v>
      </c>
      <c r="U184" t="s">
        <v>165</v>
      </c>
      <c r="V184" t="s">
        <v>166</v>
      </c>
      <c r="Z184" s="14">
        <v>42514</v>
      </c>
      <c r="AA184" s="14">
        <v>42712</v>
      </c>
      <c r="AD184" s="14">
        <v>44926</v>
      </c>
      <c r="AL184" t="s">
        <v>122</v>
      </c>
      <c r="AN184">
        <v>19678710000</v>
      </c>
      <c r="AR184">
        <v>0</v>
      </c>
      <c r="AS184">
        <v>19678710000</v>
      </c>
      <c r="AY184" t="s">
        <v>557</v>
      </c>
      <c r="AZ184" t="s">
        <v>558</v>
      </c>
      <c r="BA184" t="s">
        <v>689</v>
      </c>
      <c r="BB184" t="s">
        <v>690</v>
      </c>
      <c r="BC184" t="s">
        <v>125</v>
      </c>
      <c r="BK184" t="s">
        <v>860</v>
      </c>
      <c r="BM184" t="s">
        <v>560</v>
      </c>
      <c r="BN184" t="s">
        <v>561</v>
      </c>
      <c r="BO184" t="s">
        <v>562</v>
      </c>
      <c r="BP184">
        <v>6.1</v>
      </c>
      <c r="BQ184" t="s">
        <v>563</v>
      </c>
      <c r="DF184" s="15" t="s">
        <v>9307</v>
      </c>
      <c r="DG184" t="s">
        <v>126</v>
      </c>
      <c r="DH184" t="s">
        <v>127</v>
      </c>
      <c r="DI184" t="s">
        <v>127</v>
      </c>
      <c r="DJ184" t="s">
        <v>326</v>
      </c>
      <c r="DK184">
        <v>30000000</v>
      </c>
    </row>
    <row r="185" spans="1:115" x14ac:dyDescent="0.25">
      <c r="A185" t="s">
        <v>954</v>
      </c>
      <c r="B185" t="s">
        <v>955</v>
      </c>
      <c r="F185" t="s">
        <v>282</v>
      </c>
      <c r="N185" t="s">
        <v>956</v>
      </c>
      <c r="U185" t="s">
        <v>176</v>
      </c>
      <c r="Z185" s="14">
        <v>42718</v>
      </c>
      <c r="AA185" s="14">
        <v>42724</v>
      </c>
      <c r="AD185" s="14">
        <v>43465</v>
      </c>
      <c r="AL185" t="s">
        <v>122</v>
      </c>
      <c r="AN185">
        <v>9839355000</v>
      </c>
      <c r="AR185">
        <v>9839355000</v>
      </c>
      <c r="AS185">
        <v>0</v>
      </c>
      <c r="BA185" t="s">
        <v>267</v>
      </c>
      <c r="BB185" t="s">
        <v>267</v>
      </c>
      <c r="BC185" t="s">
        <v>242</v>
      </c>
      <c r="DF185" s="15" t="s">
        <v>9308</v>
      </c>
      <c r="DG185" t="s">
        <v>284</v>
      </c>
      <c r="DH185" t="s">
        <v>159</v>
      </c>
      <c r="DI185" t="s">
        <v>159</v>
      </c>
      <c r="DJ185" t="s">
        <v>326</v>
      </c>
      <c r="DK185">
        <v>15000000</v>
      </c>
    </row>
    <row r="186" spans="1:115" x14ac:dyDescent="0.25">
      <c r="A186" t="s">
        <v>957</v>
      </c>
      <c r="B186" t="s">
        <v>958</v>
      </c>
      <c r="F186" t="s">
        <v>118</v>
      </c>
      <c r="N186" t="s">
        <v>959</v>
      </c>
      <c r="U186" t="s">
        <v>185</v>
      </c>
      <c r="V186" t="s">
        <v>224</v>
      </c>
      <c r="W186" t="s">
        <v>654</v>
      </c>
      <c r="X186" t="s">
        <v>655</v>
      </c>
      <c r="Z186" s="14">
        <v>42464</v>
      </c>
      <c r="AA186" s="14">
        <v>42727</v>
      </c>
      <c r="AD186" s="14">
        <v>44012</v>
      </c>
      <c r="AL186" t="s">
        <v>136</v>
      </c>
      <c r="AN186">
        <v>15000000000</v>
      </c>
      <c r="AR186">
        <v>0</v>
      </c>
      <c r="AS186">
        <v>15000000000</v>
      </c>
      <c r="BA186" t="s">
        <v>123</v>
      </c>
      <c r="BB186" t="s">
        <v>124</v>
      </c>
      <c r="BC186" t="s">
        <v>125</v>
      </c>
      <c r="DF186" s="15" t="s">
        <v>9361</v>
      </c>
      <c r="DG186" t="s">
        <v>126</v>
      </c>
      <c r="DH186" t="s">
        <v>127</v>
      </c>
      <c r="DI186" t="s">
        <v>128</v>
      </c>
      <c r="DJ186" t="s">
        <v>326</v>
      </c>
      <c r="DK186">
        <v>15000000000</v>
      </c>
    </row>
    <row r="187" spans="1:115" x14ac:dyDescent="0.25">
      <c r="A187" t="s">
        <v>960</v>
      </c>
      <c r="B187" t="s">
        <v>961</v>
      </c>
      <c r="F187" t="s">
        <v>282</v>
      </c>
      <c r="I187" t="s">
        <v>962</v>
      </c>
      <c r="N187" t="s">
        <v>963</v>
      </c>
      <c r="U187" t="s">
        <v>176</v>
      </c>
      <c r="Z187" s="14">
        <v>42410</v>
      </c>
      <c r="AA187" s="14">
        <v>42453</v>
      </c>
      <c r="AD187" s="14">
        <v>44561</v>
      </c>
      <c r="AL187" t="s">
        <v>122</v>
      </c>
      <c r="AN187">
        <v>9839355000</v>
      </c>
      <c r="AR187">
        <v>9839355000</v>
      </c>
      <c r="AS187">
        <v>0</v>
      </c>
      <c r="AY187" t="s">
        <v>557</v>
      </c>
      <c r="AZ187" t="s">
        <v>880</v>
      </c>
      <c r="BA187" t="s">
        <v>574</v>
      </c>
      <c r="BB187" t="s">
        <v>575</v>
      </c>
      <c r="BC187" t="s">
        <v>125</v>
      </c>
      <c r="BK187" t="s">
        <v>860</v>
      </c>
      <c r="BM187" t="s">
        <v>964</v>
      </c>
      <c r="BN187" t="s">
        <v>965</v>
      </c>
      <c r="BO187" t="s">
        <v>939</v>
      </c>
      <c r="BP187">
        <v>11.3</v>
      </c>
      <c r="BQ187" t="s">
        <v>902</v>
      </c>
      <c r="DF187" s="15" t="s">
        <v>9308</v>
      </c>
      <c r="DG187" t="s">
        <v>126</v>
      </c>
      <c r="DH187" t="s">
        <v>159</v>
      </c>
      <c r="DI187" t="s">
        <v>159</v>
      </c>
      <c r="DJ187" t="s">
        <v>129</v>
      </c>
      <c r="DK187">
        <v>15000000</v>
      </c>
    </row>
    <row r="188" spans="1:115" x14ac:dyDescent="0.25">
      <c r="A188" t="s">
        <v>966</v>
      </c>
      <c r="B188" t="s">
        <v>967</v>
      </c>
      <c r="F188" t="s">
        <v>142</v>
      </c>
      <c r="I188" t="s">
        <v>968</v>
      </c>
      <c r="N188" t="s">
        <v>969</v>
      </c>
      <c r="U188" t="s">
        <v>185</v>
      </c>
      <c r="V188" t="s">
        <v>224</v>
      </c>
      <c r="W188" t="s">
        <v>970</v>
      </c>
      <c r="Z188" s="14">
        <v>42453</v>
      </c>
      <c r="AD188" s="14">
        <v>44561</v>
      </c>
      <c r="AL188" t="s">
        <v>122</v>
      </c>
      <c r="AN188">
        <v>6589091344.7799997</v>
      </c>
      <c r="AR188">
        <v>6589091344.7799997</v>
      </c>
      <c r="AS188">
        <v>0</v>
      </c>
      <c r="AY188" t="s">
        <v>557</v>
      </c>
      <c r="AZ188" t="s">
        <v>880</v>
      </c>
      <c r="BA188" t="s">
        <v>574</v>
      </c>
      <c r="BB188" t="s">
        <v>575</v>
      </c>
      <c r="BC188" t="s">
        <v>125</v>
      </c>
      <c r="BK188" t="s">
        <v>860</v>
      </c>
      <c r="BM188" t="s">
        <v>861</v>
      </c>
      <c r="BN188" t="s">
        <v>862</v>
      </c>
      <c r="BO188" t="s">
        <v>971</v>
      </c>
      <c r="BP188">
        <v>9.1</v>
      </c>
      <c r="BQ188" t="s">
        <v>864</v>
      </c>
      <c r="DF188" s="15" t="s">
        <v>9386</v>
      </c>
      <c r="DG188" t="s">
        <v>126</v>
      </c>
      <c r="DH188" t="s">
        <v>159</v>
      </c>
      <c r="DI188" t="s">
        <v>159</v>
      </c>
      <c r="DJ188" t="s">
        <v>326</v>
      </c>
      <c r="DK188">
        <v>10045005</v>
      </c>
    </row>
    <row r="189" spans="1:115" x14ac:dyDescent="0.25">
      <c r="A189" t="s">
        <v>972</v>
      </c>
      <c r="B189" t="s">
        <v>973</v>
      </c>
      <c r="F189" t="s">
        <v>190</v>
      </c>
      <c r="I189" t="s">
        <v>974</v>
      </c>
      <c r="N189" t="s">
        <v>975</v>
      </c>
      <c r="U189" t="s">
        <v>321</v>
      </c>
      <c r="Z189" s="14">
        <v>42453</v>
      </c>
      <c r="AA189" s="14">
        <v>42481</v>
      </c>
      <c r="AD189" s="14">
        <v>44742</v>
      </c>
      <c r="AL189" t="s">
        <v>122</v>
      </c>
      <c r="AN189">
        <v>7215527000</v>
      </c>
      <c r="AR189">
        <v>7215527000</v>
      </c>
      <c r="AS189">
        <v>0</v>
      </c>
      <c r="AY189" t="s">
        <v>557</v>
      </c>
      <c r="AZ189" t="s">
        <v>880</v>
      </c>
      <c r="BA189" t="s">
        <v>574</v>
      </c>
      <c r="BB189" t="s">
        <v>575</v>
      </c>
      <c r="BC189" t="s">
        <v>125</v>
      </c>
      <c r="BK189" t="s">
        <v>860</v>
      </c>
      <c r="BM189" t="s">
        <v>861</v>
      </c>
      <c r="BN189" t="s">
        <v>862</v>
      </c>
      <c r="BO189" t="s">
        <v>863</v>
      </c>
      <c r="BP189">
        <v>2.2999999999999998</v>
      </c>
      <c r="BQ189" t="s">
        <v>864</v>
      </c>
      <c r="DF189" s="15" t="s">
        <v>9324</v>
      </c>
      <c r="DG189" t="s">
        <v>126</v>
      </c>
      <c r="DH189" t="s">
        <v>159</v>
      </c>
      <c r="DI189" t="s">
        <v>159</v>
      </c>
      <c r="DJ189" t="s">
        <v>129</v>
      </c>
      <c r="DK189">
        <v>11000000</v>
      </c>
    </row>
    <row r="190" spans="1:115" x14ac:dyDescent="0.25">
      <c r="A190" t="s">
        <v>976</v>
      </c>
      <c r="B190" t="s">
        <v>977</v>
      </c>
      <c r="F190" t="s">
        <v>282</v>
      </c>
      <c r="I190" t="s">
        <v>978</v>
      </c>
      <c r="N190" t="s">
        <v>979</v>
      </c>
      <c r="U190" t="s">
        <v>176</v>
      </c>
      <c r="Z190" s="14">
        <v>42410</v>
      </c>
      <c r="AA190" s="14">
        <v>42453</v>
      </c>
      <c r="AD190" s="14">
        <v>44926</v>
      </c>
      <c r="AL190" t="s">
        <v>122</v>
      </c>
      <c r="AN190">
        <v>6887548500</v>
      </c>
      <c r="AR190">
        <v>6887548500</v>
      </c>
      <c r="AS190">
        <v>0</v>
      </c>
      <c r="AY190" t="s">
        <v>557</v>
      </c>
      <c r="AZ190" t="s">
        <v>880</v>
      </c>
      <c r="BA190" t="s">
        <v>574</v>
      </c>
      <c r="BB190" t="s">
        <v>575</v>
      </c>
      <c r="BC190" t="s">
        <v>125</v>
      </c>
      <c r="BK190" t="s">
        <v>860</v>
      </c>
      <c r="BM190" t="s">
        <v>964</v>
      </c>
      <c r="BN190" t="s">
        <v>965</v>
      </c>
      <c r="BO190" t="s">
        <v>939</v>
      </c>
      <c r="BP190">
        <v>11.3</v>
      </c>
      <c r="BQ190" t="s">
        <v>902</v>
      </c>
      <c r="DF190" s="15" t="s">
        <v>9308</v>
      </c>
      <c r="DG190" t="s">
        <v>317</v>
      </c>
      <c r="DH190" t="s">
        <v>159</v>
      </c>
      <c r="DI190" t="s">
        <v>159</v>
      </c>
      <c r="DJ190" t="s">
        <v>129</v>
      </c>
      <c r="DK190">
        <v>10500000</v>
      </c>
    </row>
    <row r="191" spans="1:115" x14ac:dyDescent="0.25">
      <c r="A191" t="s">
        <v>980</v>
      </c>
      <c r="B191" t="s">
        <v>981</v>
      </c>
      <c r="F191" t="s">
        <v>873</v>
      </c>
      <c r="I191" t="s">
        <v>982</v>
      </c>
      <c r="N191" t="s">
        <v>983</v>
      </c>
      <c r="U191" t="s">
        <v>185</v>
      </c>
      <c r="V191" t="s">
        <v>362</v>
      </c>
      <c r="Z191" s="14">
        <v>42604</v>
      </c>
      <c r="AA191" s="14">
        <v>42658</v>
      </c>
      <c r="AD191" s="14">
        <v>44926</v>
      </c>
      <c r="AL191" t="s">
        <v>357</v>
      </c>
      <c r="AN191">
        <v>17329200000</v>
      </c>
      <c r="AR191">
        <v>0</v>
      </c>
      <c r="AS191">
        <v>17329200000</v>
      </c>
      <c r="AY191" t="s">
        <v>557</v>
      </c>
      <c r="AZ191" t="s">
        <v>558</v>
      </c>
      <c r="BA191" t="s">
        <v>358</v>
      </c>
      <c r="BB191" t="s">
        <v>358</v>
      </c>
      <c r="BC191" t="s">
        <v>242</v>
      </c>
      <c r="BK191" t="s">
        <v>860</v>
      </c>
      <c r="BM191" t="s">
        <v>861</v>
      </c>
      <c r="BN191" t="s">
        <v>862</v>
      </c>
      <c r="BO191" t="s">
        <v>939</v>
      </c>
      <c r="BP191">
        <v>11.3</v>
      </c>
      <c r="BQ191" t="s">
        <v>902</v>
      </c>
      <c r="DF191" s="15" t="s">
        <v>9387</v>
      </c>
      <c r="DG191" t="s">
        <v>126</v>
      </c>
      <c r="DH191" t="s">
        <v>127</v>
      </c>
      <c r="DI191" t="s">
        <v>127</v>
      </c>
      <c r="DJ191" t="s">
        <v>172</v>
      </c>
      <c r="DK191">
        <v>210000000</v>
      </c>
    </row>
    <row r="192" spans="1:115" x14ac:dyDescent="0.25">
      <c r="A192" t="s">
        <v>984</v>
      </c>
      <c r="B192" t="s">
        <v>985</v>
      </c>
      <c r="F192" t="s">
        <v>806</v>
      </c>
      <c r="I192" t="s">
        <v>986</v>
      </c>
      <c r="N192" t="s">
        <v>987</v>
      </c>
      <c r="U192" t="s">
        <v>165</v>
      </c>
      <c r="V192" t="s">
        <v>166</v>
      </c>
      <c r="W192" t="s">
        <v>988</v>
      </c>
      <c r="Z192" s="14">
        <v>42604</v>
      </c>
      <c r="AA192" s="14">
        <v>42658</v>
      </c>
      <c r="AD192" s="14">
        <v>44561</v>
      </c>
      <c r="AL192" t="s">
        <v>357</v>
      </c>
      <c r="AN192">
        <v>12526536</v>
      </c>
      <c r="AR192">
        <v>12526536</v>
      </c>
      <c r="AS192">
        <v>0</v>
      </c>
      <c r="AY192" t="s">
        <v>557</v>
      </c>
      <c r="AZ192" t="s">
        <v>880</v>
      </c>
      <c r="BA192" t="s">
        <v>358</v>
      </c>
      <c r="BB192" t="s">
        <v>358</v>
      </c>
      <c r="BC192" t="s">
        <v>242</v>
      </c>
      <c r="BK192" t="s">
        <v>860</v>
      </c>
      <c r="BM192" t="s">
        <v>560</v>
      </c>
      <c r="BN192" t="s">
        <v>561</v>
      </c>
      <c r="BO192" t="s">
        <v>989</v>
      </c>
      <c r="BP192">
        <v>3.8</v>
      </c>
      <c r="BQ192" t="s">
        <v>902</v>
      </c>
      <c r="DF192" s="15" t="s">
        <v>9388</v>
      </c>
      <c r="DG192" t="s">
        <v>126</v>
      </c>
      <c r="DH192" t="s">
        <v>159</v>
      </c>
      <c r="DI192" t="s">
        <v>159</v>
      </c>
      <c r="DJ192" t="s">
        <v>172</v>
      </c>
      <c r="DK192">
        <v>151800</v>
      </c>
    </row>
    <row r="193" spans="1:115" x14ac:dyDescent="0.25">
      <c r="A193" t="s">
        <v>990</v>
      </c>
      <c r="B193" t="s">
        <v>991</v>
      </c>
      <c r="F193" t="s">
        <v>216</v>
      </c>
      <c r="I193" t="s">
        <v>992</v>
      </c>
      <c r="N193" t="s">
        <v>993</v>
      </c>
      <c r="U193" t="s">
        <v>994</v>
      </c>
      <c r="V193" t="s">
        <v>995</v>
      </c>
      <c r="Z193" s="14">
        <v>42432</v>
      </c>
      <c r="AA193" s="14">
        <v>42467</v>
      </c>
      <c r="AD193" s="14">
        <v>43100</v>
      </c>
      <c r="AL193" t="s">
        <v>122</v>
      </c>
      <c r="AN193">
        <v>4109865602</v>
      </c>
      <c r="AR193">
        <v>0</v>
      </c>
      <c r="AS193">
        <v>4109865602</v>
      </c>
      <c r="AY193" t="s">
        <v>557</v>
      </c>
      <c r="AZ193" t="s">
        <v>558</v>
      </c>
      <c r="BA193" t="s">
        <v>277</v>
      </c>
      <c r="BB193" t="s">
        <v>278</v>
      </c>
      <c r="BC193" t="s">
        <v>125</v>
      </c>
      <c r="BK193" t="s">
        <v>860</v>
      </c>
      <c r="BM193" t="s">
        <v>560</v>
      </c>
      <c r="BN193" t="s">
        <v>561</v>
      </c>
      <c r="BO193" t="s">
        <v>989</v>
      </c>
      <c r="BP193">
        <v>3.8</v>
      </c>
      <c r="BQ193" t="s">
        <v>902</v>
      </c>
      <c r="DF193" s="15" t="s">
        <v>9389</v>
      </c>
      <c r="DG193" t="s">
        <v>625</v>
      </c>
      <c r="DH193" t="s">
        <v>127</v>
      </c>
      <c r="DI193" t="s">
        <v>128</v>
      </c>
      <c r="DJ193" t="s">
        <v>366</v>
      </c>
      <c r="DK193">
        <v>6265449.7199999997</v>
      </c>
    </row>
    <row r="194" spans="1:115" x14ac:dyDescent="0.25">
      <c r="A194" t="s">
        <v>996</v>
      </c>
      <c r="B194" t="s">
        <v>997</v>
      </c>
      <c r="F194" t="s">
        <v>315</v>
      </c>
      <c r="I194" t="s">
        <v>998</v>
      </c>
      <c r="N194" t="s">
        <v>999</v>
      </c>
      <c r="U194" t="s">
        <v>185</v>
      </c>
      <c r="V194" t="s">
        <v>224</v>
      </c>
      <c r="W194" t="s">
        <v>382</v>
      </c>
      <c r="Z194" s="14">
        <v>42604</v>
      </c>
      <c r="AA194" s="14">
        <v>42658</v>
      </c>
      <c r="AD194" s="14">
        <v>43830</v>
      </c>
      <c r="AL194" t="s">
        <v>357</v>
      </c>
      <c r="AN194">
        <v>404383700</v>
      </c>
      <c r="AR194">
        <v>404383700</v>
      </c>
      <c r="AS194">
        <v>0</v>
      </c>
      <c r="AY194" t="s">
        <v>557</v>
      </c>
      <c r="AZ194" t="s">
        <v>880</v>
      </c>
      <c r="BA194" t="s">
        <v>358</v>
      </c>
      <c r="BB194" t="s">
        <v>358</v>
      </c>
      <c r="BC194" t="s">
        <v>242</v>
      </c>
      <c r="BK194" t="s">
        <v>860</v>
      </c>
      <c r="BM194" t="s">
        <v>861</v>
      </c>
      <c r="BN194" t="s">
        <v>900</v>
      </c>
      <c r="BO194" t="s">
        <v>901</v>
      </c>
      <c r="BP194">
        <v>4.0999999999999996</v>
      </c>
      <c r="BQ194" t="s">
        <v>902</v>
      </c>
      <c r="DF194" s="15" t="s">
        <v>9390</v>
      </c>
      <c r="DG194" t="s">
        <v>126</v>
      </c>
      <c r="DH194" t="s">
        <v>159</v>
      </c>
      <c r="DI194" t="s">
        <v>159</v>
      </c>
      <c r="DJ194" t="s">
        <v>172</v>
      </c>
      <c r="DK194">
        <v>4900432.62</v>
      </c>
    </row>
    <row r="195" spans="1:115" x14ac:dyDescent="0.25">
      <c r="A195" t="s">
        <v>1000</v>
      </c>
      <c r="B195" t="s">
        <v>1001</v>
      </c>
      <c r="F195" t="s">
        <v>190</v>
      </c>
      <c r="I195" t="s">
        <v>974</v>
      </c>
      <c r="N195" t="s">
        <v>1002</v>
      </c>
      <c r="U195" t="s">
        <v>1003</v>
      </c>
      <c r="Z195" s="14">
        <v>42718</v>
      </c>
      <c r="AA195" s="14">
        <v>42725</v>
      </c>
      <c r="AD195" s="14">
        <v>44651</v>
      </c>
      <c r="AL195" t="s">
        <v>122</v>
      </c>
      <c r="AN195">
        <v>885541950</v>
      </c>
      <c r="AR195">
        <v>885541950</v>
      </c>
      <c r="AS195">
        <v>0</v>
      </c>
      <c r="AY195" t="s">
        <v>557</v>
      </c>
      <c r="AZ195" t="s">
        <v>880</v>
      </c>
      <c r="BA195" t="s">
        <v>267</v>
      </c>
      <c r="BB195" t="s">
        <v>267</v>
      </c>
      <c r="BC195" t="s">
        <v>242</v>
      </c>
      <c r="BK195" t="s">
        <v>860</v>
      </c>
      <c r="BM195" t="s">
        <v>861</v>
      </c>
      <c r="BN195" t="s">
        <v>862</v>
      </c>
      <c r="BO195" t="s">
        <v>863</v>
      </c>
      <c r="BP195">
        <v>2.2999999999999998</v>
      </c>
      <c r="BQ195" t="s">
        <v>864</v>
      </c>
      <c r="DF195" s="15" t="s">
        <v>9391</v>
      </c>
      <c r="DG195" t="s">
        <v>126</v>
      </c>
      <c r="DH195" t="s">
        <v>159</v>
      </c>
      <c r="DI195" t="s">
        <v>159</v>
      </c>
      <c r="DJ195" t="s">
        <v>129</v>
      </c>
      <c r="DK195">
        <v>1350000</v>
      </c>
    </row>
    <row r="196" spans="1:115" x14ac:dyDescent="0.25">
      <c r="A196" t="s">
        <v>1004</v>
      </c>
      <c r="B196" t="s">
        <v>1005</v>
      </c>
      <c r="F196" t="s">
        <v>205</v>
      </c>
      <c r="I196" t="s">
        <v>1006</v>
      </c>
      <c r="N196" t="s">
        <v>1007</v>
      </c>
      <c r="U196" t="s">
        <v>1008</v>
      </c>
      <c r="V196" t="s">
        <v>1009</v>
      </c>
      <c r="Z196" s="14">
        <v>42453</v>
      </c>
      <c r="AA196" s="14">
        <v>42705</v>
      </c>
      <c r="AD196" s="14">
        <v>44196</v>
      </c>
      <c r="AL196" t="s">
        <v>624</v>
      </c>
      <c r="AN196">
        <v>77902209</v>
      </c>
      <c r="AR196">
        <v>77902209</v>
      </c>
      <c r="AS196">
        <v>0</v>
      </c>
      <c r="AY196" t="s">
        <v>557</v>
      </c>
      <c r="AZ196" t="s">
        <v>880</v>
      </c>
      <c r="BA196" t="s">
        <v>1010</v>
      </c>
      <c r="BB196" t="s">
        <v>1011</v>
      </c>
      <c r="BC196" t="s">
        <v>125</v>
      </c>
      <c r="BK196" t="s">
        <v>860</v>
      </c>
      <c r="BM196" t="s">
        <v>560</v>
      </c>
      <c r="BN196" t="s">
        <v>1012</v>
      </c>
      <c r="BO196" t="s">
        <v>939</v>
      </c>
      <c r="BP196">
        <v>11.3</v>
      </c>
      <c r="BQ196" t="s">
        <v>563</v>
      </c>
      <c r="DF196" s="15" t="s">
        <v>9392</v>
      </c>
      <c r="DG196" t="s">
        <v>126</v>
      </c>
      <c r="DH196" t="s">
        <v>159</v>
      </c>
      <c r="DI196" t="s">
        <v>159</v>
      </c>
      <c r="DJ196" t="s">
        <v>172</v>
      </c>
      <c r="DK196">
        <v>141640.38</v>
      </c>
    </row>
    <row r="197" spans="1:115" x14ac:dyDescent="0.25">
      <c r="A197" t="s">
        <v>1013</v>
      </c>
      <c r="B197" t="s">
        <v>1014</v>
      </c>
      <c r="F197" t="s">
        <v>263</v>
      </c>
      <c r="I197" t="s">
        <v>555</v>
      </c>
      <c r="N197" t="s">
        <v>1015</v>
      </c>
      <c r="U197" t="s">
        <v>176</v>
      </c>
      <c r="Z197" s="14">
        <v>42559</v>
      </c>
      <c r="AA197" s="14">
        <v>42725</v>
      </c>
      <c r="AD197" s="14">
        <v>44561</v>
      </c>
      <c r="AL197" t="s">
        <v>122</v>
      </c>
      <c r="AN197">
        <v>2328647350</v>
      </c>
      <c r="AR197">
        <v>2328647350</v>
      </c>
      <c r="AS197">
        <v>0</v>
      </c>
      <c r="AY197" t="s">
        <v>557</v>
      </c>
      <c r="AZ197" t="s">
        <v>880</v>
      </c>
      <c r="BA197" t="s">
        <v>267</v>
      </c>
      <c r="BB197" t="s">
        <v>267</v>
      </c>
      <c r="BC197" t="s">
        <v>242</v>
      </c>
      <c r="BK197" t="s">
        <v>860</v>
      </c>
      <c r="BM197" t="s">
        <v>560</v>
      </c>
      <c r="BN197" t="s">
        <v>561</v>
      </c>
      <c r="BO197" t="s">
        <v>562</v>
      </c>
      <c r="BP197">
        <v>6.1</v>
      </c>
      <c r="BQ197" t="s">
        <v>563</v>
      </c>
      <c r="DF197" s="15" t="s">
        <v>9308</v>
      </c>
      <c r="DG197" t="s">
        <v>317</v>
      </c>
      <c r="DH197" t="s">
        <v>159</v>
      </c>
      <c r="DI197" t="s">
        <v>159</v>
      </c>
      <c r="DJ197" t="s">
        <v>129</v>
      </c>
      <c r="DK197">
        <v>3550000</v>
      </c>
    </row>
    <row r="198" spans="1:115" x14ac:dyDescent="0.25">
      <c r="A198" t="s">
        <v>1016</v>
      </c>
      <c r="B198" t="s">
        <v>1017</v>
      </c>
      <c r="F198" t="s">
        <v>315</v>
      </c>
      <c r="I198" t="s">
        <v>1018</v>
      </c>
      <c r="N198" t="s">
        <v>1019</v>
      </c>
      <c r="U198" t="s">
        <v>176</v>
      </c>
      <c r="Z198" s="14">
        <v>42453</v>
      </c>
      <c r="AD198" s="14">
        <v>44104</v>
      </c>
      <c r="AL198" t="s">
        <v>624</v>
      </c>
      <c r="AN198">
        <v>174467150</v>
      </c>
      <c r="AR198">
        <v>174467150</v>
      </c>
      <c r="AS198">
        <v>0</v>
      </c>
      <c r="AY198" t="s">
        <v>557</v>
      </c>
      <c r="AZ198" t="s">
        <v>880</v>
      </c>
      <c r="BA198" t="s">
        <v>1020</v>
      </c>
      <c r="BB198" t="s">
        <v>1021</v>
      </c>
      <c r="BC198" t="s">
        <v>242</v>
      </c>
      <c r="BK198" t="s">
        <v>860</v>
      </c>
      <c r="BM198" t="s">
        <v>560</v>
      </c>
      <c r="BN198" t="s">
        <v>561</v>
      </c>
      <c r="BO198" t="s">
        <v>1022</v>
      </c>
      <c r="BP198">
        <v>1.3</v>
      </c>
      <c r="BQ198" t="s">
        <v>902</v>
      </c>
      <c r="DF198" s="15" t="s">
        <v>9308</v>
      </c>
      <c r="DG198" t="s">
        <v>126</v>
      </c>
      <c r="DH198" t="s">
        <v>159</v>
      </c>
      <c r="DI198" t="s">
        <v>159</v>
      </c>
      <c r="DJ198" t="s">
        <v>172</v>
      </c>
      <c r="DK198">
        <v>317213</v>
      </c>
    </row>
    <row r="199" spans="1:115" x14ac:dyDescent="0.25">
      <c r="A199" t="s">
        <v>1023</v>
      </c>
      <c r="B199" t="s">
        <v>1024</v>
      </c>
      <c r="F199" t="s">
        <v>216</v>
      </c>
      <c r="I199" t="s">
        <v>1025</v>
      </c>
      <c r="N199" t="s">
        <v>1026</v>
      </c>
      <c r="U199" t="s">
        <v>176</v>
      </c>
      <c r="Z199" s="14">
        <v>42453</v>
      </c>
      <c r="AA199" s="14">
        <v>42509</v>
      </c>
      <c r="AD199" s="14">
        <v>44469</v>
      </c>
      <c r="AL199" t="s">
        <v>624</v>
      </c>
      <c r="AN199">
        <v>2479718450</v>
      </c>
      <c r="AR199">
        <v>2479718450</v>
      </c>
      <c r="AS199">
        <v>0</v>
      </c>
      <c r="AY199" t="s">
        <v>557</v>
      </c>
      <c r="AZ199" t="s">
        <v>880</v>
      </c>
      <c r="BA199" t="s">
        <v>1020</v>
      </c>
      <c r="BB199" t="s">
        <v>1021</v>
      </c>
      <c r="BC199" t="s">
        <v>242</v>
      </c>
      <c r="BK199" t="s">
        <v>860</v>
      </c>
      <c r="BM199" t="s">
        <v>560</v>
      </c>
      <c r="BN199" t="s">
        <v>561</v>
      </c>
      <c r="BO199" t="s">
        <v>989</v>
      </c>
      <c r="BP199">
        <v>3.8</v>
      </c>
      <c r="BQ199" t="s">
        <v>902</v>
      </c>
      <c r="DF199" s="15" t="s">
        <v>9308</v>
      </c>
      <c r="DG199" t="s">
        <v>317</v>
      </c>
      <c r="DH199" t="s">
        <v>159</v>
      </c>
      <c r="DI199" t="s">
        <v>159</v>
      </c>
      <c r="DJ199" t="s">
        <v>172</v>
      </c>
      <c r="DK199">
        <v>4508579</v>
      </c>
    </row>
    <row r="200" spans="1:115" x14ac:dyDescent="0.25">
      <c r="A200" t="s">
        <v>1027</v>
      </c>
      <c r="B200" t="s">
        <v>1028</v>
      </c>
      <c r="F200" t="s">
        <v>282</v>
      </c>
      <c r="I200" t="s">
        <v>1029</v>
      </c>
      <c r="N200" t="s">
        <v>1030</v>
      </c>
      <c r="U200" t="s">
        <v>176</v>
      </c>
      <c r="Z200" s="14">
        <v>42718</v>
      </c>
      <c r="AA200" s="14">
        <v>42370</v>
      </c>
      <c r="AD200" s="14">
        <v>43830</v>
      </c>
      <c r="AL200" t="s">
        <v>122</v>
      </c>
      <c r="AN200">
        <v>12935472040</v>
      </c>
      <c r="AR200">
        <v>12935472040</v>
      </c>
      <c r="AS200">
        <v>0</v>
      </c>
      <c r="AY200" t="s">
        <v>557</v>
      </c>
      <c r="AZ200" t="s">
        <v>880</v>
      </c>
      <c r="BA200" t="s">
        <v>267</v>
      </c>
      <c r="BB200" t="s">
        <v>267</v>
      </c>
      <c r="BC200" t="s">
        <v>242</v>
      </c>
      <c r="BK200" t="s">
        <v>860</v>
      </c>
      <c r="BM200" t="s">
        <v>964</v>
      </c>
      <c r="BN200" t="s">
        <v>965</v>
      </c>
      <c r="BO200" t="s">
        <v>939</v>
      </c>
      <c r="BP200">
        <v>11.3</v>
      </c>
      <c r="BQ200" t="s">
        <v>902</v>
      </c>
      <c r="DF200" s="15" t="s">
        <v>9308</v>
      </c>
      <c r="DG200" t="s">
        <v>317</v>
      </c>
      <c r="DH200" t="s">
        <v>159</v>
      </c>
      <c r="DI200" t="s">
        <v>159</v>
      </c>
      <c r="DJ200" t="s">
        <v>129</v>
      </c>
      <c r="DK200">
        <v>19720000</v>
      </c>
    </row>
    <row r="201" spans="1:115" x14ac:dyDescent="0.25">
      <c r="A201" t="s">
        <v>1031</v>
      </c>
      <c r="B201" t="s">
        <v>1032</v>
      </c>
      <c r="F201" t="s">
        <v>163</v>
      </c>
      <c r="I201" t="s">
        <v>1033</v>
      </c>
      <c r="N201" t="s">
        <v>1034</v>
      </c>
      <c r="U201" t="s">
        <v>165</v>
      </c>
      <c r="V201" t="s">
        <v>166</v>
      </c>
      <c r="Z201" s="14">
        <v>42500</v>
      </c>
      <c r="AA201" s="14">
        <v>42714</v>
      </c>
      <c r="AD201" s="14">
        <v>43830</v>
      </c>
      <c r="AL201" t="s">
        <v>122</v>
      </c>
      <c r="AN201">
        <v>852744100</v>
      </c>
      <c r="AR201">
        <v>852744100</v>
      </c>
      <c r="AS201">
        <v>0</v>
      </c>
      <c r="AY201" t="s">
        <v>557</v>
      </c>
      <c r="AZ201" t="s">
        <v>880</v>
      </c>
      <c r="BA201" t="s">
        <v>267</v>
      </c>
      <c r="BB201" t="s">
        <v>267</v>
      </c>
      <c r="BC201" t="s">
        <v>242</v>
      </c>
      <c r="BK201" t="s">
        <v>860</v>
      </c>
      <c r="BM201" t="s">
        <v>964</v>
      </c>
      <c r="BN201" t="s">
        <v>1035</v>
      </c>
      <c r="BO201" t="s">
        <v>1036</v>
      </c>
      <c r="BP201">
        <v>16.600000000000001</v>
      </c>
      <c r="BQ201" t="s">
        <v>902</v>
      </c>
      <c r="DF201" s="15" t="s">
        <v>9307</v>
      </c>
      <c r="DG201" t="s">
        <v>126</v>
      </c>
      <c r="DH201" t="s">
        <v>159</v>
      </c>
      <c r="DI201" t="s">
        <v>159</v>
      </c>
      <c r="DJ201" t="s">
        <v>129</v>
      </c>
      <c r="DK201">
        <v>1300000</v>
      </c>
    </row>
    <row r="202" spans="1:115" x14ac:dyDescent="0.25">
      <c r="A202" t="s">
        <v>1037</v>
      </c>
      <c r="B202" t="s">
        <v>1038</v>
      </c>
      <c r="F202" t="s">
        <v>1039</v>
      </c>
      <c r="I202" t="s">
        <v>1040</v>
      </c>
      <c r="N202" t="s">
        <v>1041</v>
      </c>
      <c r="U202" t="s">
        <v>176</v>
      </c>
      <c r="Z202" s="14">
        <v>42453</v>
      </c>
      <c r="AA202" s="14">
        <v>42370</v>
      </c>
      <c r="AD202" t="s">
        <v>1042</v>
      </c>
      <c r="AL202" t="s">
        <v>136</v>
      </c>
      <c r="AN202">
        <v>345807020250</v>
      </c>
      <c r="AR202">
        <v>0</v>
      </c>
      <c r="AS202">
        <v>345807020250</v>
      </c>
      <c r="AY202" t="s">
        <v>1043</v>
      </c>
      <c r="AZ202" t="s">
        <v>1038</v>
      </c>
      <c r="BA202" t="s">
        <v>1044</v>
      </c>
      <c r="BB202" t="s">
        <v>1045</v>
      </c>
      <c r="BC202" t="s">
        <v>1044</v>
      </c>
      <c r="BK202" t="s">
        <v>860</v>
      </c>
      <c r="BM202" t="s">
        <v>861</v>
      </c>
      <c r="BN202" t="s">
        <v>1046</v>
      </c>
      <c r="BO202" t="s">
        <v>1047</v>
      </c>
      <c r="BP202">
        <v>17.170000000000002</v>
      </c>
      <c r="BQ202" t="s">
        <v>864</v>
      </c>
      <c r="DF202" s="15" t="s">
        <v>9308</v>
      </c>
      <c r="DG202" t="s">
        <v>1048</v>
      </c>
      <c r="DH202" t="s">
        <v>127</v>
      </c>
      <c r="DI202" t="s">
        <v>1049</v>
      </c>
      <c r="DJ202" t="s">
        <v>172</v>
      </c>
      <c r="DK202">
        <v>345807020250</v>
      </c>
    </row>
    <row r="203" spans="1:115" x14ac:dyDescent="0.25">
      <c r="A203" t="s">
        <v>1050</v>
      </c>
      <c r="B203" t="s">
        <v>1051</v>
      </c>
      <c r="F203" t="s">
        <v>205</v>
      </c>
      <c r="I203" t="s">
        <v>1052</v>
      </c>
      <c r="N203" t="s">
        <v>1053</v>
      </c>
      <c r="U203" t="s">
        <v>176</v>
      </c>
      <c r="Z203" s="14">
        <v>42453</v>
      </c>
      <c r="AA203" s="14">
        <v>42478</v>
      </c>
      <c r="AD203" s="14">
        <v>44561</v>
      </c>
      <c r="AL203" t="s">
        <v>624</v>
      </c>
      <c r="AN203">
        <v>174319750</v>
      </c>
      <c r="AR203">
        <v>174319750</v>
      </c>
      <c r="AS203">
        <v>0</v>
      </c>
      <c r="AY203" t="s">
        <v>557</v>
      </c>
      <c r="AZ203" t="s">
        <v>880</v>
      </c>
      <c r="BA203" t="s">
        <v>1010</v>
      </c>
      <c r="BB203" t="s">
        <v>1011</v>
      </c>
      <c r="BC203" t="s">
        <v>125</v>
      </c>
      <c r="BK203" t="s">
        <v>860</v>
      </c>
      <c r="BM203" t="s">
        <v>560</v>
      </c>
      <c r="BN203" t="s">
        <v>1012</v>
      </c>
      <c r="BO203" t="s">
        <v>939</v>
      </c>
      <c r="BP203">
        <v>11.3</v>
      </c>
      <c r="BQ203" t="s">
        <v>563</v>
      </c>
      <c r="DF203" s="15" t="s">
        <v>9308</v>
      </c>
      <c r="DG203" t="s">
        <v>317</v>
      </c>
      <c r="DH203" t="s">
        <v>159</v>
      </c>
      <c r="DI203" t="s">
        <v>159</v>
      </c>
      <c r="DJ203" t="s">
        <v>172</v>
      </c>
      <c r="DK203">
        <v>316945</v>
      </c>
    </row>
    <row r="204" spans="1:115" x14ac:dyDescent="0.25">
      <c r="A204" t="s">
        <v>1054</v>
      </c>
      <c r="B204" t="s">
        <v>1055</v>
      </c>
      <c r="F204" t="s">
        <v>142</v>
      </c>
      <c r="I204" t="s">
        <v>968</v>
      </c>
      <c r="N204" t="s">
        <v>1056</v>
      </c>
      <c r="U204" t="s">
        <v>218</v>
      </c>
      <c r="V204" t="s">
        <v>1057</v>
      </c>
      <c r="Z204" s="14">
        <v>42453</v>
      </c>
      <c r="AA204" s="14">
        <v>42370</v>
      </c>
      <c r="AD204" s="14">
        <v>44104</v>
      </c>
      <c r="AL204" t="s">
        <v>624</v>
      </c>
      <c r="AN204">
        <v>913761200</v>
      </c>
      <c r="AR204">
        <v>913761200</v>
      </c>
      <c r="AS204">
        <v>0</v>
      </c>
      <c r="AY204" t="s">
        <v>557</v>
      </c>
      <c r="AZ204" t="s">
        <v>880</v>
      </c>
      <c r="BA204" t="s">
        <v>1020</v>
      </c>
      <c r="BB204" t="s">
        <v>1021</v>
      </c>
      <c r="BC204" t="s">
        <v>242</v>
      </c>
      <c r="BK204" t="s">
        <v>860</v>
      </c>
      <c r="BM204" t="s">
        <v>861</v>
      </c>
      <c r="BN204" t="s">
        <v>862</v>
      </c>
      <c r="BO204" t="s">
        <v>971</v>
      </c>
      <c r="BP204">
        <v>9.1</v>
      </c>
      <c r="BQ204" t="s">
        <v>864</v>
      </c>
      <c r="DF204" s="15" t="s">
        <v>9393</v>
      </c>
      <c r="DG204" t="s">
        <v>126</v>
      </c>
      <c r="DH204" t="s">
        <v>159</v>
      </c>
      <c r="DI204" t="s">
        <v>159</v>
      </c>
      <c r="DJ204" t="s">
        <v>172</v>
      </c>
      <c r="DK204">
        <v>1661384</v>
      </c>
    </row>
    <row r="205" spans="1:115" x14ac:dyDescent="0.25">
      <c r="A205" t="s">
        <v>1058</v>
      </c>
      <c r="B205" t="s">
        <v>1059</v>
      </c>
      <c r="F205" t="s">
        <v>216</v>
      </c>
      <c r="I205" t="s">
        <v>1060</v>
      </c>
      <c r="N205" t="s">
        <v>1061</v>
      </c>
      <c r="U205" t="s">
        <v>176</v>
      </c>
      <c r="Z205" s="14">
        <v>42453</v>
      </c>
      <c r="AA205" s="14">
        <v>42509</v>
      </c>
      <c r="AD205" s="14">
        <v>44469</v>
      </c>
      <c r="AL205" t="s">
        <v>624</v>
      </c>
      <c r="AN205">
        <v>116103350</v>
      </c>
      <c r="AR205">
        <v>116103350</v>
      </c>
      <c r="AS205">
        <v>0</v>
      </c>
      <c r="AY205" t="s">
        <v>557</v>
      </c>
      <c r="AZ205" t="s">
        <v>880</v>
      </c>
      <c r="BA205" t="s">
        <v>1020</v>
      </c>
      <c r="BB205" t="s">
        <v>1021</v>
      </c>
      <c r="BC205" t="s">
        <v>242</v>
      </c>
      <c r="BK205" t="s">
        <v>860</v>
      </c>
      <c r="BM205" t="s">
        <v>560</v>
      </c>
      <c r="BN205" t="s">
        <v>561</v>
      </c>
      <c r="BO205" t="s">
        <v>989</v>
      </c>
      <c r="BP205">
        <v>3.8</v>
      </c>
      <c r="BQ205" t="s">
        <v>902</v>
      </c>
      <c r="DF205" s="15" t="s">
        <v>9308</v>
      </c>
      <c r="DG205" t="s">
        <v>126</v>
      </c>
      <c r="DH205" t="s">
        <v>159</v>
      </c>
      <c r="DI205" t="s">
        <v>159</v>
      </c>
      <c r="DJ205" t="s">
        <v>172</v>
      </c>
      <c r="DK205">
        <v>211097</v>
      </c>
    </row>
    <row r="206" spans="1:115" x14ac:dyDescent="0.25">
      <c r="A206" t="s">
        <v>1062</v>
      </c>
      <c r="B206" t="s">
        <v>1063</v>
      </c>
      <c r="F206" t="s">
        <v>216</v>
      </c>
      <c r="I206" t="s">
        <v>1064</v>
      </c>
      <c r="N206" t="s">
        <v>1065</v>
      </c>
      <c r="U206" t="s">
        <v>176</v>
      </c>
      <c r="Z206" s="14">
        <v>42453</v>
      </c>
      <c r="AA206" s="14">
        <v>42509</v>
      </c>
      <c r="AD206" s="14">
        <v>44469</v>
      </c>
      <c r="AL206" t="s">
        <v>624</v>
      </c>
      <c r="AN206">
        <v>261250000</v>
      </c>
      <c r="AR206">
        <v>261250000</v>
      </c>
      <c r="AS206">
        <v>0</v>
      </c>
      <c r="AY206" t="s">
        <v>557</v>
      </c>
      <c r="AZ206" t="s">
        <v>880</v>
      </c>
      <c r="BA206" t="s">
        <v>1020</v>
      </c>
      <c r="BB206" t="s">
        <v>1021</v>
      </c>
      <c r="BC206" t="s">
        <v>242</v>
      </c>
      <c r="BK206" t="s">
        <v>860</v>
      </c>
      <c r="BM206" t="s">
        <v>560</v>
      </c>
      <c r="BN206" t="s">
        <v>561</v>
      </c>
      <c r="BO206" t="s">
        <v>989</v>
      </c>
      <c r="BP206">
        <v>3.8</v>
      </c>
      <c r="BQ206" t="s">
        <v>902</v>
      </c>
      <c r="DF206" s="15" t="s">
        <v>9308</v>
      </c>
      <c r="DG206" t="s">
        <v>126</v>
      </c>
      <c r="DH206" t="s">
        <v>159</v>
      </c>
      <c r="DI206" t="s">
        <v>159</v>
      </c>
      <c r="DJ206" t="s">
        <v>172</v>
      </c>
      <c r="DK206">
        <v>475000</v>
      </c>
    </row>
    <row r="207" spans="1:115" x14ac:dyDescent="0.25">
      <c r="A207" t="s">
        <v>1066</v>
      </c>
      <c r="B207" t="s">
        <v>1067</v>
      </c>
      <c r="F207" t="s">
        <v>205</v>
      </c>
      <c r="I207" t="s">
        <v>1068</v>
      </c>
      <c r="N207" t="s">
        <v>1069</v>
      </c>
      <c r="U207" t="s">
        <v>133</v>
      </c>
      <c r="Z207" s="14">
        <v>42718</v>
      </c>
      <c r="AA207" s="14">
        <v>42725</v>
      </c>
      <c r="AD207" s="14">
        <v>44561</v>
      </c>
      <c r="AL207" t="s">
        <v>122</v>
      </c>
      <c r="AN207">
        <v>1311914000</v>
      </c>
      <c r="AR207">
        <v>1311914000</v>
      </c>
      <c r="AS207">
        <v>0</v>
      </c>
      <c r="AY207" t="s">
        <v>557</v>
      </c>
      <c r="AZ207" t="s">
        <v>880</v>
      </c>
      <c r="BA207" t="s">
        <v>267</v>
      </c>
      <c r="BB207" t="s">
        <v>267</v>
      </c>
      <c r="BC207" t="s">
        <v>242</v>
      </c>
      <c r="BK207" t="s">
        <v>860</v>
      </c>
      <c r="BM207" t="s">
        <v>560</v>
      </c>
      <c r="BN207" t="s">
        <v>1012</v>
      </c>
      <c r="BO207" t="s">
        <v>939</v>
      </c>
      <c r="BP207">
        <v>11.3</v>
      </c>
      <c r="BQ207" t="s">
        <v>563</v>
      </c>
      <c r="DF207" s="15" t="s">
        <v>9394</v>
      </c>
      <c r="DG207" t="s">
        <v>126</v>
      </c>
      <c r="DH207" t="s">
        <v>159</v>
      </c>
      <c r="DI207" t="s">
        <v>159</v>
      </c>
      <c r="DJ207" t="s">
        <v>129</v>
      </c>
      <c r="DK207">
        <v>2000000</v>
      </c>
    </row>
    <row r="208" spans="1:115" x14ac:dyDescent="0.25">
      <c r="A208" t="s">
        <v>1070</v>
      </c>
      <c r="B208" t="s">
        <v>1071</v>
      </c>
      <c r="F208" t="s">
        <v>216</v>
      </c>
      <c r="I208" t="s">
        <v>1072</v>
      </c>
      <c r="N208" t="s">
        <v>1073</v>
      </c>
      <c r="U208" t="s">
        <v>165</v>
      </c>
      <c r="V208" t="s">
        <v>166</v>
      </c>
      <c r="Z208" s="14">
        <v>42453</v>
      </c>
      <c r="AA208" s="14">
        <v>42724</v>
      </c>
      <c r="AD208" s="14">
        <v>44104</v>
      </c>
      <c r="AL208" t="s">
        <v>624</v>
      </c>
      <c r="AN208">
        <v>175327900</v>
      </c>
      <c r="AR208">
        <v>175327900</v>
      </c>
      <c r="AS208">
        <v>0</v>
      </c>
      <c r="AY208" t="s">
        <v>557</v>
      </c>
      <c r="AZ208" t="s">
        <v>880</v>
      </c>
      <c r="BA208" t="s">
        <v>1020</v>
      </c>
      <c r="BB208" t="s">
        <v>1021</v>
      </c>
      <c r="BC208" t="s">
        <v>242</v>
      </c>
      <c r="BK208" t="s">
        <v>860</v>
      </c>
      <c r="BM208" t="s">
        <v>560</v>
      </c>
      <c r="BN208" t="s">
        <v>561</v>
      </c>
      <c r="BO208" t="s">
        <v>989</v>
      </c>
      <c r="BP208">
        <v>3.8</v>
      </c>
      <c r="BQ208" t="s">
        <v>902</v>
      </c>
      <c r="DF208" s="15" t="s">
        <v>9307</v>
      </c>
      <c r="DG208" t="s">
        <v>126</v>
      </c>
      <c r="DH208" t="s">
        <v>159</v>
      </c>
      <c r="DI208" t="s">
        <v>159</v>
      </c>
      <c r="DJ208" t="s">
        <v>172</v>
      </c>
      <c r="DK208">
        <v>318778</v>
      </c>
    </row>
    <row r="209" spans="1:115" x14ac:dyDescent="0.25">
      <c r="A209" t="s">
        <v>1074</v>
      </c>
      <c r="B209" t="s">
        <v>1075</v>
      </c>
      <c r="F209" t="s">
        <v>163</v>
      </c>
      <c r="I209" t="s">
        <v>1076</v>
      </c>
      <c r="N209" t="s">
        <v>1077</v>
      </c>
      <c r="U209" t="s">
        <v>165</v>
      </c>
      <c r="V209" t="s">
        <v>166</v>
      </c>
      <c r="Z209" s="14">
        <v>42453</v>
      </c>
      <c r="AA209" s="14">
        <v>42509</v>
      </c>
      <c r="AD209" s="14">
        <v>44104</v>
      </c>
      <c r="AL209" t="s">
        <v>624</v>
      </c>
      <c r="AN209">
        <v>38299250</v>
      </c>
      <c r="AR209">
        <v>38299250</v>
      </c>
      <c r="AS209">
        <v>0</v>
      </c>
      <c r="AY209" t="s">
        <v>557</v>
      </c>
      <c r="AZ209" t="s">
        <v>880</v>
      </c>
      <c r="BA209" t="s">
        <v>1020</v>
      </c>
      <c r="BB209" t="s">
        <v>1021</v>
      </c>
      <c r="BC209" t="s">
        <v>242</v>
      </c>
      <c r="BK209" t="s">
        <v>860</v>
      </c>
      <c r="BM209" t="s">
        <v>964</v>
      </c>
      <c r="BN209" t="s">
        <v>965</v>
      </c>
      <c r="BO209" t="s">
        <v>1036</v>
      </c>
      <c r="BP209">
        <v>16.600000000000001</v>
      </c>
      <c r="BQ209" t="s">
        <v>902</v>
      </c>
      <c r="DF209" s="15" t="s">
        <v>9307</v>
      </c>
      <c r="DG209" t="s">
        <v>126</v>
      </c>
      <c r="DH209" t="s">
        <v>159</v>
      </c>
      <c r="DI209" t="s">
        <v>159</v>
      </c>
      <c r="DJ209" t="s">
        <v>172</v>
      </c>
      <c r="DK209">
        <v>69635</v>
      </c>
    </row>
    <row r="210" spans="1:115" x14ac:dyDescent="0.25">
      <c r="A210" t="s">
        <v>1078</v>
      </c>
      <c r="B210" t="s">
        <v>1079</v>
      </c>
      <c r="F210" t="s">
        <v>1039</v>
      </c>
      <c r="I210" t="s">
        <v>1080</v>
      </c>
      <c r="N210" t="s">
        <v>1081</v>
      </c>
      <c r="U210" t="s">
        <v>165</v>
      </c>
      <c r="V210" t="s">
        <v>166</v>
      </c>
      <c r="Z210" s="14">
        <v>42444</v>
      </c>
      <c r="AA210" s="14">
        <v>42714</v>
      </c>
      <c r="AD210" s="14">
        <v>43830</v>
      </c>
      <c r="AL210" t="s">
        <v>122</v>
      </c>
      <c r="AN210">
        <v>229584950</v>
      </c>
      <c r="AR210">
        <v>229584950</v>
      </c>
      <c r="AS210">
        <v>0</v>
      </c>
      <c r="AY210" t="s">
        <v>557</v>
      </c>
      <c r="AZ210" t="s">
        <v>880</v>
      </c>
      <c r="BA210" t="s">
        <v>267</v>
      </c>
      <c r="BB210" t="s">
        <v>267</v>
      </c>
      <c r="BC210" t="s">
        <v>242</v>
      </c>
      <c r="BK210" t="s">
        <v>860</v>
      </c>
      <c r="BM210" t="s">
        <v>861</v>
      </c>
      <c r="BN210" t="s">
        <v>1046</v>
      </c>
      <c r="BO210" t="s">
        <v>1047</v>
      </c>
      <c r="BP210">
        <v>17.170000000000002</v>
      </c>
      <c r="BQ210" t="s">
        <v>864</v>
      </c>
      <c r="DF210" s="15" t="s">
        <v>9307</v>
      </c>
      <c r="DG210" t="s">
        <v>126</v>
      </c>
      <c r="DH210" t="s">
        <v>159</v>
      </c>
      <c r="DI210" t="s">
        <v>159</v>
      </c>
      <c r="DJ210" t="s">
        <v>129</v>
      </c>
      <c r="DK210">
        <v>350000</v>
      </c>
    </row>
    <row r="211" spans="1:115" x14ac:dyDescent="0.25">
      <c r="A211" t="s">
        <v>1082</v>
      </c>
      <c r="B211" t="s">
        <v>1083</v>
      </c>
      <c r="F211" t="s">
        <v>216</v>
      </c>
      <c r="I211" t="s">
        <v>1025</v>
      </c>
      <c r="N211" t="s">
        <v>1084</v>
      </c>
      <c r="U211" t="s">
        <v>176</v>
      </c>
      <c r="Z211" s="14">
        <v>42453</v>
      </c>
      <c r="AA211" s="14">
        <v>42713</v>
      </c>
      <c r="AD211" s="14">
        <v>44196</v>
      </c>
      <c r="AL211" t="s">
        <v>624</v>
      </c>
      <c r="AN211">
        <v>34235300</v>
      </c>
      <c r="AR211">
        <v>34235300</v>
      </c>
      <c r="AS211">
        <v>0</v>
      </c>
      <c r="AY211" t="s">
        <v>557</v>
      </c>
      <c r="AZ211" t="s">
        <v>880</v>
      </c>
      <c r="BA211" t="s">
        <v>1010</v>
      </c>
      <c r="BB211" t="s">
        <v>1011</v>
      </c>
      <c r="BC211" t="s">
        <v>125</v>
      </c>
      <c r="BK211" t="s">
        <v>860</v>
      </c>
      <c r="BM211" t="s">
        <v>560</v>
      </c>
      <c r="BN211" t="s">
        <v>561</v>
      </c>
      <c r="BO211" t="s">
        <v>989</v>
      </c>
      <c r="BP211">
        <v>3.8</v>
      </c>
      <c r="BQ211" t="s">
        <v>902</v>
      </c>
      <c r="DF211" s="15" t="s">
        <v>9308</v>
      </c>
      <c r="DG211" t="s">
        <v>126</v>
      </c>
      <c r="DH211" t="s">
        <v>159</v>
      </c>
      <c r="DI211" t="s">
        <v>159</v>
      </c>
      <c r="DJ211" t="s">
        <v>172</v>
      </c>
      <c r="DK211">
        <v>62246</v>
      </c>
    </row>
    <row r="212" spans="1:115" x14ac:dyDescent="0.25">
      <c r="A212" t="s">
        <v>1085</v>
      </c>
      <c r="B212" t="s">
        <v>1086</v>
      </c>
      <c r="F212" t="s">
        <v>163</v>
      </c>
      <c r="I212" t="s">
        <v>1087</v>
      </c>
      <c r="N212" t="s">
        <v>1088</v>
      </c>
      <c r="U212" t="s">
        <v>176</v>
      </c>
      <c r="Z212" s="14">
        <v>42453</v>
      </c>
      <c r="AA212" s="14">
        <v>42474</v>
      </c>
      <c r="AD212" s="14">
        <v>44561</v>
      </c>
      <c r="AL212" t="s">
        <v>624</v>
      </c>
      <c r="AN212">
        <v>87410950</v>
      </c>
      <c r="AR212">
        <v>87410950</v>
      </c>
      <c r="AS212">
        <v>0</v>
      </c>
      <c r="AY212" t="s">
        <v>557</v>
      </c>
      <c r="AZ212" t="s">
        <v>880</v>
      </c>
      <c r="BA212" t="s">
        <v>1010</v>
      </c>
      <c r="BB212" t="s">
        <v>1011</v>
      </c>
      <c r="BC212" t="s">
        <v>125</v>
      </c>
      <c r="BK212" t="s">
        <v>860</v>
      </c>
      <c r="BM212" t="s">
        <v>861</v>
      </c>
      <c r="BN212" t="s">
        <v>1046</v>
      </c>
      <c r="BO212" t="s">
        <v>1036</v>
      </c>
      <c r="BP212">
        <v>16.600000000000001</v>
      </c>
      <c r="BQ212" t="s">
        <v>902</v>
      </c>
      <c r="DF212" s="15" t="s">
        <v>9308</v>
      </c>
      <c r="DG212" t="s">
        <v>170</v>
      </c>
      <c r="DH212" t="s">
        <v>159</v>
      </c>
      <c r="DI212" t="s">
        <v>159</v>
      </c>
      <c r="DJ212" t="s">
        <v>172</v>
      </c>
      <c r="DK212">
        <v>158929</v>
      </c>
    </row>
    <row r="213" spans="1:115" x14ac:dyDescent="0.25">
      <c r="A213" t="s">
        <v>1089</v>
      </c>
      <c r="B213" t="s">
        <v>1090</v>
      </c>
      <c r="F213" t="s">
        <v>216</v>
      </c>
      <c r="I213" t="s">
        <v>1091</v>
      </c>
      <c r="N213" t="s">
        <v>1092</v>
      </c>
      <c r="U213" t="s">
        <v>176</v>
      </c>
      <c r="Z213" s="14">
        <v>42453</v>
      </c>
      <c r="AA213" s="14">
        <v>42703</v>
      </c>
      <c r="AD213" s="14">
        <v>44104</v>
      </c>
      <c r="AL213" t="s">
        <v>624</v>
      </c>
      <c r="AN213">
        <v>275000000</v>
      </c>
      <c r="AR213">
        <v>275000000</v>
      </c>
      <c r="AS213">
        <v>0</v>
      </c>
      <c r="AY213" t="s">
        <v>557</v>
      </c>
      <c r="AZ213" t="s">
        <v>880</v>
      </c>
      <c r="BA213" t="s">
        <v>1020</v>
      </c>
      <c r="BB213" t="s">
        <v>1021</v>
      </c>
      <c r="BC213" t="s">
        <v>242</v>
      </c>
      <c r="BK213" t="s">
        <v>860</v>
      </c>
      <c r="BM213" t="s">
        <v>560</v>
      </c>
      <c r="BN213" t="s">
        <v>561</v>
      </c>
      <c r="BO213" t="s">
        <v>989</v>
      </c>
      <c r="BP213">
        <v>3.8</v>
      </c>
      <c r="BQ213" t="s">
        <v>902</v>
      </c>
      <c r="DF213" s="15" t="s">
        <v>9308</v>
      </c>
      <c r="DG213" t="s">
        <v>126</v>
      </c>
      <c r="DH213" t="s">
        <v>159</v>
      </c>
      <c r="DI213" t="s">
        <v>159</v>
      </c>
      <c r="DJ213" t="s">
        <v>172</v>
      </c>
      <c r="DK213">
        <v>500000</v>
      </c>
    </row>
    <row r="214" spans="1:115" x14ac:dyDescent="0.25">
      <c r="A214" t="s">
        <v>1093</v>
      </c>
      <c r="B214" t="s">
        <v>1094</v>
      </c>
      <c r="F214" t="s">
        <v>526</v>
      </c>
      <c r="I214" t="s">
        <v>1095</v>
      </c>
      <c r="N214" t="s">
        <v>1096</v>
      </c>
      <c r="U214" t="s">
        <v>176</v>
      </c>
      <c r="Z214" s="14">
        <v>42453</v>
      </c>
      <c r="AA214" s="14">
        <v>42515</v>
      </c>
      <c r="AD214" s="14">
        <v>43738</v>
      </c>
      <c r="AL214" t="s">
        <v>624</v>
      </c>
      <c r="AN214">
        <v>27500000</v>
      </c>
      <c r="AR214">
        <v>27500000</v>
      </c>
      <c r="AS214">
        <v>0</v>
      </c>
      <c r="AY214" t="s">
        <v>557</v>
      </c>
      <c r="AZ214" t="s">
        <v>880</v>
      </c>
      <c r="BA214" t="s">
        <v>1020</v>
      </c>
      <c r="BB214" t="s">
        <v>1021</v>
      </c>
      <c r="BC214" t="s">
        <v>242</v>
      </c>
      <c r="BK214" t="s">
        <v>860</v>
      </c>
      <c r="BM214" t="s">
        <v>560</v>
      </c>
      <c r="BN214" t="s">
        <v>561</v>
      </c>
      <c r="BO214" t="s">
        <v>1022</v>
      </c>
      <c r="BP214">
        <v>1.3</v>
      </c>
      <c r="BQ214" t="s">
        <v>902</v>
      </c>
      <c r="DF214" s="15" t="s">
        <v>9308</v>
      </c>
      <c r="DG214" t="s">
        <v>126</v>
      </c>
      <c r="DH214" t="s">
        <v>159</v>
      </c>
      <c r="DI214" t="s">
        <v>159</v>
      </c>
      <c r="DJ214" t="s">
        <v>172</v>
      </c>
      <c r="DK214">
        <v>50000</v>
      </c>
    </row>
    <row r="215" spans="1:115" x14ac:dyDescent="0.25">
      <c r="A215" t="s">
        <v>1097</v>
      </c>
      <c r="B215" t="s">
        <v>1098</v>
      </c>
      <c r="F215" t="s">
        <v>526</v>
      </c>
      <c r="I215" t="s">
        <v>1099</v>
      </c>
      <c r="N215" t="s">
        <v>1100</v>
      </c>
      <c r="U215" t="s">
        <v>176</v>
      </c>
      <c r="Z215" s="14">
        <v>42453</v>
      </c>
      <c r="AA215" s="14">
        <v>42481</v>
      </c>
      <c r="AD215" s="14">
        <v>44196</v>
      </c>
      <c r="AL215" t="s">
        <v>624</v>
      </c>
      <c r="AN215">
        <v>1279508494</v>
      </c>
      <c r="AR215">
        <v>1279508494</v>
      </c>
      <c r="AS215">
        <v>0</v>
      </c>
      <c r="AY215" t="s">
        <v>557</v>
      </c>
      <c r="AZ215" t="s">
        <v>880</v>
      </c>
      <c r="BA215" t="s">
        <v>1010</v>
      </c>
      <c r="BB215" t="s">
        <v>1011</v>
      </c>
      <c r="BC215" t="s">
        <v>125</v>
      </c>
      <c r="BK215" t="s">
        <v>860</v>
      </c>
      <c r="BM215" t="s">
        <v>560</v>
      </c>
      <c r="BN215" t="s">
        <v>561</v>
      </c>
      <c r="BO215" t="s">
        <v>1022</v>
      </c>
      <c r="BP215">
        <v>1.3</v>
      </c>
      <c r="BQ215" t="s">
        <v>902</v>
      </c>
      <c r="DF215" s="15" t="s">
        <v>9308</v>
      </c>
      <c r="DG215" t="s">
        <v>317</v>
      </c>
      <c r="DH215" t="s">
        <v>159</v>
      </c>
      <c r="DI215" t="s">
        <v>159</v>
      </c>
      <c r="DJ215" t="s">
        <v>172</v>
      </c>
      <c r="DK215">
        <v>2326379.08</v>
      </c>
    </row>
    <row r="216" spans="1:115" x14ac:dyDescent="0.25">
      <c r="A216" t="s">
        <v>1101</v>
      </c>
      <c r="B216" t="s">
        <v>1102</v>
      </c>
      <c r="F216" t="s">
        <v>216</v>
      </c>
      <c r="I216" t="s">
        <v>1103</v>
      </c>
      <c r="N216" t="s">
        <v>1104</v>
      </c>
      <c r="U216" t="s">
        <v>211</v>
      </c>
      <c r="V216" t="s">
        <v>1105</v>
      </c>
      <c r="Z216" s="14">
        <v>42453</v>
      </c>
      <c r="AA216" s="14">
        <v>42509</v>
      </c>
      <c r="AD216" s="14">
        <v>44104</v>
      </c>
      <c r="AL216" t="s">
        <v>624</v>
      </c>
      <c r="AN216">
        <v>2255000000</v>
      </c>
      <c r="AR216">
        <v>2255000000</v>
      </c>
      <c r="AS216">
        <v>0</v>
      </c>
      <c r="AY216" t="s">
        <v>557</v>
      </c>
      <c r="AZ216" t="s">
        <v>880</v>
      </c>
      <c r="BA216" t="s">
        <v>1020</v>
      </c>
      <c r="BB216" t="s">
        <v>1021</v>
      </c>
      <c r="BC216" t="s">
        <v>242</v>
      </c>
      <c r="BK216" t="s">
        <v>860</v>
      </c>
      <c r="BM216" t="s">
        <v>560</v>
      </c>
      <c r="BN216" t="s">
        <v>561</v>
      </c>
      <c r="BO216" t="s">
        <v>989</v>
      </c>
      <c r="BP216">
        <v>3.8</v>
      </c>
      <c r="BQ216" t="s">
        <v>902</v>
      </c>
      <c r="DF216" s="15" t="s">
        <v>9395</v>
      </c>
      <c r="DG216" t="s">
        <v>126</v>
      </c>
      <c r="DH216" t="s">
        <v>159</v>
      </c>
      <c r="DI216" t="s">
        <v>159</v>
      </c>
      <c r="DJ216" t="s">
        <v>172</v>
      </c>
      <c r="DK216">
        <v>4100000</v>
      </c>
    </row>
    <row r="217" spans="1:115" x14ac:dyDescent="0.25">
      <c r="A217" t="s">
        <v>1106</v>
      </c>
      <c r="B217" t="s">
        <v>1107</v>
      </c>
      <c r="F217" t="s">
        <v>315</v>
      </c>
      <c r="I217" t="s">
        <v>1108</v>
      </c>
      <c r="N217" t="s">
        <v>1109</v>
      </c>
      <c r="U217" t="s">
        <v>233</v>
      </c>
      <c r="Z217" s="14">
        <v>42472</v>
      </c>
      <c r="AA217" s="14">
        <v>42653</v>
      </c>
      <c r="AD217" s="14">
        <v>44196</v>
      </c>
      <c r="AL217" t="s">
        <v>1110</v>
      </c>
      <c r="AN217">
        <v>1211544000</v>
      </c>
      <c r="AR217">
        <v>1211544000</v>
      </c>
      <c r="AS217">
        <v>0</v>
      </c>
      <c r="AY217" t="s">
        <v>557</v>
      </c>
      <c r="AZ217" t="s">
        <v>880</v>
      </c>
      <c r="BA217" t="s">
        <v>822</v>
      </c>
      <c r="BB217" t="s">
        <v>823</v>
      </c>
      <c r="BC217" t="s">
        <v>242</v>
      </c>
      <c r="BK217" t="s">
        <v>860</v>
      </c>
      <c r="BM217" t="s">
        <v>861</v>
      </c>
      <c r="BN217" t="s">
        <v>900</v>
      </c>
      <c r="BO217" t="s">
        <v>901</v>
      </c>
      <c r="BP217">
        <v>4.0999999999999996</v>
      </c>
      <c r="BQ217" t="s">
        <v>902</v>
      </c>
      <c r="DF217" s="15" t="s">
        <v>9396</v>
      </c>
      <c r="DG217" t="s">
        <v>317</v>
      </c>
      <c r="DH217" t="s">
        <v>159</v>
      </c>
      <c r="DI217" t="s">
        <v>159</v>
      </c>
      <c r="DJ217" t="s">
        <v>129</v>
      </c>
      <c r="DK217">
        <v>2019240</v>
      </c>
    </row>
    <row r="218" spans="1:115" x14ac:dyDescent="0.25">
      <c r="A218" t="s">
        <v>1111</v>
      </c>
      <c r="B218" t="s">
        <v>1112</v>
      </c>
      <c r="F218" t="s">
        <v>282</v>
      </c>
      <c r="I218" t="s">
        <v>1113</v>
      </c>
      <c r="N218" t="s">
        <v>1114</v>
      </c>
      <c r="U218" t="s">
        <v>233</v>
      </c>
      <c r="Z218" s="14">
        <v>42472</v>
      </c>
      <c r="AA218" s="14">
        <v>42653</v>
      </c>
      <c r="AD218" s="14">
        <v>44196</v>
      </c>
      <c r="AL218" t="s">
        <v>1110</v>
      </c>
      <c r="AN218">
        <v>3787600000</v>
      </c>
      <c r="AR218">
        <v>3787600000</v>
      </c>
      <c r="AS218">
        <v>0</v>
      </c>
      <c r="AY218" t="s">
        <v>557</v>
      </c>
      <c r="AZ218" t="s">
        <v>880</v>
      </c>
      <c r="BA218" t="s">
        <v>822</v>
      </c>
      <c r="BB218" t="s">
        <v>823</v>
      </c>
      <c r="BC218" t="s">
        <v>242</v>
      </c>
      <c r="BK218" t="s">
        <v>860</v>
      </c>
      <c r="BM218" t="s">
        <v>964</v>
      </c>
      <c r="BN218" t="s">
        <v>965</v>
      </c>
      <c r="BO218" t="s">
        <v>939</v>
      </c>
      <c r="BP218">
        <v>11.3</v>
      </c>
      <c r="BQ218" t="s">
        <v>902</v>
      </c>
      <c r="DF218" s="15" t="s">
        <v>9396</v>
      </c>
      <c r="DG218" t="s">
        <v>317</v>
      </c>
      <c r="DH218" t="s">
        <v>159</v>
      </c>
      <c r="DI218" t="s">
        <v>159</v>
      </c>
      <c r="DJ218" t="s">
        <v>129</v>
      </c>
      <c r="DK218">
        <v>6800000</v>
      </c>
    </row>
    <row r="219" spans="1:115" x14ac:dyDescent="0.25">
      <c r="A219" t="s">
        <v>1115</v>
      </c>
      <c r="B219" t="s">
        <v>1116</v>
      </c>
      <c r="F219" t="s">
        <v>163</v>
      </c>
      <c r="I219" t="s">
        <v>962</v>
      </c>
      <c r="N219" t="s">
        <v>1117</v>
      </c>
      <c r="U219" t="s">
        <v>165</v>
      </c>
      <c r="V219" t="s">
        <v>166</v>
      </c>
      <c r="Z219" s="14">
        <v>42453</v>
      </c>
      <c r="AA219" s="14">
        <v>42370</v>
      </c>
      <c r="AD219" s="14">
        <v>44561</v>
      </c>
      <c r="AL219" t="s">
        <v>624</v>
      </c>
      <c r="AN219">
        <v>229051570</v>
      </c>
      <c r="AR219">
        <v>229051570</v>
      </c>
      <c r="AS219">
        <v>0</v>
      </c>
      <c r="AY219" t="s">
        <v>557</v>
      </c>
      <c r="AZ219" t="s">
        <v>880</v>
      </c>
      <c r="BA219" t="s">
        <v>1010</v>
      </c>
      <c r="BB219" t="s">
        <v>1011</v>
      </c>
      <c r="BC219" t="s">
        <v>125</v>
      </c>
      <c r="BK219" t="s">
        <v>860</v>
      </c>
      <c r="BM219" t="s">
        <v>964</v>
      </c>
      <c r="BN219" t="s">
        <v>1035</v>
      </c>
      <c r="BO219" t="s">
        <v>1036</v>
      </c>
      <c r="BP219">
        <v>16.600000000000001</v>
      </c>
      <c r="BQ219" t="s">
        <v>902</v>
      </c>
      <c r="DF219" s="15" t="s">
        <v>9307</v>
      </c>
      <c r="DG219" t="s">
        <v>126</v>
      </c>
      <c r="DH219" t="s">
        <v>159</v>
      </c>
      <c r="DI219" t="s">
        <v>159</v>
      </c>
      <c r="DJ219" t="s">
        <v>172</v>
      </c>
      <c r="DK219">
        <v>416457.4</v>
      </c>
    </row>
    <row r="220" spans="1:115" x14ac:dyDescent="0.25">
      <c r="A220" t="s">
        <v>1118</v>
      </c>
      <c r="B220" t="s">
        <v>1119</v>
      </c>
      <c r="F220" t="s">
        <v>216</v>
      </c>
      <c r="I220" t="s">
        <v>1103</v>
      </c>
      <c r="N220" t="s">
        <v>1120</v>
      </c>
      <c r="U220" t="s">
        <v>176</v>
      </c>
      <c r="Z220" s="14">
        <v>42453</v>
      </c>
      <c r="AA220" s="14">
        <v>42724</v>
      </c>
      <c r="AD220" s="14">
        <v>44104</v>
      </c>
      <c r="AL220" t="s">
        <v>624</v>
      </c>
      <c r="AN220">
        <v>551046650</v>
      </c>
      <c r="AR220">
        <v>551046650</v>
      </c>
      <c r="AS220">
        <v>0</v>
      </c>
      <c r="AY220" t="s">
        <v>557</v>
      </c>
      <c r="AZ220" t="s">
        <v>880</v>
      </c>
      <c r="BA220" t="s">
        <v>1020</v>
      </c>
      <c r="BB220" t="s">
        <v>1021</v>
      </c>
      <c r="BC220" t="s">
        <v>242</v>
      </c>
      <c r="BK220" t="s">
        <v>860</v>
      </c>
      <c r="BM220" t="s">
        <v>560</v>
      </c>
      <c r="BN220" t="s">
        <v>561</v>
      </c>
      <c r="BO220" t="s">
        <v>989</v>
      </c>
      <c r="BP220">
        <v>3.8</v>
      </c>
      <c r="BQ220" t="s">
        <v>902</v>
      </c>
      <c r="DF220" s="15" t="s">
        <v>9308</v>
      </c>
      <c r="DG220" t="s">
        <v>126</v>
      </c>
      <c r="DH220" t="s">
        <v>159</v>
      </c>
      <c r="DI220" t="s">
        <v>159</v>
      </c>
      <c r="DJ220" t="s">
        <v>172</v>
      </c>
      <c r="DK220">
        <v>1001903</v>
      </c>
    </row>
    <row r="221" spans="1:115" x14ac:dyDescent="0.25">
      <c r="A221" t="s">
        <v>1121</v>
      </c>
      <c r="B221" t="s">
        <v>1122</v>
      </c>
      <c r="F221" t="s">
        <v>163</v>
      </c>
      <c r="I221" t="s">
        <v>1033</v>
      </c>
      <c r="N221" t="s">
        <v>1123</v>
      </c>
      <c r="U221" t="s">
        <v>165</v>
      </c>
      <c r="V221" t="s">
        <v>166</v>
      </c>
      <c r="Z221" s="14">
        <v>42718</v>
      </c>
      <c r="AA221" s="14">
        <v>42727</v>
      </c>
      <c r="AD221" s="14">
        <v>43830</v>
      </c>
      <c r="AL221" t="s">
        <v>122</v>
      </c>
      <c r="AN221">
        <v>524765600</v>
      </c>
      <c r="AR221">
        <v>524765600</v>
      </c>
      <c r="AS221">
        <v>0</v>
      </c>
      <c r="AY221" t="s">
        <v>557</v>
      </c>
      <c r="AZ221" t="s">
        <v>880</v>
      </c>
      <c r="BA221" t="s">
        <v>267</v>
      </c>
      <c r="BB221" t="s">
        <v>267</v>
      </c>
      <c r="BC221" t="s">
        <v>242</v>
      </c>
      <c r="BK221" t="s">
        <v>860</v>
      </c>
      <c r="BM221" t="s">
        <v>964</v>
      </c>
      <c r="BN221" t="s">
        <v>1035</v>
      </c>
      <c r="BO221" t="s">
        <v>1036</v>
      </c>
      <c r="BP221">
        <v>16.600000000000001</v>
      </c>
      <c r="BQ221" t="s">
        <v>902</v>
      </c>
      <c r="DF221" s="15" t="s">
        <v>9307</v>
      </c>
      <c r="DG221" t="s">
        <v>126</v>
      </c>
      <c r="DH221" t="s">
        <v>159</v>
      </c>
      <c r="DI221" t="s">
        <v>159</v>
      </c>
      <c r="DJ221" t="s">
        <v>129</v>
      </c>
      <c r="DK221">
        <v>800000</v>
      </c>
    </row>
    <row r="222" spans="1:115" x14ac:dyDescent="0.25">
      <c r="A222" t="s">
        <v>1124</v>
      </c>
      <c r="B222" t="s">
        <v>1125</v>
      </c>
      <c r="F222" t="s">
        <v>216</v>
      </c>
      <c r="I222" t="s">
        <v>1025</v>
      </c>
      <c r="N222" t="s">
        <v>1126</v>
      </c>
      <c r="U222" t="s">
        <v>176</v>
      </c>
      <c r="Z222" s="14">
        <v>42500</v>
      </c>
      <c r="AA222" s="14">
        <v>42718</v>
      </c>
      <c r="AD222" s="14">
        <v>44651</v>
      </c>
      <c r="AL222" t="s">
        <v>1127</v>
      </c>
      <c r="AN222">
        <v>1034400000</v>
      </c>
      <c r="AR222">
        <v>1034400000</v>
      </c>
      <c r="AS222">
        <v>0</v>
      </c>
      <c r="AY222" t="s">
        <v>557</v>
      </c>
      <c r="AZ222" t="s">
        <v>880</v>
      </c>
      <c r="BA222" t="s">
        <v>1128</v>
      </c>
      <c r="BB222" t="s">
        <v>1128</v>
      </c>
      <c r="BC222" t="s">
        <v>242</v>
      </c>
      <c r="BK222" t="s">
        <v>860</v>
      </c>
      <c r="BM222" t="s">
        <v>560</v>
      </c>
      <c r="BN222" t="s">
        <v>561</v>
      </c>
      <c r="BO222" t="s">
        <v>989</v>
      </c>
      <c r="BP222">
        <v>3.8</v>
      </c>
      <c r="BQ222" t="s">
        <v>902</v>
      </c>
      <c r="DF222" s="15" t="s">
        <v>9308</v>
      </c>
      <c r="DG222" t="s">
        <v>126</v>
      </c>
      <c r="DH222" t="s">
        <v>159</v>
      </c>
      <c r="DI222" t="s">
        <v>159</v>
      </c>
      <c r="DJ222" t="s">
        <v>129</v>
      </c>
      <c r="DK222">
        <v>2400000</v>
      </c>
    </row>
    <row r="223" spans="1:115" x14ac:dyDescent="0.25">
      <c r="A223" t="s">
        <v>1129</v>
      </c>
      <c r="B223" t="s">
        <v>1130</v>
      </c>
      <c r="F223" t="s">
        <v>526</v>
      </c>
      <c r="I223" t="s">
        <v>1131</v>
      </c>
      <c r="N223" t="s">
        <v>1132</v>
      </c>
      <c r="U223" t="s">
        <v>1133</v>
      </c>
      <c r="Z223" s="14">
        <v>42536</v>
      </c>
      <c r="AA223" s="14">
        <v>42718</v>
      </c>
      <c r="AD223" s="14">
        <v>44926</v>
      </c>
      <c r="AL223" t="s">
        <v>1127</v>
      </c>
      <c r="AN223">
        <v>3986750000</v>
      </c>
      <c r="AR223">
        <v>3986750000</v>
      </c>
      <c r="AS223">
        <v>0</v>
      </c>
      <c r="AY223" t="s">
        <v>557</v>
      </c>
      <c r="AZ223" t="s">
        <v>880</v>
      </c>
      <c r="BA223" t="s">
        <v>1128</v>
      </c>
      <c r="BB223" t="s">
        <v>1128</v>
      </c>
      <c r="BC223" t="s">
        <v>242</v>
      </c>
      <c r="BK223" t="s">
        <v>860</v>
      </c>
      <c r="BM223" t="s">
        <v>560</v>
      </c>
      <c r="BN223" t="s">
        <v>561</v>
      </c>
      <c r="BO223" t="s">
        <v>1022</v>
      </c>
      <c r="BP223">
        <v>1.3</v>
      </c>
      <c r="BQ223" t="s">
        <v>902</v>
      </c>
      <c r="DF223" s="15" t="s">
        <v>9397</v>
      </c>
      <c r="DG223" t="s">
        <v>126</v>
      </c>
      <c r="DH223" t="s">
        <v>159</v>
      </c>
      <c r="DI223" t="s">
        <v>159</v>
      </c>
      <c r="DJ223" t="s">
        <v>129</v>
      </c>
      <c r="DK223">
        <v>9250000</v>
      </c>
    </row>
    <row r="224" spans="1:115" x14ac:dyDescent="0.25">
      <c r="A224" t="s">
        <v>1134</v>
      </c>
      <c r="B224" t="s">
        <v>1135</v>
      </c>
      <c r="F224" t="s">
        <v>526</v>
      </c>
      <c r="I224" t="s">
        <v>1095</v>
      </c>
      <c r="N224" t="s">
        <v>1136</v>
      </c>
      <c r="U224" t="s">
        <v>165</v>
      </c>
      <c r="V224" t="s">
        <v>166</v>
      </c>
      <c r="Z224" s="14">
        <v>42444</v>
      </c>
      <c r="AA224" s="14">
        <v>42718</v>
      </c>
      <c r="AD224" s="14">
        <v>44804</v>
      </c>
      <c r="AL224" t="s">
        <v>1127</v>
      </c>
      <c r="AN224">
        <v>1048177346</v>
      </c>
      <c r="AR224">
        <v>1048177346</v>
      </c>
      <c r="AS224">
        <v>0</v>
      </c>
      <c r="AY224" t="s">
        <v>557</v>
      </c>
      <c r="AZ224" t="s">
        <v>880</v>
      </c>
      <c r="BA224" t="s">
        <v>1128</v>
      </c>
      <c r="BB224" t="s">
        <v>1128</v>
      </c>
      <c r="BC224" t="s">
        <v>242</v>
      </c>
      <c r="BK224" t="s">
        <v>860</v>
      </c>
      <c r="BM224" t="s">
        <v>560</v>
      </c>
      <c r="BN224" t="s">
        <v>561</v>
      </c>
      <c r="BO224" t="s">
        <v>1022</v>
      </c>
      <c r="BP224">
        <v>1.3</v>
      </c>
      <c r="BQ224" t="s">
        <v>902</v>
      </c>
      <c r="DF224" s="15" t="s">
        <v>9307</v>
      </c>
      <c r="DG224" t="s">
        <v>126</v>
      </c>
      <c r="DH224" t="s">
        <v>159</v>
      </c>
      <c r="DI224" t="s">
        <v>159</v>
      </c>
      <c r="DJ224" t="s">
        <v>129</v>
      </c>
      <c r="DK224">
        <v>2431966</v>
      </c>
    </row>
    <row r="225" spans="1:115" x14ac:dyDescent="0.25">
      <c r="A225" t="s">
        <v>1137</v>
      </c>
      <c r="B225" t="s">
        <v>1138</v>
      </c>
      <c r="F225" t="s">
        <v>282</v>
      </c>
      <c r="I225" t="s">
        <v>1087</v>
      </c>
      <c r="N225" t="s">
        <v>1139</v>
      </c>
      <c r="U225" t="s">
        <v>176</v>
      </c>
      <c r="Z225" s="14">
        <v>42614</v>
      </c>
      <c r="AA225" s="14">
        <v>42718</v>
      </c>
      <c r="AD225" s="14">
        <v>44286</v>
      </c>
      <c r="AL225" t="s">
        <v>1127</v>
      </c>
      <c r="AN225">
        <v>522587400</v>
      </c>
      <c r="AR225">
        <v>522587400</v>
      </c>
      <c r="AS225">
        <v>0</v>
      </c>
      <c r="AY225" t="s">
        <v>557</v>
      </c>
      <c r="AZ225" t="s">
        <v>880</v>
      </c>
      <c r="BA225" t="s">
        <v>1128</v>
      </c>
      <c r="BB225" t="s">
        <v>1128</v>
      </c>
      <c r="BC225" t="s">
        <v>242</v>
      </c>
      <c r="BK225" t="s">
        <v>860</v>
      </c>
      <c r="BM225" t="s">
        <v>964</v>
      </c>
      <c r="BN225" t="s">
        <v>965</v>
      </c>
      <c r="BO225" t="s">
        <v>939</v>
      </c>
      <c r="BP225">
        <v>11.3</v>
      </c>
      <c r="BQ225" t="s">
        <v>902</v>
      </c>
      <c r="DF225" s="15" t="s">
        <v>9308</v>
      </c>
      <c r="DG225" t="s">
        <v>317</v>
      </c>
      <c r="DH225" t="s">
        <v>159</v>
      </c>
      <c r="DI225" t="s">
        <v>159</v>
      </c>
      <c r="DJ225" t="s">
        <v>129</v>
      </c>
      <c r="DK225">
        <v>1140000</v>
      </c>
    </row>
    <row r="226" spans="1:115" x14ac:dyDescent="0.25">
      <c r="A226" t="s">
        <v>1140</v>
      </c>
      <c r="B226" t="s">
        <v>1141</v>
      </c>
      <c r="F226" t="s">
        <v>282</v>
      </c>
      <c r="I226" t="s">
        <v>1142</v>
      </c>
      <c r="N226" t="s">
        <v>1143</v>
      </c>
      <c r="U226" t="s">
        <v>176</v>
      </c>
      <c r="Z226" s="14">
        <v>42452</v>
      </c>
      <c r="AA226" s="14">
        <v>42653</v>
      </c>
      <c r="AD226" s="14">
        <v>43830</v>
      </c>
      <c r="AL226" t="s">
        <v>1110</v>
      </c>
      <c r="AN226">
        <v>3954700000</v>
      </c>
      <c r="AR226">
        <v>3954700000</v>
      </c>
      <c r="AS226">
        <v>0</v>
      </c>
      <c r="AY226" t="s">
        <v>557</v>
      </c>
      <c r="AZ226" t="s">
        <v>880</v>
      </c>
      <c r="BA226" t="s">
        <v>822</v>
      </c>
      <c r="BB226" t="s">
        <v>823</v>
      </c>
      <c r="BC226" t="s">
        <v>242</v>
      </c>
      <c r="BK226" t="s">
        <v>860</v>
      </c>
      <c r="BM226" t="s">
        <v>964</v>
      </c>
      <c r="BN226" t="s">
        <v>965</v>
      </c>
      <c r="BO226" t="s">
        <v>939</v>
      </c>
      <c r="BP226">
        <v>11.3</v>
      </c>
      <c r="BQ226" t="s">
        <v>902</v>
      </c>
      <c r="DF226" s="15" t="s">
        <v>9308</v>
      </c>
      <c r="DG226" t="s">
        <v>284</v>
      </c>
      <c r="DH226" t="s">
        <v>159</v>
      </c>
      <c r="DI226" t="s">
        <v>159</v>
      </c>
      <c r="DJ226" t="s">
        <v>129</v>
      </c>
      <c r="DK226">
        <v>7100000</v>
      </c>
    </row>
    <row r="227" spans="1:115" x14ac:dyDescent="0.25">
      <c r="A227" t="s">
        <v>1144</v>
      </c>
      <c r="B227" t="s">
        <v>1145</v>
      </c>
      <c r="F227" t="s">
        <v>315</v>
      </c>
      <c r="I227" t="s">
        <v>1146</v>
      </c>
      <c r="N227" t="s">
        <v>1147</v>
      </c>
      <c r="U227" t="s">
        <v>176</v>
      </c>
      <c r="Z227" s="14">
        <v>42453</v>
      </c>
      <c r="AA227" s="14">
        <v>42705</v>
      </c>
      <c r="AD227" s="14">
        <v>43465</v>
      </c>
      <c r="AL227" t="s">
        <v>136</v>
      </c>
      <c r="AN227">
        <v>8070000000</v>
      </c>
      <c r="AR227">
        <v>8070000000</v>
      </c>
      <c r="AS227">
        <v>0</v>
      </c>
      <c r="AY227" t="s">
        <v>557</v>
      </c>
      <c r="AZ227" t="s">
        <v>880</v>
      </c>
      <c r="BA227" t="s">
        <v>1148</v>
      </c>
      <c r="BB227" t="s">
        <v>1148</v>
      </c>
      <c r="BC227" t="s">
        <v>242</v>
      </c>
      <c r="BK227" t="s">
        <v>860</v>
      </c>
      <c r="BM227" t="s">
        <v>861</v>
      </c>
      <c r="BN227" t="s">
        <v>900</v>
      </c>
      <c r="BO227" t="s">
        <v>901</v>
      </c>
      <c r="BP227">
        <v>4.0999999999999996</v>
      </c>
      <c r="BQ227" t="s">
        <v>902</v>
      </c>
      <c r="DF227" s="15" t="s">
        <v>9308</v>
      </c>
      <c r="DG227" t="s">
        <v>126</v>
      </c>
      <c r="DH227" t="s">
        <v>159</v>
      </c>
      <c r="DI227" t="s">
        <v>159</v>
      </c>
      <c r="DJ227" t="s">
        <v>172</v>
      </c>
      <c r="DK227">
        <v>8070000000</v>
      </c>
    </row>
    <row r="228" spans="1:115" x14ac:dyDescent="0.25">
      <c r="A228" t="s">
        <v>1149</v>
      </c>
      <c r="B228" t="s">
        <v>1150</v>
      </c>
      <c r="F228" t="s">
        <v>315</v>
      </c>
      <c r="I228" t="s">
        <v>1146</v>
      </c>
      <c r="N228" t="s">
        <v>1151</v>
      </c>
      <c r="U228" t="s">
        <v>185</v>
      </c>
      <c r="V228" t="s">
        <v>1152</v>
      </c>
      <c r="W228" t="s">
        <v>1153</v>
      </c>
      <c r="Z228" s="14">
        <v>42401</v>
      </c>
      <c r="AA228" s="14">
        <v>42453</v>
      </c>
      <c r="AD228" s="14">
        <v>43465</v>
      </c>
      <c r="AL228" t="s">
        <v>136</v>
      </c>
      <c r="AN228">
        <v>51290589</v>
      </c>
      <c r="AR228">
        <v>51290589</v>
      </c>
      <c r="AS228">
        <v>0</v>
      </c>
      <c r="AY228" t="s">
        <v>557</v>
      </c>
      <c r="AZ228" t="s">
        <v>880</v>
      </c>
      <c r="BA228" t="s">
        <v>1148</v>
      </c>
      <c r="BB228" t="s">
        <v>1148</v>
      </c>
      <c r="BC228" t="s">
        <v>242</v>
      </c>
      <c r="BK228" t="s">
        <v>860</v>
      </c>
      <c r="BM228" t="s">
        <v>861</v>
      </c>
      <c r="BN228" t="s">
        <v>900</v>
      </c>
      <c r="BO228" t="s">
        <v>901</v>
      </c>
      <c r="BP228">
        <v>4.0999999999999996</v>
      </c>
      <c r="BQ228" t="s">
        <v>902</v>
      </c>
      <c r="DF228" s="15" t="s">
        <v>9398</v>
      </c>
      <c r="DG228" t="s">
        <v>126</v>
      </c>
      <c r="DH228" t="s">
        <v>159</v>
      </c>
      <c r="DI228" t="s">
        <v>159</v>
      </c>
      <c r="DJ228" t="s">
        <v>172</v>
      </c>
      <c r="DK228">
        <v>51290589</v>
      </c>
    </row>
    <row r="229" spans="1:115" x14ac:dyDescent="0.25">
      <c r="A229" t="s">
        <v>1154</v>
      </c>
      <c r="B229" t="s">
        <v>1155</v>
      </c>
      <c r="F229" t="s">
        <v>315</v>
      </c>
      <c r="I229" t="s">
        <v>1146</v>
      </c>
      <c r="N229" t="s">
        <v>1156</v>
      </c>
      <c r="U229" t="s">
        <v>1157</v>
      </c>
      <c r="V229" t="s">
        <v>1158</v>
      </c>
      <c r="W229" t="s">
        <v>1159</v>
      </c>
      <c r="Z229" s="14">
        <v>42401</v>
      </c>
      <c r="AA229" s="14">
        <v>42453</v>
      </c>
      <c r="AD229" s="14">
        <v>43465</v>
      </c>
      <c r="AL229" t="s">
        <v>136</v>
      </c>
      <c r="AN229">
        <v>98081970</v>
      </c>
      <c r="AR229">
        <v>98081970</v>
      </c>
      <c r="AS229">
        <v>0</v>
      </c>
      <c r="AY229" t="s">
        <v>557</v>
      </c>
      <c r="AZ229" t="s">
        <v>880</v>
      </c>
      <c r="BA229" t="s">
        <v>1148</v>
      </c>
      <c r="BB229" t="s">
        <v>1148</v>
      </c>
      <c r="BC229" t="s">
        <v>242</v>
      </c>
      <c r="BK229" t="s">
        <v>860</v>
      </c>
      <c r="BM229" t="s">
        <v>861</v>
      </c>
      <c r="BN229" t="s">
        <v>900</v>
      </c>
      <c r="BO229" t="s">
        <v>901</v>
      </c>
      <c r="BP229">
        <v>4.0999999999999996</v>
      </c>
      <c r="BQ229" t="s">
        <v>902</v>
      </c>
      <c r="DF229" s="15" t="s">
        <v>9399</v>
      </c>
      <c r="DG229" t="s">
        <v>126</v>
      </c>
      <c r="DH229" t="s">
        <v>159</v>
      </c>
      <c r="DI229" t="s">
        <v>159</v>
      </c>
      <c r="DJ229" t="s">
        <v>172</v>
      </c>
      <c r="DK229">
        <v>98081970</v>
      </c>
    </row>
    <row r="230" spans="1:115" x14ac:dyDescent="0.25">
      <c r="A230" t="s">
        <v>1160</v>
      </c>
      <c r="B230" t="s">
        <v>1161</v>
      </c>
      <c r="F230" t="s">
        <v>315</v>
      </c>
      <c r="I230" t="s">
        <v>998</v>
      </c>
      <c r="N230" t="s">
        <v>1162</v>
      </c>
      <c r="U230" t="s">
        <v>409</v>
      </c>
      <c r="V230" t="s">
        <v>1163</v>
      </c>
      <c r="Z230" s="14">
        <v>42453</v>
      </c>
      <c r="AA230" s="14">
        <v>42648</v>
      </c>
      <c r="AD230" s="14">
        <v>43465</v>
      </c>
      <c r="AL230" t="s">
        <v>136</v>
      </c>
      <c r="AN230">
        <v>98095745</v>
      </c>
      <c r="AR230">
        <v>98095745</v>
      </c>
      <c r="AS230">
        <v>0</v>
      </c>
      <c r="AY230" t="s">
        <v>557</v>
      </c>
      <c r="AZ230" t="s">
        <v>880</v>
      </c>
      <c r="BA230" t="s">
        <v>1148</v>
      </c>
      <c r="BB230" t="s">
        <v>1148</v>
      </c>
      <c r="BC230" t="s">
        <v>242</v>
      </c>
      <c r="BK230" t="s">
        <v>860</v>
      </c>
      <c r="BM230" t="s">
        <v>861</v>
      </c>
      <c r="BN230" t="s">
        <v>900</v>
      </c>
      <c r="BO230" t="s">
        <v>901</v>
      </c>
      <c r="BP230">
        <v>4.0999999999999996</v>
      </c>
      <c r="BQ230" t="s">
        <v>902</v>
      </c>
      <c r="DF230" s="15" t="s">
        <v>9400</v>
      </c>
      <c r="DG230" t="s">
        <v>126</v>
      </c>
      <c r="DH230" t="s">
        <v>159</v>
      </c>
      <c r="DI230" t="s">
        <v>159</v>
      </c>
      <c r="DJ230" t="s">
        <v>172</v>
      </c>
      <c r="DK230">
        <v>98095745</v>
      </c>
    </row>
    <row r="231" spans="1:115" x14ac:dyDescent="0.25">
      <c r="A231" t="s">
        <v>1164</v>
      </c>
      <c r="B231" t="s">
        <v>1165</v>
      </c>
      <c r="F231" t="s">
        <v>315</v>
      </c>
      <c r="I231" t="s">
        <v>998</v>
      </c>
      <c r="N231" t="s">
        <v>1166</v>
      </c>
      <c r="U231" t="s">
        <v>1167</v>
      </c>
      <c r="V231" t="s">
        <v>1168</v>
      </c>
      <c r="Z231" s="14">
        <v>42401</v>
      </c>
      <c r="AA231" s="14">
        <v>42453</v>
      </c>
      <c r="AD231" s="14">
        <v>43465</v>
      </c>
      <c r="AL231" t="s">
        <v>136</v>
      </c>
      <c r="AN231">
        <v>98028181</v>
      </c>
      <c r="AR231">
        <v>98028181</v>
      </c>
      <c r="AS231">
        <v>0</v>
      </c>
      <c r="AY231" t="s">
        <v>557</v>
      </c>
      <c r="AZ231" t="s">
        <v>880</v>
      </c>
      <c r="BA231" t="s">
        <v>1148</v>
      </c>
      <c r="BB231" t="s">
        <v>1148</v>
      </c>
      <c r="BC231" t="s">
        <v>242</v>
      </c>
      <c r="BK231" t="s">
        <v>860</v>
      </c>
      <c r="BM231" t="s">
        <v>861</v>
      </c>
      <c r="BN231" t="s">
        <v>900</v>
      </c>
      <c r="BO231" t="s">
        <v>901</v>
      </c>
      <c r="BP231">
        <v>4.0999999999999996</v>
      </c>
      <c r="BQ231" t="s">
        <v>902</v>
      </c>
      <c r="DF231" s="15" t="s">
        <v>9401</v>
      </c>
      <c r="DG231" t="s">
        <v>126</v>
      </c>
      <c r="DH231" t="s">
        <v>159</v>
      </c>
      <c r="DI231" t="s">
        <v>159</v>
      </c>
      <c r="DJ231" t="s">
        <v>172</v>
      </c>
      <c r="DK231">
        <v>98028181</v>
      </c>
    </row>
    <row r="232" spans="1:115" x14ac:dyDescent="0.25">
      <c r="A232" t="s">
        <v>1169</v>
      </c>
      <c r="B232" t="s">
        <v>1170</v>
      </c>
      <c r="F232" t="s">
        <v>118</v>
      </c>
      <c r="I232" t="s">
        <v>1171</v>
      </c>
      <c r="N232" t="s">
        <v>1172</v>
      </c>
      <c r="U232" t="s">
        <v>176</v>
      </c>
      <c r="Z232" s="14">
        <v>42401</v>
      </c>
      <c r="AA232" s="14">
        <v>42453</v>
      </c>
      <c r="AD232" s="14">
        <v>43100</v>
      </c>
      <c r="AL232" t="s">
        <v>136</v>
      </c>
      <c r="AN232">
        <v>655960000</v>
      </c>
      <c r="AR232">
        <v>0</v>
      </c>
      <c r="AS232">
        <v>655960000</v>
      </c>
      <c r="AY232" t="s">
        <v>557</v>
      </c>
      <c r="AZ232" t="s">
        <v>558</v>
      </c>
      <c r="BA232" t="s">
        <v>1148</v>
      </c>
      <c r="BB232" t="s">
        <v>1148</v>
      </c>
      <c r="BC232" t="s">
        <v>242</v>
      </c>
      <c r="BK232" t="s">
        <v>860</v>
      </c>
      <c r="BM232" t="s">
        <v>861</v>
      </c>
      <c r="BN232" t="s">
        <v>862</v>
      </c>
      <c r="BO232" t="s">
        <v>1173</v>
      </c>
      <c r="BP232">
        <v>7.1</v>
      </c>
      <c r="BQ232" t="s">
        <v>864</v>
      </c>
      <c r="DF232" s="15" t="s">
        <v>9308</v>
      </c>
      <c r="DG232" t="s">
        <v>126</v>
      </c>
      <c r="DH232" t="s">
        <v>127</v>
      </c>
      <c r="DI232" t="s">
        <v>150</v>
      </c>
      <c r="DJ232" t="s">
        <v>172</v>
      </c>
      <c r="DK232">
        <v>655960000</v>
      </c>
    </row>
    <row r="233" spans="1:115" x14ac:dyDescent="0.25">
      <c r="A233" t="s">
        <v>1174</v>
      </c>
      <c r="B233" t="s">
        <v>1175</v>
      </c>
      <c r="F233" t="s">
        <v>190</v>
      </c>
      <c r="I233" t="s">
        <v>1176</v>
      </c>
      <c r="N233" t="s">
        <v>1177</v>
      </c>
      <c r="U233" t="s">
        <v>176</v>
      </c>
      <c r="Z233" s="14">
        <v>42408</v>
      </c>
      <c r="AA233" s="14">
        <v>42453</v>
      </c>
      <c r="AD233" s="14">
        <v>44561</v>
      </c>
      <c r="AL233" t="s">
        <v>624</v>
      </c>
      <c r="AN233">
        <v>268950000</v>
      </c>
      <c r="AR233">
        <v>268950000</v>
      </c>
      <c r="AS233">
        <v>0</v>
      </c>
      <c r="AY233" t="s">
        <v>557</v>
      </c>
      <c r="AZ233" t="s">
        <v>880</v>
      </c>
      <c r="BA233" t="s">
        <v>1010</v>
      </c>
      <c r="BB233" t="s">
        <v>1011</v>
      </c>
      <c r="BC233" t="s">
        <v>125</v>
      </c>
      <c r="BK233" t="s">
        <v>860</v>
      </c>
      <c r="BM233" t="s">
        <v>861</v>
      </c>
      <c r="BN233" t="s">
        <v>862</v>
      </c>
      <c r="BO233" t="s">
        <v>863</v>
      </c>
      <c r="BP233">
        <v>2.2999999999999998</v>
      </c>
      <c r="BQ233" t="s">
        <v>864</v>
      </c>
      <c r="DF233" s="15" t="s">
        <v>9308</v>
      </c>
      <c r="DG233" t="s">
        <v>126</v>
      </c>
      <c r="DH233" t="s">
        <v>159</v>
      </c>
      <c r="DI233" t="s">
        <v>159</v>
      </c>
      <c r="DJ233" t="s">
        <v>172</v>
      </c>
      <c r="DK233">
        <v>489000</v>
      </c>
    </row>
    <row r="234" spans="1:115" x14ac:dyDescent="0.25">
      <c r="A234" t="s">
        <v>1178</v>
      </c>
      <c r="B234" t="s">
        <v>1179</v>
      </c>
      <c r="F234" t="s">
        <v>163</v>
      </c>
      <c r="I234" t="s">
        <v>962</v>
      </c>
      <c r="N234" t="s">
        <v>1180</v>
      </c>
      <c r="U234" t="s">
        <v>165</v>
      </c>
      <c r="V234" t="s">
        <v>166</v>
      </c>
      <c r="Z234" s="14">
        <v>42453</v>
      </c>
      <c r="AA234" s="14">
        <v>42474</v>
      </c>
      <c r="AD234" s="14">
        <v>44196</v>
      </c>
      <c r="AL234" t="s">
        <v>624</v>
      </c>
      <c r="AN234">
        <v>281446000</v>
      </c>
      <c r="AR234">
        <v>281446000</v>
      </c>
      <c r="AS234">
        <v>0</v>
      </c>
      <c r="AY234" t="s">
        <v>557</v>
      </c>
      <c r="AZ234" t="s">
        <v>880</v>
      </c>
      <c r="BA234" t="s">
        <v>1010</v>
      </c>
      <c r="BB234" t="s">
        <v>1011</v>
      </c>
      <c r="BC234" t="s">
        <v>125</v>
      </c>
      <c r="BK234" t="s">
        <v>860</v>
      </c>
      <c r="BM234" t="s">
        <v>861</v>
      </c>
      <c r="BN234" t="s">
        <v>1046</v>
      </c>
      <c r="BO234" t="s">
        <v>1036</v>
      </c>
      <c r="BP234">
        <v>16.600000000000001</v>
      </c>
      <c r="BQ234" t="s">
        <v>902</v>
      </c>
      <c r="DF234" s="15" t="s">
        <v>9307</v>
      </c>
      <c r="DG234" t="s">
        <v>126</v>
      </c>
      <c r="DH234" t="s">
        <v>159</v>
      </c>
      <c r="DI234" t="s">
        <v>159</v>
      </c>
      <c r="DJ234" t="s">
        <v>172</v>
      </c>
      <c r="DK234">
        <v>511720</v>
      </c>
    </row>
    <row r="235" spans="1:115" x14ac:dyDescent="0.25">
      <c r="A235" t="s">
        <v>1181</v>
      </c>
      <c r="B235" t="s">
        <v>1182</v>
      </c>
      <c r="F235" t="s">
        <v>315</v>
      </c>
      <c r="I235" t="s">
        <v>896</v>
      </c>
      <c r="N235" t="s">
        <v>1183</v>
      </c>
      <c r="U235" t="s">
        <v>176</v>
      </c>
      <c r="Z235" s="14">
        <v>42453</v>
      </c>
      <c r="AA235" s="14">
        <v>42501</v>
      </c>
      <c r="AD235" s="14">
        <v>44196</v>
      </c>
      <c r="AL235" t="s">
        <v>624</v>
      </c>
      <c r="AN235">
        <v>175463805</v>
      </c>
      <c r="AR235">
        <v>175463805</v>
      </c>
      <c r="AS235">
        <v>0</v>
      </c>
      <c r="AY235" t="s">
        <v>557</v>
      </c>
      <c r="AZ235" t="s">
        <v>880</v>
      </c>
      <c r="BA235" t="s">
        <v>1184</v>
      </c>
      <c r="BB235" t="s">
        <v>1184</v>
      </c>
      <c r="BC235" t="s">
        <v>242</v>
      </c>
      <c r="BK235" t="s">
        <v>860</v>
      </c>
      <c r="BM235" t="s">
        <v>861</v>
      </c>
      <c r="BN235" t="s">
        <v>900</v>
      </c>
      <c r="BO235" t="s">
        <v>901</v>
      </c>
      <c r="BP235">
        <v>4.0999999999999996</v>
      </c>
      <c r="BQ235" t="s">
        <v>902</v>
      </c>
      <c r="DF235" s="15" t="s">
        <v>9308</v>
      </c>
      <c r="DG235" t="s">
        <v>126</v>
      </c>
      <c r="DH235" t="s">
        <v>159</v>
      </c>
      <c r="DI235" t="s">
        <v>159</v>
      </c>
      <c r="DJ235" t="s">
        <v>172</v>
      </c>
      <c r="DK235">
        <v>319025.09999999998</v>
      </c>
    </row>
    <row r="236" spans="1:115" x14ac:dyDescent="0.25">
      <c r="A236" t="s">
        <v>1185</v>
      </c>
      <c r="B236" t="s">
        <v>1186</v>
      </c>
      <c r="F236" t="s">
        <v>806</v>
      </c>
      <c r="I236" t="s">
        <v>1187</v>
      </c>
      <c r="N236" t="s">
        <v>1188</v>
      </c>
      <c r="U236" t="s">
        <v>176</v>
      </c>
      <c r="Z236" s="14">
        <v>42453</v>
      </c>
      <c r="AA236" s="14">
        <v>42713</v>
      </c>
      <c r="AD236" s="14">
        <v>43100</v>
      </c>
      <c r="AL236" t="s">
        <v>624</v>
      </c>
      <c r="AN236">
        <v>23375000</v>
      </c>
      <c r="AR236">
        <v>23375000</v>
      </c>
      <c r="AS236">
        <v>0</v>
      </c>
      <c r="AY236" t="s">
        <v>557</v>
      </c>
      <c r="AZ236" t="s">
        <v>880</v>
      </c>
      <c r="BA236" t="s">
        <v>1184</v>
      </c>
      <c r="BB236" t="s">
        <v>1184</v>
      </c>
      <c r="BC236" t="s">
        <v>242</v>
      </c>
      <c r="BK236" t="s">
        <v>860</v>
      </c>
      <c r="BM236" t="s">
        <v>560</v>
      </c>
      <c r="BN236" t="s">
        <v>561</v>
      </c>
      <c r="BO236" t="s">
        <v>989</v>
      </c>
      <c r="BP236">
        <v>3.8</v>
      </c>
      <c r="BQ236" t="s">
        <v>902</v>
      </c>
      <c r="DF236" s="15" t="s">
        <v>9308</v>
      </c>
      <c r="DG236" t="s">
        <v>126</v>
      </c>
      <c r="DH236" t="s">
        <v>159</v>
      </c>
      <c r="DI236" t="s">
        <v>159</v>
      </c>
      <c r="DJ236" t="s">
        <v>172</v>
      </c>
      <c r="DK236">
        <v>42500</v>
      </c>
    </row>
    <row r="237" spans="1:115" x14ac:dyDescent="0.25">
      <c r="A237" t="s">
        <v>1189</v>
      </c>
      <c r="B237" t="s">
        <v>1190</v>
      </c>
      <c r="F237" t="s">
        <v>315</v>
      </c>
      <c r="I237" t="s">
        <v>1191</v>
      </c>
      <c r="N237" t="s">
        <v>1192</v>
      </c>
      <c r="U237" t="s">
        <v>176</v>
      </c>
      <c r="Z237" s="14">
        <v>42453</v>
      </c>
      <c r="AA237" s="14">
        <v>42648</v>
      </c>
      <c r="AD237" s="14">
        <v>43738</v>
      </c>
      <c r="AL237" t="s">
        <v>624</v>
      </c>
      <c r="AN237">
        <v>94252950</v>
      </c>
      <c r="AR237">
        <v>94252950</v>
      </c>
      <c r="AS237">
        <v>0</v>
      </c>
      <c r="AY237" t="s">
        <v>557</v>
      </c>
      <c r="AZ237" t="s">
        <v>880</v>
      </c>
      <c r="BA237" t="s">
        <v>1020</v>
      </c>
      <c r="BB237" t="s">
        <v>1021</v>
      </c>
      <c r="BC237" t="s">
        <v>242</v>
      </c>
      <c r="BK237" t="s">
        <v>860</v>
      </c>
      <c r="BM237" t="s">
        <v>861</v>
      </c>
      <c r="BN237" t="s">
        <v>900</v>
      </c>
      <c r="BO237" t="s">
        <v>901</v>
      </c>
      <c r="BP237">
        <v>4.0999999999999996</v>
      </c>
      <c r="BQ237" t="s">
        <v>902</v>
      </c>
      <c r="DF237" s="15" t="s">
        <v>9308</v>
      </c>
      <c r="DG237" t="s">
        <v>126</v>
      </c>
      <c r="DH237" t="s">
        <v>159</v>
      </c>
      <c r="DI237" t="s">
        <v>159</v>
      </c>
      <c r="DJ237" t="s">
        <v>172</v>
      </c>
      <c r="DK237">
        <v>171369</v>
      </c>
    </row>
    <row r="238" spans="1:115" x14ac:dyDescent="0.25">
      <c r="A238" t="s">
        <v>1193</v>
      </c>
      <c r="B238" t="s">
        <v>1194</v>
      </c>
      <c r="F238" t="s">
        <v>216</v>
      </c>
      <c r="I238" t="s">
        <v>1103</v>
      </c>
      <c r="N238" t="s">
        <v>1195</v>
      </c>
      <c r="U238" t="s">
        <v>176</v>
      </c>
      <c r="Z238" s="14">
        <v>42453</v>
      </c>
      <c r="AA238" s="14">
        <v>42509</v>
      </c>
      <c r="AD238" s="14">
        <v>44469</v>
      </c>
      <c r="AL238" t="s">
        <v>624</v>
      </c>
      <c r="AN238">
        <v>369097800</v>
      </c>
      <c r="AR238">
        <v>369097800</v>
      </c>
      <c r="AS238">
        <v>0</v>
      </c>
      <c r="AY238" t="s">
        <v>557</v>
      </c>
      <c r="AZ238" t="s">
        <v>880</v>
      </c>
      <c r="BA238" t="s">
        <v>1020</v>
      </c>
      <c r="BB238" t="s">
        <v>1021</v>
      </c>
      <c r="BC238" t="s">
        <v>242</v>
      </c>
      <c r="BK238" t="s">
        <v>860</v>
      </c>
      <c r="BM238" t="s">
        <v>560</v>
      </c>
      <c r="BN238" t="s">
        <v>561</v>
      </c>
      <c r="BO238" t="s">
        <v>989</v>
      </c>
      <c r="BP238">
        <v>3.8</v>
      </c>
      <c r="BQ238" t="s">
        <v>902</v>
      </c>
      <c r="DF238" s="15" t="s">
        <v>9308</v>
      </c>
      <c r="DG238" t="s">
        <v>317</v>
      </c>
      <c r="DH238" t="s">
        <v>159</v>
      </c>
      <c r="DI238" t="s">
        <v>159</v>
      </c>
      <c r="DJ238" t="s">
        <v>172</v>
      </c>
      <c r="DK238">
        <v>671086.91</v>
      </c>
    </row>
    <row r="239" spans="1:115" x14ac:dyDescent="0.25">
      <c r="A239" t="s">
        <v>1196</v>
      </c>
      <c r="B239" t="s">
        <v>1197</v>
      </c>
      <c r="F239" t="s">
        <v>263</v>
      </c>
      <c r="I239" t="s">
        <v>555</v>
      </c>
      <c r="N239" t="s">
        <v>1198</v>
      </c>
      <c r="U239" t="s">
        <v>176</v>
      </c>
      <c r="Z239" s="14">
        <v>42718</v>
      </c>
      <c r="AA239" s="14">
        <v>42590</v>
      </c>
      <c r="AD239" s="14">
        <v>44196</v>
      </c>
      <c r="AL239" t="s">
        <v>122</v>
      </c>
      <c r="AN239">
        <v>28599725200</v>
      </c>
      <c r="AR239">
        <v>6100400100</v>
      </c>
      <c r="AS239">
        <v>22499325100</v>
      </c>
      <c r="AY239" t="s">
        <v>557</v>
      </c>
      <c r="AZ239" t="s">
        <v>859</v>
      </c>
      <c r="BA239" t="s">
        <v>267</v>
      </c>
      <c r="BB239" t="s">
        <v>267</v>
      </c>
      <c r="BC239" t="s">
        <v>242</v>
      </c>
      <c r="BK239" t="s">
        <v>860</v>
      </c>
      <c r="BM239" t="s">
        <v>560</v>
      </c>
      <c r="BN239" t="s">
        <v>561</v>
      </c>
      <c r="BO239" t="s">
        <v>562</v>
      </c>
      <c r="BP239">
        <v>6.1</v>
      </c>
      <c r="BQ239" t="s">
        <v>563</v>
      </c>
      <c r="DF239" s="15" t="s">
        <v>9308</v>
      </c>
      <c r="DG239" t="s">
        <v>126</v>
      </c>
      <c r="DH239" t="s">
        <v>201</v>
      </c>
      <c r="DI239" t="s">
        <v>279</v>
      </c>
      <c r="DJ239" t="s">
        <v>326</v>
      </c>
      <c r="DK239">
        <v>43600000</v>
      </c>
    </row>
    <row r="240" spans="1:115" x14ac:dyDescent="0.25">
      <c r="A240" t="s">
        <v>1199</v>
      </c>
      <c r="B240" t="s">
        <v>1200</v>
      </c>
      <c r="F240" t="s">
        <v>190</v>
      </c>
      <c r="N240" t="s">
        <v>1201</v>
      </c>
      <c r="U240" t="s">
        <v>176</v>
      </c>
      <c r="Z240" s="14">
        <v>42739</v>
      </c>
      <c r="AA240" s="14">
        <v>42998</v>
      </c>
      <c r="AD240" s="14">
        <v>45107</v>
      </c>
      <c r="AL240" t="s">
        <v>136</v>
      </c>
      <c r="AN240">
        <v>6500000000</v>
      </c>
      <c r="AR240">
        <v>0</v>
      </c>
      <c r="AS240">
        <v>6500000000</v>
      </c>
      <c r="BA240" t="s">
        <v>137</v>
      </c>
      <c r="BB240" t="s">
        <v>138</v>
      </c>
      <c r="BC240" t="s">
        <v>125</v>
      </c>
      <c r="DF240" s="15" t="s">
        <v>9308</v>
      </c>
      <c r="DG240" t="s">
        <v>126</v>
      </c>
      <c r="DH240" t="s">
        <v>127</v>
      </c>
      <c r="DI240" t="s">
        <v>128</v>
      </c>
      <c r="DJ240" t="s">
        <v>353</v>
      </c>
      <c r="DK240">
        <v>6500000000</v>
      </c>
    </row>
    <row r="241" spans="1:115" x14ac:dyDescent="0.25">
      <c r="A241" t="s">
        <v>1202</v>
      </c>
      <c r="B241" t="s">
        <v>1203</v>
      </c>
      <c r="F241" t="s">
        <v>263</v>
      </c>
      <c r="N241" t="s">
        <v>1204</v>
      </c>
      <c r="U241" t="s">
        <v>176</v>
      </c>
      <c r="Z241" s="14">
        <v>42755</v>
      </c>
      <c r="AA241" s="14">
        <v>42907</v>
      </c>
      <c r="AD241" s="14">
        <v>45291</v>
      </c>
      <c r="AL241" t="s">
        <v>122</v>
      </c>
      <c r="AN241">
        <v>40734929700</v>
      </c>
      <c r="AR241">
        <v>0</v>
      </c>
      <c r="AS241">
        <v>40734929700</v>
      </c>
      <c r="BA241" t="s">
        <v>178</v>
      </c>
      <c r="BB241" t="s">
        <v>179</v>
      </c>
      <c r="BC241" t="s">
        <v>125</v>
      </c>
      <c r="DF241" s="15" t="s">
        <v>9308</v>
      </c>
      <c r="DG241" t="s">
        <v>126</v>
      </c>
      <c r="DH241" t="s">
        <v>127</v>
      </c>
      <c r="DI241" t="s">
        <v>150</v>
      </c>
      <c r="DJ241" t="s">
        <v>372</v>
      </c>
      <c r="DK241">
        <v>62100000</v>
      </c>
    </row>
    <row r="242" spans="1:115" x14ac:dyDescent="0.25">
      <c r="A242" t="s">
        <v>1205</v>
      </c>
      <c r="B242" t="s">
        <v>1206</v>
      </c>
      <c r="F242" t="s">
        <v>163</v>
      </c>
      <c r="N242" t="s">
        <v>1207</v>
      </c>
      <c r="U242" t="s">
        <v>176</v>
      </c>
      <c r="Z242" s="14">
        <v>42773</v>
      </c>
      <c r="AA242" s="14">
        <v>42866</v>
      </c>
      <c r="AD242" s="14">
        <v>44196</v>
      </c>
      <c r="AL242" t="s">
        <v>136</v>
      </c>
      <c r="AN242">
        <v>12000000000</v>
      </c>
      <c r="AR242">
        <v>0</v>
      </c>
      <c r="AS242">
        <v>12000000000</v>
      </c>
      <c r="BA242" t="s">
        <v>675</v>
      </c>
      <c r="BB242" t="s">
        <v>676</v>
      </c>
      <c r="BC242" t="s">
        <v>442</v>
      </c>
      <c r="DF242" s="15" t="s">
        <v>9308</v>
      </c>
      <c r="DG242" t="s">
        <v>126</v>
      </c>
      <c r="DH242" t="s">
        <v>127</v>
      </c>
      <c r="DI242" t="s">
        <v>443</v>
      </c>
      <c r="DJ242" t="s">
        <v>172</v>
      </c>
      <c r="DK242">
        <v>12000000000</v>
      </c>
    </row>
    <row r="243" spans="1:115" x14ac:dyDescent="0.25">
      <c r="A243" t="s">
        <v>1208</v>
      </c>
      <c r="B243" t="s">
        <v>1206</v>
      </c>
      <c r="F243" t="s">
        <v>163</v>
      </c>
      <c r="N243" t="s">
        <v>1209</v>
      </c>
      <c r="U243" t="s">
        <v>176</v>
      </c>
      <c r="Z243" s="14">
        <v>42814</v>
      </c>
      <c r="AA243" s="14">
        <v>42880</v>
      </c>
      <c r="AD243" s="14">
        <v>44196</v>
      </c>
      <c r="AL243" t="s">
        <v>136</v>
      </c>
      <c r="AN243">
        <v>12000000000</v>
      </c>
      <c r="AR243">
        <v>0</v>
      </c>
      <c r="AS243">
        <v>12000000000</v>
      </c>
      <c r="BA243" t="s">
        <v>581</v>
      </c>
      <c r="BB243" t="s">
        <v>582</v>
      </c>
      <c r="BC243" t="s">
        <v>442</v>
      </c>
      <c r="DF243" s="15" t="s">
        <v>9308</v>
      </c>
      <c r="DG243" t="s">
        <v>126</v>
      </c>
      <c r="DH243" t="s">
        <v>127</v>
      </c>
      <c r="DI243" t="s">
        <v>443</v>
      </c>
      <c r="DJ243" t="s">
        <v>172</v>
      </c>
      <c r="DK243">
        <v>12000000000</v>
      </c>
    </row>
    <row r="244" spans="1:115" x14ac:dyDescent="0.25">
      <c r="A244" t="s">
        <v>1210</v>
      </c>
      <c r="B244" t="s">
        <v>1211</v>
      </c>
      <c r="F244" t="s">
        <v>190</v>
      </c>
      <c r="N244" t="s">
        <v>1212</v>
      </c>
      <c r="U244" t="s">
        <v>192</v>
      </c>
      <c r="V244" t="s">
        <v>193</v>
      </c>
      <c r="W244" t="s">
        <v>194</v>
      </c>
      <c r="Z244" s="14">
        <v>42794</v>
      </c>
      <c r="AA244" s="14">
        <v>42915</v>
      </c>
      <c r="AD244" s="14">
        <v>44561</v>
      </c>
      <c r="AL244" t="s">
        <v>122</v>
      </c>
      <c r="AN244">
        <v>12004013100</v>
      </c>
      <c r="AR244">
        <v>0</v>
      </c>
      <c r="AS244">
        <v>12004013100</v>
      </c>
      <c r="BA244" t="s">
        <v>178</v>
      </c>
      <c r="BB244" t="s">
        <v>179</v>
      </c>
      <c r="BC244" t="s">
        <v>125</v>
      </c>
      <c r="DF244" s="15" t="s">
        <v>9310</v>
      </c>
      <c r="DG244" t="s">
        <v>126</v>
      </c>
      <c r="DH244" t="s">
        <v>127</v>
      </c>
      <c r="DI244" t="s">
        <v>150</v>
      </c>
      <c r="DJ244" t="s">
        <v>181</v>
      </c>
      <c r="DK244">
        <v>18300000</v>
      </c>
    </row>
    <row r="245" spans="1:115" x14ac:dyDescent="0.25">
      <c r="A245" t="s">
        <v>1213</v>
      </c>
      <c r="B245" t="s">
        <v>1214</v>
      </c>
      <c r="F245" t="s">
        <v>190</v>
      </c>
      <c r="I245" t="s">
        <v>1215</v>
      </c>
      <c r="N245" t="s">
        <v>1216</v>
      </c>
      <c r="U245" t="s">
        <v>1217</v>
      </c>
      <c r="V245" t="s">
        <v>1218</v>
      </c>
      <c r="Z245" s="14">
        <v>42800</v>
      </c>
      <c r="AA245" s="14">
        <v>42998</v>
      </c>
      <c r="AD245" s="14">
        <v>45291</v>
      </c>
      <c r="AL245" t="s">
        <v>136</v>
      </c>
      <c r="AN245">
        <v>10000000000</v>
      </c>
      <c r="AR245">
        <v>0</v>
      </c>
      <c r="AS245">
        <v>10000000000</v>
      </c>
      <c r="AY245" t="s">
        <v>1043</v>
      </c>
      <c r="AZ245" t="s">
        <v>558</v>
      </c>
      <c r="BA245" t="s">
        <v>137</v>
      </c>
      <c r="BB245" t="s">
        <v>138</v>
      </c>
      <c r="BC245" t="s">
        <v>125</v>
      </c>
      <c r="BK245" t="s">
        <v>860</v>
      </c>
      <c r="BM245" t="s">
        <v>560</v>
      </c>
      <c r="BN245" t="s">
        <v>561</v>
      </c>
      <c r="BO245" t="s">
        <v>562</v>
      </c>
      <c r="BP245">
        <v>6.1</v>
      </c>
      <c r="BQ245" t="s">
        <v>563</v>
      </c>
      <c r="DF245" s="15" t="s">
        <v>9402</v>
      </c>
      <c r="DG245" t="s">
        <v>126</v>
      </c>
      <c r="DH245" t="s">
        <v>127</v>
      </c>
      <c r="DI245" t="s">
        <v>128</v>
      </c>
      <c r="DJ245" t="s">
        <v>139</v>
      </c>
      <c r="DK245">
        <v>10000000000</v>
      </c>
    </row>
    <row r="246" spans="1:115" x14ac:dyDescent="0.25">
      <c r="A246" t="s">
        <v>1219</v>
      </c>
      <c r="B246" t="s">
        <v>1220</v>
      </c>
      <c r="F246" t="s">
        <v>142</v>
      </c>
      <c r="N246" t="s">
        <v>1221</v>
      </c>
      <c r="U246" t="s">
        <v>272</v>
      </c>
      <c r="V246" t="s">
        <v>273</v>
      </c>
      <c r="W246" t="s">
        <v>274</v>
      </c>
      <c r="Z246" s="14">
        <v>42801</v>
      </c>
      <c r="AA246" s="14">
        <v>42907</v>
      </c>
      <c r="AD246" s="14">
        <v>44196</v>
      </c>
      <c r="AL246" t="s">
        <v>276</v>
      </c>
      <c r="AN246">
        <v>822459000</v>
      </c>
      <c r="AR246">
        <v>0</v>
      </c>
      <c r="AS246">
        <v>822459000</v>
      </c>
      <c r="BA246" t="s">
        <v>277</v>
      </c>
      <c r="BB246" t="s">
        <v>278</v>
      </c>
      <c r="BC246" t="s">
        <v>125</v>
      </c>
      <c r="DF246" s="15" t="s">
        <v>9403</v>
      </c>
      <c r="DG246" t="s">
        <v>126</v>
      </c>
      <c r="DH246" t="s">
        <v>127</v>
      </c>
      <c r="DI246" t="s">
        <v>150</v>
      </c>
      <c r="DJ246" t="s">
        <v>151</v>
      </c>
      <c r="DK246">
        <v>1000000</v>
      </c>
    </row>
    <row r="247" spans="1:115" x14ac:dyDescent="0.25">
      <c r="A247" t="s">
        <v>1222</v>
      </c>
      <c r="B247" t="s">
        <v>1223</v>
      </c>
      <c r="F247" t="s">
        <v>142</v>
      </c>
      <c r="N247" t="s">
        <v>1224</v>
      </c>
      <c r="U247" t="s">
        <v>1225</v>
      </c>
      <c r="V247" t="s">
        <v>1226</v>
      </c>
      <c r="Z247" s="14">
        <v>42801</v>
      </c>
      <c r="AA247" s="14">
        <v>42866</v>
      </c>
      <c r="AD247" s="14">
        <v>44561</v>
      </c>
      <c r="AL247" t="s">
        <v>276</v>
      </c>
      <c r="AN247">
        <v>822459000</v>
      </c>
      <c r="AR247">
        <v>0</v>
      </c>
      <c r="AS247">
        <v>822459000</v>
      </c>
      <c r="BA247" t="s">
        <v>277</v>
      </c>
      <c r="BB247" t="s">
        <v>278</v>
      </c>
      <c r="BC247" t="s">
        <v>125</v>
      </c>
      <c r="DF247" s="15" t="s">
        <v>9404</v>
      </c>
      <c r="DG247" t="s">
        <v>126</v>
      </c>
      <c r="DH247" t="s">
        <v>127</v>
      </c>
      <c r="DI247" t="s">
        <v>150</v>
      </c>
      <c r="DJ247" t="s">
        <v>151</v>
      </c>
      <c r="DK247">
        <v>1000000</v>
      </c>
    </row>
    <row r="248" spans="1:115" x14ac:dyDescent="0.25">
      <c r="A248" t="s">
        <v>1227</v>
      </c>
      <c r="B248" t="s">
        <v>1228</v>
      </c>
      <c r="F248" t="s">
        <v>142</v>
      </c>
      <c r="N248" t="s">
        <v>1229</v>
      </c>
      <c r="U248" t="s">
        <v>185</v>
      </c>
      <c r="V248" t="s">
        <v>925</v>
      </c>
      <c r="W248" t="s">
        <v>926</v>
      </c>
      <c r="Z248" s="14">
        <v>42774</v>
      </c>
      <c r="AA248" s="14">
        <v>42831</v>
      </c>
      <c r="AD248" s="14">
        <v>43830</v>
      </c>
      <c r="AL248" t="s">
        <v>136</v>
      </c>
      <c r="AN248">
        <v>35249914360</v>
      </c>
      <c r="AR248">
        <v>0</v>
      </c>
      <c r="AS248">
        <v>35249914360</v>
      </c>
      <c r="BA248" t="s">
        <v>1230</v>
      </c>
      <c r="BB248" t="s">
        <v>1230</v>
      </c>
      <c r="BC248" t="s">
        <v>442</v>
      </c>
      <c r="DF248" s="15" t="s">
        <v>9383</v>
      </c>
      <c r="DG248" t="s">
        <v>126</v>
      </c>
      <c r="DH248" t="s">
        <v>127</v>
      </c>
      <c r="DI248" t="s">
        <v>443</v>
      </c>
      <c r="DJ248" t="s">
        <v>151</v>
      </c>
      <c r="DK248">
        <v>35249914360</v>
      </c>
    </row>
    <row r="249" spans="1:115" x14ac:dyDescent="0.25">
      <c r="A249" t="s">
        <v>1231</v>
      </c>
      <c r="B249" t="s">
        <v>1232</v>
      </c>
      <c r="F249" t="s">
        <v>163</v>
      </c>
      <c r="N249" t="s">
        <v>1233</v>
      </c>
      <c r="U249" t="s">
        <v>165</v>
      </c>
      <c r="V249" t="s">
        <v>166</v>
      </c>
      <c r="Z249" s="14">
        <v>42832</v>
      </c>
      <c r="AA249" s="14">
        <v>42985</v>
      </c>
      <c r="AD249" s="14">
        <v>44926</v>
      </c>
      <c r="AL249" t="s">
        <v>624</v>
      </c>
      <c r="AN249">
        <v>158688040</v>
      </c>
      <c r="AR249">
        <v>158688040</v>
      </c>
      <c r="AS249">
        <v>0</v>
      </c>
      <c r="BA249" t="s">
        <v>178</v>
      </c>
      <c r="BB249" t="s">
        <v>179</v>
      </c>
      <c r="BC249" t="s">
        <v>125</v>
      </c>
      <c r="DF249" s="15" t="s">
        <v>9307</v>
      </c>
      <c r="DG249" t="s">
        <v>170</v>
      </c>
      <c r="DH249" t="s">
        <v>159</v>
      </c>
      <c r="DI249" t="s">
        <v>159</v>
      </c>
      <c r="DJ249" t="s">
        <v>181</v>
      </c>
      <c r="DK249">
        <v>264040</v>
      </c>
    </row>
    <row r="250" spans="1:115" x14ac:dyDescent="0.25">
      <c r="A250" t="s">
        <v>1234</v>
      </c>
      <c r="B250" t="s">
        <v>1235</v>
      </c>
      <c r="F250" t="s">
        <v>315</v>
      </c>
      <c r="N250" t="s">
        <v>1236</v>
      </c>
      <c r="U250" t="s">
        <v>176</v>
      </c>
      <c r="Z250" s="14">
        <v>42835</v>
      </c>
      <c r="AA250" s="14">
        <v>42894</v>
      </c>
      <c r="AD250" s="14">
        <v>46387</v>
      </c>
      <c r="AL250" t="s">
        <v>122</v>
      </c>
      <c r="AN250">
        <v>15087011000</v>
      </c>
      <c r="AR250">
        <v>1967871000</v>
      </c>
      <c r="AS250">
        <v>13119140000</v>
      </c>
      <c r="BA250" t="s">
        <v>337</v>
      </c>
      <c r="BB250" t="s">
        <v>338</v>
      </c>
      <c r="BC250" t="s">
        <v>242</v>
      </c>
      <c r="DF250" s="15" t="s">
        <v>9308</v>
      </c>
      <c r="DG250" t="s">
        <v>126</v>
      </c>
      <c r="DH250" t="s">
        <v>201</v>
      </c>
      <c r="DI250" t="s">
        <v>279</v>
      </c>
      <c r="DJ250" t="s">
        <v>129</v>
      </c>
      <c r="DK250">
        <v>23000000</v>
      </c>
    </row>
    <row r="251" spans="1:115" x14ac:dyDescent="0.25">
      <c r="A251" t="s">
        <v>1237</v>
      </c>
      <c r="B251" t="s">
        <v>1238</v>
      </c>
      <c r="F251" t="s">
        <v>118</v>
      </c>
      <c r="N251" t="s">
        <v>1239</v>
      </c>
      <c r="U251" t="s">
        <v>1240</v>
      </c>
      <c r="V251" t="s">
        <v>1241</v>
      </c>
      <c r="W251" t="s">
        <v>1242</v>
      </c>
      <c r="Z251" s="14">
        <v>42835</v>
      </c>
      <c r="AA251" s="14">
        <v>42894</v>
      </c>
      <c r="AD251" s="14">
        <v>44926</v>
      </c>
      <c r="AL251" t="s">
        <v>122</v>
      </c>
      <c r="AN251">
        <v>32797850000</v>
      </c>
      <c r="AR251">
        <v>0</v>
      </c>
      <c r="AS251">
        <v>32797850000</v>
      </c>
      <c r="BA251" t="s">
        <v>337</v>
      </c>
      <c r="BB251" t="s">
        <v>338</v>
      </c>
      <c r="BC251" t="s">
        <v>242</v>
      </c>
      <c r="DF251" s="15" t="s">
        <v>9405</v>
      </c>
      <c r="DG251" t="s">
        <v>126</v>
      </c>
      <c r="DH251" t="s">
        <v>127</v>
      </c>
      <c r="DI251" t="s">
        <v>150</v>
      </c>
      <c r="DJ251" t="s">
        <v>129</v>
      </c>
      <c r="DK251">
        <v>50000000</v>
      </c>
    </row>
    <row r="252" spans="1:115" x14ac:dyDescent="0.25">
      <c r="A252" t="s">
        <v>1243</v>
      </c>
      <c r="B252" t="s">
        <v>1244</v>
      </c>
      <c r="F252" t="s">
        <v>205</v>
      </c>
      <c r="N252" t="s">
        <v>1245</v>
      </c>
      <c r="U252" t="s">
        <v>1246</v>
      </c>
      <c r="Z252" s="14">
        <v>42835</v>
      </c>
      <c r="AA252" s="14">
        <v>43033</v>
      </c>
      <c r="AD252" s="14">
        <v>45657</v>
      </c>
      <c r="AL252" t="s">
        <v>276</v>
      </c>
      <c r="AN252">
        <v>4631994764</v>
      </c>
      <c r="AR252">
        <v>519701939</v>
      </c>
      <c r="AS252">
        <v>4112292825</v>
      </c>
      <c r="BA252" t="s">
        <v>277</v>
      </c>
      <c r="BB252" t="s">
        <v>278</v>
      </c>
      <c r="BC252" t="s">
        <v>125</v>
      </c>
      <c r="DF252" s="15" t="s">
        <v>9406</v>
      </c>
      <c r="DG252" t="s">
        <v>126</v>
      </c>
      <c r="DH252" t="s">
        <v>201</v>
      </c>
      <c r="DI252" t="s">
        <v>279</v>
      </c>
      <c r="DJ252" t="s">
        <v>151</v>
      </c>
      <c r="DK252">
        <v>5631927</v>
      </c>
    </row>
    <row r="253" spans="1:115" x14ac:dyDescent="0.25">
      <c r="A253" t="s">
        <v>1247</v>
      </c>
      <c r="B253" t="s">
        <v>1244</v>
      </c>
      <c r="F253" t="s">
        <v>205</v>
      </c>
      <c r="N253" t="s">
        <v>1248</v>
      </c>
      <c r="U253" t="s">
        <v>1246</v>
      </c>
      <c r="Z253" s="14">
        <v>42835</v>
      </c>
      <c r="AA253" s="14">
        <v>43033</v>
      </c>
      <c r="AD253" s="14">
        <v>45657</v>
      </c>
      <c r="AL253" t="s">
        <v>624</v>
      </c>
      <c r="AN253">
        <v>1576335600</v>
      </c>
      <c r="AR253">
        <v>1576335600</v>
      </c>
      <c r="AS253">
        <v>0</v>
      </c>
      <c r="BA253" t="s">
        <v>423</v>
      </c>
      <c r="BB253" t="s">
        <v>424</v>
      </c>
      <c r="BC253" t="s">
        <v>125</v>
      </c>
      <c r="DF253" s="15" t="s">
        <v>9406</v>
      </c>
      <c r="DG253" t="s">
        <v>126</v>
      </c>
      <c r="DH253" t="s">
        <v>159</v>
      </c>
      <c r="DI253" t="s">
        <v>260</v>
      </c>
      <c r="DJ253" t="s">
        <v>181</v>
      </c>
      <c r="DK253">
        <v>2627226</v>
      </c>
    </row>
    <row r="254" spans="1:115" x14ac:dyDescent="0.25">
      <c r="A254" t="s">
        <v>1249</v>
      </c>
      <c r="B254" t="s">
        <v>1250</v>
      </c>
      <c r="F254" t="s">
        <v>118</v>
      </c>
      <c r="N254" t="s">
        <v>1251</v>
      </c>
      <c r="U254" t="s">
        <v>176</v>
      </c>
      <c r="Z254" s="14">
        <v>42838</v>
      </c>
      <c r="AA254" s="14">
        <v>43082</v>
      </c>
      <c r="AD254" s="14">
        <v>43830</v>
      </c>
      <c r="AL254" t="s">
        <v>276</v>
      </c>
      <c r="AN254">
        <v>16380000000</v>
      </c>
      <c r="AR254">
        <v>0</v>
      </c>
      <c r="AS254">
        <v>16380000000</v>
      </c>
      <c r="BA254" t="s">
        <v>277</v>
      </c>
      <c r="BB254" t="s">
        <v>278</v>
      </c>
      <c r="BC254" t="s">
        <v>125</v>
      </c>
      <c r="DF254" s="15" t="s">
        <v>9308</v>
      </c>
      <c r="DG254" t="s">
        <v>180</v>
      </c>
      <c r="DH254" t="s">
        <v>127</v>
      </c>
      <c r="DI254" t="s">
        <v>1252</v>
      </c>
      <c r="DJ254" t="s">
        <v>151</v>
      </c>
      <c r="DK254">
        <v>19920000</v>
      </c>
    </row>
    <row r="255" spans="1:115" x14ac:dyDescent="0.25">
      <c r="A255" t="s">
        <v>1253</v>
      </c>
      <c r="B255" t="s">
        <v>1254</v>
      </c>
      <c r="F255" t="s">
        <v>205</v>
      </c>
      <c r="N255" t="s">
        <v>1255</v>
      </c>
      <c r="U255" t="s">
        <v>605</v>
      </c>
      <c r="V255" t="s">
        <v>606</v>
      </c>
      <c r="Z255" s="14">
        <v>42866</v>
      </c>
      <c r="AA255" s="14">
        <v>42877</v>
      </c>
      <c r="AD255" s="14">
        <v>44561</v>
      </c>
      <c r="AL255" t="s">
        <v>122</v>
      </c>
      <c r="AN255">
        <v>32472995167</v>
      </c>
      <c r="AR255">
        <v>0</v>
      </c>
      <c r="AS255">
        <v>32472995167</v>
      </c>
      <c r="BA255" t="s">
        <v>484</v>
      </c>
      <c r="BB255" t="s">
        <v>484</v>
      </c>
      <c r="BC255" t="s">
        <v>242</v>
      </c>
      <c r="DF255" s="15" t="s">
        <v>9356</v>
      </c>
      <c r="DG255" t="s">
        <v>126</v>
      </c>
      <c r="DH255" t="s">
        <v>127</v>
      </c>
      <c r="DI255" t="s">
        <v>443</v>
      </c>
      <c r="DJ255" t="s">
        <v>129</v>
      </c>
      <c r="DK255">
        <v>49504762</v>
      </c>
    </row>
    <row r="256" spans="1:115" x14ac:dyDescent="0.25">
      <c r="A256" t="s">
        <v>1256</v>
      </c>
      <c r="B256" t="s">
        <v>1257</v>
      </c>
      <c r="F256" t="s">
        <v>205</v>
      </c>
      <c r="I256" t="s">
        <v>1258</v>
      </c>
      <c r="N256" t="s">
        <v>1259</v>
      </c>
      <c r="U256" t="s">
        <v>185</v>
      </c>
      <c r="V256" t="s">
        <v>362</v>
      </c>
      <c r="W256" t="s">
        <v>1260</v>
      </c>
      <c r="Z256" s="14">
        <v>42808</v>
      </c>
      <c r="AA256" s="14">
        <v>42888</v>
      </c>
      <c r="AD256" s="14">
        <v>44742</v>
      </c>
      <c r="AL256" t="s">
        <v>122</v>
      </c>
      <c r="AN256">
        <v>75231424058</v>
      </c>
      <c r="AR256">
        <v>0</v>
      </c>
      <c r="AS256">
        <v>75231424058</v>
      </c>
      <c r="AY256" t="s">
        <v>1043</v>
      </c>
      <c r="AZ256" t="s">
        <v>558</v>
      </c>
      <c r="BA256" t="s">
        <v>1261</v>
      </c>
      <c r="BB256" t="s">
        <v>1262</v>
      </c>
      <c r="BC256" t="s">
        <v>442</v>
      </c>
      <c r="BK256" t="s">
        <v>860</v>
      </c>
      <c r="BM256" t="s">
        <v>560</v>
      </c>
      <c r="BN256" t="s">
        <v>1012</v>
      </c>
      <c r="BO256" t="s">
        <v>939</v>
      </c>
      <c r="BP256">
        <v>11.3</v>
      </c>
      <c r="BQ256" t="s">
        <v>563</v>
      </c>
      <c r="DF256" s="15" t="s">
        <v>9407</v>
      </c>
      <c r="DG256" t="s">
        <v>126</v>
      </c>
      <c r="DH256" t="s">
        <v>127</v>
      </c>
      <c r="DI256" t="s">
        <v>443</v>
      </c>
      <c r="DJ256" t="s">
        <v>151</v>
      </c>
      <c r="DK256">
        <v>114689566</v>
      </c>
    </row>
    <row r="257" spans="1:115" x14ac:dyDescent="0.25">
      <c r="A257" t="s">
        <v>1263</v>
      </c>
      <c r="B257" t="s">
        <v>1264</v>
      </c>
      <c r="F257" t="s">
        <v>190</v>
      </c>
      <c r="N257" t="s">
        <v>1265</v>
      </c>
      <c r="U257" t="s">
        <v>198</v>
      </c>
      <c r="V257" t="s">
        <v>199</v>
      </c>
      <c r="Z257" s="14">
        <v>42888</v>
      </c>
      <c r="AA257" s="14">
        <v>43099</v>
      </c>
      <c r="AD257" s="14">
        <v>44561</v>
      </c>
      <c r="AL257" t="s">
        <v>122</v>
      </c>
      <c r="AN257">
        <v>26100000000</v>
      </c>
      <c r="AR257">
        <v>0</v>
      </c>
      <c r="AS257">
        <v>26100000000</v>
      </c>
      <c r="BA257" t="s">
        <v>178</v>
      </c>
      <c r="BB257" t="s">
        <v>179</v>
      </c>
      <c r="BC257" t="s">
        <v>125</v>
      </c>
      <c r="DF257" s="15" t="s">
        <v>9311</v>
      </c>
      <c r="DG257" t="s">
        <v>126</v>
      </c>
      <c r="DH257" t="s">
        <v>127</v>
      </c>
      <c r="DI257" t="s">
        <v>150</v>
      </c>
      <c r="DJ257" t="s">
        <v>181</v>
      </c>
      <c r="DK257">
        <v>41900000</v>
      </c>
    </row>
    <row r="258" spans="1:115" x14ac:dyDescent="0.25">
      <c r="A258" t="s">
        <v>1266</v>
      </c>
      <c r="B258" t="s">
        <v>1267</v>
      </c>
      <c r="F258" t="s">
        <v>142</v>
      </c>
      <c r="N258" t="s">
        <v>1268</v>
      </c>
      <c r="U258" t="s">
        <v>1269</v>
      </c>
      <c r="V258" t="s">
        <v>1270</v>
      </c>
      <c r="W258" t="s">
        <v>1271</v>
      </c>
      <c r="Z258" s="14">
        <v>42823</v>
      </c>
      <c r="AA258" s="14">
        <v>42928</v>
      </c>
      <c r="AD258" s="14">
        <v>45291</v>
      </c>
      <c r="AL258" t="s">
        <v>624</v>
      </c>
      <c r="AN258">
        <v>103400000000</v>
      </c>
      <c r="AR258">
        <v>0</v>
      </c>
      <c r="AS258">
        <v>103400000000</v>
      </c>
      <c r="BA258" t="s">
        <v>1272</v>
      </c>
      <c r="BB258" t="s">
        <v>1272</v>
      </c>
      <c r="BC258" t="s">
        <v>242</v>
      </c>
      <c r="DF258" s="15" t="s">
        <v>9408</v>
      </c>
      <c r="DG258" t="s">
        <v>126</v>
      </c>
      <c r="DH258" t="s">
        <v>127</v>
      </c>
      <c r="DI258" t="s">
        <v>824</v>
      </c>
      <c r="DJ258" t="s">
        <v>151</v>
      </c>
      <c r="DK258">
        <v>188000000</v>
      </c>
    </row>
    <row r="259" spans="1:115" x14ac:dyDescent="0.25">
      <c r="A259" t="s">
        <v>1273</v>
      </c>
      <c r="B259" t="s">
        <v>1274</v>
      </c>
      <c r="F259" t="s">
        <v>118</v>
      </c>
      <c r="I259" t="s">
        <v>1275</v>
      </c>
      <c r="N259" t="s">
        <v>1276</v>
      </c>
      <c r="U259" t="s">
        <v>176</v>
      </c>
      <c r="Z259" s="14">
        <v>42816</v>
      </c>
      <c r="AA259" s="14">
        <v>42901</v>
      </c>
      <c r="AD259" s="14">
        <v>45107</v>
      </c>
      <c r="AL259" t="s">
        <v>122</v>
      </c>
      <c r="AN259">
        <v>36012039300</v>
      </c>
      <c r="AR259">
        <v>0</v>
      </c>
      <c r="AS259">
        <v>36012039300</v>
      </c>
      <c r="AY259" t="s">
        <v>557</v>
      </c>
      <c r="AZ259" t="s">
        <v>558</v>
      </c>
      <c r="BA259" t="s">
        <v>178</v>
      </c>
      <c r="BB259" t="s">
        <v>179</v>
      </c>
      <c r="BC259" t="s">
        <v>125</v>
      </c>
      <c r="BK259" t="s">
        <v>860</v>
      </c>
      <c r="BM259" t="s">
        <v>861</v>
      </c>
      <c r="BN259" t="s">
        <v>862</v>
      </c>
      <c r="BO259" t="s">
        <v>1173</v>
      </c>
      <c r="BP259">
        <v>7.1</v>
      </c>
      <c r="BQ259" t="s">
        <v>864</v>
      </c>
      <c r="DF259" s="15" t="s">
        <v>9308</v>
      </c>
      <c r="DG259" t="s">
        <v>126</v>
      </c>
      <c r="DH259" t="s">
        <v>127</v>
      </c>
      <c r="DI259" t="s">
        <v>150</v>
      </c>
      <c r="DJ259" t="s">
        <v>181</v>
      </c>
      <c r="DK259">
        <v>54900000</v>
      </c>
    </row>
    <row r="260" spans="1:115" x14ac:dyDescent="0.25">
      <c r="A260" t="s">
        <v>1277</v>
      </c>
      <c r="B260" t="s">
        <v>1278</v>
      </c>
      <c r="F260" t="s">
        <v>263</v>
      </c>
      <c r="N260" t="s">
        <v>1279</v>
      </c>
      <c r="U260" t="s">
        <v>645</v>
      </c>
      <c r="V260" t="s">
        <v>1280</v>
      </c>
      <c r="Z260" s="14">
        <v>42866</v>
      </c>
      <c r="AA260" s="14">
        <v>42970</v>
      </c>
      <c r="AD260" s="14">
        <v>44926</v>
      </c>
      <c r="AL260" t="s">
        <v>357</v>
      </c>
      <c r="AN260">
        <v>50662759475</v>
      </c>
      <c r="AR260">
        <v>0</v>
      </c>
      <c r="AS260">
        <v>50662759475</v>
      </c>
      <c r="BA260" t="s">
        <v>471</v>
      </c>
      <c r="BB260" t="s">
        <v>472</v>
      </c>
      <c r="BC260" t="s">
        <v>242</v>
      </c>
      <c r="DF260" s="15" t="s">
        <v>9409</v>
      </c>
      <c r="DG260" t="s">
        <v>126</v>
      </c>
      <c r="DH260" t="s">
        <v>127</v>
      </c>
      <c r="DI260" t="s">
        <v>150</v>
      </c>
      <c r="DJ260" t="s">
        <v>151</v>
      </c>
      <c r="DK260">
        <v>605744400</v>
      </c>
    </row>
    <row r="261" spans="1:115" x14ac:dyDescent="0.25">
      <c r="A261" t="s">
        <v>1281</v>
      </c>
      <c r="B261" t="s">
        <v>1282</v>
      </c>
      <c r="F261" t="s">
        <v>205</v>
      </c>
      <c r="N261" t="s">
        <v>1283</v>
      </c>
      <c r="U261" t="s">
        <v>1284</v>
      </c>
      <c r="V261" t="s">
        <v>1285</v>
      </c>
      <c r="Z261" s="14">
        <v>42837</v>
      </c>
      <c r="AA261" s="14">
        <v>42970</v>
      </c>
      <c r="AD261" s="14">
        <v>43465</v>
      </c>
      <c r="AL261" t="s">
        <v>624</v>
      </c>
      <c r="AN261">
        <v>720000000</v>
      </c>
      <c r="AR261">
        <v>0</v>
      </c>
      <c r="AS261">
        <v>720000000</v>
      </c>
      <c r="BA261" t="s">
        <v>178</v>
      </c>
      <c r="BB261" t="s">
        <v>179</v>
      </c>
      <c r="BC261" t="s">
        <v>125</v>
      </c>
      <c r="DF261" s="15" t="s">
        <v>9410</v>
      </c>
      <c r="DG261" t="s">
        <v>235</v>
      </c>
      <c r="DH261" t="s">
        <v>127</v>
      </c>
      <c r="DI261" t="s">
        <v>236</v>
      </c>
      <c r="DJ261" t="s">
        <v>181</v>
      </c>
      <c r="DK261">
        <v>1200000</v>
      </c>
    </row>
    <row r="262" spans="1:115" x14ac:dyDescent="0.25">
      <c r="A262" t="s">
        <v>1286</v>
      </c>
      <c r="B262" t="s">
        <v>1287</v>
      </c>
      <c r="F262" t="s">
        <v>282</v>
      </c>
      <c r="N262" t="s">
        <v>1288</v>
      </c>
      <c r="U262" t="s">
        <v>176</v>
      </c>
      <c r="Z262" s="14">
        <v>42865</v>
      </c>
      <c r="AA262" s="14">
        <v>42978</v>
      </c>
      <c r="AD262" s="14">
        <v>43281</v>
      </c>
      <c r="AL262" t="s">
        <v>624</v>
      </c>
      <c r="AN262">
        <v>1200000000</v>
      </c>
      <c r="AR262">
        <v>0</v>
      </c>
      <c r="AS262">
        <v>1200000000</v>
      </c>
      <c r="BA262" t="s">
        <v>178</v>
      </c>
      <c r="BB262" t="s">
        <v>179</v>
      </c>
      <c r="BC262" t="s">
        <v>125</v>
      </c>
      <c r="DF262" s="15" t="s">
        <v>9308</v>
      </c>
      <c r="DG262" t="s">
        <v>235</v>
      </c>
      <c r="DH262" t="s">
        <v>127</v>
      </c>
      <c r="DI262" t="s">
        <v>236</v>
      </c>
      <c r="DJ262" t="s">
        <v>181</v>
      </c>
      <c r="DK262">
        <v>2000000</v>
      </c>
    </row>
    <row r="263" spans="1:115" x14ac:dyDescent="0.25">
      <c r="A263" t="s">
        <v>1289</v>
      </c>
      <c r="B263" t="s">
        <v>1290</v>
      </c>
      <c r="F263" t="s">
        <v>205</v>
      </c>
      <c r="I263" t="s">
        <v>1291</v>
      </c>
      <c r="N263" t="s">
        <v>1292</v>
      </c>
      <c r="U263" t="s">
        <v>185</v>
      </c>
      <c r="V263" t="s">
        <v>224</v>
      </c>
      <c r="W263" t="s">
        <v>1293</v>
      </c>
      <c r="Z263" s="14">
        <v>42912</v>
      </c>
      <c r="AA263" s="14">
        <v>42990</v>
      </c>
      <c r="AD263" s="14">
        <v>45657</v>
      </c>
      <c r="AL263" t="s">
        <v>136</v>
      </c>
      <c r="AN263">
        <v>10000000000</v>
      </c>
      <c r="AR263">
        <v>0</v>
      </c>
      <c r="AS263">
        <v>10000000000</v>
      </c>
      <c r="AY263" t="s">
        <v>1043</v>
      </c>
      <c r="AZ263" t="s">
        <v>558</v>
      </c>
      <c r="BA263" t="s">
        <v>137</v>
      </c>
      <c r="BB263" t="s">
        <v>138</v>
      </c>
      <c r="BC263" t="s">
        <v>125</v>
      </c>
      <c r="BK263" t="s">
        <v>860</v>
      </c>
      <c r="BM263" t="s">
        <v>560</v>
      </c>
      <c r="BN263" t="s">
        <v>1012</v>
      </c>
      <c r="BO263" t="s">
        <v>939</v>
      </c>
      <c r="BP263">
        <v>11.3</v>
      </c>
      <c r="BQ263" t="s">
        <v>563</v>
      </c>
      <c r="DF263" s="15" t="s">
        <v>9411</v>
      </c>
      <c r="DG263" t="s">
        <v>126</v>
      </c>
      <c r="DH263" t="s">
        <v>127</v>
      </c>
      <c r="DI263" t="s">
        <v>128</v>
      </c>
      <c r="DJ263" t="s">
        <v>139</v>
      </c>
      <c r="DK263">
        <v>10000000000</v>
      </c>
    </row>
    <row r="264" spans="1:115" x14ac:dyDescent="0.25">
      <c r="A264" t="s">
        <v>1294</v>
      </c>
      <c r="B264" t="s">
        <v>1295</v>
      </c>
      <c r="F264" t="s">
        <v>142</v>
      </c>
      <c r="I264" t="s">
        <v>968</v>
      </c>
      <c r="N264" t="s">
        <v>1296</v>
      </c>
      <c r="U264" t="s">
        <v>933</v>
      </c>
      <c r="V264" t="s">
        <v>1297</v>
      </c>
      <c r="W264" t="s">
        <v>1298</v>
      </c>
      <c r="Z264" s="14">
        <v>42990</v>
      </c>
      <c r="AA264" s="14">
        <v>42998</v>
      </c>
      <c r="AD264" s="14">
        <v>44926</v>
      </c>
      <c r="AL264" t="s">
        <v>136</v>
      </c>
      <c r="AN264">
        <v>25000000000</v>
      </c>
      <c r="AR264">
        <v>0</v>
      </c>
      <c r="AS264">
        <v>25000000000</v>
      </c>
      <c r="AY264" t="s">
        <v>1043</v>
      </c>
      <c r="AZ264" t="s">
        <v>558</v>
      </c>
      <c r="BA264" t="s">
        <v>137</v>
      </c>
      <c r="BB264" t="s">
        <v>138</v>
      </c>
      <c r="BC264" t="s">
        <v>125</v>
      </c>
      <c r="BK264" t="s">
        <v>860</v>
      </c>
      <c r="BM264" t="s">
        <v>861</v>
      </c>
      <c r="BN264" t="s">
        <v>862</v>
      </c>
      <c r="BO264" t="s">
        <v>971</v>
      </c>
      <c r="BP264">
        <v>9.1</v>
      </c>
      <c r="BQ264" t="s">
        <v>864</v>
      </c>
      <c r="DF264" s="15" t="s">
        <v>9412</v>
      </c>
      <c r="DG264" t="s">
        <v>126</v>
      </c>
      <c r="DH264" t="s">
        <v>127</v>
      </c>
      <c r="DI264" t="s">
        <v>128</v>
      </c>
      <c r="DJ264" t="s">
        <v>353</v>
      </c>
      <c r="DK264">
        <v>25000000000</v>
      </c>
    </row>
    <row r="265" spans="1:115" x14ac:dyDescent="0.25">
      <c r="A265" t="s">
        <v>1299</v>
      </c>
      <c r="B265" t="s">
        <v>1300</v>
      </c>
      <c r="F265" t="s">
        <v>190</v>
      </c>
      <c r="N265" t="s">
        <v>1301</v>
      </c>
      <c r="U265" t="s">
        <v>1302</v>
      </c>
      <c r="Z265" s="14">
        <v>42866</v>
      </c>
      <c r="AA265" s="14">
        <v>42992</v>
      </c>
      <c r="AD265" s="14">
        <v>44926</v>
      </c>
      <c r="AL265" t="s">
        <v>122</v>
      </c>
      <c r="AN265">
        <v>6559570000</v>
      </c>
      <c r="AR265">
        <v>6559570000</v>
      </c>
      <c r="AS265">
        <v>0</v>
      </c>
      <c r="BA265" t="s">
        <v>337</v>
      </c>
      <c r="BB265" t="s">
        <v>338</v>
      </c>
      <c r="BC265" t="s">
        <v>242</v>
      </c>
      <c r="DF265" s="15" t="s">
        <v>9413</v>
      </c>
      <c r="DG265" t="s">
        <v>126</v>
      </c>
      <c r="DH265" t="s">
        <v>159</v>
      </c>
      <c r="DI265" t="s">
        <v>159</v>
      </c>
      <c r="DJ265" t="s">
        <v>326</v>
      </c>
      <c r="DK265">
        <v>10000000</v>
      </c>
    </row>
    <row r="266" spans="1:115" x14ac:dyDescent="0.25">
      <c r="A266" t="s">
        <v>1303</v>
      </c>
      <c r="B266" t="s">
        <v>1304</v>
      </c>
      <c r="F266" t="s">
        <v>163</v>
      </c>
      <c r="N266" t="s">
        <v>1305</v>
      </c>
      <c r="U266" t="s">
        <v>165</v>
      </c>
      <c r="V266" t="s">
        <v>166</v>
      </c>
      <c r="Z266" s="14">
        <v>42866</v>
      </c>
      <c r="AA266" s="14">
        <v>42992</v>
      </c>
      <c r="AD266" s="14">
        <v>44926</v>
      </c>
      <c r="AL266" t="s">
        <v>122</v>
      </c>
      <c r="AN266">
        <v>393574200</v>
      </c>
      <c r="AR266">
        <v>393574200</v>
      </c>
      <c r="AS266">
        <v>0</v>
      </c>
      <c r="BA266" t="s">
        <v>337</v>
      </c>
      <c r="BB266" t="s">
        <v>338</v>
      </c>
      <c r="BC266" t="s">
        <v>242</v>
      </c>
      <c r="DF266" s="15" t="s">
        <v>9307</v>
      </c>
      <c r="DG266" t="s">
        <v>235</v>
      </c>
      <c r="DH266" t="s">
        <v>159</v>
      </c>
      <c r="DI266" t="s">
        <v>159</v>
      </c>
      <c r="DJ266" t="s">
        <v>326</v>
      </c>
      <c r="DK266">
        <v>600000</v>
      </c>
    </row>
    <row r="267" spans="1:115" x14ac:dyDescent="0.25">
      <c r="A267" t="s">
        <v>1306</v>
      </c>
      <c r="B267" t="s">
        <v>1307</v>
      </c>
      <c r="F267" t="s">
        <v>190</v>
      </c>
      <c r="N267" t="s">
        <v>1308</v>
      </c>
      <c r="U267" t="s">
        <v>176</v>
      </c>
      <c r="Z267" s="14">
        <v>42906</v>
      </c>
      <c r="AA267" s="14">
        <v>43039</v>
      </c>
      <c r="AD267" s="14">
        <v>43465</v>
      </c>
      <c r="AL267" t="s">
        <v>624</v>
      </c>
      <c r="AN267">
        <v>1200000000</v>
      </c>
      <c r="AR267">
        <v>0</v>
      </c>
      <c r="AS267">
        <v>1200000000</v>
      </c>
      <c r="BA267" t="s">
        <v>178</v>
      </c>
      <c r="BB267" t="s">
        <v>179</v>
      </c>
      <c r="BC267" t="s">
        <v>125</v>
      </c>
      <c r="DF267" s="15" t="s">
        <v>9308</v>
      </c>
      <c r="DG267" t="s">
        <v>235</v>
      </c>
      <c r="DH267" t="s">
        <v>127</v>
      </c>
      <c r="DI267" t="s">
        <v>236</v>
      </c>
      <c r="DJ267" t="s">
        <v>372</v>
      </c>
      <c r="DK267">
        <v>2000000</v>
      </c>
    </row>
    <row r="268" spans="1:115" x14ac:dyDescent="0.25">
      <c r="A268" t="s">
        <v>1309</v>
      </c>
      <c r="B268" t="s">
        <v>1310</v>
      </c>
      <c r="F268" t="s">
        <v>190</v>
      </c>
      <c r="I268" t="s">
        <v>1311</v>
      </c>
      <c r="N268" t="s">
        <v>1312</v>
      </c>
      <c r="U268" t="s">
        <v>1313</v>
      </c>
      <c r="Z268" s="14">
        <v>43055</v>
      </c>
      <c r="AA268" s="14">
        <v>43076</v>
      </c>
      <c r="AD268" s="14">
        <v>45473</v>
      </c>
      <c r="AL268" t="s">
        <v>122</v>
      </c>
      <c r="AN268">
        <v>3935742000</v>
      </c>
      <c r="AR268">
        <v>3935742000</v>
      </c>
      <c r="AS268">
        <v>0</v>
      </c>
      <c r="AY268" t="s">
        <v>557</v>
      </c>
      <c r="AZ268" t="s">
        <v>880</v>
      </c>
      <c r="BA268" t="s">
        <v>337</v>
      </c>
      <c r="BB268" t="s">
        <v>338</v>
      </c>
      <c r="BC268" t="s">
        <v>242</v>
      </c>
      <c r="BK268" t="s">
        <v>860</v>
      </c>
      <c r="BM268" t="s">
        <v>861</v>
      </c>
      <c r="BN268" t="s">
        <v>862</v>
      </c>
      <c r="BO268" t="s">
        <v>863</v>
      </c>
      <c r="BP268">
        <v>2.2999999999999998</v>
      </c>
      <c r="BQ268" t="s">
        <v>864</v>
      </c>
      <c r="DF268" s="15" t="s">
        <v>9414</v>
      </c>
      <c r="DG268" t="s">
        <v>126</v>
      </c>
      <c r="DH268" t="s">
        <v>159</v>
      </c>
      <c r="DI268" t="s">
        <v>159</v>
      </c>
      <c r="DJ268" t="s">
        <v>326</v>
      </c>
      <c r="DK268">
        <v>6000000</v>
      </c>
    </row>
    <row r="269" spans="1:115" x14ac:dyDescent="0.25">
      <c r="A269" t="s">
        <v>1314</v>
      </c>
      <c r="B269" t="s">
        <v>1315</v>
      </c>
      <c r="F269" t="s">
        <v>526</v>
      </c>
      <c r="N269" t="s">
        <v>1316</v>
      </c>
      <c r="U269" t="s">
        <v>176</v>
      </c>
      <c r="Z269" s="14">
        <v>42912</v>
      </c>
      <c r="AA269" s="14">
        <v>43056</v>
      </c>
      <c r="AD269" s="14">
        <v>43830</v>
      </c>
      <c r="AL269" t="s">
        <v>136</v>
      </c>
      <c r="AN269">
        <v>200000000</v>
      </c>
      <c r="AR269">
        <v>0</v>
      </c>
      <c r="AS269">
        <v>200000000</v>
      </c>
      <c r="BA269" t="s">
        <v>137</v>
      </c>
      <c r="BB269" t="s">
        <v>138</v>
      </c>
      <c r="BC269" t="s">
        <v>125</v>
      </c>
      <c r="DF269" s="15" t="s">
        <v>9308</v>
      </c>
      <c r="DG269" t="s">
        <v>235</v>
      </c>
      <c r="DH269" t="s">
        <v>127</v>
      </c>
      <c r="DI269" t="s">
        <v>236</v>
      </c>
      <c r="DJ269" t="s">
        <v>353</v>
      </c>
      <c r="DK269">
        <v>200000000</v>
      </c>
    </row>
    <row r="270" spans="1:115" x14ac:dyDescent="0.25">
      <c r="A270" t="s">
        <v>1317</v>
      </c>
      <c r="B270" t="s">
        <v>1318</v>
      </c>
      <c r="F270" t="s">
        <v>118</v>
      </c>
      <c r="N270" t="s">
        <v>1319</v>
      </c>
      <c r="U270" t="s">
        <v>185</v>
      </c>
      <c r="V270" t="s">
        <v>224</v>
      </c>
      <c r="Z270" s="14">
        <v>43003</v>
      </c>
      <c r="AA270" s="14">
        <v>43056</v>
      </c>
      <c r="AD270" s="14">
        <v>43830</v>
      </c>
      <c r="AL270" t="s">
        <v>136</v>
      </c>
      <c r="AN270">
        <v>361000000</v>
      </c>
      <c r="AR270">
        <v>0</v>
      </c>
      <c r="AS270">
        <v>361000000</v>
      </c>
      <c r="BA270" t="s">
        <v>137</v>
      </c>
      <c r="BB270" t="s">
        <v>138</v>
      </c>
      <c r="BC270" t="s">
        <v>125</v>
      </c>
      <c r="DF270" s="15" t="s">
        <v>9334</v>
      </c>
      <c r="DG270" t="s">
        <v>235</v>
      </c>
      <c r="DH270" t="s">
        <v>127</v>
      </c>
      <c r="DI270" t="s">
        <v>236</v>
      </c>
      <c r="DJ270" t="s">
        <v>353</v>
      </c>
      <c r="DK270">
        <v>361000000</v>
      </c>
    </row>
    <row r="271" spans="1:115" x14ac:dyDescent="0.25">
      <c r="A271" t="s">
        <v>1320</v>
      </c>
      <c r="B271" t="s">
        <v>1321</v>
      </c>
      <c r="F271" t="s">
        <v>118</v>
      </c>
      <c r="N271" t="s">
        <v>1322</v>
      </c>
      <c r="U271" t="s">
        <v>1323</v>
      </c>
      <c r="V271" t="s">
        <v>1324</v>
      </c>
      <c r="W271" t="s">
        <v>1242</v>
      </c>
      <c r="Z271" s="14">
        <v>42894</v>
      </c>
      <c r="AA271" s="14">
        <v>43076</v>
      </c>
      <c r="AD271" s="14">
        <v>44712</v>
      </c>
      <c r="AL271" t="s">
        <v>122</v>
      </c>
      <c r="AN271">
        <v>6559570000</v>
      </c>
      <c r="AR271">
        <v>6559570000</v>
      </c>
      <c r="AS271">
        <v>0</v>
      </c>
      <c r="BA271" t="s">
        <v>337</v>
      </c>
      <c r="BB271" t="s">
        <v>338</v>
      </c>
      <c r="BC271" t="s">
        <v>242</v>
      </c>
      <c r="DF271" s="15" t="s">
        <v>9415</v>
      </c>
      <c r="DG271" t="s">
        <v>126</v>
      </c>
      <c r="DH271" t="s">
        <v>159</v>
      </c>
      <c r="DI271" t="s">
        <v>1325</v>
      </c>
      <c r="DJ271" t="s">
        <v>129</v>
      </c>
      <c r="DK271">
        <v>10000000</v>
      </c>
    </row>
    <row r="272" spans="1:115" x14ac:dyDescent="0.25">
      <c r="A272" t="s">
        <v>1326</v>
      </c>
      <c r="B272" t="s">
        <v>1327</v>
      </c>
      <c r="F272" t="s">
        <v>163</v>
      </c>
      <c r="N272" t="s">
        <v>1328</v>
      </c>
      <c r="U272" t="s">
        <v>176</v>
      </c>
      <c r="Z272" s="14">
        <v>43081</v>
      </c>
      <c r="AA272" s="14">
        <v>43083</v>
      </c>
      <c r="AD272" s="14">
        <v>43465</v>
      </c>
      <c r="AL272" t="s">
        <v>122</v>
      </c>
      <c r="AN272">
        <v>22236942300</v>
      </c>
      <c r="AR272">
        <v>0</v>
      </c>
      <c r="AS272">
        <v>22236942300</v>
      </c>
      <c r="BA272" t="s">
        <v>178</v>
      </c>
      <c r="BB272" t="s">
        <v>179</v>
      </c>
      <c r="BC272" t="s">
        <v>125</v>
      </c>
      <c r="DF272" s="15" t="s">
        <v>9308</v>
      </c>
      <c r="DG272" t="s">
        <v>126</v>
      </c>
      <c r="DH272" t="s">
        <v>127</v>
      </c>
      <c r="DI272" t="s">
        <v>150</v>
      </c>
      <c r="DJ272" t="s">
        <v>181</v>
      </c>
      <c r="DK272">
        <v>33900000</v>
      </c>
    </row>
    <row r="273" spans="1:115" x14ac:dyDescent="0.25">
      <c r="A273" t="s">
        <v>1329</v>
      </c>
      <c r="B273" t="s">
        <v>1330</v>
      </c>
      <c r="F273" t="s">
        <v>142</v>
      </c>
      <c r="I273" t="s">
        <v>968</v>
      </c>
      <c r="N273" t="s">
        <v>1331</v>
      </c>
      <c r="U273" t="s">
        <v>933</v>
      </c>
      <c r="V273" t="s">
        <v>934</v>
      </c>
      <c r="Z273" s="14">
        <v>42808</v>
      </c>
      <c r="AA273" s="14">
        <v>42873</v>
      </c>
      <c r="AD273" s="14">
        <v>44926</v>
      </c>
      <c r="AL273" t="s">
        <v>136</v>
      </c>
      <c r="AN273">
        <v>29505766907</v>
      </c>
      <c r="AR273">
        <v>0</v>
      </c>
      <c r="AS273">
        <v>29505766907</v>
      </c>
      <c r="AY273" t="s">
        <v>1043</v>
      </c>
      <c r="AZ273" t="s">
        <v>558</v>
      </c>
      <c r="BA273" t="s">
        <v>738</v>
      </c>
      <c r="BB273" t="s">
        <v>739</v>
      </c>
      <c r="BC273" t="s">
        <v>442</v>
      </c>
      <c r="BK273" t="s">
        <v>860</v>
      </c>
      <c r="BM273" t="s">
        <v>861</v>
      </c>
      <c r="BN273" t="s">
        <v>862</v>
      </c>
      <c r="BO273" t="s">
        <v>971</v>
      </c>
      <c r="BP273">
        <v>9.1</v>
      </c>
      <c r="BQ273" t="s">
        <v>864</v>
      </c>
      <c r="DF273" s="15" t="s">
        <v>9384</v>
      </c>
      <c r="DG273" t="s">
        <v>126</v>
      </c>
      <c r="DH273" t="s">
        <v>127</v>
      </c>
      <c r="DI273" t="s">
        <v>443</v>
      </c>
      <c r="DJ273" t="s">
        <v>129</v>
      </c>
      <c r="DK273">
        <v>29505766907</v>
      </c>
    </row>
    <row r="274" spans="1:115" x14ac:dyDescent="0.25">
      <c r="A274" t="s">
        <v>1332</v>
      </c>
      <c r="B274" t="s">
        <v>1333</v>
      </c>
      <c r="F274" t="s">
        <v>163</v>
      </c>
      <c r="I274" t="s">
        <v>1033</v>
      </c>
      <c r="N274" t="s">
        <v>1334</v>
      </c>
      <c r="U274" t="s">
        <v>176</v>
      </c>
      <c r="Z274" s="14">
        <v>42866</v>
      </c>
      <c r="AA274" s="14">
        <v>42948</v>
      </c>
      <c r="AD274" s="14">
        <v>44561</v>
      </c>
      <c r="AL274" t="s">
        <v>122</v>
      </c>
      <c r="AN274">
        <v>22512444240</v>
      </c>
      <c r="AR274">
        <v>22512444240</v>
      </c>
      <c r="AS274">
        <v>0</v>
      </c>
      <c r="AY274" t="s">
        <v>557</v>
      </c>
      <c r="AZ274" t="s">
        <v>880</v>
      </c>
      <c r="BA274" t="s">
        <v>574</v>
      </c>
      <c r="BB274" t="s">
        <v>575</v>
      </c>
      <c r="BC274" t="s">
        <v>125</v>
      </c>
      <c r="BK274" t="s">
        <v>860</v>
      </c>
      <c r="BM274" t="s">
        <v>861</v>
      </c>
      <c r="BN274" t="s">
        <v>1046</v>
      </c>
      <c r="BO274" t="s">
        <v>1036</v>
      </c>
      <c r="BP274">
        <v>16.600000000000001</v>
      </c>
      <c r="BQ274" t="s">
        <v>902</v>
      </c>
      <c r="DF274" s="15" t="s">
        <v>9308</v>
      </c>
      <c r="DG274" t="s">
        <v>1335</v>
      </c>
      <c r="DH274" t="s">
        <v>159</v>
      </c>
      <c r="DI274" t="s">
        <v>1252</v>
      </c>
      <c r="DJ274" t="s">
        <v>129</v>
      </c>
      <c r="DK274">
        <v>34320000</v>
      </c>
    </row>
    <row r="275" spans="1:115" x14ac:dyDescent="0.25">
      <c r="A275" t="s">
        <v>1336</v>
      </c>
      <c r="B275" t="s">
        <v>1337</v>
      </c>
      <c r="F275" t="s">
        <v>205</v>
      </c>
      <c r="I275" t="s">
        <v>1052</v>
      </c>
      <c r="N275" t="s">
        <v>1338</v>
      </c>
      <c r="U275" t="s">
        <v>1008</v>
      </c>
      <c r="V275" t="s">
        <v>1009</v>
      </c>
      <c r="Z275" s="14">
        <v>42866</v>
      </c>
      <c r="AA275" s="14">
        <v>42894</v>
      </c>
      <c r="AD275" s="14">
        <v>44926</v>
      </c>
      <c r="AL275" t="s">
        <v>122</v>
      </c>
      <c r="AN275">
        <v>19678710000</v>
      </c>
      <c r="AR275">
        <v>19678710000</v>
      </c>
      <c r="AS275">
        <v>0</v>
      </c>
      <c r="AY275" t="s">
        <v>557</v>
      </c>
      <c r="AZ275" t="s">
        <v>880</v>
      </c>
      <c r="BA275" t="s">
        <v>574</v>
      </c>
      <c r="BB275" t="s">
        <v>575</v>
      </c>
      <c r="BC275" t="s">
        <v>125</v>
      </c>
      <c r="BK275" t="s">
        <v>860</v>
      </c>
      <c r="BM275" t="s">
        <v>560</v>
      </c>
      <c r="BN275" t="s">
        <v>1012</v>
      </c>
      <c r="BO275" t="s">
        <v>939</v>
      </c>
      <c r="BP275">
        <v>11.3</v>
      </c>
      <c r="BQ275" t="s">
        <v>563</v>
      </c>
      <c r="DF275" s="15" t="s">
        <v>9392</v>
      </c>
      <c r="DG275" t="s">
        <v>126</v>
      </c>
      <c r="DH275" t="s">
        <v>159</v>
      </c>
      <c r="DI275" t="s">
        <v>159</v>
      </c>
      <c r="DJ275" t="s">
        <v>129</v>
      </c>
      <c r="DK275">
        <v>30000000</v>
      </c>
    </row>
    <row r="276" spans="1:115" x14ac:dyDescent="0.25">
      <c r="A276" t="s">
        <v>1339</v>
      </c>
      <c r="B276" t="s">
        <v>1340</v>
      </c>
      <c r="F276" t="s">
        <v>205</v>
      </c>
      <c r="I276" t="s">
        <v>1052</v>
      </c>
      <c r="N276" t="s">
        <v>1341</v>
      </c>
      <c r="U276" t="s">
        <v>176</v>
      </c>
      <c r="Z276" s="14">
        <v>42818</v>
      </c>
      <c r="AA276" s="14">
        <v>43033</v>
      </c>
      <c r="AD276" s="14">
        <v>44926</v>
      </c>
      <c r="AL276" t="s">
        <v>276</v>
      </c>
      <c r="AN276">
        <v>373178935</v>
      </c>
      <c r="AR276">
        <v>373178935</v>
      </c>
      <c r="AS276">
        <v>0</v>
      </c>
      <c r="AY276" t="s">
        <v>557</v>
      </c>
      <c r="AZ276" t="s">
        <v>880</v>
      </c>
      <c r="BA276" t="s">
        <v>277</v>
      </c>
      <c r="BB276" t="s">
        <v>278</v>
      </c>
      <c r="BC276" t="s">
        <v>125</v>
      </c>
      <c r="BK276" t="s">
        <v>860</v>
      </c>
      <c r="BM276" t="s">
        <v>560</v>
      </c>
      <c r="BN276" t="s">
        <v>1012</v>
      </c>
      <c r="BO276" t="s">
        <v>939</v>
      </c>
      <c r="BP276">
        <v>11.3</v>
      </c>
      <c r="BQ276" t="s">
        <v>563</v>
      </c>
      <c r="DF276" s="15" t="s">
        <v>9308</v>
      </c>
      <c r="DG276" t="s">
        <v>126</v>
      </c>
      <c r="DH276" t="s">
        <v>159</v>
      </c>
      <c r="DI276" t="s">
        <v>159</v>
      </c>
      <c r="DJ276" t="s">
        <v>151</v>
      </c>
      <c r="DK276">
        <v>466596</v>
      </c>
    </row>
    <row r="277" spans="1:115" x14ac:dyDescent="0.25">
      <c r="A277" t="s">
        <v>1342</v>
      </c>
      <c r="B277" t="s">
        <v>1343</v>
      </c>
      <c r="F277" t="s">
        <v>1344</v>
      </c>
      <c r="I277" t="s">
        <v>1345</v>
      </c>
      <c r="N277" t="s">
        <v>1346</v>
      </c>
      <c r="U277" t="s">
        <v>1347</v>
      </c>
      <c r="V277" t="s">
        <v>1348</v>
      </c>
      <c r="Z277" s="14">
        <v>42823</v>
      </c>
      <c r="AA277" s="14">
        <v>42835</v>
      </c>
      <c r="AD277" s="14">
        <v>44561</v>
      </c>
      <c r="AL277" t="s">
        <v>357</v>
      </c>
      <c r="AN277">
        <v>24756000000</v>
      </c>
      <c r="AR277">
        <v>0</v>
      </c>
      <c r="AS277">
        <v>24756000000</v>
      </c>
      <c r="AY277" t="s">
        <v>557</v>
      </c>
      <c r="AZ277" t="s">
        <v>558</v>
      </c>
      <c r="BA277" t="s">
        <v>358</v>
      </c>
      <c r="BB277" t="s">
        <v>358</v>
      </c>
      <c r="BC277" t="s">
        <v>242</v>
      </c>
      <c r="BK277" t="s">
        <v>860</v>
      </c>
      <c r="BM277" t="s">
        <v>964</v>
      </c>
      <c r="BN277" t="s">
        <v>965</v>
      </c>
      <c r="BO277" t="s">
        <v>1036</v>
      </c>
      <c r="BP277">
        <v>16.600000000000001</v>
      </c>
      <c r="BQ277" t="s">
        <v>902</v>
      </c>
      <c r="DF277" s="15" t="s">
        <v>9416</v>
      </c>
      <c r="DG277" t="s">
        <v>126</v>
      </c>
      <c r="DH277" t="s">
        <v>127</v>
      </c>
      <c r="DI277" t="s">
        <v>127</v>
      </c>
      <c r="DJ277" t="s">
        <v>172</v>
      </c>
      <c r="DK277">
        <v>300000000</v>
      </c>
    </row>
    <row r="278" spans="1:115" x14ac:dyDescent="0.25">
      <c r="A278" t="s">
        <v>1349</v>
      </c>
      <c r="B278" t="s">
        <v>1350</v>
      </c>
      <c r="F278" t="s">
        <v>163</v>
      </c>
      <c r="I278" t="s">
        <v>1087</v>
      </c>
      <c r="N278" t="s">
        <v>1351</v>
      </c>
      <c r="U278" t="s">
        <v>165</v>
      </c>
      <c r="V278" t="s">
        <v>166</v>
      </c>
      <c r="Z278" s="14">
        <v>42744</v>
      </c>
      <c r="AA278" s="14">
        <v>42823</v>
      </c>
      <c r="AD278" s="14">
        <v>43465</v>
      </c>
      <c r="AL278" t="s">
        <v>357</v>
      </c>
      <c r="AN278">
        <v>1382210000</v>
      </c>
      <c r="AR278">
        <v>1382210000</v>
      </c>
      <c r="AS278">
        <v>0</v>
      </c>
      <c r="AY278" t="s">
        <v>557</v>
      </c>
      <c r="AZ278" t="s">
        <v>880</v>
      </c>
      <c r="BA278" t="s">
        <v>358</v>
      </c>
      <c r="BB278" t="s">
        <v>358</v>
      </c>
      <c r="BC278" t="s">
        <v>242</v>
      </c>
      <c r="BK278" t="s">
        <v>860</v>
      </c>
      <c r="BM278" t="s">
        <v>964</v>
      </c>
      <c r="BN278" t="s">
        <v>1035</v>
      </c>
      <c r="BO278" t="s">
        <v>1036</v>
      </c>
      <c r="BP278">
        <v>16.600000000000001</v>
      </c>
      <c r="BQ278" t="s">
        <v>902</v>
      </c>
      <c r="DF278" s="15" t="s">
        <v>9307</v>
      </c>
      <c r="DG278" t="s">
        <v>126</v>
      </c>
      <c r="DH278" t="s">
        <v>159</v>
      </c>
      <c r="DI278" t="s">
        <v>159</v>
      </c>
      <c r="DJ278" t="s">
        <v>172</v>
      </c>
      <c r="DK278">
        <v>16750000</v>
      </c>
    </row>
    <row r="279" spans="1:115" x14ac:dyDescent="0.25">
      <c r="A279" t="s">
        <v>1352</v>
      </c>
      <c r="B279" t="s">
        <v>1353</v>
      </c>
      <c r="F279" t="s">
        <v>216</v>
      </c>
      <c r="I279" t="s">
        <v>1064</v>
      </c>
      <c r="N279" t="s">
        <v>1354</v>
      </c>
      <c r="U279" t="s">
        <v>176</v>
      </c>
      <c r="Z279" s="14">
        <v>42866</v>
      </c>
      <c r="AA279" s="14">
        <v>43090</v>
      </c>
      <c r="AD279" s="14">
        <v>43830</v>
      </c>
      <c r="AL279" t="s">
        <v>122</v>
      </c>
      <c r="AN279">
        <v>83306539000</v>
      </c>
      <c r="AR279">
        <v>0</v>
      </c>
      <c r="AS279">
        <v>83306539000</v>
      </c>
      <c r="AY279" t="s">
        <v>1043</v>
      </c>
      <c r="AZ279" t="s">
        <v>558</v>
      </c>
      <c r="BA279" t="s">
        <v>1355</v>
      </c>
      <c r="BB279" t="s">
        <v>1356</v>
      </c>
      <c r="BC279" t="s">
        <v>442</v>
      </c>
      <c r="BM279" t="s">
        <v>560</v>
      </c>
      <c r="BN279" t="s">
        <v>561</v>
      </c>
      <c r="BO279" t="s">
        <v>989</v>
      </c>
      <c r="BP279">
        <v>3.8</v>
      </c>
      <c r="BQ279" t="s">
        <v>902</v>
      </c>
      <c r="DF279" s="15" t="s">
        <v>9308</v>
      </c>
      <c r="DG279" t="s">
        <v>126</v>
      </c>
      <c r="DH279" t="s">
        <v>127</v>
      </c>
      <c r="DI279" t="s">
        <v>443</v>
      </c>
      <c r="DJ279" t="s">
        <v>172</v>
      </c>
      <c r="DK279">
        <v>127000000</v>
      </c>
    </row>
    <row r="280" spans="1:115" x14ac:dyDescent="0.25">
      <c r="A280" t="s">
        <v>1357</v>
      </c>
      <c r="B280" t="s">
        <v>1358</v>
      </c>
      <c r="F280" t="s">
        <v>315</v>
      </c>
      <c r="I280" t="s">
        <v>998</v>
      </c>
      <c r="N280" t="s">
        <v>1359</v>
      </c>
      <c r="U280" t="s">
        <v>1360</v>
      </c>
      <c r="V280" t="s">
        <v>1361</v>
      </c>
      <c r="Z280" s="14">
        <v>42823</v>
      </c>
      <c r="AA280" s="14">
        <v>42978</v>
      </c>
      <c r="AD280" s="14">
        <v>45291</v>
      </c>
      <c r="AL280" t="s">
        <v>624</v>
      </c>
      <c r="AN280">
        <v>22000000000</v>
      </c>
      <c r="AR280">
        <v>0</v>
      </c>
      <c r="AS280">
        <v>22000000000</v>
      </c>
      <c r="AY280" t="s">
        <v>557</v>
      </c>
      <c r="AZ280" t="s">
        <v>558</v>
      </c>
      <c r="BA280" t="s">
        <v>297</v>
      </c>
      <c r="BB280" t="s">
        <v>298</v>
      </c>
      <c r="BC280" t="s">
        <v>242</v>
      </c>
      <c r="BK280" t="s">
        <v>860</v>
      </c>
      <c r="BM280" t="s">
        <v>861</v>
      </c>
      <c r="BN280" t="s">
        <v>900</v>
      </c>
      <c r="BO280" t="s">
        <v>901</v>
      </c>
      <c r="BP280">
        <v>4.0999999999999996</v>
      </c>
      <c r="BQ280" t="s">
        <v>902</v>
      </c>
      <c r="DF280" s="15" t="s">
        <v>9417</v>
      </c>
      <c r="DG280" t="s">
        <v>126</v>
      </c>
      <c r="DH280" t="s">
        <v>127</v>
      </c>
      <c r="DI280" t="s">
        <v>150</v>
      </c>
      <c r="DJ280" t="s">
        <v>151</v>
      </c>
      <c r="DK280">
        <v>40000000</v>
      </c>
    </row>
    <row r="281" spans="1:115" x14ac:dyDescent="0.25">
      <c r="A281" t="s">
        <v>1362</v>
      </c>
      <c r="B281" t="s">
        <v>1363</v>
      </c>
      <c r="F281" t="s">
        <v>205</v>
      </c>
      <c r="I281" t="s">
        <v>1258</v>
      </c>
      <c r="N281" t="s">
        <v>1364</v>
      </c>
      <c r="U281" t="s">
        <v>218</v>
      </c>
      <c r="V281" t="s">
        <v>1365</v>
      </c>
      <c r="Z281" s="14">
        <v>42823</v>
      </c>
      <c r="AA281" s="14">
        <v>42970</v>
      </c>
      <c r="AD281" s="14">
        <v>44926</v>
      </c>
      <c r="AL281" t="s">
        <v>122</v>
      </c>
      <c r="AN281">
        <v>39357420000</v>
      </c>
      <c r="AR281">
        <v>0</v>
      </c>
      <c r="AS281">
        <v>39357420000</v>
      </c>
      <c r="AY281" t="s">
        <v>557</v>
      </c>
      <c r="AZ281" t="s">
        <v>558</v>
      </c>
      <c r="BA281" t="s">
        <v>484</v>
      </c>
      <c r="BB281" t="s">
        <v>484</v>
      </c>
      <c r="BC281" t="s">
        <v>242</v>
      </c>
      <c r="BK281" t="s">
        <v>860</v>
      </c>
      <c r="BM281" t="s">
        <v>560</v>
      </c>
      <c r="BN281" t="s">
        <v>1012</v>
      </c>
      <c r="BO281" t="s">
        <v>939</v>
      </c>
      <c r="BP281">
        <v>11.3</v>
      </c>
      <c r="BQ281" t="s">
        <v>563</v>
      </c>
      <c r="DF281" s="15" t="s">
        <v>9418</v>
      </c>
      <c r="DG281" t="s">
        <v>126</v>
      </c>
      <c r="DH281" t="s">
        <v>127</v>
      </c>
      <c r="DI281" t="s">
        <v>127</v>
      </c>
      <c r="DJ281" t="s">
        <v>129</v>
      </c>
      <c r="DK281">
        <v>60000000</v>
      </c>
    </row>
    <row r="282" spans="1:115" x14ac:dyDescent="0.25">
      <c r="A282" t="s">
        <v>1366</v>
      </c>
      <c r="B282" t="s">
        <v>1367</v>
      </c>
      <c r="F282" t="s">
        <v>190</v>
      </c>
      <c r="I282" t="s">
        <v>856</v>
      </c>
      <c r="N282" t="s">
        <v>1368</v>
      </c>
      <c r="U282" t="s">
        <v>1217</v>
      </c>
      <c r="Z282" s="14">
        <v>42751</v>
      </c>
      <c r="AA282" s="14">
        <v>42823</v>
      </c>
      <c r="AD282" s="14">
        <v>44926</v>
      </c>
      <c r="AL282" t="s">
        <v>624</v>
      </c>
      <c r="AN282">
        <v>2750000000</v>
      </c>
      <c r="AR282">
        <v>0</v>
      </c>
      <c r="AS282">
        <v>2750000000</v>
      </c>
      <c r="AY282" t="s">
        <v>557</v>
      </c>
      <c r="AZ282" t="s">
        <v>558</v>
      </c>
      <c r="BA282" t="s">
        <v>297</v>
      </c>
      <c r="BB282" t="s">
        <v>298</v>
      </c>
      <c r="BC282" t="s">
        <v>242</v>
      </c>
      <c r="BK282" t="s">
        <v>860</v>
      </c>
      <c r="BM282" t="s">
        <v>861</v>
      </c>
      <c r="BN282" t="s">
        <v>862</v>
      </c>
      <c r="BO282" t="s">
        <v>863</v>
      </c>
      <c r="BP282">
        <v>2.2999999999999998</v>
      </c>
      <c r="BQ282" t="s">
        <v>864</v>
      </c>
      <c r="DF282" s="15" t="s">
        <v>9419</v>
      </c>
      <c r="DG282" t="s">
        <v>126</v>
      </c>
      <c r="DH282" t="s">
        <v>127</v>
      </c>
      <c r="DI282" t="s">
        <v>150</v>
      </c>
      <c r="DJ282" t="s">
        <v>151</v>
      </c>
      <c r="DK282">
        <v>5000000</v>
      </c>
    </row>
    <row r="283" spans="1:115" x14ac:dyDescent="0.25">
      <c r="A283" t="s">
        <v>1369</v>
      </c>
      <c r="B283" t="s">
        <v>1370</v>
      </c>
      <c r="F283" t="s">
        <v>190</v>
      </c>
      <c r="I283" t="s">
        <v>856</v>
      </c>
      <c r="N283" t="s">
        <v>1371</v>
      </c>
      <c r="U283" t="s">
        <v>176</v>
      </c>
      <c r="Z283" s="14">
        <v>42755</v>
      </c>
      <c r="AA283" s="14">
        <v>42866</v>
      </c>
      <c r="AD283" s="14">
        <v>44196</v>
      </c>
      <c r="AL283" t="s">
        <v>122</v>
      </c>
      <c r="AN283">
        <v>459169900</v>
      </c>
      <c r="AR283">
        <v>459169900</v>
      </c>
      <c r="AS283">
        <v>0</v>
      </c>
      <c r="AY283" t="s">
        <v>557</v>
      </c>
      <c r="AZ283" t="s">
        <v>880</v>
      </c>
      <c r="BA283" t="s">
        <v>267</v>
      </c>
      <c r="BB283" t="s">
        <v>267</v>
      </c>
      <c r="BC283" t="s">
        <v>242</v>
      </c>
      <c r="BK283" t="s">
        <v>860</v>
      </c>
      <c r="BM283" t="s">
        <v>861</v>
      </c>
      <c r="BN283" t="s">
        <v>862</v>
      </c>
      <c r="BO283" t="s">
        <v>863</v>
      </c>
      <c r="BP283">
        <v>2.2999999999999998</v>
      </c>
      <c r="BQ283" t="s">
        <v>864</v>
      </c>
      <c r="DF283" s="15" t="s">
        <v>9308</v>
      </c>
      <c r="DG283" t="s">
        <v>126</v>
      </c>
      <c r="DH283" t="s">
        <v>159</v>
      </c>
      <c r="DI283" t="s">
        <v>159</v>
      </c>
      <c r="DJ283" t="s">
        <v>129</v>
      </c>
      <c r="DK283">
        <v>700000</v>
      </c>
    </row>
    <row r="284" spans="1:115" x14ac:dyDescent="0.25">
      <c r="A284" t="s">
        <v>1372</v>
      </c>
      <c r="B284" t="s">
        <v>1373</v>
      </c>
      <c r="F284" t="s">
        <v>190</v>
      </c>
      <c r="I284" t="s">
        <v>1095</v>
      </c>
      <c r="N284" t="s">
        <v>1374</v>
      </c>
      <c r="U284" t="s">
        <v>176</v>
      </c>
      <c r="Z284" s="14">
        <v>42788</v>
      </c>
      <c r="AA284" s="14">
        <v>42866</v>
      </c>
      <c r="AD284" s="14">
        <v>44561</v>
      </c>
      <c r="AL284" t="s">
        <v>1110</v>
      </c>
      <c r="AN284">
        <v>661261200</v>
      </c>
      <c r="AR284">
        <v>661261200</v>
      </c>
      <c r="AS284">
        <v>0</v>
      </c>
      <c r="AY284" t="s">
        <v>557</v>
      </c>
      <c r="AZ284" t="s">
        <v>880</v>
      </c>
      <c r="BA284" t="s">
        <v>822</v>
      </c>
      <c r="BB284" t="s">
        <v>823</v>
      </c>
      <c r="BC284" t="s">
        <v>242</v>
      </c>
      <c r="BK284" t="s">
        <v>860</v>
      </c>
      <c r="BM284" t="s">
        <v>861</v>
      </c>
      <c r="BN284" t="s">
        <v>862</v>
      </c>
      <c r="BO284" t="s">
        <v>863</v>
      </c>
      <c r="BP284">
        <v>2.2999999999999998</v>
      </c>
      <c r="BQ284" t="s">
        <v>864</v>
      </c>
      <c r="DF284" s="15" t="s">
        <v>9308</v>
      </c>
      <c r="DG284" t="s">
        <v>317</v>
      </c>
      <c r="DH284" t="s">
        <v>159</v>
      </c>
      <c r="DI284" t="s">
        <v>159</v>
      </c>
      <c r="DJ284" t="s">
        <v>129</v>
      </c>
      <c r="DK284">
        <v>1102102</v>
      </c>
    </row>
    <row r="285" spans="1:115" x14ac:dyDescent="0.25">
      <c r="A285" t="s">
        <v>1375</v>
      </c>
      <c r="B285" t="s">
        <v>1376</v>
      </c>
      <c r="F285" t="s">
        <v>216</v>
      </c>
      <c r="I285" t="s">
        <v>992</v>
      </c>
      <c r="N285" t="s">
        <v>1377</v>
      </c>
      <c r="U285" t="s">
        <v>321</v>
      </c>
      <c r="Z285" s="14">
        <v>42794</v>
      </c>
      <c r="AA285" s="14">
        <v>42866</v>
      </c>
      <c r="AD285" s="14">
        <v>44469</v>
      </c>
      <c r="AL285" t="s">
        <v>624</v>
      </c>
      <c r="AN285">
        <v>1591564700</v>
      </c>
      <c r="AR285">
        <v>1591564700</v>
      </c>
      <c r="AS285">
        <v>0</v>
      </c>
      <c r="AY285" t="s">
        <v>557</v>
      </c>
      <c r="AZ285" t="s">
        <v>880</v>
      </c>
      <c r="BA285" t="s">
        <v>1020</v>
      </c>
      <c r="BB285" t="s">
        <v>1021</v>
      </c>
      <c r="BC285" t="s">
        <v>242</v>
      </c>
      <c r="BK285" t="s">
        <v>860</v>
      </c>
      <c r="BM285" t="s">
        <v>560</v>
      </c>
      <c r="BN285" t="s">
        <v>561</v>
      </c>
      <c r="BO285" t="s">
        <v>989</v>
      </c>
      <c r="BP285">
        <v>3.8</v>
      </c>
      <c r="BQ285" t="s">
        <v>902</v>
      </c>
      <c r="DF285" s="15" t="s">
        <v>9324</v>
      </c>
      <c r="DG285" t="s">
        <v>126</v>
      </c>
      <c r="DH285" t="s">
        <v>159</v>
      </c>
      <c r="DI285" t="s">
        <v>159</v>
      </c>
      <c r="DJ285" t="s">
        <v>172</v>
      </c>
      <c r="DK285">
        <v>2893754</v>
      </c>
    </row>
    <row r="286" spans="1:115" x14ac:dyDescent="0.25">
      <c r="A286" t="s">
        <v>1378</v>
      </c>
      <c r="B286" t="s">
        <v>1024</v>
      </c>
      <c r="F286" t="s">
        <v>216</v>
      </c>
      <c r="I286" t="s">
        <v>1025</v>
      </c>
      <c r="N286" t="s">
        <v>1379</v>
      </c>
      <c r="U286" t="s">
        <v>176</v>
      </c>
      <c r="Z286" s="14">
        <v>42794</v>
      </c>
      <c r="AA286" s="14">
        <v>42866</v>
      </c>
      <c r="AD286" s="14">
        <v>44834</v>
      </c>
      <c r="AL286" t="s">
        <v>624</v>
      </c>
      <c r="AN286">
        <v>971495250</v>
      </c>
      <c r="AR286">
        <v>971495250</v>
      </c>
      <c r="AS286">
        <v>0</v>
      </c>
      <c r="AY286" t="s">
        <v>557</v>
      </c>
      <c r="AZ286" t="s">
        <v>880</v>
      </c>
      <c r="BA286" t="s">
        <v>1020</v>
      </c>
      <c r="BB286" t="s">
        <v>1021</v>
      </c>
      <c r="BC286" t="s">
        <v>242</v>
      </c>
      <c r="BK286" t="s">
        <v>860</v>
      </c>
      <c r="BM286" t="s">
        <v>560</v>
      </c>
      <c r="BN286" t="s">
        <v>561</v>
      </c>
      <c r="BO286" t="s">
        <v>989</v>
      </c>
      <c r="BP286">
        <v>3.8</v>
      </c>
      <c r="BQ286" t="s">
        <v>902</v>
      </c>
      <c r="DF286" s="15" t="s">
        <v>9308</v>
      </c>
      <c r="DG286" t="s">
        <v>317</v>
      </c>
      <c r="DH286" t="s">
        <v>159</v>
      </c>
      <c r="DI286" t="s">
        <v>159</v>
      </c>
      <c r="DJ286" t="s">
        <v>172</v>
      </c>
      <c r="DK286">
        <v>1766355</v>
      </c>
    </row>
    <row r="287" spans="1:115" x14ac:dyDescent="0.25">
      <c r="A287" t="s">
        <v>1380</v>
      </c>
      <c r="B287" t="s">
        <v>1028</v>
      </c>
      <c r="F287" t="s">
        <v>282</v>
      </c>
      <c r="I287" t="s">
        <v>1029</v>
      </c>
      <c r="N287" t="s">
        <v>1381</v>
      </c>
      <c r="U287" t="s">
        <v>176</v>
      </c>
      <c r="Z287" s="14">
        <v>42795</v>
      </c>
      <c r="AA287" s="14">
        <v>42866</v>
      </c>
      <c r="AD287" s="14">
        <v>44196</v>
      </c>
      <c r="AL287" t="s">
        <v>122</v>
      </c>
      <c r="AN287">
        <v>8855419500</v>
      </c>
      <c r="AR287">
        <v>8855419500</v>
      </c>
      <c r="AS287">
        <v>0</v>
      </c>
      <c r="AY287" t="s">
        <v>557</v>
      </c>
      <c r="AZ287" t="s">
        <v>880</v>
      </c>
      <c r="BA287" t="s">
        <v>267</v>
      </c>
      <c r="BB287" t="s">
        <v>267</v>
      </c>
      <c r="BC287" t="s">
        <v>242</v>
      </c>
      <c r="BK287" t="s">
        <v>860</v>
      </c>
      <c r="BM287" t="s">
        <v>964</v>
      </c>
      <c r="BN287" t="s">
        <v>965</v>
      </c>
      <c r="BO287" t="s">
        <v>939</v>
      </c>
      <c r="BP287">
        <v>11.3</v>
      </c>
      <c r="BQ287" t="s">
        <v>902</v>
      </c>
      <c r="DF287" s="15" t="s">
        <v>9308</v>
      </c>
      <c r="DG287" t="s">
        <v>317</v>
      </c>
      <c r="DH287" t="s">
        <v>159</v>
      </c>
      <c r="DI287" t="s">
        <v>159</v>
      </c>
      <c r="DJ287" t="s">
        <v>129</v>
      </c>
      <c r="DK287">
        <v>13500000</v>
      </c>
    </row>
    <row r="288" spans="1:115" x14ac:dyDescent="0.25">
      <c r="A288" t="s">
        <v>1382</v>
      </c>
      <c r="B288" t="s">
        <v>1383</v>
      </c>
      <c r="F288" t="s">
        <v>163</v>
      </c>
      <c r="I288" t="s">
        <v>962</v>
      </c>
      <c r="N288" t="s">
        <v>1384</v>
      </c>
      <c r="U288" t="s">
        <v>176</v>
      </c>
      <c r="Z288" s="14">
        <v>42866</v>
      </c>
      <c r="AA288" s="14">
        <v>42923</v>
      </c>
      <c r="AD288" s="14">
        <v>44469</v>
      </c>
      <c r="AL288" t="s">
        <v>624</v>
      </c>
      <c r="AN288">
        <v>265514700</v>
      </c>
      <c r="AR288">
        <v>265514700</v>
      </c>
      <c r="AS288">
        <v>0</v>
      </c>
      <c r="AY288" t="s">
        <v>557</v>
      </c>
      <c r="AZ288" t="s">
        <v>880</v>
      </c>
      <c r="BA288" t="s">
        <v>1020</v>
      </c>
      <c r="BB288" t="s">
        <v>1021</v>
      </c>
      <c r="BC288" t="s">
        <v>242</v>
      </c>
      <c r="BK288" t="s">
        <v>860</v>
      </c>
      <c r="BM288" t="s">
        <v>861</v>
      </c>
      <c r="BN288" t="s">
        <v>1046</v>
      </c>
      <c r="BO288" t="s">
        <v>1036</v>
      </c>
      <c r="BP288">
        <v>16.600000000000001</v>
      </c>
      <c r="BQ288" t="s">
        <v>902</v>
      </c>
      <c r="DF288" s="15" t="s">
        <v>9308</v>
      </c>
      <c r="DG288" t="s">
        <v>126</v>
      </c>
      <c r="DH288" t="s">
        <v>159</v>
      </c>
      <c r="DI288" t="s">
        <v>159</v>
      </c>
      <c r="DJ288" t="s">
        <v>172</v>
      </c>
      <c r="DK288">
        <v>482754</v>
      </c>
    </row>
    <row r="289" spans="1:115" x14ac:dyDescent="0.25">
      <c r="A289" t="s">
        <v>1385</v>
      </c>
      <c r="B289" t="s">
        <v>1386</v>
      </c>
      <c r="F289" t="s">
        <v>216</v>
      </c>
      <c r="I289" t="s">
        <v>1060</v>
      </c>
      <c r="N289" t="s">
        <v>1387</v>
      </c>
      <c r="U289" t="s">
        <v>176</v>
      </c>
      <c r="Z289" s="14">
        <v>42866</v>
      </c>
      <c r="AA289" s="14">
        <v>42917</v>
      </c>
      <c r="AD289" s="14">
        <v>44469</v>
      </c>
      <c r="AL289" t="s">
        <v>136</v>
      </c>
      <c r="AN289">
        <v>1873303</v>
      </c>
      <c r="AR289">
        <v>1873303</v>
      </c>
      <c r="AS289">
        <v>0</v>
      </c>
      <c r="AY289" t="s">
        <v>557</v>
      </c>
      <c r="AZ289" t="s">
        <v>880</v>
      </c>
      <c r="BA289" t="s">
        <v>1020</v>
      </c>
      <c r="BB289" t="s">
        <v>1021</v>
      </c>
      <c r="BC289" t="s">
        <v>242</v>
      </c>
      <c r="BK289" t="s">
        <v>860</v>
      </c>
      <c r="BM289" t="s">
        <v>560</v>
      </c>
      <c r="BN289" t="s">
        <v>561</v>
      </c>
      <c r="BO289" t="s">
        <v>989</v>
      </c>
      <c r="BP289">
        <v>3.8</v>
      </c>
      <c r="BQ289" t="s">
        <v>902</v>
      </c>
      <c r="DF289" s="15" t="s">
        <v>9308</v>
      </c>
      <c r="DG289" t="s">
        <v>170</v>
      </c>
      <c r="DH289" t="s">
        <v>159</v>
      </c>
      <c r="DI289" t="s">
        <v>171</v>
      </c>
      <c r="DJ289" t="s">
        <v>172</v>
      </c>
      <c r="DK289">
        <v>1873303</v>
      </c>
    </row>
    <row r="290" spans="1:115" x14ac:dyDescent="0.25">
      <c r="A290" t="s">
        <v>1388</v>
      </c>
      <c r="B290" t="s">
        <v>1389</v>
      </c>
      <c r="F290" t="s">
        <v>205</v>
      </c>
      <c r="I290" t="s">
        <v>1006</v>
      </c>
      <c r="N290" t="s">
        <v>1390</v>
      </c>
      <c r="U290" t="s">
        <v>176</v>
      </c>
      <c r="Z290" s="14">
        <v>42806</v>
      </c>
      <c r="AA290" s="14">
        <v>42866</v>
      </c>
      <c r="AD290" s="14">
        <v>44561</v>
      </c>
      <c r="AL290" t="s">
        <v>624</v>
      </c>
      <c r="AN290">
        <v>167750000</v>
      </c>
      <c r="AR290">
        <v>167750000</v>
      </c>
      <c r="AS290">
        <v>0</v>
      </c>
      <c r="AY290" t="s">
        <v>557</v>
      </c>
      <c r="AZ290" t="s">
        <v>880</v>
      </c>
      <c r="BA290" t="s">
        <v>1010</v>
      </c>
      <c r="BB290" t="s">
        <v>1011</v>
      </c>
      <c r="BC290" t="s">
        <v>125</v>
      </c>
      <c r="BK290" t="s">
        <v>860</v>
      </c>
      <c r="BM290" t="s">
        <v>560</v>
      </c>
      <c r="BN290" t="s">
        <v>1012</v>
      </c>
      <c r="BO290" t="s">
        <v>939</v>
      </c>
      <c r="BP290">
        <v>11.3</v>
      </c>
      <c r="BQ290" t="s">
        <v>563</v>
      </c>
      <c r="DF290" s="15" t="s">
        <v>9308</v>
      </c>
      <c r="DG290" t="s">
        <v>126</v>
      </c>
      <c r="DH290" t="s">
        <v>159</v>
      </c>
      <c r="DI290" t="s">
        <v>159</v>
      </c>
      <c r="DJ290" t="s">
        <v>172</v>
      </c>
      <c r="DK290">
        <v>305000</v>
      </c>
    </row>
    <row r="291" spans="1:115" x14ac:dyDescent="0.25">
      <c r="A291" t="s">
        <v>1391</v>
      </c>
      <c r="B291" t="s">
        <v>1392</v>
      </c>
      <c r="F291" t="s">
        <v>1039</v>
      </c>
      <c r="I291" t="s">
        <v>1040</v>
      </c>
      <c r="N291" t="s">
        <v>1393</v>
      </c>
      <c r="U291" t="s">
        <v>176</v>
      </c>
      <c r="Z291" s="14">
        <v>42814</v>
      </c>
      <c r="AA291" s="14">
        <v>42866</v>
      </c>
      <c r="AD291" s="14">
        <v>43465</v>
      </c>
      <c r="AL291" t="s">
        <v>624</v>
      </c>
      <c r="AN291">
        <v>272684500</v>
      </c>
      <c r="AR291">
        <v>272684500</v>
      </c>
      <c r="AS291">
        <v>0</v>
      </c>
      <c r="AY291" t="s">
        <v>557</v>
      </c>
      <c r="AZ291" t="s">
        <v>880</v>
      </c>
      <c r="BA291" t="s">
        <v>1010</v>
      </c>
      <c r="BB291" t="s">
        <v>1011</v>
      </c>
      <c r="BC291" t="s">
        <v>125</v>
      </c>
      <c r="BK291" t="s">
        <v>860</v>
      </c>
      <c r="BM291" t="s">
        <v>861</v>
      </c>
      <c r="BN291" t="s">
        <v>1046</v>
      </c>
      <c r="BO291" t="s">
        <v>1047</v>
      </c>
      <c r="BP291">
        <v>17.170000000000002</v>
      </c>
      <c r="BQ291" t="s">
        <v>864</v>
      </c>
      <c r="DF291" s="15" t="s">
        <v>9308</v>
      </c>
      <c r="DG291" t="s">
        <v>126</v>
      </c>
      <c r="DH291" t="s">
        <v>159</v>
      </c>
      <c r="DI291" t="s">
        <v>159</v>
      </c>
      <c r="DJ291" t="s">
        <v>172</v>
      </c>
      <c r="DK291">
        <v>495790</v>
      </c>
    </row>
    <row r="292" spans="1:115" x14ac:dyDescent="0.25">
      <c r="A292" t="s">
        <v>1394</v>
      </c>
      <c r="B292" t="s">
        <v>1051</v>
      </c>
      <c r="F292" t="s">
        <v>205</v>
      </c>
      <c r="I292" t="s">
        <v>1052</v>
      </c>
      <c r="N292" t="s">
        <v>1395</v>
      </c>
      <c r="U292" t="s">
        <v>176</v>
      </c>
      <c r="Z292" s="14">
        <v>42745</v>
      </c>
      <c r="AA292" s="14">
        <v>42866</v>
      </c>
      <c r="AD292" s="14">
        <v>44561</v>
      </c>
      <c r="AL292" t="s">
        <v>624</v>
      </c>
      <c r="AN292">
        <v>282939800</v>
      </c>
      <c r="AR292">
        <v>282939800</v>
      </c>
      <c r="AS292">
        <v>0</v>
      </c>
      <c r="AY292" t="s">
        <v>557</v>
      </c>
      <c r="AZ292" t="s">
        <v>880</v>
      </c>
      <c r="BA292" t="s">
        <v>1010</v>
      </c>
      <c r="BB292" t="s">
        <v>1011</v>
      </c>
      <c r="BC292" t="s">
        <v>125</v>
      </c>
      <c r="BK292" t="s">
        <v>860</v>
      </c>
      <c r="BM292" t="s">
        <v>560</v>
      </c>
      <c r="BN292" t="s">
        <v>1012</v>
      </c>
      <c r="BO292" t="s">
        <v>939</v>
      </c>
      <c r="BP292">
        <v>11.3</v>
      </c>
      <c r="BQ292" t="s">
        <v>563</v>
      </c>
      <c r="DF292" s="15" t="s">
        <v>9308</v>
      </c>
      <c r="DG292" t="s">
        <v>317</v>
      </c>
      <c r="DH292" t="s">
        <v>159</v>
      </c>
      <c r="DI292" t="s">
        <v>159</v>
      </c>
      <c r="DJ292" t="s">
        <v>172</v>
      </c>
      <c r="DK292">
        <v>514436</v>
      </c>
    </row>
    <row r="293" spans="1:115" x14ac:dyDescent="0.25">
      <c r="A293" t="s">
        <v>1396</v>
      </c>
      <c r="B293" t="s">
        <v>1397</v>
      </c>
      <c r="F293" t="s">
        <v>205</v>
      </c>
      <c r="I293" t="s">
        <v>1006</v>
      </c>
      <c r="N293" t="s">
        <v>1398</v>
      </c>
      <c r="U293" t="s">
        <v>1399</v>
      </c>
      <c r="Z293" s="14">
        <v>42866</v>
      </c>
      <c r="AA293" s="14">
        <v>43090</v>
      </c>
      <c r="AD293" s="14">
        <v>44561</v>
      </c>
      <c r="AL293" t="s">
        <v>624</v>
      </c>
      <c r="AN293">
        <v>1640838100</v>
      </c>
      <c r="AR293">
        <v>1640838100</v>
      </c>
      <c r="AS293">
        <v>0</v>
      </c>
      <c r="AY293" t="s">
        <v>557</v>
      </c>
      <c r="AZ293" t="s">
        <v>880</v>
      </c>
      <c r="BA293" t="s">
        <v>1010</v>
      </c>
      <c r="BB293" t="s">
        <v>1011</v>
      </c>
      <c r="BC293" t="s">
        <v>125</v>
      </c>
      <c r="BK293" t="s">
        <v>860</v>
      </c>
      <c r="BM293" t="s">
        <v>560</v>
      </c>
      <c r="BN293" t="s">
        <v>1012</v>
      </c>
      <c r="BO293" t="s">
        <v>939</v>
      </c>
      <c r="BP293">
        <v>11.3</v>
      </c>
      <c r="BQ293" t="s">
        <v>563</v>
      </c>
      <c r="DF293" s="15" t="s">
        <v>9420</v>
      </c>
      <c r="DG293" t="s">
        <v>126</v>
      </c>
      <c r="DH293" t="s">
        <v>159</v>
      </c>
      <c r="DI293" t="s">
        <v>159</v>
      </c>
      <c r="DJ293" t="s">
        <v>172</v>
      </c>
      <c r="DK293">
        <v>2983342</v>
      </c>
    </row>
    <row r="294" spans="1:115" x14ac:dyDescent="0.25">
      <c r="A294" t="s">
        <v>1400</v>
      </c>
      <c r="B294" t="s">
        <v>1059</v>
      </c>
      <c r="F294" t="s">
        <v>216</v>
      </c>
      <c r="I294" t="s">
        <v>1060</v>
      </c>
      <c r="N294" t="s">
        <v>1401</v>
      </c>
      <c r="U294" t="s">
        <v>176</v>
      </c>
      <c r="Z294" s="14">
        <v>42794</v>
      </c>
      <c r="AA294" s="14">
        <v>42866</v>
      </c>
      <c r="AD294" s="14">
        <v>44469</v>
      </c>
      <c r="AL294" t="s">
        <v>624</v>
      </c>
      <c r="AN294">
        <v>107250000</v>
      </c>
      <c r="AR294">
        <v>107250000</v>
      </c>
      <c r="AS294">
        <v>0</v>
      </c>
      <c r="AY294" t="s">
        <v>557</v>
      </c>
      <c r="AZ294" t="s">
        <v>880</v>
      </c>
      <c r="BA294" t="s">
        <v>1020</v>
      </c>
      <c r="BB294" t="s">
        <v>1021</v>
      </c>
      <c r="BC294" t="s">
        <v>242</v>
      </c>
      <c r="BK294" t="s">
        <v>860</v>
      </c>
      <c r="BM294" t="s">
        <v>560</v>
      </c>
      <c r="BN294" t="s">
        <v>561</v>
      </c>
      <c r="BO294" t="s">
        <v>989</v>
      </c>
      <c r="BP294">
        <v>3.8</v>
      </c>
      <c r="BQ294" t="s">
        <v>902</v>
      </c>
      <c r="DF294" s="15" t="s">
        <v>9308</v>
      </c>
      <c r="DG294" t="s">
        <v>126</v>
      </c>
      <c r="DH294" t="s">
        <v>159</v>
      </c>
      <c r="DI294" t="s">
        <v>159</v>
      </c>
      <c r="DJ294" t="s">
        <v>172</v>
      </c>
      <c r="DK294">
        <v>195000</v>
      </c>
    </row>
    <row r="295" spans="1:115" x14ac:dyDescent="0.25">
      <c r="A295" t="s">
        <v>1402</v>
      </c>
      <c r="B295" t="s">
        <v>1063</v>
      </c>
      <c r="F295" t="s">
        <v>216</v>
      </c>
      <c r="I295" t="s">
        <v>1064</v>
      </c>
      <c r="N295" t="s">
        <v>1403</v>
      </c>
      <c r="U295" t="s">
        <v>176</v>
      </c>
      <c r="Z295" s="14">
        <v>42794</v>
      </c>
      <c r="AA295" s="14">
        <v>42866</v>
      </c>
      <c r="AD295" s="14">
        <v>44469</v>
      </c>
      <c r="AL295" t="s">
        <v>624</v>
      </c>
      <c r="AN295">
        <v>577500000</v>
      </c>
      <c r="AR295">
        <v>577500000</v>
      </c>
      <c r="AS295">
        <v>0</v>
      </c>
      <c r="AY295" t="s">
        <v>557</v>
      </c>
      <c r="AZ295" t="s">
        <v>880</v>
      </c>
      <c r="BA295" t="s">
        <v>1020</v>
      </c>
      <c r="BB295" t="s">
        <v>1021</v>
      </c>
      <c r="BC295" t="s">
        <v>242</v>
      </c>
      <c r="BK295" t="s">
        <v>860</v>
      </c>
      <c r="BM295" t="s">
        <v>560</v>
      </c>
      <c r="BN295" t="s">
        <v>561</v>
      </c>
      <c r="BO295" t="s">
        <v>989</v>
      </c>
      <c r="BP295">
        <v>3.8</v>
      </c>
      <c r="BQ295" t="s">
        <v>902</v>
      </c>
      <c r="DF295" s="15" t="s">
        <v>9308</v>
      </c>
      <c r="DG295" t="s">
        <v>126</v>
      </c>
      <c r="DH295" t="s">
        <v>159</v>
      </c>
      <c r="DI295" t="s">
        <v>159</v>
      </c>
      <c r="DJ295" t="s">
        <v>172</v>
      </c>
      <c r="DK295">
        <v>1050000</v>
      </c>
    </row>
    <row r="296" spans="1:115" x14ac:dyDescent="0.25">
      <c r="A296" t="s">
        <v>1404</v>
      </c>
      <c r="B296" t="s">
        <v>1405</v>
      </c>
      <c r="F296" t="s">
        <v>190</v>
      </c>
      <c r="I296" t="s">
        <v>1406</v>
      </c>
      <c r="N296" t="s">
        <v>1407</v>
      </c>
      <c r="U296" t="s">
        <v>176</v>
      </c>
      <c r="Z296" s="14">
        <v>42866</v>
      </c>
      <c r="AA296" s="14">
        <v>43090</v>
      </c>
      <c r="AD296" s="14">
        <v>44926</v>
      </c>
      <c r="AL296" t="s">
        <v>1127</v>
      </c>
      <c r="AN296">
        <v>2686282600</v>
      </c>
      <c r="AR296">
        <v>2686282600</v>
      </c>
      <c r="AS296">
        <v>0</v>
      </c>
      <c r="AY296" t="s">
        <v>557</v>
      </c>
      <c r="AZ296" t="s">
        <v>880</v>
      </c>
      <c r="BA296" t="s">
        <v>1128</v>
      </c>
      <c r="BB296" t="s">
        <v>1128</v>
      </c>
      <c r="BC296" t="s">
        <v>242</v>
      </c>
      <c r="BK296" t="s">
        <v>860</v>
      </c>
      <c r="BM296" t="s">
        <v>861</v>
      </c>
      <c r="BN296" t="s">
        <v>862</v>
      </c>
      <c r="BO296" t="s">
        <v>863</v>
      </c>
      <c r="BP296">
        <v>2.2999999999999998</v>
      </c>
      <c r="BQ296" t="s">
        <v>864</v>
      </c>
      <c r="DF296" s="15" t="s">
        <v>9308</v>
      </c>
      <c r="DG296" t="s">
        <v>126</v>
      </c>
      <c r="DH296" t="s">
        <v>159</v>
      </c>
      <c r="DI296" t="s">
        <v>159</v>
      </c>
      <c r="DJ296" t="s">
        <v>129</v>
      </c>
      <c r="DK296">
        <v>5860000</v>
      </c>
    </row>
    <row r="297" spans="1:115" x14ac:dyDescent="0.25">
      <c r="A297" t="s">
        <v>1408</v>
      </c>
      <c r="B297" t="s">
        <v>1409</v>
      </c>
      <c r="F297" t="s">
        <v>245</v>
      </c>
      <c r="I297" t="s">
        <v>1410</v>
      </c>
      <c r="N297" t="s">
        <v>1411</v>
      </c>
      <c r="U297" t="s">
        <v>176</v>
      </c>
      <c r="Z297" s="14">
        <v>42826</v>
      </c>
      <c r="AA297" s="14">
        <v>42866</v>
      </c>
      <c r="AD297" s="14">
        <v>45016</v>
      </c>
      <c r="AL297" t="s">
        <v>1127</v>
      </c>
      <c r="AN297">
        <v>7887300000</v>
      </c>
      <c r="AR297">
        <v>7887300000</v>
      </c>
      <c r="AS297">
        <v>0</v>
      </c>
      <c r="AY297" t="s">
        <v>557</v>
      </c>
      <c r="AZ297" t="s">
        <v>880</v>
      </c>
      <c r="BA297" t="s">
        <v>1128</v>
      </c>
      <c r="BB297" t="s">
        <v>1128</v>
      </c>
      <c r="BC297" t="s">
        <v>242</v>
      </c>
      <c r="BK297" t="s">
        <v>860</v>
      </c>
      <c r="BM297" t="s">
        <v>861</v>
      </c>
      <c r="BN297" t="s">
        <v>862</v>
      </c>
      <c r="BO297" t="s">
        <v>971</v>
      </c>
      <c r="BP297">
        <v>9.1</v>
      </c>
      <c r="BQ297" t="s">
        <v>864</v>
      </c>
      <c r="DF297" s="15" t="s">
        <v>9308</v>
      </c>
      <c r="DG297" t="s">
        <v>126</v>
      </c>
      <c r="DH297" t="s">
        <v>159</v>
      </c>
      <c r="DI297" t="s">
        <v>159</v>
      </c>
      <c r="DJ297" t="s">
        <v>129</v>
      </c>
      <c r="DK297">
        <v>18300000</v>
      </c>
    </row>
    <row r="298" spans="1:115" x14ac:dyDescent="0.25">
      <c r="A298" t="s">
        <v>1412</v>
      </c>
      <c r="B298" t="s">
        <v>1413</v>
      </c>
      <c r="F298" t="s">
        <v>216</v>
      </c>
      <c r="I298" t="s">
        <v>1414</v>
      </c>
      <c r="N298" t="s">
        <v>1415</v>
      </c>
      <c r="U298" t="s">
        <v>165</v>
      </c>
      <c r="V298" t="s">
        <v>166</v>
      </c>
      <c r="Z298" s="14">
        <v>42866</v>
      </c>
      <c r="AA298" s="14">
        <v>43090</v>
      </c>
      <c r="AD298" s="14">
        <v>44561</v>
      </c>
      <c r="AL298" t="s">
        <v>624</v>
      </c>
      <c r="AN298">
        <v>96678235</v>
      </c>
      <c r="AR298">
        <v>96678235</v>
      </c>
      <c r="AS298">
        <v>0</v>
      </c>
      <c r="AY298" t="s">
        <v>557</v>
      </c>
      <c r="AZ298" t="s">
        <v>880</v>
      </c>
      <c r="BA298" t="s">
        <v>1010</v>
      </c>
      <c r="BB298" t="s">
        <v>1011</v>
      </c>
      <c r="BC298" t="s">
        <v>125</v>
      </c>
      <c r="BK298" t="s">
        <v>860</v>
      </c>
      <c r="BM298" t="s">
        <v>560</v>
      </c>
      <c r="BN298" t="s">
        <v>561</v>
      </c>
      <c r="BO298" t="s">
        <v>989</v>
      </c>
      <c r="BP298">
        <v>3.8</v>
      </c>
      <c r="BQ298" t="s">
        <v>902</v>
      </c>
      <c r="DF298" s="15" t="s">
        <v>9307</v>
      </c>
      <c r="DG298" t="s">
        <v>170</v>
      </c>
      <c r="DH298" t="s">
        <v>159</v>
      </c>
      <c r="DI298" t="s">
        <v>159</v>
      </c>
      <c r="DJ298" t="s">
        <v>172</v>
      </c>
      <c r="DK298">
        <v>175778.61</v>
      </c>
    </row>
    <row r="299" spans="1:115" x14ac:dyDescent="0.25">
      <c r="A299" t="s">
        <v>1416</v>
      </c>
      <c r="B299" t="s">
        <v>1086</v>
      </c>
      <c r="F299" t="s">
        <v>163</v>
      </c>
      <c r="I299" t="s">
        <v>1087</v>
      </c>
      <c r="N299" t="s">
        <v>1417</v>
      </c>
      <c r="U299" t="s">
        <v>176</v>
      </c>
      <c r="Z299" s="14">
        <v>42774</v>
      </c>
      <c r="AA299" s="14">
        <v>42866</v>
      </c>
      <c r="AD299" s="14">
        <v>44561</v>
      </c>
      <c r="AL299" t="s">
        <v>624</v>
      </c>
      <c r="AN299">
        <v>125151950</v>
      </c>
      <c r="AR299">
        <v>125151950</v>
      </c>
      <c r="AS299">
        <v>0</v>
      </c>
      <c r="AY299" t="s">
        <v>557</v>
      </c>
      <c r="AZ299" t="s">
        <v>880</v>
      </c>
      <c r="BA299" t="s">
        <v>1010</v>
      </c>
      <c r="BB299" t="s">
        <v>1011</v>
      </c>
      <c r="BC299" t="s">
        <v>125</v>
      </c>
      <c r="BK299" t="s">
        <v>860</v>
      </c>
      <c r="BM299" t="s">
        <v>861</v>
      </c>
      <c r="BN299" t="s">
        <v>1046</v>
      </c>
      <c r="BO299" t="s">
        <v>1036</v>
      </c>
      <c r="BP299">
        <v>16.600000000000001</v>
      </c>
      <c r="BQ299" t="s">
        <v>902</v>
      </c>
      <c r="DF299" s="15" t="s">
        <v>9308</v>
      </c>
      <c r="DG299" t="s">
        <v>170</v>
      </c>
      <c r="DH299" t="s">
        <v>159</v>
      </c>
      <c r="DI299" t="s">
        <v>159</v>
      </c>
      <c r="DJ299" t="s">
        <v>172</v>
      </c>
      <c r="DK299">
        <v>227549</v>
      </c>
    </row>
    <row r="300" spans="1:115" x14ac:dyDescent="0.25">
      <c r="A300" t="s">
        <v>1418</v>
      </c>
      <c r="B300" t="s">
        <v>1419</v>
      </c>
      <c r="F300" t="s">
        <v>216</v>
      </c>
      <c r="I300" t="s">
        <v>1060</v>
      </c>
      <c r="N300" t="s">
        <v>1420</v>
      </c>
      <c r="U300" t="s">
        <v>176</v>
      </c>
      <c r="Z300" s="14">
        <v>42866</v>
      </c>
      <c r="AA300" s="14">
        <v>42990</v>
      </c>
      <c r="AD300" s="14">
        <v>44104</v>
      </c>
      <c r="AL300" t="s">
        <v>624</v>
      </c>
      <c r="AN300">
        <v>1641750000</v>
      </c>
      <c r="AR300">
        <v>1641750000</v>
      </c>
      <c r="AS300">
        <v>0</v>
      </c>
      <c r="AY300" t="s">
        <v>557</v>
      </c>
      <c r="AZ300" t="s">
        <v>880</v>
      </c>
      <c r="BA300" t="s">
        <v>1020</v>
      </c>
      <c r="BB300" t="s">
        <v>1021</v>
      </c>
      <c r="BC300" t="s">
        <v>242</v>
      </c>
      <c r="BK300" t="s">
        <v>860</v>
      </c>
      <c r="BM300" t="s">
        <v>560</v>
      </c>
      <c r="BN300" t="s">
        <v>561</v>
      </c>
      <c r="BO300" t="s">
        <v>989</v>
      </c>
      <c r="BP300">
        <v>3.8</v>
      </c>
      <c r="BQ300" t="s">
        <v>902</v>
      </c>
      <c r="DF300" s="15" t="s">
        <v>9308</v>
      </c>
      <c r="DG300" t="s">
        <v>126</v>
      </c>
      <c r="DH300" t="s">
        <v>159</v>
      </c>
      <c r="DI300" t="s">
        <v>159</v>
      </c>
      <c r="DJ300" t="s">
        <v>172</v>
      </c>
      <c r="DK300">
        <v>2985000</v>
      </c>
    </row>
    <row r="301" spans="1:115" x14ac:dyDescent="0.25">
      <c r="A301" t="s">
        <v>1421</v>
      </c>
      <c r="B301" t="s">
        <v>1422</v>
      </c>
      <c r="F301" t="s">
        <v>190</v>
      </c>
      <c r="I301" t="s">
        <v>974</v>
      </c>
      <c r="N301" t="s">
        <v>1423</v>
      </c>
      <c r="U301" t="s">
        <v>1313</v>
      </c>
      <c r="Z301" s="14">
        <v>42744</v>
      </c>
      <c r="AA301" s="14">
        <v>42866</v>
      </c>
      <c r="AD301" s="14">
        <v>44561</v>
      </c>
      <c r="AL301" t="s">
        <v>122</v>
      </c>
      <c r="AN301">
        <v>1980990140</v>
      </c>
      <c r="AR301">
        <v>1980990140</v>
      </c>
      <c r="AS301">
        <v>0</v>
      </c>
      <c r="AY301" t="s">
        <v>557</v>
      </c>
      <c r="AZ301" t="s">
        <v>880</v>
      </c>
      <c r="BA301" t="s">
        <v>267</v>
      </c>
      <c r="BB301" t="s">
        <v>267</v>
      </c>
      <c r="BC301" t="s">
        <v>242</v>
      </c>
      <c r="BK301" t="s">
        <v>860</v>
      </c>
      <c r="BM301" t="s">
        <v>861</v>
      </c>
      <c r="BN301" t="s">
        <v>862</v>
      </c>
      <c r="BO301" t="s">
        <v>863</v>
      </c>
      <c r="BP301">
        <v>2.2999999999999998</v>
      </c>
      <c r="BQ301" t="s">
        <v>864</v>
      </c>
      <c r="DF301" s="15" t="s">
        <v>9414</v>
      </c>
      <c r="DG301" t="s">
        <v>126</v>
      </c>
      <c r="DH301" t="s">
        <v>159</v>
      </c>
      <c r="DI301" t="s">
        <v>159</v>
      </c>
      <c r="DJ301" t="s">
        <v>129</v>
      </c>
      <c r="DK301">
        <v>3020000</v>
      </c>
    </row>
    <row r="302" spans="1:115" x14ac:dyDescent="0.25">
      <c r="A302" t="s">
        <v>1424</v>
      </c>
      <c r="B302" t="s">
        <v>1425</v>
      </c>
      <c r="F302" t="s">
        <v>216</v>
      </c>
      <c r="I302" t="s">
        <v>1426</v>
      </c>
      <c r="N302" t="s">
        <v>1427</v>
      </c>
      <c r="U302" t="s">
        <v>176</v>
      </c>
      <c r="Z302" s="14">
        <v>42774</v>
      </c>
      <c r="AA302" s="14">
        <v>42866</v>
      </c>
      <c r="AD302" s="14">
        <v>44561</v>
      </c>
      <c r="AL302" t="s">
        <v>624</v>
      </c>
      <c r="AN302">
        <v>93524294</v>
      </c>
      <c r="AR302">
        <v>93524294</v>
      </c>
      <c r="AS302">
        <v>0</v>
      </c>
      <c r="AY302" t="s">
        <v>557</v>
      </c>
      <c r="AZ302" t="s">
        <v>880</v>
      </c>
      <c r="BA302" t="s">
        <v>1010</v>
      </c>
      <c r="BB302" t="s">
        <v>1011</v>
      </c>
      <c r="BC302" t="s">
        <v>125</v>
      </c>
      <c r="BK302" t="s">
        <v>860</v>
      </c>
      <c r="BM302" t="s">
        <v>560</v>
      </c>
      <c r="BN302" t="s">
        <v>561</v>
      </c>
      <c r="BO302" t="s">
        <v>989</v>
      </c>
      <c r="BP302">
        <v>3.8</v>
      </c>
      <c r="BQ302" t="s">
        <v>902</v>
      </c>
      <c r="DF302" s="15" t="s">
        <v>9308</v>
      </c>
      <c r="DG302" t="s">
        <v>126</v>
      </c>
      <c r="DH302" t="s">
        <v>159</v>
      </c>
      <c r="DI302" t="s">
        <v>159</v>
      </c>
      <c r="DJ302" t="s">
        <v>172</v>
      </c>
      <c r="DK302">
        <v>170044.17</v>
      </c>
    </row>
    <row r="303" spans="1:115" x14ac:dyDescent="0.25">
      <c r="A303" t="s">
        <v>1428</v>
      </c>
      <c r="B303" t="s">
        <v>1102</v>
      </c>
      <c r="F303" t="s">
        <v>216</v>
      </c>
      <c r="I303" t="s">
        <v>1103</v>
      </c>
      <c r="N303" t="s">
        <v>1429</v>
      </c>
      <c r="U303" t="s">
        <v>211</v>
      </c>
      <c r="V303" t="s">
        <v>1105</v>
      </c>
      <c r="Z303" s="14">
        <v>42794</v>
      </c>
      <c r="AA303" s="14">
        <v>42866</v>
      </c>
      <c r="AD303" s="14">
        <v>44104</v>
      </c>
      <c r="AL303" t="s">
        <v>624</v>
      </c>
      <c r="AN303">
        <v>2200000000</v>
      </c>
      <c r="AR303">
        <v>2200000000</v>
      </c>
      <c r="AS303">
        <v>0</v>
      </c>
      <c r="AY303" t="s">
        <v>557</v>
      </c>
      <c r="AZ303" t="s">
        <v>880</v>
      </c>
      <c r="BA303" t="s">
        <v>1020</v>
      </c>
      <c r="BB303" t="s">
        <v>1021</v>
      </c>
      <c r="BC303" t="s">
        <v>242</v>
      </c>
      <c r="BK303" t="s">
        <v>860</v>
      </c>
      <c r="BM303" t="s">
        <v>560</v>
      </c>
      <c r="BN303" t="s">
        <v>561</v>
      </c>
      <c r="BO303" t="s">
        <v>989</v>
      </c>
      <c r="BP303">
        <v>3.8</v>
      </c>
      <c r="BQ303" t="s">
        <v>902</v>
      </c>
      <c r="DF303" s="15" t="s">
        <v>9395</v>
      </c>
      <c r="DG303" t="s">
        <v>126</v>
      </c>
      <c r="DH303" t="s">
        <v>159</v>
      </c>
      <c r="DI303" t="s">
        <v>159</v>
      </c>
      <c r="DJ303" t="s">
        <v>172</v>
      </c>
      <c r="DK303">
        <v>4000000</v>
      </c>
    </row>
    <row r="304" spans="1:115" x14ac:dyDescent="0.25">
      <c r="A304" t="s">
        <v>1430</v>
      </c>
      <c r="B304" t="s">
        <v>1431</v>
      </c>
      <c r="F304" t="s">
        <v>190</v>
      </c>
      <c r="I304" t="s">
        <v>856</v>
      </c>
      <c r="N304" t="s">
        <v>1432</v>
      </c>
      <c r="U304" t="s">
        <v>176</v>
      </c>
      <c r="Z304" s="14">
        <v>42823</v>
      </c>
      <c r="AA304" s="14">
        <v>42866</v>
      </c>
      <c r="AD304" s="14">
        <v>44196</v>
      </c>
      <c r="AL304" t="s">
        <v>122</v>
      </c>
      <c r="AN304">
        <v>1206960880</v>
      </c>
      <c r="AR304">
        <v>1206960880</v>
      </c>
      <c r="AS304">
        <v>0</v>
      </c>
      <c r="AY304" t="s">
        <v>557</v>
      </c>
      <c r="AZ304" t="s">
        <v>880</v>
      </c>
      <c r="BA304" t="s">
        <v>267</v>
      </c>
      <c r="BB304" t="s">
        <v>267</v>
      </c>
      <c r="BC304" t="s">
        <v>242</v>
      </c>
      <c r="BK304" t="s">
        <v>860</v>
      </c>
      <c r="BM304" t="s">
        <v>861</v>
      </c>
      <c r="BN304" t="s">
        <v>862</v>
      </c>
      <c r="BO304" t="s">
        <v>863</v>
      </c>
      <c r="BP304">
        <v>2.2999999999999998</v>
      </c>
      <c r="BQ304" t="s">
        <v>864</v>
      </c>
      <c r="DF304" s="15" t="s">
        <v>9308</v>
      </c>
      <c r="DG304" t="s">
        <v>126</v>
      </c>
      <c r="DH304" t="s">
        <v>159</v>
      </c>
      <c r="DI304" t="s">
        <v>159</v>
      </c>
      <c r="DJ304" t="s">
        <v>129</v>
      </c>
      <c r="DK304">
        <v>1840000</v>
      </c>
    </row>
    <row r="305" spans="1:115" x14ac:dyDescent="0.25">
      <c r="A305" t="s">
        <v>1433</v>
      </c>
      <c r="B305" t="s">
        <v>1434</v>
      </c>
      <c r="F305" t="s">
        <v>263</v>
      </c>
      <c r="I305" t="s">
        <v>555</v>
      </c>
      <c r="N305" t="s">
        <v>1435</v>
      </c>
      <c r="U305" t="s">
        <v>218</v>
      </c>
      <c r="V305" t="s">
        <v>915</v>
      </c>
      <c r="Z305" s="14">
        <v>42823</v>
      </c>
      <c r="AA305" s="14">
        <v>42866</v>
      </c>
      <c r="AD305" s="14">
        <v>44926</v>
      </c>
      <c r="AL305" t="s">
        <v>122</v>
      </c>
      <c r="AN305">
        <v>1653011640</v>
      </c>
      <c r="AR305">
        <v>1653011640</v>
      </c>
      <c r="AS305">
        <v>0</v>
      </c>
      <c r="AY305" t="s">
        <v>557</v>
      </c>
      <c r="AZ305" t="s">
        <v>880</v>
      </c>
      <c r="BA305" t="s">
        <v>267</v>
      </c>
      <c r="BB305" t="s">
        <v>267</v>
      </c>
      <c r="BC305" t="s">
        <v>242</v>
      </c>
      <c r="BK305" t="s">
        <v>860</v>
      </c>
      <c r="BM305" t="s">
        <v>560</v>
      </c>
      <c r="BN305" t="s">
        <v>561</v>
      </c>
      <c r="BO305" t="s">
        <v>562</v>
      </c>
      <c r="BP305">
        <v>6.1</v>
      </c>
      <c r="BQ305" t="s">
        <v>563</v>
      </c>
      <c r="DF305" s="15" t="s">
        <v>9382</v>
      </c>
      <c r="DG305" t="s">
        <v>126</v>
      </c>
      <c r="DH305" t="s">
        <v>159</v>
      </c>
      <c r="DI305" t="s">
        <v>159</v>
      </c>
      <c r="DJ305" t="s">
        <v>129</v>
      </c>
      <c r="DK305">
        <v>2520000</v>
      </c>
    </row>
    <row r="306" spans="1:115" x14ac:dyDescent="0.25">
      <c r="A306" t="s">
        <v>1436</v>
      </c>
      <c r="B306" t="s">
        <v>1437</v>
      </c>
      <c r="F306" t="s">
        <v>216</v>
      </c>
      <c r="I306" t="s">
        <v>1091</v>
      </c>
      <c r="N306" t="s">
        <v>1438</v>
      </c>
      <c r="U306" t="s">
        <v>176</v>
      </c>
      <c r="Z306" s="14">
        <v>42831</v>
      </c>
      <c r="AA306" s="14">
        <v>42866</v>
      </c>
      <c r="AD306" s="14">
        <v>44196</v>
      </c>
      <c r="AL306" t="s">
        <v>1110</v>
      </c>
      <c r="AN306">
        <v>1120000000</v>
      </c>
      <c r="AR306">
        <v>1120000000</v>
      </c>
      <c r="AS306">
        <v>0</v>
      </c>
      <c r="AY306" t="s">
        <v>557</v>
      </c>
      <c r="AZ306" t="s">
        <v>880</v>
      </c>
      <c r="BA306" t="s">
        <v>1439</v>
      </c>
      <c r="BB306" t="s">
        <v>1439</v>
      </c>
      <c r="BC306" t="s">
        <v>242</v>
      </c>
      <c r="BK306" t="s">
        <v>860</v>
      </c>
      <c r="BM306" t="s">
        <v>560</v>
      </c>
      <c r="BN306" t="s">
        <v>561</v>
      </c>
      <c r="BO306" t="s">
        <v>989</v>
      </c>
      <c r="BP306">
        <v>3.8</v>
      </c>
      <c r="BQ306" t="s">
        <v>902</v>
      </c>
      <c r="DF306" s="15" t="s">
        <v>9308</v>
      </c>
      <c r="DG306" t="s">
        <v>317</v>
      </c>
      <c r="DH306" t="s">
        <v>159</v>
      </c>
      <c r="DI306" t="s">
        <v>159</v>
      </c>
      <c r="DJ306" t="s">
        <v>129</v>
      </c>
      <c r="DK306">
        <v>2000000</v>
      </c>
    </row>
    <row r="307" spans="1:115" x14ac:dyDescent="0.25">
      <c r="A307" t="s">
        <v>1440</v>
      </c>
      <c r="B307" t="s">
        <v>1441</v>
      </c>
      <c r="F307" t="s">
        <v>526</v>
      </c>
      <c r="I307" t="s">
        <v>1099</v>
      </c>
      <c r="N307" t="s">
        <v>1442</v>
      </c>
      <c r="U307" t="s">
        <v>321</v>
      </c>
      <c r="Z307" s="14">
        <v>42835</v>
      </c>
      <c r="AA307" s="14">
        <v>42866</v>
      </c>
      <c r="AD307" s="14">
        <v>44561</v>
      </c>
      <c r="AL307" t="s">
        <v>122</v>
      </c>
      <c r="AN307">
        <v>767469690</v>
      </c>
      <c r="AR307">
        <v>767469690</v>
      </c>
      <c r="AS307">
        <v>0</v>
      </c>
      <c r="AY307" t="s">
        <v>557</v>
      </c>
      <c r="AZ307" t="s">
        <v>880</v>
      </c>
      <c r="BA307" t="s">
        <v>1439</v>
      </c>
      <c r="BB307" t="s">
        <v>1439</v>
      </c>
      <c r="BC307" t="s">
        <v>242</v>
      </c>
      <c r="BK307" t="s">
        <v>860</v>
      </c>
      <c r="BM307" t="s">
        <v>560</v>
      </c>
      <c r="BN307" t="s">
        <v>561</v>
      </c>
      <c r="BO307" t="s">
        <v>1022</v>
      </c>
      <c r="BP307">
        <v>1.3</v>
      </c>
      <c r="BQ307" t="s">
        <v>902</v>
      </c>
      <c r="DF307" s="15" t="s">
        <v>9324</v>
      </c>
      <c r="DG307" t="s">
        <v>317</v>
      </c>
      <c r="DH307" t="s">
        <v>159</v>
      </c>
      <c r="DI307" t="s">
        <v>159</v>
      </c>
      <c r="DJ307" t="s">
        <v>129</v>
      </c>
      <c r="DK307">
        <v>1170000</v>
      </c>
    </row>
    <row r="308" spans="1:115" x14ac:dyDescent="0.25">
      <c r="A308" t="s">
        <v>1443</v>
      </c>
      <c r="B308" t="s">
        <v>1444</v>
      </c>
      <c r="F308" t="s">
        <v>190</v>
      </c>
      <c r="I308" t="s">
        <v>856</v>
      </c>
      <c r="N308" t="s">
        <v>1445</v>
      </c>
      <c r="U308" t="s">
        <v>1446</v>
      </c>
      <c r="Z308" s="14">
        <v>42835</v>
      </c>
      <c r="AA308" s="14">
        <v>42866</v>
      </c>
      <c r="AD308" s="14">
        <v>44561</v>
      </c>
      <c r="AL308" t="s">
        <v>122</v>
      </c>
      <c r="AN308">
        <v>16175900</v>
      </c>
      <c r="AR308">
        <v>16175900</v>
      </c>
      <c r="AS308">
        <v>0</v>
      </c>
      <c r="AY308" t="s">
        <v>557</v>
      </c>
      <c r="AZ308" t="s">
        <v>880</v>
      </c>
      <c r="BA308" t="s">
        <v>1439</v>
      </c>
      <c r="BB308" t="s">
        <v>1439</v>
      </c>
      <c r="BC308" t="s">
        <v>242</v>
      </c>
      <c r="BK308" t="s">
        <v>860</v>
      </c>
      <c r="BM308" t="s">
        <v>861</v>
      </c>
      <c r="BN308" t="s">
        <v>862</v>
      </c>
      <c r="BO308" t="s">
        <v>863</v>
      </c>
      <c r="BP308">
        <v>2.2999999999999998</v>
      </c>
      <c r="BQ308" t="s">
        <v>864</v>
      </c>
      <c r="DF308" s="15" t="s">
        <v>9421</v>
      </c>
      <c r="DG308" t="s">
        <v>126</v>
      </c>
      <c r="DH308" t="s">
        <v>159</v>
      </c>
      <c r="DI308" t="s">
        <v>159</v>
      </c>
      <c r="DJ308" t="s">
        <v>129</v>
      </c>
      <c r="DK308">
        <v>24660</v>
      </c>
    </row>
    <row r="309" spans="1:115" x14ac:dyDescent="0.25">
      <c r="A309" t="s">
        <v>1447</v>
      </c>
      <c r="B309" t="s">
        <v>1448</v>
      </c>
      <c r="F309" t="s">
        <v>142</v>
      </c>
      <c r="I309" t="s">
        <v>1449</v>
      </c>
      <c r="N309" t="s">
        <v>1450</v>
      </c>
      <c r="U309" t="s">
        <v>165</v>
      </c>
      <c r="V309" t="s">
        <v>166</v>
      </c>
      <c r="Z309" s="14">
        <v>42866</v>
      </c>
      <c r="AA309" s="14">
        <v>42925</v>
      </c>
      <c r="AD309" s="14">
        <v>44196</v>
      </c>
      <c r="AL309" t="s">
        <v>136</v>
      </c>
      <c r="AN309">
        <v>187000000</v>
      </c>
      <c r="AR309">
        <v>187000000</v>
      </c>
      <c r="AS309">
        <v>0</v>
      </c>
      <c r="AY309" t="s">
        <v>557</v>
      </c>
      <c r="AZ309" t="s">
        <v>880</v>
      </c>
      <c r="BA309" t="s">
        <v>1272</v>
      </c>
      <c r="BB309" t="s">
        <v>1272</v>
      </c>
      <c r="BC309" t="s">
        <v>242</v>
      </c>
      <c r="BK309" t="s">
        <v>860</v>
      </c>
      <c r="BM309" t="s">
        <v>861</v>
      </c>
      <c r="BN309" t="s">
        <v>862</v>
      </c>
      <c r="BO309" t="s">
        <v>971</v>
      </c>
      <c r="BP309">
        <v>9.1</v>
      </c>
      <c r="BQ309" t="s">
        <v>864</v>
      </c>
      <c r="DF309" s="15" t="s">
        <v>9307</v>
      </c>
      <c r="DG309" t="s">
        <v>170</v>
      </c>
      <c r="DH309" t="s">
        <v>159</v>
      </c>
      <c r="DI309" t="s">
        <v>159</v>
      </c>
      <c r="DJ309" t="s">
        <v>172</v>
      </c>
      <c r="DK309">
        <v>187000000</v>
      </c>
    </row>
    <row r="310" spans="1:115" x14ac:dyDescent="0.25">
      <c r="A310" t="s">
        <v>1451</v>
      </c>
      <c r="B310" t="s">
        <v>1452</v>
      </c>
      <c r="F310" t="s">
        <v>190</v>
      </c>
      <c r="I310" t="s">
        <v>1453</v>
      </c>
      <c r="N310" t="s">
        <v>1454</v>
      </c>
      <c r="U310" t="s">
        <v>176</v>
      </c>
      <c r="Z310" s="14">
        <v>42826</v>
      </c>
      <c r="AA310" s="14">
        <v>42866</v>
      </c>
      <c r="AD310" s="14">
        <v>45016</v>
      </c>
      <c r="AL310" t="s">
        <v>1127</v>
      </c>
      <c r="AN310">
        <v>1051640000</v>
      </c>
      <c r="AR310">
        <v>1051640000</v>
      </c>
      <c r="AS310">
        <v>0</v>
      </c>
      <c r="AY310" t="s">
        <v>557</v>
      </c>
      <c r="AZ310" t="s">
        <v>880</v>
      </c>
      <c r="BA310" t="s">
        <v>1128</v>
      </c>
      <c r="BB310" t="s">
        <v>1128</v>
      </c>
      <c r="BC310" t="s">
        <v>242</v>
      </c>
      <c r="BK310" t="s">
        <v>860</v>
      </c>
      <c r="BM310" t="s">
        <v>861</v>
      </c>
      <c r="BN310" t="s">
        <v>862</v>
      </c>
      <c r="BO310" t="s">
        <v>863</v>
      </c>
      <c r="BP310">
        <v>2.2999999999999998</v>
      </c>
      <c r="BQ310" t="s">
        <v>864</v>
      </c>
      <c r="DF310" s="15" t="s">
        <v>9308</v>
      </c>
      <c r="DG310" t="s">
        <v>126</v>
      </c>
      <c r="DH310" t="s">
        <v>159</v>
      </c>
      <c r="DI310" t="s">
        <v>159</v>
      </c>
      <c r="DJ310" t="s">
        <v>129</v>
      </c>
      <c r="DK310">
        <v>2440000</v>
      </c>
    </row>
    <row r="311" spans="1:115" x14ac:dyDescent="0.25">
      <c r="A311" t="s">
        <v>1455</v>
      </c>
      <c r="B311" t="s">
        <v>1456</v>
      </c>
      <c r="F311" t="s">
        <v>315</v>
      </c>
      <c r="I311" t="s">
        <v>1191</v>
      </c>
      <c r="N311" t="s">
        <v>1457</v>
      </c>
      <c r="U311" t="s">
        <v>176</v>
      </c>
      <c r="Z311" s="14">
        <v>42866</v>
      </c>
      <c r="AA311" s="14">
        <v>42930</v>
      </c>
      <c r="AD311" s="14">
        <v>44926</v>
      </c>
      <c r="AL311" t="s">
        <v>1127</v>
      </c>
      <c r="AN311">
        <v>3667280000</v>
      </c>
      <c r="AR311">
        <v>3667280000</v>
      </c>
      <c r="AS311">
        <v>0</v>
      </c>
      <c r="AY311" t="s">
        <v>557</v>
      </c>
      <c r="AZ311" t="s">
        <v>880</v>
      </c>
      <c r="BA311" t="s">
        <v>1128</v>
      </c>
      <c r="BB311" t="s">
        <v>1128</v>
      </c>
      <c r="BC311" t="s">
        <v>242</v>
      </c>
      <c r="BK311" t="s">
        <v>860</v>
      </c>
      <c r="BM311" t="s">
        <v>861</v>
      </c>
      <c r="BN311" t="s">
        <v>900</v>
      </c>
      <c r="BO311" t="s">
        <v>901</v>
      </c>
      <c r="BP311">
        <v>4.0999999999999996</v>
      </c>
      <c r="BQ311" t="s">
        <v>902</v>
      </c>
      <c r="DF311" s="15" t="s">
        <v>9308</v>
      </c>
      <c r="DG311" t="s">
        <v>126</v>
      </c>
      <c r="DH311" t="s">
        <v>159</v>
      </c>
      <c r="DI311" t="s">
        <v>159</v>
      </c>
      <c r="DJ311" t="s">
        <v>129</v>
      </c>
      <c r="DK311">
        <v>8000000</v>
      </c>
    </row>
    <row r="312" spans="1:115" x14ac:dyDescent="0.25">
      <c r="A312" t="s">
        <v>1458</v>
      </c>
      <c r="B312" t="s">
        <v>1459</v>
      </c>
      <c r="F312" t="s">
        <v>526</v>
      </c>
      <c r="I312" t="s">
        <v>1095</v>
      </c>
      <c r="N312" t="s">
        <v>1460</v>
      </c>
      <c r="U312" t="s">
        <v>176</v>
      </c>
      <c r="Z312" s="14">
        <v>42826</v>
      </c>
      <c r="AA312" s="14">
        <v>42866</v>
      </c>
      <c r="AD312" s="14">
        <v>44926</v>
      </c>
      <c r="AL312" t="s">
        <v>1127</v>
      </c>
      <c r="AN312">
        <v>1627355500</v>
      </c>
      <c r="AR312">
        <v>1627355500</v>
      </c>
      <c r="AS312">
        <v>0</v>
      </c>
      <c r="AY312" t="s">
        <v>557</v>
      </c>
      <c r="AZ312" t="s">
        <v>880</v>
      </c>
      <c r="BA312" t="s">
        <v>1128</v>
      </c>
      <c r="BB312" t="s">
        <v>1128</v>
      </c>
      <c r="BC312" t="s">
        <v>242</v>
      </c>
      <c r="BK312" t="s">
        <v>860</v>
      </c>
      <c r="BM312" t="s">
        <v>560</v>
      </c>
      <c r="BN312" t="s">
        <v>561</v>
      </c>
      <c r="BO312" t="s">
        <v>1022</v>
      </c>
      <c r="BP312">
        <v>1.3</v>
      </c>
      <c r="BQ312" t="s">
        <v>902</v>
      </c>
      <c r="DF312" s="15" t="s">
        <v>9308</v>
      </c>
      <c r="DG312" t="s">
        <v>317</v>
      </c>
      <c r="DH312" t="s">
        <v>159</v>
      </c>
      <c r="DI312" t="s">
        <v>159</v>
      </c>
      <c r="DJ312" t="s">
        <v>129</v>
      </c>
      <c r="DK312">
        <v>3550000</v>
      </c>
    </row>
    <row r="313" spans="1:115" x14ac:dyDescent="0.25">
      <c r="A313" t="s">
        <v>1461</v>
      </c>
      <c r="B313" t="s">
        <v>1462</v>
      </c>
      <c r="F313" t="s">
        <v>526</v>
      </c>
      <c r="I313" t="s">
        <v>1095</v>
      </c>
      <c r="N313" t="s">
        <v>1463</v>
      </c>
      <c r="U313" t="s">
        <v>176</v>
      </c>
      <c r="Z313" s="14">
        <v>42866</v>
      </c>
      <c r="AA313" s="14">
        <v>42990</v>
      </c>
      <c r="AD313" s="14">
        <v>44926</v>
      </c>
      <c r="AL313" t="s">
        <v>1127</v>
      </c>
      <c r="AN313">
        <v>907651800</v>
      </c>
      <c r="AR313">
        <v>907651800</v>
      </c>
      <c r="AS313">
        <v>0</v>
      </c>
      <c r="AY313" t="s">
        <v>557</v>
      </c>
      <c r="AZ313" t="s">
        <v>880</v>
      </c>
      <c r="BA313" t="s">
        <v>1128</v>
      </c>
      <c r="BB313" t="s">
        <v>1128</v>
      </c>
      <c r="BC313" t="s">
        <v>242</v>
      </c>
      <c r="BK313" t="s">
        <v>860</v>
      </c>
      <c r="BM313" t="s">
        <v>560</v>
      </c>
      <c r="BN313" t="s">
        <v>561</v>
      </c>
      <c r="BO313" t="s">
        <v>1022</v>
      </c>
      <c r="BP313">
        <v>1.3</v>
      </c>
      <c r="BQ313" t="s">
        <v>902</v>
      </c>
      <c r="DF313" s="15" t="s">
        <v>9308</v>
      </c>
      <c r="DG313" t="s">
        <v>317</v>
      </c>
      <c r="DH313" t="s">
        <v>159</v>
      </c>
      <c r="DI313" t="s">
        <v>159</v>
      </c>
      <c r="DJ313" t="s">
        <v>129</v>
      </c>
      <c r="DK313">
        <v>1980000</v>
      </c>
    </row>
    <row r="314" spans="1:115" x14ac:dyDescent="0.25">
      <c r="A314" t="s">
        <v>1464</v>
      </c>
      <c r="B314" t="s">
        <v>1465</v>
      </c>
      <c r="F314" t="s">
        <v>216</v>
      </c>
      <c r="I314" t="s">
        <v>1025</v>
      </c>
      <c r="N314" t="s">
        <v>1466</v>
      </c>
      <c r="U314" t="s">
        <v>176</v>
      </c>
      <c r="Z314" s="14">
        <v>42826</v>
      </c>
      <c r="AA314" s="14">
        <v>42866</v>
      </c>
      <c r="AD314" s="14">
        <v>44926</v>
      </c>
      <c r="AL314" t="s">
        <v>1127</v>
      </c>
      <c r="AN314">
        <v>1104768100</v>
      </c>
      <c r="AR314">
        <v>1104768100</v>
      </c>
      <c r="AS314">
        <v>0</v>
      </c>
      <c r="AY314" t="s">
        <v>557</v>
      </c>
      <c r="AZ314" t="s">
        <v>880</v>
      </c>
      <c r="BA314" t="s">
        <v>1128</v>
      </c>
      <c r="BB314" t="s">
        <v>1128</v>
      </c>
      <c r="BC314" t="s">
        <v>242</v>
      </c>
      <c r="BK314" t="s">
        <v>860</v>
      </c>
      <c r="BM314" t="s">
        <v>560</v>
      </c>
      <c r="BN314" t="s">
        <v>561</v>
      </c>
      <c r="BO314" t="s">
        <v>989</v>
      </c>
      <c r="BP314">
        <v>3.8</v>
      </c>
      <c r="BQ314" t="s">
        <v>902</v>
      </c>
      <c r="DF314" s="15" t="s">
        <v>9308</v>
      </c>
      <c r="DG314" t="s">
        <v>126</v>
      </c>
      <c r="DH314" t="s">
        <v>159</v>
      </c>
      <c r="DI314" t="s">
        <v>159</v>
      </c>
      <c r="DJ314" t="s">
        <v>129</v>
      </c>
      <c r="DK314">
        <v>2410000</v>
      </c>
    </row>
    <row r="315" spans="1:115" x14ac:dyDescent="0.25">
      <c r="A315" t="s">
        <v>1467</v>
      </c>
      <c r="B315" t="s">
        <v>1468</v>
      </c>
      <c r="F315" t="s">
        <v>1469</v>
      </c>
      <c r="I315" t="s">
        <v>1470</v>
      </c>
      <c r="N315" t="s">
        <v>1471</v>
      </c>
      <c r="U315" t="s">
        <v>176</v>
      </c>
      <c r="Z315" s="14">
        <v>42866</v>
      </c>
      <c r="AA315" s="14">
        <v>42888</v>
      </c>
      <c r="AD315" s="14">
        <v>45291</v>
      </c>
      <c r="AL315" t="s">
        <v>1127</v>
      </c>
      <c r="AN315">
        <v>1283548000</v>
      </c>
      <c r="AR315">
        <v>1283548000</v>
      </c>
      <c r="AS315">
        <v>0</v>
      </c>
      <c r="AY315" t="s">
        <v>557</v>
      </c>
      <c r="AZ315" t="s">
        <v>880</v>
      </c>
      <c r="BA315" t="s">
        <v>1128</v>
      </c>
      <c r="BB315" t="s">
        <v>1128</v>
      </c>
      <c r="BC315" t="s">
        <v>242</v>
      </c>
      <c r="BK315" t="s">
        <v>860</v>
      </c>
      <c r="BM315" t="s">
        <v>560</v>
      </c>
      <c r="BN315" t="s">
        <v>561</v>
      </c>
      <c r="BO315" t="s">
        <v>1022</v>
      </c>
      <c r="BP315">
        <v>1.3</v>
      </c>
      <c r="BQ315" t="s">
        <v>902</v>
      </c>
      <c r="DF315" s="15" t="s">
        <v>9308</v>
      </c>
      <c r="DG315" t="s">
        <v>126</v>
      </c>
      <c r="DH315" t="s">
        <v>159</v>
      </c>
      <c r="DI315" t="s">
        <v>159</v>
      </c>
      <c r="DJ315" t="s">
        <v>129</v>
      </c>
      <c r="DK315">
        <v>2800000</v>
      </c>
    </row>
    <row r="316" spans="1:115" x14ac:dyDescent="0.25">
      <c r="A316" t="s">
        <v>1472</v>
      </c>
      <c r="B316" t="s">
        <v>1107</v>
      </c>
      <c r="F316" t="s">
        <v>315</v>
      </c>
      <c r="I316" t="s">
        <v>1108</v>
      </c>
      <c r="N316" t="s">
        <v>1473</v>
      </c>
      <c r="U316" t="s">
        <v>233</v>
      </c>
      <c r="Z316" s="14">
        <v>42828</v>
      </c>
      <c r="AA316" s="14">
        <v>42866</v>
      </c>
      <c r="AD316" s="14">
        <v>44561</v>
      </c>
      <c r="AL316" t="s">
        <v>1110</v>
      </c>
      <c r="AN316">
        <v>4733454348</v>
      </c>
      <c r="AR316">
        <v>4733454348</v>
      </c>
      <c r="AS316">
        <v>0</v>
      </c>
      <c r="AY316" t="s">
        <v>557</v>
      </c>
      <c r="AZ316" t="s">
        <v>880</v>
      </c>
      <c r="BA316" t="s">
        <v>822</v>
      </c>
      <c r="BB316" t="s">
        <v>823</v>
      </c>
      <c r="BC316" t="s">
        <v>242</v>
      </c>
      <c r="BK316" t="s">
        <v>860</v>
      </c>
      <c r="BM316" t="s">
        <v>861</v>
      </c>
      <c r="BN316" t="s">
        <v>900</v>
      </c>
      <c r="BO316" t="s">
        <v>901</v>
      </c>
      <c r="BP316">
        <v>4.0999999999999996</v>
      </c>
      <c r="BQ316" t="s">
        <v>902</v>
      </c>
      <c r="DF316" s="15" t="s">
        <v>9396</v>
      </c>
      <c r="DG316" t="s">
        <v>317</v>
      </c>
      <c r="DH316" t="s">
        <v>159</v>
      </c>
      <c r="DI316" t="s">
        <v>159</v>
      </c>
      <c r="DJ316" t="s">
        <v>129</v>
      </c>
      <c r="DK316">
        <v>8348244</v>
      </c>
    </row>
    <row r="317" spans="1:115" x14ac:dyDescent="0.25">
      <c r="A317" t="s">
        <v>1474</v>
      </c>
      <c r="B317" t="s">
        <v>1475</v>
      </c>
      <c r="F317" t="s">
        <v>163</v>
      </c>
      <c r="I317" t="s">
        <v>1476</v>
      </c>
      <c r="N317" t="s">
        <v>1477</v>
      </c>
      <c r="U317" t="s">
        <v>176</v>
      </c>
      <c r="Z317" s="14">
        <v>42828</v>
      </c>
      <c r="AA317" s="14">
        <v>42866</v>
      </c>
      <c r="AD317" s="14">
        <v>44561</v>
      </c>
      <c r="AL317" t="s">
        <v>1110</v>
      </c>
      <c r="AN317">
        <v>4149650000</v>
      </c>
      <c r="AR317">
        <v>4149650000</v>
      </c>
      <c r="AS317">
        <v>0</v>
      </c>
      <c r="AY317" t="s">
        <v>557</v>
      </c>
      <c r="AZ317" t="s">
        <v>880</v>
      </c>
      <c r="BA317" t="s">
        <v>822</v>
      </c>
      <c r="BB317" t="s">
        <v>823</v>
      </c>
      <c r="BC317" t="s">
        <v>242</v>
      </c>
      <c r="BK317" t="s">
        <v>860</v>
      </c>
      <c r="BM317" t="s">
        <v>861</v>
      </c>
      <c r="BN317" t="s">
        <v>1046</v>
      </c>
      <c r="BO317" t="s">
        <v>1036</v>
      </c>
      <c r="BP317">
        <v>16.600000000000001</v>
      </c>
      <c r="BQ317" t="s">
        <v>902</v>
      </c>
      <c r="DF317" s="15" t="s">
        <v>9308</v>
      </c>
      <c r="DG317" t="s">
        <v>317</v>
      </c>
      <c r="DH317" t="s">
        <v>159</v>
      </c>
      <c r="DI317" t="s">
        <v>159</v>
      </c>
      <c r="DJ317" t="s">
        <v>129</v>
      </c>
      <c r="DK317">
        <v>7450000</v>
      </c>
    </row>
    <row r="318" spans="1:115" x14ac:dyDescent="0.25">
      <c r="A318" t="s">
        <v>1478</v>
      </c>
      <c r="B318" t="s">
        <v>1479</v>
      </c>
      <c r="F318" t="s">
        <v>315</v>
      </c>
      <c r="I318" t="s">
        <v>1480</v>
      </c>
      <c r="N318" t="s">
        <v>1481</v>
      </c>
      <c r="U318" t="s">
        <v>233</v>
      </c>
      <c r="Z318" s="14">
        <v>42828</v>
      </c>
      <c r="AA318" s="14">
        <v>42866</v>
      </c>
      <c r="AD318" s="14">
        <v>44561</v>
      </c>
      <c r="AL318" t="s">
        <v>1110</v>
      </c>
      <c r="AN318">
        <v>120856200</v>
      </c>
      <c r="AR318">
        <v>120856200</v>
      </c>
      <c r="AS318">
        <v>0</v>
      </c>
      <c r="AY318" t="s">
        <v>557</v>
      </c>
      <c r="AZ318" t="s">
        <v>880</v>
      </c>
      <c r="BA318" t="s">
        <v>822</v>
      </c>
      <c r="BB318" t="s">
        <v>823</v>
      </c>
      <c r="BC318" t="s">
        <v>242</v>
      </c>
      <c r="BK318" t="s">
        <v>860</v>
      </c>
      <c r="BM318" t="s">
        <v>861</v>
      </c>
      <c r="BN318" t="s">
        <v>900</v>
      </c>
      <c r="BO318" t="s">
        <v>901</v>
      </c>
      <c r="BP318">
        <v>4.0999999999999996</v>
      </c>
      <c r="BQ318" t="s">
        <v>902</v>
      </c>
      <c r="DF318" s="15" t="s">
        <v>9396</v>
      </c>
      <c r="DG318" t="s">
        <v>170</v>
      </c>
      <c r="DH318" t="s">
        <v>159</v>
      </c>
      <c r="DI318" t="s">
        <v>159</v>
      </c>
      <c r="DJ318" t="s">
        <v>129</v>
      </c>
      <c r="DK318">
        <v>201427</v>
      </c>
    </row>
    <row r="319" spans="1:115" x14ac:dyDescent="0.25">
      <c r="A319" t="s">
        <v>1482</v>
      </c>
      <c r="B319" t="s">
        <v>1483</v>
      </c>
      <c r="F319" t="s">
        <v>526</v>
      </c>
      <c r="I319" t="s">
        <v>1095</v>
      </c>
      <c r="N319" t="s">
        <v>1484</v>
      </c>
      <c r="U319" t="s">
        <v>752</v>
      </c>
      <c r="Z319" s="14">
        <v>42866</v>
      </c>
      <c r="AA319" s="14">
        <v>42978</v>
      </c>
      <c r="AD319" s="14">
        <v>44561</v>
      </c>
      <c r="AL319" t="s">
        <v>1110</v>
      </c>
      <c r="AN319">
        <v>846677400</v>
      </c>
      <c r="AR319">
        <v>846677400</v>
      </c>
      <c r="AS319">
        <v>0</v>
      </c>
      <c r="AY319" t="s">
        <v>557</v>
      </c>
      <c r="AZ319" t="s">
        <v>880</v>
      </c>
      <c r="BA319" t="s">
        <v>822</v>
      </c>
      <c r="BB319" t="s">
        <v>823</v>
      </c>
      <c r="BC319" t="s">
        <v>242</v>
      </c>
      <c r="BK319" t="s">
        <v>860</v>
      </c>
      <c r="BM319" t="s">
        <v>560</v>
      </c>
      <c r="BN319" t="s">
        <v>561</v>
      </c>
      <c r="BO319" t="s">
        <v>1022</v>
      </c>
      <c r="BP319">
        <v>1.3</v>
      </c>
      <c r="BQ319" t="s">
        <v>902</v>
      </c>
      <c r="DF319" s="15" t="s">
        <v>9422</v>
      </c>
      <c r="DG319" t="s">
        <v>126</v>
      </c>
      <c r="DH319" t="s">
        <v>159</v>
      </c>
      <c r="DI319" t="s">
        <v>159</v>
      </c>
      <c r="DJ319" t="s">
        <v>129</v>
      </c>
      <c r="DK319">
        <v>1411129</v>
      </c>
    </row>
    <row r="320" spans="1:115" x14ac:dyDescent="0.25">
      <c r="A320" t="s">
        <v>1485</v>
      </c>
      <c r="B320" t="s">
        <v>1112</v>
      </c>
      <c r="F320" t="s">
        <v>282</v>
      </c>
      <c r="I320" t="s">
        <v>1113</v>
      </c>
      <c r="N320" t="s">
        <v>1486</v>
      </c>
      <c r="U320" t="s">
        <v>233</v>
      </c>
      <c r="Z320" s="14">
        <v>42828</v>
      </c>
      <c r="AA320" s="14">
        <v>42866</v>
      </c>
      <c r="AD320" s="14">
        <v>44561</v>
      </c>
      <c r="AL320" t="s">
        <v>1110</v>
      </c>
      <c r="AN320">
        <v>1397442000</v>
      </c>
      <c r="AR320">
        <v>1397442000</v>
      </c>
      <c r="AS320">
        <v>0</v>
      </c>
      <c r="AY320" t="s">
        <v>557</v>
      </c>
      <c r="AZ320" t="s">
        <v>880</v>
      </c>
      <c r="BA320" t="s">
        <v>822</v>
      </c>
      <c r="BB320" t="s">
        <v>823</v>
      </c>
      <c r="BC320" t="s">
        <v>242</v>
      </c>
      <c r="BK320" t="s">
        <v>860</v>
      </c>
      <c r="BM320" t="s">
        <v>964</v>
      </c>
      <c r="BN320" t="s">
        <v>965</v>
      </c>
      <c r="BO320" t="s">
        <v>939</v>
      </c>
      <c r="BP320">
        <v>11.3</v>
      </c>
      <c r="BQ320" t="s">
        <v>902</v>
      </c>
      <c r="DF320" s="15" t="s">
        <v>9396</v>
      </c>
      <c r="DG320" t="s">
        <v>317</v>
      </c>
      <c r="DH320" t="s">
        <v>159</v>
      </c>
      <c r="DI320" t="s">
        <v>159</v>
      </c>
      <c r="DJ320" t="s">
        <v>129</v>
      </c>
      <c r="DK320">
        <v>2329070</v>
      </c>
    </row>
    <row r="321" spans="1:115" x14ac:dyDescent="0.25">
      <c r="A321" t="s">
        <v>1487</v>
      </c>
      <c r="B321" t="s">
        <v>1488</v>
      </c>
      <c r="F321" t="s">
        <v>315</v>
      </c>
      <c r="I321" t="s">
        <v>1108</v>
      </c>
      <c r="N321" t="s">
        <v>1489</v>
      </c>
      <c r="U321" t="s">
        <v>233</v>
      </c>
      <c r="Z321" s="14">
        <v>42866</v>
      </c>
      <c r="AA321" s="14">
        <v>42992</v>
      </c>
      <c r="AD321" s="14">
        <v>44561</v>
      </c>
      <c r="AL321" t="s">
        <v>1110</v>
      </c>
      <c r="AN321">
        <v>863221800</v>
      </c>
      <c r="AR321">
        <v>863221800</v>
      </c>
      <c r="AS321">
        <v>0</v>
      </c>
      <c r="AY321" t="s">
        <v>557</v>
      </c>
      <c r="AZ321" t="s">
        <v>880</v>
      </c>
      <c r="BA321" t="s">
        <v>822</v>
      </c>
      <c r="BB321" t="s">
        <v>823</v>
      </c>
      <c r="BC321" t="s">
        <v>242</v>
      </c>
      <c r="BK321" t="s">
        <v>860</v>
      </c>
      <c r="BM321" t="s">
        <v>861</v>
      </c>
      <c r="BN321" t="s">
        <v>900</v>
      </c>
      <c r="BO321" t="s">
        <v>901</v>
      </c>
      <c r="BP321">
        <v>4.0999999999999996</v>
      </c>
      <c r="BQ321" t="s">
        <v>902</v>
      </c>
      <c r="DF321" s="15" t="s">
        <v>9396</v>
      </c>
      <c r="DG321" t="s">
        <v>317</v>
      </c>
      <c r="DH321" t="s">
        <v>159</v>
      </c>
      <c r="DI321" t="s">
        <v>159</v>
      </c>
      <c r="DJ321" t="s">
        <v>129</v>
      </c>
      <c r="DK321">
        <v>1438703</v>
      </c>
    </row>
    <row r="322" spans="1:115" x14ac:dyDescent="0.25">
      <c r="A322" t="s">
        <v>1490</v>
      </c>
      <c r="B322" t="s">
        <v>1491</v>
      </c>
      <c r="F322" t="s">
        <v>315</v>
      </c>
      <c r="I322" t="s">
        <v>1492</v>
      </c>
      <c r="N322" t="s">
        <v>1493</v>
      </c>
      <c r="U322" t="s">
        <v>321</v>
      </c>
      <c r="Z322" s="14">
        <v>42866</v>
      </c>
      <c r="AA322" s="14">
        <v>42992</v>
      </c>
      <c r="AD322" s="14">
        <v>44561</v>
      </c>
      <c r="AL322" t="s">
        <v>1110</v>
      </c>
      <c r="AN322">
        <v>1245434400</v>
      </c>
      <c r="AR322">
        <v>1245434400</v>
      </c>
      <c r="AS322">
        <v>0</v>
      </c>
      <c r="AY322" t="s">
        <v>557</v>
      </c>
      <c r="AZ322" t="s">
        <v>880</v>
      </c>
      <c r="BA322" t="s">
        <v>822</v>
      </c>
      <c r="BB322" t="s">
        <v>823</v>
      </c>
      <c r="BC322" t="s">
        <v>242</v>
      </c>
      <c r="BK322" t="s">
        <v>860</v>
      </c>
      <c r="BM322" t="s">
        <v>861</v>
      </c>
      <c r="BN322" t="s">
        <v>900</v>
      </c>
      <c r="BO322" t="s">
        <v>901</v>
      </c>
      <c r="BP322">
        <v>4.0999999999999996</v>
      </c>
      <c r="BQ322" t="s">
        <v>902</v>
      </c>
      <c r="DF322" s="15" t="s">
        <v>9324</v>
      </c>
      <c r="DG322" t="s">
        <v>317</v>
      </c>
      <c r="DH322" t="s">
        <v>159</v>
      </c>
      <c r="DI322" t="s">
        <v>159</v>
      </c>
      <c r="DJ322" t="s">
        <v>129</v>
      </c>
      <c r="DK322">
        <v>2075724</v>
      </c>
    </row>
    <row r="323" spans="1:115" x14ac:dyDescent="0.25">
      <c r="A323" t="s">
        <v>1494</v>
      </c>
      <c r="B323" t="s">
        <v>1495</v>
      </c>
      <c r="F323" t="s">
        <v>190</v>
      </c>
      <c r="I323" t="s">
        <v>974</v>
      </c>
      <c r="N323" t="s">
        <v>1496</v>
      </c>
      <c r="U323" t="s">
        <v>176</v>
      </c>
      <c r="Z323" s="14">
        <v>42755</v>
      </c>
      <c r="AA323" s="14">
        <v>42823</v>
      </c>
      <c r="AD323" s="14">
        <v>43830</v>
      </c>
      <c r="AL323" t="s">
        <v>136</v>
      </c>
      <c r="AN323">
        <v>1200000000</v>
      </c>
      <c r="AR323">
        <v>1200000000</v>
      </c>
      <c r="AS323">
        <v>0</v>
      </c>
      <c r="AY323" t="s">
        <v>557</v>
      </c>
      <c r="AZ323" t="s">
        <v>880</v>
      </c>
      <c r="BA323" t="s">
        <v>1148</v>
      </c>
      <c r="BB323" t="s">
        <v>1148</v>
      </c>
      <c r="BC323" t="s">
        <v>242</v>
      </c>
      <c r="BK323" t="s">
        <v>860</v>
      </c>
      <c r="BM323" t="s">
        <v>861</v>
      </c>
      <c r="BN323" t="s">
        <v>862</v>
      </c>
      <c r="BO323" t="s">
        <v>863</v>
      </c>
      <c r="BP323">
        <v>2.2999999999999998</v>
      </c>
      <c r="BQ323" t="s">
        <v>864</v>
      </c>
      <c r="DF323" s="15" t="s">
        <v>9308</v>
      </c>
      <c r="DG323" t="s">
        <v>126</v>
      </c>
      <c r="DH323" t="s">
        <v>159</v>
      </c>
      <c r="DI323" t="s">
        <v>159</v>
      </c>
      <c r="DJ323" t="s">
        <v>172</v>
      </c>
      <c r="DK323">
        <v>1200000000</v>
      </c>
    </row>
    <row r="324" spans="1:115" x14ac:dyDescent="0.25">
      <c r="A324" t="s">
        <v>1497</v>
      </c>
      <c r="B324" t="s">
        <v>1498</v>
      </c>
      <c r="F324" t="s">
        <v>263</v>
      </c>
      <c r="I324" t="s">
        <v>555</v>
      </c>
      <c r="N324" t="s">
        <v>1499</v>
      </c>
      <c r="U324" t="s">
        <v>645</v>
      </c>
      <c r="V324" t="s">
        <v>891</v>
      </c>
      <c r="Z324" s="14">
        <v>42755</v>
      </c>
      <c r="AA324" s="14">
        <v>42823</v>
      </c>
      <c r="AD324" s="14">
        <v>44196</v>
      </c>
      <c r="AL324" t="s">
        <v>136</v>
      </c>
      <c r="AN324">
        <v>5300000000</v>
      </c>
      <c r="AR324">
        <v>5300000000</v>
      </c>
      <c r="AS324">
        <v>0</v>
      </c>
      <c r="AY324" t="s">
        <v>557</v>
      </c>
      <c r="AZ324" t="s">
        <v>880</v>
      </c>
      <c r="BA324" t="s">
        <v>1148</v>
      </c>
      <c r="BB324" t="s">
        <v>1148</v>
      </c>
      <c r="BC324" t="s">
        <v>242</v>
      </c>
      <c r="BK324" t="s">
        <v>860</v>
      </c>
      <c r="BM324" t="s">
        <v>560</v>
      </c>
      <c r="BN324" t="s">
        <v>561</v>
      </c>
      <c r="BO324" t="s">
        <v>562</v>
      </c>
      <c r="BP324">
        <v>6.1</v>
      </c>
      <c r="BQ324" t="s">
        <v>563</v>
      </c>
      <c r="DF324" s="15" t="s">
        <v>9380</v>
      </c>
      <c r="DG324" t="s">
        <v>126</v>
      </c>
      <c r="DH324" t="s">
        <v>159</v>
      </c>
      <c r="DI324" t="s">
        <v>159</v>
      </c>
      <c r="DJ324" t="s">
        <v>172</v>
      </c>
      <c r="DK324">
        <v>5300000000</v>
      </c>
    </row>
    <row r="325" spans="1:115" x14ac:dyDescent="0.25">
      <c r="A325" t="s">
        <v>1500</v>
      </c>
      <c r="B325" t="s">
        <v>1501</v>
      </c>
      <c r="F325" t="s">
        <v>315</v>
      </c>
      <c r="I325" t="s">
        <v>1146</v>
      </c>
      <c r="N325" t="s">
        <v>1502</v>
      </c>
      <c r="U325" t="s">
        <v>1360</v>
      </c>
      <c r="V325" t="s">
        <v>1361</v>
      </c>
      <c r="Z325" s="14">
        <v>42755</v>
      </c>
      <c r="AA325" s="14">
        <v>42823</v>
      </c>
      <c r="AD325" s="14">
        <v>43830</v>
      </c>
      <c r="AL325" t="s">
        <v>136</v>
      </c>
      <c r="AN325">
        <v>97035719</v>
      </c>
      <c r="AR325">
        <v>97035719</v>
      </c>
      <c r="AS325">
        <v>0</v>
      </c>
      <c r="AY325" t="s">
        <v>557</v>
      </c>
      <c r="AZ325" t="s">
        <v>880</v>
      </c>
      <c r="BA325" t="s">
        <v>1148</v>
      </c>
      <c r="BB325" t="s">
        <v>1148</v>
      </c>
      <c r="BC325" t="s">
        <v>242</v>
      </c>
      <c r="BK325" t="s">
        <v>860</v>
      </c>
      <c r="BM325" t="s">
        <v>861</v>
      </c>
      <c r="BN325" t="s">
        <v>900</v>
      </c>
      <c r="BO325" t="s">
        <v>901</v>
      </c>
      <c r="BP325">
        <v>4.0999999999999996</v>
      </c>
      <c r="BQ325" t="s">
        <v>902</v>
      </c>
      <c r="DF325" s="15" t="s">
        <v>9417</v>
      </c>
      <c r="DG325" t="s">
        <v>126</v>
      </c>
      <c r="DH325" t="s">
        <v>159</v>
      </c>
      <c r="DI325" t="s">
        <v>159</v>
      </c>
      <c r="DJ325" t="s">
        <v>172</v>
      </c>
      <c r="DK325">
        <v>97035719</v>
      </c>
    </row>
    <row r="326" spans="1:115" x14ac:dyDescent="0.25">
      <c r="A326" t="s">
        <v>1503</v>
      </c>
      <c r="B326" t="s">
        <v>1504</v>
      </c>
      <c r="F326" t="s">
        <v>190</v>
      </c>
      <c r="I326" t="s">
        <v>974</v>
      </c>
      <c r="N326" t="s">
        <v>1505</v>
      </c>
      <c r="U326" t="s">
        <v>176</v>
      </c>
      <c r="Z326" s="14">
        <v>42823</v>
      </c>
      <c r="AA326" s="14">
        <v>43055</v>
      </c>
      <c r="AD326" s="14">
        <v>44196</v>
      </c>
      <c r="AL326" t="s">
        <v>136</v>
      </c>
      <c r="AN326">
        <v>1750000000</v>
      </c>
      <c r="AR326">
        <v>1750000000</v>
      </c>
      <c r="AS326">
        <v>0</v>
      </c>
      <c r="AY326" t="s">
        <v>557</v>
      </c>
      <c r="AZ326" t="s">
        <v>880</v>
      </c>
      <c r="BA326" t="s">
        <v>1148</v>
      </c>
      <c r="BB326" t="s">
        <v>1148</v>
      </c>
      <c r="BC326" t="s">
        <v>242</v>
      </c>
      <c r="BK326" t="s">
        <v>860</v>
      </c>
      <c r="BM326" t="s">
        <v>861</v>
      </c>
      <c r="BN326" t="s">
        <v>862</v>
      </c>
      <c r="BO326" t="s">
        <v>863</v>
      </c>
      <c r="BP326">
        <v>2.2999999999999998</v>
      </c>
      <c r="BQ326" t="s">
        <v>864</v>
      </c>
      <c r="DF326" s="15" t="s">
        <v>9308</v>
      </c>
      <c r="DG326" t="s">
        <v>126</v>
      </c>
      <c r="DH326" t="s">
        <v>159</v>
      </c>
      <c r="DI326" t="s">
        <v>159</v>
      </c>
      <c r="DJ326" t="s">
        <v>172</v>
      </c>
      <c r="DK326">
        <v>1750000000</v>
      </c>
    </row>
    <row r="327" spans="1:115" x14ac:dyDescent="0.25">
      <c r="A327" t="s">
        <v>1506</v>
      </c>
      <c r="B327" t="s">
        <v>1507</v>
      </c>
      <c r="F327" t="s">
        <v>1344</v>
      </c>
      <c r="I327" t="s">
        <v>1508</v>
      </c>
      <c r="N327" t="s">
        <v>1509</v>
      </c>
      <c r="U327" t="s">
        <v>660</v>
      </c>
      <c r="V327" t="s">
        <v>1510</v>
      </c>
      <c r="W327" t="s">
        <v>1511</v>
      </c>
      <c r="Z327" s="14">
        <v>42823</v>
      </c>
      <c r="AA327" s="14">
        <v>42978</v>
      </c>
      <c r="AD327" s="14">
        <v>43830</v>
      </c>
      <c r="AL327" t="s">
        <v>136</v>
      </c>
      <c r="AN327">
        <v>303855000</v>
      </c>
      <c r="AR327">
        <v>303855000</v>
      </c>
      <c r="AS327">
        <v>0</v>
      </c>
      <c r="AY327" t="s">
        <v>557</v>
      </c>
      <c r="AZ327" t="s">
        <v>880</v>
      </c>
      <c r="BA327" t="s">
        <v>1148</v>
      </c>
      <c r="BB327" t="s">
        <v>1148</v>
      </c>
      <c r="BC327" t="s">
        <v>242</v>
      </c>
      <c r="BK327" t="s">
        <v>860</v>
      </c>
      <c r="BM327" t="s">
        <v>964</v>
      </c>
      <c r="BN327" t="s">
        <v>965</v>
      </c>
      <c r="BO327" t="s">
        <v>1036</v>
      </c>
      <c r="BP327">
        <v>16.600000000000001</v>
      </c>
      <c r="BQ327" t="s">
        <v>902</v>
      </c>
      <c r="DF327" s="15" t="s">
        <v>9423</v>
      </c>
      <c r="DG327" t="s">
        <v>126</v>
      </c>
      <c r="DH327" t="s">
        <v>159</v>
      </c>
      <c r="DI327" t="s">
        <v>159</v>
      </c>
      <c r="DJ327" t="s">
        <v>172</v>
      </c>
      <c r="DK327">
        <v>303855000</v>
      </c>
    </row>
    <row r="328" spans="1:115" x14ac:dyDescent="0.25">
      <c r="A328" t="s">
        <v>1512</v>
      </c>
      <c r="B328" t="s">
        <v>1513</v>
      </c>
      <c r="F328" t="s">
        <v>190</v>
      </c>
      <c r="I328" t="s">
        <v>974</v>
      </c>
      <c r="N328" t="s">
        <v>1514</v>
      </c>
      <c r="U328" t="s">
        <v>233</v>
      </c>
      <c r="Z328" s="14">
        <v>42832</v>
      </c>
      <c r="AA328" s="14">
        <v>42866</v>
      </c>
      <c r="AD328" s="14">
        <v>44926</v>
      </c>
      <c r="AL328" t="s">
        <v>624</v>
      </c>
      <c r="AN328">
        <v>1967870998</v>
      </c>
      <c r="AR328">
        <v>0</v>
      </c>
      <c r="AS328">
        <v>1967870998</v>
      </c>
      <c r="AY328" t="s">
        <v>557</v>
      </c>
      <c r="AZ328" t="s">
        <v>558</v>
      </c>
      <c r="BA328" t="s">
        <v>1515</v>
      </c>
      <c r="BB328" t="s">
        <v>1516</v>
      </c>
      <c r="BC328" t="s">
        <v>242</v>
      </c>
      <c r="BK328" t="s">
        <v>860</v>
      </c>
      <c r="BM328" t="s">
        <v>861</v>
      </c>
      <c r="BN328" t="s">
        <v>862</v>
      </c>
      <c r="BO328" t="s">
        <v>863</v>
      </c>
      <c r="BP328">
        <v>2.2999999999999998</v>
      </c>
      <c r="BQ328" t="s">
        <v>864</v>
      </c>
      <c r="DF328" s="15" t="s">
        <v>9396</v>
      </c>
      <c r="DG328" t="s">
        <v>126</v>
      </c>
      <c r="DH328" t="s">
        <v>127</v>
      </c>
      <c r="DI328" t="s">
        <v>150</v>
      </c>
      <c r="DJ328" t="s">
        <v>326</v>
      </c>
      <c r="DK328">
        <v>3577947.27</v>
      </c>
    </row>
    <row r="329" spans="1:115" x14ac:dyDescent="0.25">
      <c r="A329" t="s">
        <v>1517</v>
      </c>
      <c r="B329" t="s">
        <v>1518</v>
      </c>
      <c r="F329" t="s">
        <v>315</v>
      </c>
      <c r="I329" t="s">
        <v>1519</v>
      </c>
      <c r="N329" t="s">
        <v>1520</v>
      </c>
      <c r="U329" t="s">
        <v>1521</v>
      </c>
      <c r="V329" t="s">
        <v>1522</v>
      </c>
      <c r="Z329" s="14">
        <v>42832</v>
      </c>
      <c r="AA329" s="14">
        <v>42866</v>
      </c>
      <c r="AD329" s="14">
        <v>45291</v>
      </c>
      <c r="AL329" t="s">
        <v>624</v>
      </c>
      <c r="AN329">
        <v>11151269002</v>
      </c>
      <c r="AR329">
        <v>0</v>
      </c>
      <c r="AS329">
        <v>11151269002</v>
      </c>
      <c r="AY329" t="s">
        <v>557</v>
      </c>
      <c r="AZ329" t="s">
        <v>558</v>
      </c>
      <c r="BA329" t="s">
        <v>1515</v>
      </c>
      <c r="BB329" t="s">
        <v>1516</v>
      </c>
      <c r="BC329" t="s">
        <v>242</v>
      </c>
      <c r="BK329" t="s">
        <v>860</v>
      </c>
      <c r="BM329" t="s">
        <v>861</v>
      </c>
      <c r="BN329" t="s">
        <v>900</v>
      </c>
      <c r="BO329" t="s">
        <v>901</v>
      </c>
      <c r="BP329">
        <v>4.0999999999999996</v>
      </c>
      <c r="BQ329" t="s">
        <v>902</v>
      </c>
      <c r="DF329" s="15" t="s">
        <v>9424</v>
      </c>
      <c r="DG329" t="s">
        <v>126</v>
      </c>
      <c r="DH329" t="s">
        <v>127</v>
      </c>
      <c r="DI329" t="s">
        <v>150</v>
      </c>
      <c r="DJ329" t="s">
        <v>326</v>
      </c>
      <c r="DK329">
        <v>20275034.550000001</v>
      </c>
    </row>
    <row r="330" spans="1:115" x14ac:dyDescent="0.25">
      <c r="A330" t="s">
        <v>1523</v>
      </c>
      <c r="B330" t="s">
        <v>1524</v>
      </c>
      <c r="F330" t="s">
        <v>315</v>
      </c>
      <c r="I330" t="s">
        <v>1519</v>
      </c>
      <c r="N330" t="s">
        <v>1525</v>
      </c>
      <c r="U330" t="s">
        <v>1521</v>
      </c>
      <c r="V330" t="s">
        <v>1522</v>
      </c>
      <c r="Z330" s="14">
        <v>42866</v>
      </c>
      <c r="AA330" s="14">
        <v>43090</v>
      </c>
      <c r="AD330" s="14">
        <v>45291</v>
      </c>
      <c r="AL330" t="s">
        <v>624</v>
      </c>
      <c r="AN330">
        <v>7649442554</v>
      </c>
      <c r="AR330">
        <v>7649442554</v>
      </c>
      <c r="AS330">
        <v>0</v>
      </c>
      <c r="AY330" t="s">
        <v>557</v>
      </c>
      <c r="AZ330" t="s">
        <v>880</v>
      </c>
      <c r="BA330" t="s">
        <v>1515</v>
      </c>
      <c r="BB330" t="s">
        <v>1516</v>
      </c>
      <c r="BC330" t="s">
        <v>242</v>
      </c>
      <c r="BK330" t="s">
        <v>860</v>
      </c>
      <c r="BM330" t="s">
        <v>861</v>
      </c>
      <c r="BN330" t="s">
        <v>900</v>
      </c>
      <c r="BO330" t="s">
        <v>901</v>
      </c>
      <c r="BP330">
        <v>4.0999999999999996</v>
      </c>
      <c r="BQ330" t="s">
        <v>902</v>
      </c>
      <c r="DF330" s="15" t="s">
        <v>9424</v>
      </c>
      <c r="DG330" t="s">
        <v>126</v>
      </c>
      <c r="DH330" t="s">
        <v>159</v>
      </c>
      <c r="DI330" t="s">
        <v>159</v>
      </c>
      <c r="DJ330" t="s">
        <v>326</v>
      </c>
      <c r="DK330">
        <v>13908077.369999999</v>
      </c>
    </row>
    <row r="331" spans="1:115" x14ac:dyDescent="0.25">
      <c r="A331" t="s">
        <v>1526</v>
      </c>
      <c r="B331" t="s">
        <v>1527</v>
      </c>
      <c r="F331" t="s">
        <v>190</v>
      </c>
      <c r="I331" t="s">
        <v>1311</v>
      </c>
      <c r="N331" t="s">
        <v>1528</v>
      </c>
      <c r="U331" t="s">
        <v>1529</v>
      </c>
      <c r="V331" t="s">
        <v>1530</v>
      </c>
      <c r="Z331" s="14">
        <v>42866</v>
      </c>
      <c r="AA331" s="14">
        <v>42736</v>
      </c>
      <c r="AD331" s="14">
        <v>44196</v>
      </c>
      <c r="AL331" t="s">
        <v>624</v>
      </c>
      <c r="AN331">
        <v>186450000</v>
      </c>
      <c r="AR331">
        <v>186450000</v>
      </c>
      <c r="AS331">
        <v>0</v>
      </c>
      <c r="AY331" t="s">
        <v>557</v>
      </c>
      <c r="AZ331" t="s">
        <v>880</v>
      </c>
      <c r="BA331" t="s">
        <v>1010</v>
      </c>
      <c r="BB331" t="s">
        <v>1011</v>
      </c>
      <c r="BC331" t="s">
        <v>125</v>
      </c>
      <c r="BK331" t="s">
        <v>860</v>
      </c>
      <c r="BM331" t="s">
        <v>861</v>
      </c>
      <c r="BN331" t="s">
        <v>862</v>
      </c>
      <c r="BO331" t="s">
        <v>863</v>
      </c>
      <c r="BP331">
        <v>2.2999999999999998</v>
      </c>
      <c r="BQ331" t="s">
        <v>864</v>
      </c>
      <c r="DF331" s="15" t="s">
        <v>9425</v>
      </c>
      <c r="DG331" t="s">
        <v>126</v>
      </c>
      <c r="DH331" t="s">
        <v>159</v>
      </c>
      <c r="DI331" t="s">
        <v>159</v>
      </c>
      <c r="DJ331" t="s">
        <v>172</v>
      </c>
      <c r="DK331">
        <v>339000</v>
      </c>
    </row>
    <row r="332" spans="1:115" x14ac:dyDescent="0.25">
      <c r="A332" t="s">
        <v>1531</v>
      </c>
      <c r="B332" t="s">
        <v>1532</v>
      </c>
      <c r="F332" t="s">
        <v>315</v>
      </c>
      <c r="I332" t="s">
        <v>1108</v>
      </c>
      <c r="N332" t="s">
        <v>1533</v>
      </c>
      <c r="U332" t="s">
        <v>176</v>
      </c>
      <c r="Z332" s="14">
        <v>42866</v>
      </c>
      <c r="AA332" s="14">
        <v>43049</v>
      </c>
      <c r="AD332" s="14">
        <v>44196</v>
      </c>
      <c r="AL332" t="s">
        <v>624</v>
      </c>
      <c r="AN332">
        <v>1746627080</v>
      </c>
      <c r="AR332">
        <v>1746627080</v>
      </c>
      <c r="AS332">
        <v>0</v>
      </c>
      <c r="AY332" t="s">
        <v>557</v>
      </c>
      <c r="AZ332" t="s">
        <v>880</v>
      </c>
      <c r="BA332" t="s">
        <v>1010</v>
      </c>
      <c r="BB332" t="s">
        <v>1011</v>
      </c>
      <c r="BC332" t="s">
        <v>125</v>
      </c>
      <c r="BK332" t="s">
        <v>860</v>
      </c>
      <c r="BM332" t="s">
        <v>861</v>
      </c>
      <c r="BN332" t="s">
        <v>900</v>
      </c>
      <c r="BO332" t="s">
        <v>901</v>
      </c>
      <c r="BP332">
        <v>4.0999999999999996</v>
      </c>
      <c r="BQ332" t="s">
        <v>902</v>
      </c>
      <c r="DF332" s="15" t="s">
        <v>9308</v>
      </c>
      <c r="DG332" t="s">
        <v>317</v>
      </c>
      <c r="DH332" t="s">
        <v>159</v>
      </c>
      <c r="DI332" t="s">
        <v>159</v>
      </c>
      <c r="DJ332" t="s">
        <v>172</v>
      </c>
      <c r="DK332">
        <v>3175685.6</v>
      </c>
    </row>
    <row r="333" spans="1:115" x14ac:dyDescent="0.25">
      <c r="A333" t="s">
        <v>1534</v>
      </c>
      <c r="B333" t="s">
        <v>1535</v>
      </c>
      <c r="F333" t="s">
        <v>216</v>
      </c>
      <c r="I333" t="s">
        <v>992</v>
      </c>
      <c r="N333" t="s">
        <v>1536</v>
      </c>
      <c r="U333" t="s">
        <v>176</v>
      </c>
      <c r="Z333" s="14">
        <v>42866</v>
      </c>
      <c r="AA333" s="14">
        <v>43056</v>
      </c>
      <c r="AD333" s="14">
        <v>44196</v>
      </c>
      <c r="AL333" t="s">
        <v>624</v>
      </c>
      <c r="AN333">
        <v>4831720416</v>
      </c>
      <c r="AR333">
        <v>4831720416</v>
      </c>
      <c r="AS333">
        <v>0</v>
      </c>
      <c r="AY333" t="s">
        <v>557</v>
      </c>
      <c r="AZ333" t="s">
        <v>880</v>
      </c>
      <c r="BA333" t="s">
        <v>1010</v>
      </c>
      <c r="BB333" t="s">
        <v>1011</v>
      </c>
      <c r="BC333" t="s">
        <v>125</v>
      </c>
      <c r="BK333" t="s">
        <v>860</v>
      </c>
      <c r="BM333" t="s">
        <v>560</v>
      </c>
      <c r="BN333" t="s">
        <v>561</v>
      </c>
      <c r="BO333" t="s">
        <v>989</v>
      </c>
      <c r="BP333">
        <v>3.8</v>
      </c>
      <c r="BQ333" t="s">
        <v>902</v>
      </c>
      <c r="DF333" s="15" t="s">
        <v>9308</v>
      </c>
      <c r="DG333" t="s">
        <v>317</v>
      </c>
      <c r="DH333" t="s">
        <v>159</v>
      </c>
      <c r="DI333" t="s">
        <v>159</v>
      </c>
      <c r="DJ333" t="s">
        <v>172</v>
      </c>
      <c r="DK333">
        <v>8784946.2100000009</v>
      </c>
    </row>
    <row r="334" spans="1:115" x14ac:dyDescent="0.25">
      <c r="A334" t="s">
        <v>1537</v>
      </c>
      <c r="B334" t="s">
        <v>1116</v>
      </c>
      <c r="F334" t="s">
        <v>163</v>
      </c>
      <c r="I334" t="s">
        <v>962</v>
      </c>
      <c r="N334" t="s">
        <v>1538</v>
      </c>
      <c r="U334" t="s">
        <v>165</v>
      </c>
      <c r="V334" t="s">
        <v>166</v>
      </c>
      <c r="Z334" s="14">
        <v>42866</v>
      </c>
      <c r="AA334" s="14">
        <v>43081</v>
      </c>
      <c r="AD334" s="14">
        <v>44561</v>
      </c>
      <c r="AL334" t="s">
        <v>624</v>
      </c>
      <c r="AN334">
        <v>120666150</v>
      </c>
      <c r="AR334">
        <v>120666150</v>
      </c>
      <c r="AS334">
        <v>0</v>
      </c>
      <c r="AY334" t="s">
        <v>557</v>
      </c>
      <c r="AZ334" t="s">
        <v>880</v>
      </c>
      <c r="BA334" t="s">
        <v>1010</v>
      </c>
      <c r="BB334" t="s">
        <v>1011</v>
      </c>
      <c r="BC334" t="s">
        <v>125</v>
      </c>
      <c r="BK334" t="s">
        <v>860</v>
      </c>
      <c r="BM334" t="s">
        <v>964</v>
      </c>
      <c r="BN334" t="s">
        <v>1035</v>
      </c>
      <c r="BO334" t="s">
        <v>1036</v>
      </c>
      <c r="BP334">
        <v>16.600000000000001</v>
      </c>
      <c r="BQ334" t="s">
        <v>902</v>
      </c>
      <c r="DF334" s="15" t="s">
        <v>9307</v>
      </c>
      <c r="DG334" t="s">
        <v>126</v>
      </c>
      <c r="DH334" t="s">
        <v>159</v>
      </c>
      <c r="DI334" t="s">
        <v>159</v>
      </c>
      <c r="DJ334" t="s">
        <v>172</v>
      </c>
      <c r="DK334">
        <v>219393</v>
      </c>
    </row>
    <row r="335" spans="1:115" x14ac:dyDescent="0.25">
      <c r="A335" t="s">
        <v>1539</v>
      </c>
      <c r="B335" t="s">
        <v>1540</v>
      </c>
      <c r="F335" t="s">
        <v>1344</v>
      </c>
      <c r="I335" t="s">
        <v>1541</v>
      </c>
      <c r="N335" t="s">
        <v>1542</v>
      </c>
      <c r="U335" t="s">
        <v>176</v>
      </c>
      <c r="Z335" s="14">
        <v>42774</v>
      </c>
      <c r="AA335" s="14">
        <v>42866</v>
      </c>
      <c r="AD335" s="14">
        <v>44196</v>
      </c>
      <c r="AL335" t="s">
        <v>624</v>
      </c>
      <c r="AN335">
        <v>550000000</v>
      </c>
      <c r="AR335">
        <v>550000000</v>
      </c>
      <c r="AS335">
        <v>0</v>
      </c>
      <c r="AY335" t="s">
        <v>557</v>
      </c>
      <c r="AZ335" t="s">
        <v>880</v>
      </c>
      <c r="BA335" t="s">
        <v>1010</v>
      </c>
      <c r="BB335" t="s">
        <v>1011</v>
      </c>
      <c r="BC335" t="s">
        <v>125</v>
      </c>
      <c r="BK335" t="s">
        <v>860</v>
      </c>
      <c r="BM335" t="s">
        <v>964</v>
      </c>
      <c r="BN335" t="s">
        <v>965</v>
      </c>
      <c r="BO335" t="s">
        <v>1036</v>
      </c>
      <c r="BP335">
        <v>16.600000000000001</v>
      </c>
      <c r="BQ335" t="s">
        <v>902</v>
      </c>
      <c r="DF335" s="15" t="s">
        <v>9308</v>
      </c>
      <c r="DG335" t="s">
        <v>170</v>
      </c>
      <c r="DH335" t="s">
        <v>159</v>
      </c>
      <c r="DI335" t="s">
        <v>159</v>
      </c>
      <c r="DJ335" t="s">
        <v>172</v>
      </c>
      <c r="DK335">
        <v>1000000</v>
      </c>
    </row>
    <row r="336" spans="1:115" x14ac:dyDescent="0.25">
      <c r="A336" t="s">
        <v>1543</v>
      </c>
      <c r="B336" t="s">
        <v>1544</v>
      </c>
      <c r="F336" t="s">
        <v>216</v>
      </c>
      <c r="I336" t="s">
        <v>1064</v>
      </c>
      <c r="N336" t="s">
        <v>1545</v>
      </c>
      <c r="U336" t="s">
        <v>176</v>
      </c>
      <c r="Z336" s="14">
        <v>42750</v>
      </c>
      <c r="AA336" s="14">
        <v>42866</v>
      </c>
      <c r="AD336" s="14">
        <v>43830</v>
      </c>
      <c r="AL336" t="s">
        <v>624</v>
      </c>
      <c r="AN336">
        <v>18315000</v>
      </c>
      <c r="AR336">
        <v>18315000</v>
      </c>
      <c r="AS336">
        <v>0</v>
      </c>
      <c r="AY336" t="s">
        <v>557</v>
      </c>
      <c r="AZ336" t="s">
        <v>880</v>
      </c>
      <c r="BA336" t="s">
        <v>1184</v>
      </c>
      <c r="BB336" t="s">
        <v>1184</v>
      </c>
      <c r="BC336" t="s">
        <v>242</v>
      </c>
      <c r="BK336" t="s">
        <v>860</v>
      </c>
      <c r="BM336" t="s">
        <v>560</v>
      </c>
      <c r="BN336" t="s">
        <v>561</v>
      </c>
      <c r="BO336" t="s">
        <v>989</v>
      </c>
      <c r="BP336">
        <v>3.8</v>
      </c>
      <c r="BQ336" t="s">
        <v>902</v>
      </c>
      <c r="DF336" s="15" t="s">
        <v>9308</v>
      </c>
      <c r="DG336" t="s">
        <v>126</v>
      </c>
      <c r="DH336" t="s">
        <v>159</v>
      </c>
      <c r="DI336" t="s">
        <v>159</v>
      </c>
      <c r="DJ336" t="s">
        <v>172</v>
      </c>
      <c r="DK336">
        <v>33300</v>
      </c>
    </row>
    <row r="337" spans="1:115" x14ac:dyDescent="0.25">
      <c r="A337" t="s">
        <v>1546</v>
      </c>
      <c r="B337" t="s">
        <v>1547</v>
      </c>
      <c r="F337" t="s">
        <v>369</v>
      </c>
      <c r="I337" t="s">
        <v>1087</v>
      </c>
      <c r="N337" t="s">
        <v>1548</v>
      </c>
      <c r="U337" t="s">
        <v>165</v>
      </c>
      <c r="V337" t="s">
        <v>166</v>
      </c>
      <c r="Z337" s="14">
        <v>42750</v>
      </c>
      <c r="AA337" s="14">
        <v>42866</v>
      </c>
      <c r="AD337" s="14">
        <v>43830</v>
      </c>
      <c r="AL337" t="s">
        <v>624</v>
      </c>
      <c r="AN337">
        <v>6908550</v>
      </c>
      <c r="AR337">
        <v>6908550</v>
      </c>
      <c r="AS337">
        <v>0</v>
      </c>
      <c r="AY337" t="s">
        <v>557</v>
      </c>
      <c r="AZ337" t="s">
        <v>880</v>
      </c>
      <c r="BA337" t="s">
        <v>1184</v>
      </c>
      <c r="BB337" t="s">
        <v>1184</v>
      </c>
      <c r="BC337" t="s">
        <v>242</v>
      </c>
      <c r="BK337" t="s">
        <v>860</v>
      </c>
      <c r="BM337" t="s">
        <v>861</v>
      </c>
      <c r="BN337" t="s">
        <v>862</v>
      </c>
      <c r="BO337" t="s">
        <v>971</v>
      </c>
      <c r="BP337">
        <v>9.1</v>
      </c>
      <c r="BQ337" t="s">
        <v>864</v>
      </c>
      <c r="DF337" s="15" t="s">
        <v>9307</v>
      </c>
      <c r="DG337" t="s">
        <v>126</v>
      </c>
      <c r="DH337" t="s">
        <v>159</v>
      </c>
      <c r="DI337" t="s">
        <v>159</v>
      </c>
      <c r="DJ337" t="s">
        <v>172</v>
      </c>
      <c r="DK337">
        <v>12561</v>
      </c>
    </row>
    <row r="338" spans="1:115" x14ac:dyDescent="0.25">
      <c r="A338" t="s">
        <v>1549</v>
      </c>
      <c r="B338" t="s">
        <v>1119</v>
      </c>
      <c r="F338" t="s">
        <v>216</v>
      </c>
      <c r="I338" t="s">
        <v>1103</v>
      </c>
      <c r="N338" t="s">
        <v>1550</v>
      </c>
      <c r="U338" t="s">
        <v>176</v>
      </c>
      <c r="Z338" s="14">
        <v>42866</v>
      </c>
      <c r="AA338" s="14">
        <v>42795</v>
      </c>
      <c r="AD338" s="14">
        <v>44469</v>
      </c>
      <c r="AL338" t="s">
        <v>624</v>
      </c>
      <c r="AN338">
        <v>504724000</v>
      </c>
      <c r="AR338">
        <v>504724000</v>
      </c>
      <c r="AS338">
        <v>0</v>
      </c>
      <c r="AY338" t="s">
        <v>557</v>
      </c>
      <c r="AZ338" t="s">
        <v>880</v>
      </c>
      <c r="BA338" t="s">
        <v>1020</v>
      </c>
      <c r="BB338" t="s">
        <v>1021</v>
      </c>
      <c r="BC338" t="s">
        <v>242</v>
      </c>
      <c r="BK338" t="s">
        <v>860</v>
      </c>
      <c r="BM338" t="s">
        <v>560</v>
      </c>
      <c r="BN338" t="s">
        <v>561</v>
      </c>
      <c r="BO338" t="s">
        <v>989</v>
      </c>
      <c r="BP338">
        <v>3.8</v>
      </c>
      <c r="BQ338" t="s">
        <v>902</v>
      </c>
      <c r="DF338" s="15" t="s">
        <v>9308</v>
      </c>
      <c r="DG338" t="s">
        <v>126</v>
      </c>
      <c r="DH338" t="s">
        <v>159</v>
      </c>
      <c r="DI338" t="s">
        <v>159</v>
      </c>
      <c r="DJ338" t="s">
        <v>172</v>
      </c>
      <c r="DK338">
        <v>917680</v>
      </c>
    </row>
    <row r="339" spans="1:115" x14ac:dyDescent="0.25">
      <c r="A339" t="s">
        <v>1551</v>
      </c>
      <c r="B339" t="s">
        <v>1552</v>
      </c>
      <c r="F339" t="s">
        <v>216</v>
      </c>
      <c r="I339" t="s">
        <v>1064</v>
      </c>
      <c r="N339" t="s">
        <v>1553</v>
      </c>
      <c r="U339" t="s">
        <v>176</v>
      </c>
      <c r="Z339" s="14">
        <v>42866</v>
      </c>
      <c r="AA339" s="14">
        <v>43090</v>
      </c>
      <c r="AD339" s="14">
        <v>43465</v>
      </c>
      <c r="AL339" t="s">
        <v>624</v>
      </c>
      <c r="AN339">
        <v>1507656700</v>
      </c>
      <c r="AR339">
        <v>1507656700</v>
      </c>
      <c r="AS339">
        <v>0</v>
      </c>
      <c r="AY339" t="s">
        <v>557</v>
      </c>
      <c r="AZ339" t="s">
        <v>880</v>
      </c>
      <c r="BA339" t="s">
        <v>1020</v>
      </c>
      <c r="BB339" t="s">
        <v>1021</v>
      </c>
      <c r="BC339" t="s">
        <v>242</v>
      </c>
      <c r="BK339" t="s">
        <v>860</v>
      </c>
      <c r="BM339" t="s">
        <v>560</v>
      </c>
      <c r="BN339" t="s">
        <v>561</v>
      </c>
      <c r="BO339" t="s">
        <v>989</v>
      </c>
      <c r="BP339">
        <v>3.8</v>
      </c>
      <c r="BQ339" t="s">
        <v>902</v>
      </c>
      <c r="DF339" s="15" t="s">
        <v>9308</v>
      </c>
      <c r="DG339" t="s">
        <v>126</v>
      </c>
      <c r="DH339" t="s">
        <v>159</v>
      </c>
      <c r="DI339" t="s">
        <v>159</v>
      </c>
      <c r="DJ339" t="s">
        <v>172</v>
      </c>
      <c r="DK339">
        <v>2741194</v>
      </c>
    </row>
    <row r="340" spans="1:115" x14ac:dyDescent="0.25">
      <c r="A340" t="s">
        <v>1554</v>
      </c>
      <c r="B340" t="s">
        <v>1555</v>
      </c>
      <c r="F340" t="s">
        <v>526</v>
      </c>
      <c r="I340" t="s">
        <v>1095</v>
      </c>
      <c r="N340" t="s">
        <v>1556</v>
      </c>
      <c r="U340" t="s">
        <v>176</v>
      </c>
      <c r="Z340" s="14">
        <v>42866</v>
      </c>
      <c r="AA340" s="14">
        <v>42929</v>
      </c>
      <c r="AD340" s="14">
        <v>44104</v>
      </c>
      <c r="AL340" t="s">
        <v>624</v>
      </c>
      <c r="AN340">
        <v>143550000</v>
      </c>
      <c r="AR340">
        <v>143550000</v>
      </c>
      <c r="AS340">
        <v>0</v>
      </c>
      <c r="AY340" t="s">
        <v>557</v>
      </c>
      <c r="AZ340" t="s">
        <v>880</v>
      </c>
      <c r="BA340" t="s">
        <v>1020</v>
      </c>
      <c r="BB340" t="s">
        <v>1021</v>
      </c>
      <c r="BC340" t="s">
        <v>242</v>
      </c>
      <c r="BK340" t="s">
        <v>860</v>
      </c>
      <c r="BM340" t="s">
        <v>560</v>
      </c>
      <c r="BN340" t="s">
        <v>561</v>
      </c>
      <c r="BO340" t="s">
        <v>1022</v>
      </c>
      <c r="BP340">
        <v>1.3</v>
      </c>
      <c r="BQ340" t="s">
        <v>902</v>
      </c>
      <c r="DF340" s="15" t="s">
        <v>9308</v>
      </c>
      <c r="DG340" t="s">
        <v>126</v>
      </c>
      <c r="DH340" t="s">
        <v>159</v>
      </c>
      <c r="DI340" t="s">
        <v>159</v>
      </c>
      <c r="DJ340" t="s">
        <v>172</v>
      </c>
      <c r="DK340">
        <v>261000</v>
      </c>
    </row>
    <row r="341" spans="1:115" x14ac:dyDescent="0.25">
      <c r="A341" t="s">
        <v>1557</v>
      </c>
      <c r="B341" t="s">
        <v>1558</v>
      </c>
      <c r="F341" t="s">
        <v>216</v>
      </c>
      <c r="I341" t="s">
        <v>1559</v>
      </c>
      <c r="N341" t="s">
        <v>1560</v>
      </c>
      <c r="U341" t="s">
        <v>1561</v>
      </c>
      <c r="Z341" s="14">
        <v>42794</v>
      </c>
      <c r="AA341" s="14">
        <v>42866</v>
      </c>
      <c r="AD341" s="14">
        <v>44469</v>
      </c>
      <c r="AL341" t="s">
        <v>624</v>
      </c>
      <c r="AN341">
        <v>2147779150</v>
      </c>
      <c r="AR341">
        <v>2147779150</v>
      </c>
      <c r="AS341">
        <v>0</v>
      </c>
      <c r="AY341" t="s">
        <v>557</v>
      </c>
      <c r="AZ341" t="s">
        <v>880</v>
      </c>
      <c r="BA341" t="s">
        <v>1020</v>
      </c>
      <c r="BB341" t="s">
        <v>1021</v>
      </c>
      <c r="BC341" t="s">
        <v>242</v>
      </c>
      <c r="BK341" t="s">
        <v>860</v>
      </c>
      <c r="BM341" t="s">
        <v>560</v>
      </c>
      <c r="BN341" t="s">
        <v>561</v>
      </c>
      <c r="BO341" t="s">
        <v>989</v>
      </c>
      <c r="BP341">
        <v>3.8</v>
      </c>
      <c r="BQ341" t="s">
        <v>902</v>
      </c>
      <c r="DF341" s="15" t="s">
        <v>9426</v>
      </c>
      <c r="DG341" t="s">
        <v>126</v>
      </c>
      <c r="DH341" t="s">
        <v>159</v>
      </c>
      <c r="DI341" t="s">
        <v>159</v>
      </c>
      <c r="DJ341" t="s">
        <v>172</v>
      </c>
      <c r="DK341">
        <v>3905053</v>
      </c>
    </row>
    <row r="342" spans="1:115" x14ac:dyDescent="0.25">
      <c r="A342" t="s">
        <v>1562</v>
      </c>
      <c r="B342" t="s">
        <v>1563</v>
      </c>
      <c r="F342" t="s">
        <v>315</v>
      </c>
      <c r="I342" t="s">
        <v>896</v>
      </c>
      <c r="N342" t="s">
        <v>1564</v>
      </c>
      <c r="U342" t="s">
        <v>176</v>
      </c>
      <c r="Z342" s="14">
        <v>42573</v>
      </c>
      <c r="AA342" s="14">
        <v>42781</v>
      </c>
      <c r="AD342" s="14">
        <v>44196</v>
      </c>
      <c r="AL342" t="s">
        <v>1127</v>
      </c>
      <c r="AN342">
        <v>623437600</v>
      </c>
      <c r="AR342">
        <v>623437600</v>
      </c>
      <c r="AS342">
        <v>0</v>
      </c>
      <c r="AY342" t="s">
        <v>557</v>
      </c>
      <c r="AZ342" t="s">
        <v>880</v>
      </c>
      <c r="BA342" t="s">
        <v>1128</v>
      </c>
      <c r="BB342" t="s">
        <v>1128</v>
      </c>
      <c r="BC342" t="s">
        <v>242</v>
      </c>
      <c r="BK342" t="s">
        <v>860</v>
      </c>
      <c r="BM342" t="s">
        <v>861</v>
      </c>
      <c r="BN342" t="s">
        <v>900</v>
      </c>
      <c r="BO342" t="s">
        <v>901</v>
      </c>
      <c r="BP342">
        <v>4.0999999999999996</v>
      </c>
      <c r="BQ342" t="s">
        <v>902</v>
      </c>
      <c r="DF342" s="15" t="s">
        <v>9308</v>
      </c>
      <c r="DG342" t="s">
        <v>317</v>
      </c>
      <c r="DH342" t="s">
        <v>159</v>
      </c>
      <c r="DI342" t="s">
        <v>159</v>
      </c>
      <c r="DJ342" t="s">
        <v>129</v>
      </c>
      <c r="DK342">
        <v>1360000</v>
      </c>
    </row>
    <row r="343" spans="1:115" x14ac:dyDescent="0.25">
      <c r="A343" t="s">
        <v>1565</v>
      </c>
      <c r="B343" t="s">
        <v>1566</v>
      </c>
      <c r="F343" t="s">
        <v>245</v>
      </c>
      <c r="I343" t="s">
        <v>1567</v>
      </c>
      <c r="N343" t="s">
        <v>1568</v>
      </c>
      <c r="U343" t="s">
        <v>176</v>
      </c>
      <c r="Z343" s="14">
        <v>42718</v>
      </c>
      <c r="AA343" s="14">
        <v>42781</v>
      </c>
      <c r="AD343" s="14">
        <v>44651</v>
      </c>
      <c r="AL343" t="s">
        <v>1127</v>
      </c>
      <c r="AN343">
        <v>586764800</v>
      </c>
      <c r="AR343">
        <v>586764800</v>
      </c>
      <c r="AS343">
        <v>0</v>
      </c>
      <c r="AY343" t="s">
        <v>557</v>
      </c>
      <c r="AZ343" t="s">
        <v>880</v>
      </c>
      <c r="BA343" t="s">
        <v>1128</v>
      </c>
      <c r="BB343" t="s">
        <v>1128</v>
      </c>
      <c r="BC343" t="s">
        <v>242</v>
      </c>
      <c r="BK343" t="s">
        <v>860</v>
      </c>
      <c r="BM343" t="s">
        <v>861</v>
      </c>
      <c r="BN343" t="s">
        <v>862</v>
      </c>
      <c r="BO343" t="s">
        <v>971</v>
      </c>
      <c r="BP343">
        <v>9.1</v>
      </c>
      <c r="BQ343" t="s">
        <v>864</v>
      </c>
      <c r="DF343" s="15" t="s">
        <v>9308</v>
      </c>
      <c r="DG343" t="s">
        <v>126</v>
      </c>
      <c r="DH343" t="s">
        <v>159</v>
      </c>
      <c r="DI343" t="s">
        <v>159</v>
      </c>
      <c r="DJ343" t="s">
        <v>129</v>
      </c>
      <c r="DK343">
        <v>1280000</v>
      </c>
    </row>
    <row r="344" spans="1:115" x14ac:dyDescent="0.25">
      <c r="A344" t="s">
        <v>1569</v>
      </c>
      <c r="B344" t="s">
        <v>1570</v>
      </c>
      <c r="F344" t="s">
        <v>315</v>
      </c>
      <c r="I344" t="s">
        <v>896</v>
      </c>
      <c r="N344" t="s">
        <v>1571</v>
      </c>
      <c r="U344" t="s">
        <v>1572</v>
      </c>
      <c r="V344" t="s">
        <v>1573</v>
      </c>
      <c r="Z344" s="14">
        <v>42866</v>
      </c>
      <c r="AD344" s="14">
        <v>44561</v>
      </c>
      <c r="AL344" t="s">
        <v>122</v>
      </c>
      <c r="AN344">
        <v>4460507600</v>
      </c>
      <c r="AR344">
        <v>4460507600</v>
      </c>
      <c r="AS344">
        <v>0</v>
      </c>
      <c r="AY344" t="s">
        <v>557</v>
      </c>
      <c r="AZ344" t="s">
        <v>880</v>
      </c>
      <c r="BA344" t="s">
        <v>324</v>
      </c>
      <c r="BB344" t="s">
        <v>325</v>
      </c>
      <c r="BC344" t="s">
        <v>242</v>
      </c>
      <c r="BK344" t="s">
        <v>860</v>
      </c>
      <c r="BM344" t="s">
        <v>861</v>
      </c>
      <c r="BN344" t="s">
        <v>900</v>
      </c>
      <c r="BO344" t="s">
        <v>901</v>
      </c>
      <c r="BP344">
        <v>4.0999999999999996</v>
      </c>
      <c r="BQ344" t="s">
        <v>902</v>
      </c>
      <c r="DF344" s="15" t="s">
        <v>9427</v>
      </c>
      <c r="DG344" t="s">
        <v>317</v>
      </c>
      <c r="DH344" t="s">
        <v>159</v>
      </c>
      <c r="DI344" t="s">
        <v>159</v>
      </c>
      <c r="DJ344" t="s">
        <v>326</v>
      </c>
      <c r="DK344">
        <v>6800000</v>
      </c>
    </row>
    <row r="345" spans="1:115" x14ac:dyDescent="0.25">
      <c r="A345" t="s">
        <v>1574</v>
      </c>
      <c r="B345" t="s">
        <v>1575</v>
      </c>
      <c r="F345" t="s">
        <v>205</v>
      </c>
      <c r="N345" t="s">
        <v>1576</v>
      </c>
      <c r="U345" t="s">
        <v>1577</v>
      </c>
      <c r="V345" t="s">
        <v>1578</v>
      </c>
      <c r="Z345" s="14">
        <v>43139</v>
      </c>
      <c r="AA345" s="14">
        <v>43164</v>
      </c>
      <c r="AD345" s="14">
        <v>45473</v>
      </c>
      <c r="AL345" t="s">
        <v>122</v>
      </c>
      <c r="AN345">
        <v>38045506000</v>
      </c>
      <c r="AR345">
        <v>5247656000</v>
      </c>
      <c r="AS345">
        <v>32797850000</v>
      </c>
      <c r="BA345" t="s">
        <v>337</v>
      </c>
      <c r="BB345" t="s">
        <v>338</v>
      </c>
      <c r="BC345" t="s">
        <v>242</v>
      </c>
      <c r="DF345" s="15" t="s">
        <v>9428</v>
      </c>
      <c r="DG345" t="s">
        <v>317</v>
      </c>
      <c r="DH345" t="s">
        <v>201</v>
      </c>
      <c r="DI345" t="s">
        <v>279</v>
      </c>
      <c r="DJ345" t="s">
        <v>129</v>
      </c>
      <c r="DK345">
        <v>58000000</v>
      </c>
    </row>
    <row r="346" spans="1:115" x14ac:dyDescent="0.25">
      <c r="A346" t="s">
        <v>1579</v>
      </c>
      <c r="B346" t="s">
        <v>1580</v>
      </c>
      <c r="F346" t="s">
        <v>118</v>
      </c>
      <c r="I346" t="s">
        <v>1275</v>
      </c>
      <c r="N346" t="s">
        <v>1581</v>
      </c>
      <c r="U346" t="s">
        <v>350</v>
      </c>
      <c r="V346" t="s">
        <v>351</v>
      </c>
      <c r="Z346" s="14">
        <v>43231</v>
      </c>
      <c r="AA346" s="14">
        <v>43444</v>
      </c>
      <c r="AD346" s="14">
        <v>45657</v>
      </c>
      <c r="AL346" t="s">
        <v>122</v>
      </c>
      <c r="AN346">
        <v>9970546400</v>
      </c>
      <c r="AR346">
        <v>0</v>
      </c>
      <c r="AS346">
        <v>9970546400</v>
      </c>
      <c r="AY346" t="s">
        <v>557</v>
      </c>
      <c r="AZ346" t="s">
        <v>859</v>
      </c>
      <c r="BA346" t="s">
        <v>337</v>
      </c>
      <c r="BB346" t="s">
        <v>338</v>
      </c>
      <c r="BC346" t="s">
        <v>242</v>
      </c>
      <c r="BK346" t="s">
        <v>860</v>
      </c>
      <c r="BM346" t="s">
        <v>861</v>
      </c>
      <c r="BN346" t="s">
        <v>862</v>
      </c>
      <c r="BO346" t="s">
        <v>1173</v>
      </c>
      <c r="BP346">
        <v>7.1</v>
      </c>
      <c r="BQ346" t="s">
        <v>864</v>
      </c>
      <c r="DF346" s="15" t="s">
        <v>9329</v>
      </c>
      <c r="DG346" t="s">
        <v>126</v>
      </c>
      <c r="DH346" t="s">
        <v>127</v>
      </c>
      <c r="DI346" t="s">
        <v>150</v>
      </c>
      <c r="DJ346" t="s">
        <v>326</v>
      </c>
      <c r="DK346">
        <v>15200000</v>
      </c>
    </row>
    <row r="347" spans="1:115" x14ac:dyDescent="0.25">
      <c r="A347" t="s">
        <v>1582</v>
      </c>
      <c r="B347" t="s">
        <v>1580</v>
      </c>
      <c r="F347" t="s">
        <v>118</v>
      </c>
      <c r="I347" t="s">
        <v>1275</v>
      </c>
      <c r="N347" t="s">
        <v>1583</v>
      </c>
      <c r="U347" t="s">
        <v>350</v>
      </c>
      <c r="V347" t="s">
        <v>351</v>
      </c>
      <c r="Z347" s="14">
        <v>43170</v>
      </c>
      <c r="AA347" s="14">
        <v>43231</v>
      </c>
      <c r="AD347" s="14">
        <v>45657</v>
      </c>
      <c r="AL347" t="s">
        <v>276</v>
      </c>
      <c r="AN347">
        <v>9102704400</v>
      </c>
      <c r="AR347">
        <v>4053486800</v>
      </c>
      <c r="AS347">
        <v>5049217600</v>
      </c>
      <c r="AY347" t="s">
        <v>557</v>
      </c>
      <c r="AZ347" t="s">
        <v>859</v>
      </c>
      <c r="BA347" t="s">
        <v>277</v>
      </c>
      <c r="BB347" t="s">
        <v>278</v>
      </c>
      <c r="BC347" t="s">
        <v>125</v>
      </c>
      <c r="BK347" t="s">
        <v>860</v>
      </c>
      <c r="BM347" t="s">
        <v>861</v>
      </c>
      <c r="BN347" t="s">
        <v>862</v>
      </c>
      <c r="BO347" t="s">
        <v>1173</v>
      </c>
      <c r="BP347">
        <v>7.1</v>
      </c>
      <c r="BQ347" t="s">
        <v>864</v>
      </c>
      <c r="DF347" s="15" t="s">
        <v>9329</v>
      </c>
      <c r="DG347" t="s">
        <v>126</v>
      </c>
      <c r="DH347" t="s">
        <v>201</v>
      </c>
      <c r="DI347" t="s">
        <v>279</v>
      </c>
      <c r="DJ347" t="s">
        <v>151</v>
      </c>
      <c r="DK347">
        <v>11610000</v>
      </c>
    </row>
    <row r="348" spans="1:115" x14ac:dyDescent="0.25">
      <c r="A348" t="s">
        <v>1584</v>
      </c>
      <c r="B348" t="s">
        <v>1585</v>
      </c>
      <c r="F348" t="s">
        <v>142</v>
      </c>
      <c r="N348" t="s">
        <v>1586</v>
      </c>
      <c r="U348" t="s">
        <v>133</v>
      </c>
      <c r="V348" t="s">
        <v>1587</v>
      </c>
      <c r="W348" t="s">
        <v>1588</v>
      </c>
      <c r="Z348" s="14">
        <v>43193</v>
      </c>
      <c r="AA348" s="14">
        <v>43255</v>
      </c>
      <c r="AD348" s="14">
        <v>46022</v>
      </c>
      <c r="AL348" t="s">
        <v>122</v>
      </c>
      <c r="AN348">
        <v>65025017410</v>
      </c>
      <c r="AR348">
        <v>0</v>
      </c>
      <c r="AS348">
        <v>65025017410</v>
      </c>
      <c r="BA348" t="s">
        <v>168</v>
      </c>
      <c r="BB348" t="s">
        <v>169</v>
      </c>
      <c r="BC348" t="s">
        <v>125</v>
      </c>
      <c r="DF348" s="15" t="s">
        <v>9429</v>
      </c>
      <c r="DG348" t="s">
        <v>126</v>
      </c>
      <c r="DH348" t="s">
        <v>127</v>
      </c>
      <c r="DI348" t="s">
        <v>1589</v>
      </c>
      <c r="DJ348" t="s">
        <v>151</v>
      </c>
      <c r="DK348">
        <v>99130000</v>
      </c>
    </row>
    <row r="349" spans="1:115" x14ac:dyDescent="0.25">
      <c r="A349" t="s">
        <v>1590</v>
      </c>
      <c r="B349" t="s">
        <v>1591</v>
      </c>
      <c r="F349" t="s">
        <v>205</v>
      </c>
      <c r="I349" t="s">
        <v>1258</v>
      </c>
      <c r="N349" t="s">
        <v>1592</v>
      </c>
      <c r="U349" t="s">
        <v>302</v>
      </c>
      <c r="V349" t="s">
        <v>1593</v>
      </c>
      <c r="W349" t="s">
        <v>1594</v>
      </c>
      <c r="Z349" s="14">
        <v>43207</v>
      </c>
      <c r="AA349" s="14">
        <v>43209</v>
      </c>
      <c r="AD349" s="14">
        <v>45291</v>
      </c>
      <c r="AL349" t="s">
        <v>122</v>
      </c>
      <c r="AN349">
        <v>2623828000</v>
      </c>
      <c r="AR349">
        <v>0</v>
      </c>
      <c r="AS349">
        <v>2623828000</v>
      </c>
      <c r="AY349" t="s">
        <v>557</v>
      </c>
      <c r="AZ349" t="s">
        <v>558</v>
      </c>
      <c r="BA349" t="s">
        <v>157</v>
      </c>
      <c r="BB349" t="s">
        <v>158</v>
      </c>
      <c r="BC349" t="s">
        <v>125</v>
      </c>
      <c r="BK349" t="s">
        <v>860</v>
      </c>
      <c r="BM349" t="s">
        <v>560</v>
      </c>
      <c r="BN349" t="s">
        <v>1012</v>
      </c>
      <c r="BO349" t="s">
        <v>939</v>
      </c>
      <c r="BP349">
        <v>11.3</v>
      </c>
      <c r="BQ349" t="s">
        <v>563</v>
      </c>
      <c r="DF349" s="15" t="s">
        <v>9430</v>
      </c>
      <c r="DG349" t="s">
        <v>126</v>
      </c>
      <c r="DH349" t="s">
        <v>127</v>
      </c>
      <c r="DI349" t="s">
        <v>127</v>
      </c>
      <c r="DJ349" t="s">
        <v>181</v>
      </c>
      <c r="DK349">
        <v>4000000</v>
      </c>
    </row>
    <row r="350" spans="1:115" x14ac:dyDescent="0.25">
      <c r="A350" t="s">
        <v>1595</v>
      </c>
      <c r="B350" t="s">
        <v>1596</v>
      </c>
      <c r="F350" t="s">
        <v>205</v>
      </c>
      <c r="I350" t="s">
        <v>1258</v>
      </c>
      <c r="N350" t="s">
        <v>1597</v>
      </c>
      <c r="U350" t="s">
        <v>1284</v>
      </c>
      <c r="V350" t="s">
        <v>1285</v>
      </c>
      <c r="Z350" s="14">
        <v>43207</v>
      </c>
      <c r="AA350" s="14">
        <v>43211</v>
      </c>
      <c r="AD350" s="14">
        <v>46022</v>
      </c>
      <c r="AL350" t="s">
        <v>200</v>
      </c>
      <c r="AN350">
        <v>23713563700</v>
      </c>
      <c r="AR350">
        <v>7905000000</v>
      </c>
      <c r="AS350">
        <v>15808563700</v>
      </c>
      <c r="AY350" t="s">
        <v>557</v>
      </c>
      <c r="AZ350" t="s">
        <v>880</v>
      </c>
      <c r="BA350" t="s">
        <v>178</v>
      </c>
      <c r="BB350" t="s">
        <v>179</v>
      </c>
      <c r="BC350" t="s">
        <v>125</v>
      </c>
      <c r="BK350" t="s">
        <v>860</v>
      </c>
      <c r="BM350" t="s">
        <v>560</v>
      </c>
      <c r="BN350" t="s">
        <v>1012</v>
      </c>
      <c r="BO350" t="s">
        <v>939</v>
      </c>
      <c r="BP350">
        <v>11.3</v>
      </c>
      <c r="BQ350" t="s">
        <v>563</v>
      </c>
      <c r="DF350" s="15" t="s">
        <v>9410</v>
      </c>
      <c r="DG350" t="s">
        <v>126</v>
      </c>
      <c r="DH350" t="s">
        <v>201</v>
      </c>
      <c r="DI350" t="s">
        <v>279</v>
      </c>
      <c r="DJ350" t="s">
        <v>181</v>
      </c>
      <c r="DK350">
        <v>34400000</v>
      </c>
    </row>
    <row r="351" spans="1:115" x14ac:dyDescent="0.25">
      <c r="A351" t="s">
        <v>1598</v>
      </c>
      <c r="B351" t="s">
        <v>1596</v>
      </c>
      <c r="F351" t="s">
        <v>205</v>
      </c>
      <c r="I351" t="s">
        <v>1258</v>
      </c>
      <c r="N351" t="s">
        <v>1599</v>
      </c>
      <c r="U351" t="s">
        <v>1284</v>
      </c>
      <c r="V351" t="s">
        <v>1285</v>
      </c>
      <c r="Z351" s="14">
        <v>43207</v>
      </c>
      <c r="AA351" s="14">
        <v>43211</v>
      </c>
      <c r="AD351" s="14">
        <v>46022</v>
      </c>
      <c r="AL351" t="s">
        <v>624</v>
      </c>
      <c r="AN351">
        <v>6092794012</v>
      </c>
      <c r="AR351">
        <v>6092794012</v>
      </c>
      <c r="AS351">
        <v>0</v>
      </c>
      <c r="AY351" t="s">
        <v>557</v>
      </c>
      <c r="AZ351" t="s">
        <v>880</v>
      </c>
      <c r="BA351" t="s">
        <v>423</v>
      </c>
      <c r="BB351" t="s">
        <v>424</v>
      </c>
      <c r="BC351" t="s">
        <v>125</v>
      </c>
      <c r="BK351" t="s">
        <v>860</v>
      </c>
      <c r="BM351" t="s">
        <v>560</v>
      </c>
      <c r="BN351" t="s">
        <v>1012</v>
      </c>
      <c r="BO351" t="s">
        <v>939</v>
      </c>
      <c r="BP351">
        <v>11.3</v>
      </c>
      <c r="BQ351" t="s">
        <v>563</v>
      </c>
      <c r="DF351" s="15" t="s">
        <v>9410</v>
      </c>
      <c r="DG351" t="s">
        <v>126</v>
      </c>
      <c r="DH351" t="s">
        <v>159</v>
      </c>
      <c r="DI351" t="s">
        <v>159</v>
      </c>
      <c r="DJ351" t="s">
        <v>181</v>
      </c>
      <c r="DK351">
        <v>11568708</v>
      </c>
    </row>
    <row r="352" spans="1:115" x14ac:dyDescent="0.25">
      <c r="A352" t="s">
        <v>1600</v>
      </c>
      <c r="B352" t="s">
        <v>1601</v>
      </c>
      <c r="F352" t="s">
        <v>142</v>
      </c>
      <c r="N352" t="s">
        <v>1602</v>
      </c>
      <c r="U352" t="s">
        <v>1603</v>
      </c>
      <c r="V352" t="s">
        <v>1604</v>
      </c>
      <c r="Z352" s="14">
        <v>43231</v>
      </c>
      <c r="AA352" s="14">
        <v>43256</v>
      </c>
      <c r="AD352" s="14">
        <v>44561</v>
      </c>
      <c r="AL352" t="s">
        <v>136</v>
      </c>
      <c r="AN352">
        <v>40478000000</v>
      </c>
      <c r="AR352">
        <v>0</v>
      </c>
      <c r="AS352">
        <v>40478000000</v>
      </c>
      <c r="BA352" t="s">
        <v>738</v>
      </c>
      <c r="BB352" t="s">
        <v>739</v>
      </c>
      <c r="BC352" t="s">
        <v>442</v>
      </c>
      <c r="DF352" s="15" t="s">
        <v>9431</v>
      </c>
      <c r="DG352" t="s">
        <v>126</v>
      </c>
      <c r="DH352" t="s">
        <v>127</v>
      </c>
      <c r="DI352" t="s">
        <v>443</v>
      </c>
      <c r="DJ352" t="s">
        <v>129</v>
      </c>
      <c r="DK352">
        <v>40478000000</v>
      </c>
    </row>
    <row r="353" spans="1:115" x14ac:dyDescent="0.25">
      <c r="A353" t="s">
        <v>1605</v>
      </c>
      <c r="B353" t="s">
        <v>1606</v>
      </c>
      <c r="F353" t="s">
        <v>216</v>
      </c>
      <c r="I353" t="s">
        <v>1103</v>
      </c>
      <c r="N353" t="s">
        <v>1607</v>
      </c>
      <c r="U353" t="s">
        <v>176</v>
      </c>
      <c r="Z353" s="14">
        <v>43237</v>
      </c>
      <c r="AA353" s="14">
        <v>43262</v>
      </c>
      <c r="AD353" s="14">
        <v>45322</v>
      </c>
      <c r="AL353" t="s">
        <v>200</v>
      </c>
      <c r="AN353">
        <v>16136542200</v>
      </c>
      <c r="AR353">
        <v>8068271100</v>
      </c>
      <c r="AS353">
        <v>8068271100</v>
      </c>
      <c r="AY353" t="s">
        <v>557</v>
      </c>
      <c r="AZ353" t="s">
        <v>859</v>
      </c>
      <c r="BA353" t="s">
        <v>178</v>
      </c>
      <c r="BB353" t="s">
        <v>179</v>
      </c>
      <c r="BC353" t="s">
        <v>125</v>
      </c>
      <c r="BK353" t="s">
        <v>860</v>
      </c>
      <c r="BM353" t="s">
        <v>560</v>
      </c>
      <c r="BN353" t="s">
        <v>561</v>
      </c>
      <c r="BO353" t="s">
        <v>989</v>
      </c>
      <c r="BP353">
        <v>3.8</v>
      </c>
      <c r="BQ353" t="s">
        <v>902</v>
      </c>
      <c r="DF353" s="15" t="s">
        <v>9308</v>
      </c>
      <c r="DG353" t="s">
        <v>126</v>
      </c>
      <c r="DH353" t="s">
        <v>201</v>
      </c>
      <c r="DI353" t="s">
        <v>279</v>
      </c>
      <c r="DJ353" t="s">
        <v>181</v>
      </c>
      <c r="DK353">
        <v>22700000</v>
      </c>
    </row>
    <row r="354" spans="1:115" x14ac:dyDescent="0.25">
      <c r="A354" t="s">
        <v>1608</v>
      </c>
      <c r="B354" t="s">
        <v>1609</v>
      </c>
      <c r="F354" t="s">
        <v>263</v>
      </c>
      <c r="N354" t="s">
        <v>1610</v>
      </c>
      <c r="U354" t="s">
        <v>176</v>
      </c>
      <c r="Z354" s="14">
        <v>43265</v>
      </c>
      <c r="AA354" s="14">
        <v>43271</v>
      </c>
      <c r="AD354" s="14">
        <v>45657</v>
      </c>
      <c r="AL354" t="s">
        <v>624</v>
      </c>
      <c r="AN354">
        <v>117700000000</v>
      </c>
      <c r="AR354">
        <v>26750000000</v>
      </c>
      <c r="AS354">
        <v>90950000000</v>
      </c>
      <c r="BA354" t="s">
        <v>178</v>
      </c>
      <c r="BB354" t="s">
        <v>179</v>
      </c>
      <c r="BC354" t="s">
        <v>125</v>
      </c>
      <c r="DF354" s="15" t="s">
        <v>9308</v>
      </c>
      <c r="DG354" t="s">
        <v>317</v>
      </c>
      <c r="DH354" t="s">
        <v>201</v>
      </c>
      <c r="DI354" t="s">
        <v>279</v>
      </c>
      <c r="DJ354" t="s">
        <v>181</v>
      </c>
      <c r="DK354">
        <v>220000000</v>
      </c>
    </row>
    <row r="355" spans="1:115" x14ac:dyDescent="0.25">
      <c r="A355" t="s">
        <v>1611</v>
      </c>
      <c r="B355" t="s">
        <v>1612</v>
      </c>
      <c r="F355" t="s">
        <v>205</v>
      </c>
      <c r="N355" t="s">
        <v>1613</v>
      </c>
      <c r="U355" t="s">
        <v>165</v>
      </c>
      <c r="V355" t="s">
        <v>166</v>
      </c>
      <c r="Z355" s="14">
        <v>43276</v>
      </c>
      <c r="AA355" s="14">
        <v>43363</v>
      </c>
      <c r="AD355" s="14">
        <v>45291</v>
      </c>
      <c r="AL355" t="s">
        <v>136</v>
      </c>
      <c r="AN355">
        <v>20000000000</v>
      </c>
      <c r="AR355">
        <v>0</v>
      </c>
      <c r="AS355">
        <v>20000000000</v>
      </c>
      <c r="BA355" t="s">
        <v>137</v>
      </c>
      <c r="BB355" t="s">
        <v>138</v>
      </c>
      <c r="BC355" t="s">
        <v>125</v>
      </c>
      <c r="DF355" s="15" t="s">
        <v>9307</v>
      </c>
      <c r="DG355" t="s">
        <v>126</v>
      </c>
      <c r="DH355" t="s">
        <v>127</v>
      </c>
      <c r="DI355" t="s">
        <v>128</v>
      </c>
      <c r="DJ355" t="s">
        <v>139</v>
      </c>
      <c r="DK355">
        <v>20000000000</v>
      </c>
    </row>
    <row r="356" spans="1:115" x14ac:dyDescent="0.25">
      <c r="A356" t="s">
        <v>1614</v>
      </c>
      <c r="B356" t="s">
        <v>1615</v>
      </c>
      <c r="F356" t="s">
        <v>216</v>
      </c>
      <c r="I356" t="s">
        <v>992</v>
      </c>
      <c r="N356" t="s">
        <v>1616</v>
      </c>
      <c r="U356" t="s">
        <v>176</v>
      </c>
      <c r="Z356" s="14">
        <v>43152</v>
      </c>
      <c r="AA356" s="14">
        <v>43280</v>
      </c>
      <c r="AD356" s="14">
        <v>45473</v>
      </c>
      <c r="AL356" t="s">
        <v>624</v>
      </c>
      <c r="AN356">
        <v>510000000</v>
      </c>
      <c r="AR356">
        <v>0</v>
      </c>
      <c r="AS356">
        <v>510000000</v>
      </c>
      <c r="AY356" t="s">
        <v>557</v>
      </c>
      <c r="AZ356" t="s">
        <v>880</v>
      </c>
      <c r="BA356" t="s">
        <v>178</v>
      </c>
      <c r="BB356" t="s">
        <v>179</v>
      </c>
      <c r="BC356" t="s">
        <v>125</v>
      </c>
      <c r="BK356" t="s">
        <v>860</v>
      </c>
      <c r="BM356" t="s">
        <v>560</v>
      </c>
      <c r="BN356" t="s">
        <v>561</v>
      </c>
      <c r="BO356" t="s">
        <v>989</v>
      </c>
      <c r="BP356">
        <v>3.8</v>
      </c>
      <c r="BQ356" t="s">
        <v>902</v>
      </c>
      <c r="DF356" s="15" t="s">
        <v>9308</v>
      </c>
      <c r="DG356" t="s">
        <v>126</v>
      </c>
      <c r="DH356" t="s">
        <v>127</v>
      </c>
      <c r="DI356" t="s">
        <v>150</v>
      </c>
      <c r="DJ356" t="s">
        <v>181</v>
      </c>
      <c r="DK356">
        <v>927273</v>
      </c>
    </row>
    <row r="357" spans="1:115" x14ac:dyDescent="0.25">
      <c r="A357" t="s">
        <v>1617</v>
      </c>
      <c r="B357" t="s">
        <v>1618</v>
      </c>
      <c r="F357" t="s">
        <v>142</v>
      </c>
      <c r="N357" t="s">
        <v>1619</v>
      </c>
      <c r="U357" t="s">
        <v>579</v>
      </c>
      <c r="V357" t="s">
        <v>1620</v>
      </c>
      <c r="W357" t="s">
        <v>1621</v>
      </c>
      <c r="Z357" s="14">
        <v>43231</v>
      </c>
      <c r="AA357" s="14">
        <v>43304</v>
      </c>
      <c r="AD357" s="14">
        <v>45291</v>
      </c>
      <c r="AL357" t="s">
        <v>136</v>
      </c>
      <c r="AN357">
        <v>10000000000</v>
      </c>
      <c r="AR357">
        <v>0</v>
      </c>
      <c r="AS357">
        <v>10000000000</v>
      </c>
      <c r="BA357" t="s">
        <v>738</v>
      </c>
      <c r="BB357" t="s">
        <v>739</v>
      </c>
      <c r="BC357" t="s">
        <v>442</v>
      </c>
      <c r="DF357" s="15" t="s">
        <v>9432</v>
      </c>
      <c r="DG357" t="s">
        <v>126</v>
      </c>
      <c r="DH357" t="s">
        <v>127</v>
      </c>
      <c r="DI357" t="s">
        <v>443</v>
      </c>
      <c r="DJ357" t="s">
        <v>129</v>
      </c>
      <c r="DK357">
        <v>10000000000</v>
      </c>
    </row>
    <row r="358" spans="1:115" x14ac:dyDescent="0.25">
      <c r="A358" t="s">
        <v>1622</v>
      </c>
      <c r="B358" t="s">
        <v>1623</v>
      </c>
      <c r="F358" t="s">
        <v>282</v>
      </c>
      <c r="I358" t="s">
        <v>1029</v>
      </c>
      <c r="N358" t="s">
        <v>1624</v>
      </c>
      <c r="U358" t="s">
        <v>176</v>
      </c>
      <c r="Z358" s="14">
        <v>43235</v>
      </c>
      <c r="AA358" s="14">
        <v>43347</v>
      </c>
      <c r="AD358" s="14">
        <v>45716</v>
      </c>
      <c r="AL358" t="s">
        <v>624</v>
      </c>
      <c r="AN358">
        <v>23178000000</v>
      </c>
      <c r="AR358">
        <v>23178000000</v>
      </c>
      <c r="AS358">
        <v>0</v>
      </c>
      <c r="AY358" t="s">
        <v>557</v>
      </c>
      <c r="AZ358" t="s">
        <v>558</v>
      </c>
      <c r="BA358" t="s">
        <v>178</v>
      </c>
      <c r="BB358" t="s">
        <v>179</v>
      </c>
      <c r="BC358" t="s">
        <v>125</v>
      </c>
      <c r="BK358" t="s">
        <v>860</v>
      </c>
      <c r="BM358" t="s">
        <v>964</v>
      </c>
      <c r="BN358" t="s">
        <v>965</v>
      </c>
      <c r="BO358" t="s">
        <v>939</v>
      </c>
      <c r="BP358">
        <v>11.3</v>
      </c>
      <c r="BQ358" t="s">
        <v>902</v>
      </c>
      <c r="DF358" s="15" t="s">
        <v>9308</v>
      </c>
      <c r="DG358" t="s">
        <v>126</v>
      </c>
      <c r="DH358" t="s">
        <v>159</v>
      </c>
      <c r="DI358" t="s">
        <v>159</v>
      </c>
      <c r="DJ358" t="s">
        <v>181</v>
      </c>
      <c r="DK358">
        <v>40100000</v>
      </c>
    </row>
    <row r="359" spans="1:115" x14ac:dyDescent="0.25">
      <c r="A359" t="s">
        <v>1625</v>
      </c>
      <c r="B359" t="s">
        <v>1626</v>
      </c>
      <c r="F359" t="s">
        <v>142</v>
      </c>
      <c r="N359" t="s">
        <v>1627</v>
      </c>
      <c r="U359" t="s">
        <v>795</v>
      </c>
      <c r="V359" t="s">
        <v>1628</v>
      </c>
      <c r="Z359" s="14">
        <v>43139</v>
      </c>
      <c r="AA359" s="14">
        <v>43363</v>
      </c>
      <c r="AD359" s="14">
        <v>44926</v>
      </c>
      <c r="AL359" t="s">
        <v>122</v>
      </c>
      <c r="AN359">
        <v>229584950000</v>
      </c>
      <c r="AR359">
        <v>0</v>
      </c>
      <c r="AS359">
        <v>229584950000</v>
      </c>
      <c r="BA359" t="s">
        <v>267</v>
      </c>
      <c r="BB359" t="s">
        <v>267</v>
      </c>
      <c r="BC359" t="s">
        <v>242</v>
      </c>
      <c r="DF359" s="15" t="s">
        <v>9433</v>
      </c>
      <c r="DG359" t="s">
        <v>126</v>
      </c>
      <c r="DH359" t="s">
        <v>127</v>
      </c>
      <c r="DI359" t="s">
        <v>443</v>
      </c>
      <c r="DJ359" t="s">
        <v>129</v>
      </c>
      <c r="DK359">
        <v>350000000</v>
      </c>
    </row>
    <row r="360" spans="1:115" x14ac:dyDescent="0.25">
      <c r="A360" t="s">
        <v>1629</v>
      </c>
      <c r="B360" t="s">
        <v>1630</v>
      </c>
      <c r="F360" t="s">
        <v>163</v>
      </c>
      <c r="N360" t="s">
        <v>1631</v>
      </c>
      <c r="U360" t="s">
        <v>176</v>
      </c>
      <c r="Z360" s="14">
        <v>43371</v>
      </c>
      <c r="AA360" s="14">
        <v>43397</v>
      </c>
      <c r="AD360" s="14">
        <v>44561</v>
      </c>
      <c r="AL360" t="s">
        <v>122</v>
      </c>
      <c r="AN360">
        <v>170548820000</v>
      </c>
      <c r="AR360">
        <v>0</v>
      </c>
      <c r="AS360">
        <v>170548820000</v>
      </c>
      <c r="BA360" t="s">
        <v>1632</v>
      </c>
      <c r="BB360" t="s">
        <v>1633</v>
      </c>
      <c r="BC360" t="s">
        <v>442</v>
      </c>
      <c r="DF360" s="15" t="s">
        <v>9308</v>
      </c>
      <c r="DG360" t="s">
        <v>1048</v>
      </c>
      <c r="DH360" t="s">
        <v>127</v>
      </c>
      <c r="DI360" t="s">
        <v>824</v>
      </c>
      <c r="DJ360" t="s">
        <v>172</v>
      </c>
      <c r="DK360">
        <v>260000000</v>
      </c>
    </row>
    <row r="361" spans="1:115" x14ac:dyDescent="0.25">
      <c r="A361" t="s">
        <v>1634</v>
      </c>
      <c r="B361" t="s">
        <v>1635</v>
      </c>
      <c r="F361" t="s">
        <v>163</v>
      </c>
      <c r="N361" t="s">
        <v>1636</v>
      </c>
      <c r="U361" t="s">
        <v>176</v>
      </c>
      <c r="Z361" s="14">
        <v>43383</v>
      </c>
      <c r="AA361" s="14">
        <v>43446</v>
      </c>
      <c r="AD361" s="14">
        <v>43830</v>
      </c>
      <c r="AL361" t="s">
        <v>122</v>
      </c>
      <c r="AN361">
        <v>8461845300</v>
      </c>
      <c r="AR361">
        <v>0</v>
      </c>
      <c r="AS361">
        <v>8461845300</v>
      </c>
      <c r="BA361" t="s">
        <v>178</v>
      </c>
      <c r="BB361" t="s">
        <v>179</v>
      </c>
      <c r="BC361" t="s">
        <v>125</v>
      </c>
      <c r="DF361" s="15" t="s">
        <v>9308</v>
      </c>
      <c r="DG361" t="s">
        <v>126</v>
      </c>
      <c r="DH361" t="s">
        <v>127</v>
      </c>
      <c r="DI361" t="s">
        <v>150</v>
      </c>
      <c r="DJ361" t="s">
        <v>181</v>
      </c>
      <c r="DK361">
        <v>12900000</v>
      </c>
    </row>
    <row r="362" spans="1:115" x14ac:dyDescent="0.25">
      <c r="A362" t="s">
        <v>1637</v>
      </c>
      <c r="B362" t="s">
        <v>1638</v>
      </c>
      <c r="F362" t="s">
        <v>142</v>
      </c>
      <c r="N362" t="s">
        <v>1639</v>
      </c>
      <c r="U362" t="s">
        <v>133</v>
      </c>
      <c r="V362" t="s">
        <v>1587</v>
      </c>
      <c r="W362" t="s">
        <v>1588</v>
      </c>
      <c r="Z362" s="14">
        <v>43255</v>
      </c>
      <c r="AA362" s="14">
        <v>43384</v>
      </c>
      <c r="AD362" s="14">
        <v>45657</v>
      </c>
      <c r="AL362" t="s">
        <v>624</v>
      </c>
      <c r="AN362">
        <v>13872000000</v>
      </c>
      <c r="AR362">
        <v>0</v>
      </c>
      <c r="AS362">
        <v>13872000000</v>
      </c>
      <c r="BA362" t="s">
        <v>148</v>
      </c>
      <c r="BB362" t="s">
        <v>149</v>
      </c>
      <c r="BC362" t="s">
        <v>125</v>
      </c>
      <c r="DF362" s="15" t="s">
        <v>9429</v>
      </c>
      <c r="DG362" t="s">
        <v>126</v>
      </c>
      <c r="DH362" t="s">
        <v>127</v>
      </c>
      <c r="DI362" t="s">
        <v>150</v>
      </c>
      <c r="DJ362" t="s">
        <v>366</v>
      </c>
      <c r="DK362">
        <v>24000000</v>
      </c>
    </row>
    <row r="363" spans="1:115" x14ac:dyDescent="0.25">
      <c r="A363" t="s">
        <v>1640</v>
      </c>
      <c r="B363" t="s">
        <v>1641</v>
      </c>
      <c r="F363" t="s">
        <v>163</v>
      </c>
      <c r="I363" t="s">
        <v>1642</v>
      </c>
      <c r="N363" t="s">
        <v>1643</v>
      </c>
      <c r="U363" t="s">
        <v>176</v>
      </c>
      <c r="Z363" s="14">
        <v>43231</v>
      </c>
      <c r="AA363" s="14">
        <v>43416</v>
      </c>
      <c r="AD363" s="14">
        <v>44561</v>
      </c>
      <c r="AL363" t="s">
        <v>276</v>
      </c>
      <c r="AN363">
        <v>5549862500</v>
      </c>
      <c r="AR363">
        <v>1727862500</v>
      </c>
      <c r="AS363">
        <v>3822000000</v>
      </c>
      <c r="AY363" t="s">
        <v>557</v>
      </c>
      <c r="AZ363" t="s">
        <v>859</v>
      </c>
      <c r="BA363" t="s">
        <v>277</v>
      </c>
      <c r="BB363" t="s">
        <v>278</v>
      </c>
      <c r="BC363" t="s">
        <v>125</v>
      </c>
      <c r="BK363" t="s">
        <v>860</v>
      </c>
      <c r="BM363" t="s">
        <v>861</v>
      </c>
      <c r="BN363" t="s">
        <v>862</v>
      </c>
      <c r="BO363" t="s">
        <v>971</v>
      </c>
      <c r="BP363">
        <v>9.1</v>
      </c>
      <c r="BQ363" t="s">
        <v>864</v>
      </c>
      <c r="DF363" s="15" t="s">
        <v>9308</v>
      </c>
      <c r="DG363" t="s">
        <v>317</v>
      </c>
      <c r="DH363" t="s">
        <v>201</v>
      </c>
      <c r="DI363" t="s">
        <v>279</v>
      </c>
      <c r="DJ363" t="s">
        <v>366</v>
      </c>
      <c r="DK363">
        <v>6970000</v>
      </c>
    </row>
    <row r="364" spans="1:115" x14ac:dyDescent="0.25">
      <c r="A364" t="s">
        <v>1644</v>
      </c>
      <c r="B364" t="s">
        <v>1645</v>
      </c>
      <c r="F364" t="s">
        <v>205</v>
      </c>
      <c r="N364" t="s">
        <v>1646</v>
      </c>
      <c r="U364" t="s">
        <v>185</v>
      </c>
      <c r="V364" t="s">
        <v>224</v>
      </c>
      <c r="W364" t="s">
        <v>1293</v>
      </c>
      <c r="Z364" s="14">
        <v>43277</v>
      </c>
      <c r="AA364" s="14">
        <v>43419</v>
      </c>
      <c r="AD364" t="s">
        <v>1647</v>
      </c>
      <c r="AL364" t="s">
        <v>136</v>
      </c>
      <c r="AN364">
        <v>20000000000</v>
      </c>
      <c r="AR364">
        <v>0</v>
      </c>
      <c r="AS364">
        <v>20000000000</v>
      </c>
      <c r="BA364" t="s">
        <v>137</v>
      </c>
      <c r="BB364" t="s">
        <v>138</v>
      </c>
      <c r="BC364" t="s">
        <v>125</v>
      </c>
      <c r="DF364" s="15" t="s">
        <v>9411</v>
      </c>
      <c r="DG364" t="s">
        <v>126</v>
      </c>
      <c r="DH364" t="s">
        <v>127</v>
      </c>
      <c r="DI364" t="s">
        <v>1648</v>
      </c>
      <c r="DJ364" t="s">
        <v>353</v>
      </c>
      <c r="DK364">
        <v>20000000000</v>
      </c>
    </row>
    <row r="365" spans="1:115" x14ac:dyDescent="0.25">
      <c r="A365" t="s">
        <v>1649</v>
      </c>
      <c r="B365" t="s">
        <v>1650</v>
      </c>
      <c r="F365" t="s">
        <v>118</v>
      </c>
      <c r="N365" t="s">
        <v>1651</v>
      </c>
      <c r="U365" t="s">
        <v>144</v>
      </c>
      <c r="V365" t="s">
        <v>1652</v>
      </c>
      <c r="Z365" s="14">
        <v>43431</v>
      </c>
      <c r="AA365" s="14">
        <v>43448</v>
      </c>
      <c r="AD365" s="14">
        <v>46022</v>
      </c>
      <c r="AL365" t="s">
        <v>200</v>
      </c>
      <c r="AN365">
        <v>16957088000</v>
      </c>
      <c r="AR365">
        <v>8364051300</v>
      </c>
      <c r="AS365">
        <v>8593036700</v>
      </c>
      <c r="BA365" t="s">
        <v>178</v>
      </c>
      <c r="BB365" t="s">
        <v>179</v>
      </c>
      <c r="BC365" t="s">
        <v>125</v>
      </c>
      <c r="DF365" s="15" t="s">
        <v>9434</v>
      </c>
      <c r="DG365" t="s">
        <v>126</v>
      </c>
      <c r="DH365" t="s">
        <v>201</v>
      </c>
      <c r="DI365" t="s">
        <v>279</v>
      </c>
      <c r="DJ365" t="s">
        <v>372</v>
      </c>
      <c r="DK365">
        <v>24000000</v>
      </c>
    </row>
    <row r="366" spans="1:115" x14ac:dyDescent="0.25">
      <c r="A366" t="s">
        <v>1653</v>
      </c>
      <c r="B366" t="s">
        <v>1654</v>
      </c>
      <c r="F366" t="s">
        <v>205</v>
      </c>
      <c r="N366" t="s">
        <v>1655</v>
      </c>
      <c r="U366" t="s">
        <v>605</v>
      </c>
      <c r="V366" t="s">
        <v>606</v>
      </c>
      <c r="Z366" s="14">
        <v>43384</v>
      </c>
      <c r="AA366" s="14">
        <v>43432</v>
      </c>
      <c r="AD366" s="14">
        <v>44561</v>
      </c>
      <c r="AL366" t="s">
        <v>122</v>
      </c>
      <c r="AN366">
        <v>16385284335</v>
      </c>
      <c r="AR366">
        <v>0</v>
      </c>
      <c r="AS366">
        <v>16385284335</v>
      </c>
      <c r="BA366" t="s">
        <v>484</v>
      </c>
      <c r="BB366" t="s">
        <v>484</v>
      </c>
      <c r="BC366" t="s">
        <v>242</v>
      </c>
      <c r="DF366" s="15" t="s">
        <v>9356</v>
      </c>
      <c r="DG366" t="s">
        <v>126</v>
      </c>
      <c r="DH366" t="s">
        <v>127</v>
      </c>
      <c r="DI366" t="s">
        <v>443</v>
      </c>
      <c r="DJ366" t="s">
        <v>326</v>
      </c>
      <c r="DK366">
        <v>24979204</v>
      </c>
    </row>
    <row r="367" spans="1:115" x14ac:dyDescent="0.25">
      <c r="A367" t="s">
        <v>1656</v>
      </c>
      <c r="B367" t="s">
        <v>1657</v>
      </c>
      <c r="F367" t="s">
        <v>526</v>
      </c>
      <c r="N367" t="s">
        <v>1658</v>
      </c>
      <c r="U367" t="s">
        <v>176</v>
      </c>
      <c r="Z367" s="14">
        <v>43230</v>
      </c>
      <c r="AA367" s="14">
        <v>43433</v>
      </c>
      <c r="AD367" s="14">
        <v>43465</v>
      </c>
      <c r="AL367" t="s">
        <v>624</v>
      </c>
      <c r="AN367">
        <v>412500000</v>
      </c>
      <c r="AR367">
        <v>412500000</v>
      </c>
      <c r="AS367">
        <v>0</v>
      </c>
      <c r="BA367" t="s">
        <v>178</v>
      </c>
      <c r="BB367" t="s">
        <v>179</v>
      </c>
      <c r="BC367" t="s">
        <v>125</v>
      </c>
      <c r="DF367" s="15" t="s">
        <v>9308</v>
      </c>
      <c r="DG367" t="s">
        <v>235</v>
      </c>
      <c r="DH367" t="s">
        <v>159</v>
      </c>
      <c r="DI367" t="s">
        <v>236</v>
      </c>
      <c r="DJ367" t="s">
        <v>372</v>
      </c>
      <c r="DK367">
        <v>750000</v>
      </c>
    </row>
    <row r="368" spans="1:115" x14ac:dyDescent="0.25">
      <c r="A368" t="s">
        <v>1659</v>
      </c>
      <c r="B368" t="s">
        <v>1660</v>
      </c>
      <c r="F368" t="s">
        <v>205</v>
      </c>
      <c r="N368" t="s">
        <v>1661</v>
      </c>
      <c r="U368" t="s">
        <v>185</v>
      </c>
      <c r="V368" t="s">
        <v>362</v>
      </c>
      <c r="W368" t="s">
        <v>1260</v>
      </c>
      <c r="Z368" s="14">
        <v>43173</v>
      </c>
      <c r="AA368" s="14">
        <v>43441</v>
      </c>
      <c r="AD368" s="14">
        <v>44742</v>
      </c>
      <c r="AL368" t="s">
        <v>122</v>
      </c>
      <c r="AN368">
        <v>36736613213</v>
      </c>
      <c r="AR368">
        <v>0</v>
      </c>
      <c r="AS368">
        <v>36736613213</v>
      </c>
      <c r="BA368" t="s">
        <v>1662</v>
      </c>
      <c r="BB368" t="s">
        <v>1662</v>
      </c>
      <c r="BC368" t="s">
        <v>442</v>
      </c>
      <c r="DF368" s="15" t="s">
        <v>9407</v>
      </c>
      <c r="DG368" t="s">
        <v>126</v>
      </c>
      <c r="DH368" t="s">
        <v>127</v>
      </c>
      <c r="DI368" t="s">
        <v>443</v>
      </c>
      <c r="DJ368" t="s">
        <v>366</v>
      </c>
      <c r="DK368">
        <v>56004604</v>
      </c>
    </row>
    <row r="369" spans="1:115" x14ac:dyDescent="0.25">
      <c r="A369" t="s">
        <v>1663</v>
      </c>
      <c r="B369" t="s">
        <v>1664</v>
      </c>
      <c r="F369" t="s">
        <v>526</v>
      </c>
      <c r="I369" t="s">
        <v>992</v>
      </c>
      <c r="N369" t="s">
        <v>1665</v>
      </c>
      <c r="U369" t="s">
        <v>176</v>
      </c>
      <c r="Z369" s="14">
        <v>43139</v>
      </c>
      <c r="AA369" s="14">
        <v>43447</v>
      </c>
      <c r="AD369" s="14">
        <v>44742</v>
      </c>
      <c r="AL369" t="s">
        <v>1110</v>
      </c>
      <c r="AN369">
        <v>1120000000</v>
      </c>
      <c r="AR369">
        <v>1120000000</v>
      </c>
      <c r="AS369">
        <v>0</v>
      </c>
      <c r="AY369" t="s">
        <v>557</v>
      </c>
      <c r="AZ369" t="s">
        <v>880</v>
      </c>
      <c r="BA369" t="s">
        <v>822</v>
      </c>
      <c r="BB369" t="s">
        <v>823</v>
      </c>
      <c r="BC369" t="s">
        <v>242</v>
      </c>
      <c r="BK369" t="s">
        <v>860</v>
      </c>
      <c r="BM369" t="s">
        <v>560</v>
      </c>
      <c r="BN369" t="s">
        <v>561</v>
      </c>
      <c r="BO369" t="s">
        <v>989</v>
      </c>
      <c r="BP369">
        <v>3.8</v>
      </c>
      <c r="BQ369" t="s">
        <v>902</v>
      </c>
      <c r="DF369" s="15" t="s">
        <v>9308</v>
      </c>
      <c r="DG369" t="s">
        <v>126</v>
      </c>
      <c r="DH369" t="s">
        <v>159</v>
      </c>
      <c r="DI369" t="s">
        <v>159</v>
      </c>
      <c r="DJ369" t="s">
        <v>326</v>
      </c>
      <c r="DK369">
        <v>2000000</v>
      </c>
    </row>
    <row r="370" spans="1:115" x14ac:dyDescent="0.25">
      <c r="A370" t="s">
        <v>1666</v>
      </c>
      <c r="B370" t="s">
        <v>1667</v>
      </c>
      <c r="F370" t="s">
        <v>526</v>
      </c>
      <c r="N370" t="s">
        <v>1668</v>
      </c>
      <c r="U370" t="s">
        <v>176</v>
      </c>
      <c r="Z370" s="14">
        <v>43277</v>
      </c>
      <c r="AA370" s="14">
        <v>43448</v>
      </c>
      <c r="AD370" s="14">
        <v>43830</v>
      </c>
      <c r="AL370" t="s">
        <v>136</v>
      </c>
      <c r="AN370">
        <v>250000000</v>
      </c>
      <c r="AR370">
        <v>0</v>
      </c>
      <c r="AS370">
        <v>250000000</v>
      </c>
      <c r="BA370" t="s">
        <v>137</v>
      </c>
      <c r="BB370" t="s">
        <v>138</v>
      </c>
      <c r="BC370" t="s">
        <v>125</v>
      </c>
      <c r="DF370" s="15" t="s">
        <v>9308</v>
      </c>
      <c r="DG370" t="s">
        <v>235</v>
      </c>
      <c r="DH370" t="s">
        <v>127</v>
      </c>
      <c r="DI370" t="s">
        <v>236</v>
      </c>
      <c r="DJ370" t="s">
        <v>353</v>
      </c>
      <c r="DK370">
        <v>250000000</v>
      </c>
    </row>
    <row r="371" spans="1:115" x14ac:dyDescent="0.25">
      <c r="A371" t="s">
        <v>1669</v>
      </c>
      <c r="B371" t="s">
        <v>1670</v>
      </c>
      <c r="F371" t="s">
        <v>263</v>
      </c>
      <c r="N371" t="s">
        <v>1671</v>
      </c>
      <c r="U371" t="s">
        <v>176</v>
      </c>
      <c r="Z371" s="14">
        <v>43194</v>
      </c>
      <c r="AA371" s="14">
        <v>43453</v>
      </c>
      <c r="AD371" s="14">
        <v>45291</v>
      </c>
      <c r="AL371" t="s">
        <v>624</v>
      </c>
      <c r="AN371">
        <v>20735000000</v>
      </c>
      <c r="AR371">
        <v>0</v>
      </c>
      <c r="AS371">
        <v>20735000000</v>
      </c>
      <c r="BA371" t="s">
        <v>123</v>
      </c>
      <c r="BB371" t="s">
        <v>124</v>
      </c>
      <c r="BC371" t="s">
        <v>125</v>
      </c>
      <c r="DF371" s="15" t="s">
        <v>9308</v>
      </c>
      <c r="DG371" t="s">
        <v>126</v>
      </c>
      <c r="DH371" t="s">
        <v>127</v>
      </c>
      <c r="DI371" t="s">
        <v>128</v>
      </c>
      <c r="DJ371" t="s">
        <v>326</v>
      </c>
      <c r="DK371">
        <v>37700000</v>
      </c>
    </row>
    <row r="372" spans="1:115" x14ac:dyDescent="0.25">
      <c r="A372" t="s">
        <v>1672</v>
      </c>
      <c r="B372" t="s">
        <v>1673</v>
      </c>
      <c r="F372" t="s">
        <v>118</v>
      </c>
      <c r="I372" t="s">
        <v>1674</v>
      </c>
      <c r="N372" t="s">
        <v>1675</v>
      </c>
      <c r="U372" t="s">
        <v>176</v>
      </c>
      <c r="Z372" s="14">
        <v>43194</v>
      </c>
      <c r="AA372" s="14">
        <v>43453</v>
      </c>
      <c r="AD372" s="14">
        <v>45291</v>
      </c>
      <c r="AL372" t="s">
        <v>624</v>
      </c>
      <c r="AN372">
        <v>16225000000</v>
      </c>
      <c r="AR372">
        <v>0</v>
      </c>
      <c r="AS372">
        <v>16225000000</v>
      </c>
      <c r="AY372" t="s">
        <v>1043</v>
      </c>
      <c r="AZ372" t="s">
        <v>558</v>
      </c>
      <c r="BA372" t="s">
        <v>123</v>
      </c>
      <c r="BB372" t="s">
        <v>124</v>
      </c>
      <c r="BC372" t="s">
        <v>125</v>
      </c>
      <c r="BK372" t="s">
        <v>860</v>
      </c>
      <c r="BM372" t="s">
        <v>861</v>
      </c>
      <c r="BN372" t="s">
        <v>862</v>
      </c>
      <c r="BO372" t="s">
        <v>1173</v>
      </c>
      <c r="BP372">
        <v>7.1</v>
      </c>
      <c r="BQ372" t="s">
        <v>864</v>
      </c>
      <c r="DF372" s="15" t="s">
        <v>9308</v>
      </c>
      <c r="DG372" t="s">
        <v>126</v>
      </c>
      <c r="DH372" t="s">
        <v>127</v>
      </c>
      <c r="DI372" t="s">
        <v>128</v>
      </c>
      <c r="DJ372" t="s">
        <v>326</v>
      </c>
      <c r="DK372">
        <v>29500000</v>
      </c>
    </row>
    <row r="373" spans="1:115" x14ac:dyDescent="0.25">
      <c r="A373" t="s">
        <v>1676</v>
      </c>
      <c r="B373" t="s">
        <v>1677</v>
      </c>
      <c r="F373" t="s">
        <v>205</v>
      </c>
      <c r="N373" t="s">
        <v>1678</v>
      </c>
      <c r="U373" t="s">
        <v>165</v>
      </c>
      <c r="V373" t="s">
        <v>166</v>
      </c>
      <c r="Z373" s="14">
        <v>43244</v>
      </c>
      <c r="AA373" s="14">
        <v>43453</v>
      </c>
      <c r="AD373" s="14">
        <v>45657</v>
      </c>
      <c r="AL373" t="s">
        <v>122</v>
      </c>
      <c r="AN373">
        <v>32797850000</v>
      </c>
      <c r="AR373">
        <v>0</v>
      </c>
      <c r="AS373">
        <v>32797850000</v>
      </c>
      <c r="BA373" t="s">
        <v>689</v>
      </c>
      <c r="BB373" t="s">
        <v>690</v>
      </c>
      <c r="BC373" t="s">
        <v>125</v>
      </c>
      <c r="DF373" s="15" t="s">
        <v>9307</v>
      </c>
      <c r="DG373" t="s">
        <v>126</v>
      </c>
      <c r="DH373" t="s">
        <v>127</v>
      </c>
      <c r="DI373" t="s">
        <v>127</v>
      </c>
      <c r="DJ373" t="s">
        <v>326</v>
      </c>
      <c r="DK373">
        <v>50000000</v>
      </c>
    </row>
    <row r="374" spans="1:115" x14ac:dyDescent="0.25">
      <c r="A374" t="s">
        <v>1679</v>
      </c>
      <c r="B374" t="s">
        <v>1680</v>
      </c>
      <c r="F374" t="s">
        <v>142</v>
      </c>
      <c r="I374" t="s">
        <v>968</v>
      </c>
      <c r="N374" t="s">
        <v>1681</v>
      </c>
      <c r="U374" t="s">
        <v>579</v>
      </c>
      <c r="V374" t="s">
        <v>1620</v>
      </c>
      <c r="W374" t="s">
        <v>1682</v>
      </c>
      <c r="Z374" s="14">
        <v>43231</v>
      </c>
      <c r="AA374" s="14">
        <v>43405</v>
      </c>
      <c r="AD374" s="14">
        <v>45291</v>
      </c>
      <c r="AL374" t="s">
        <v>136</v>
      </c>
      <c r="AN374">
        <v>40478000000</v>
      </c>
      <c r="AR374">
        <v>0</v>
      </c>
      <c r="AS374">
        <v>40478000000</v>
      </c>
      <c r="AY374" t="s">
        <v>1043</v>
      </c>
      <c r="AZ374" t="s">
        <v>558</v>
      </c>
      <c r="BA374" t="s">
        <v>738</v>
      </c>
      <c r="BB374" t="s">
        <v>739</v>
      </c>
      <c r="BC374" t="s">
        <v>442</v>
      </c>
      <c r="BK374" t="s">
        <v>860</v>
      </c>
      <c r="BM374" t="s">
        <v>861</v>
      </c>
      <c r="BN374" t="s">
        <v>862</v>
      </c>
      <c r="BO374" t="s">
        <v>971</v>
      </c>
      <c r="BP374">
        <v>9.1</v>
      </c>
      <c r="BQ374" t="s">
        <v>864</v>
      </c>
      <c r="DF374" s="15" t="s">
        <v>9435</v>
      </c>
      <c r="DG374" t="s">
        <v>126</v>
      </c>
      <c r="DH374" t="s">
        <v>127</v>
      </c>
      <c r="DI374" t="s">
        <v>443</v>
      </c>
      <c r="DJ374" t="s">
        <v>129</v>
      </c>
      <c r="DK374">
        <v>40478000000</v>
      </c>
    </row>
    <row r="375" spans="1:115" x14ac:dyDescent="0.25">
      <c r="A375" t="s">
        <v>1683</v>
      </c>
      <c r="B375" t="s">
        <v>1684</v>
      </c>
      <c r="F375" t="s">
        <v>142</v>
      </c>
      <c r="I375" t="s">
        <v>968</v>
      </c>
      <c r="N375" t="s">
        <v>1685</v>
      </c>
      <c r="U375" t="s">
        <v>165</v>
      </c>
      <c r="V375" t="s">
        <v>166</v>
      </c>
      <c r="Z375" s="14">
        <v>43277</v>
      </c>
      <c r="AA375" s="14">
        <v>43416</v>
      </c>
      <c r="AD375" s="14">
        <v>44196</v>
      </c>
      <c r="AL375" t="s">
        <v>136</v>
      </c>
      <c r="AN375">
        <v>400000000</v>
      </c>
      <c r="AR375">
        <v>0</v>
      </c>
      <c r="AS375">
        <v>400000000</v>
      </c>
      <c r="AY375" t="s">
        <v>1043</v>
      </c>
      <c r="AZ375" t="s">
        <v>558</v>
      </c>
      <c r="BA375" t="s">
        <v>137</v>
      </c>
      <c r="BB375" t="s">
        <v>138</v>
      </c>
      <c r="BC375" t="s">
        <v>125</v>
      </c>
      <c r="BK375" t="s">
        <v>860</v>
      </c>
      <c r="BM375" t="s">
        <v>861</v>
      </c>
      <c r="BN375" t="s">
        <v>862</v>
      </c>
      <c r="BO375" t="s">
        <v>971</v>
      </c>
      <c r="BP375">
        <v>9.1</v>
      </c>
      <c r="BQ375" t="s">
        <v>864</v>
      </c>
      <c r="DF375" s="15" t="s">
        <v>9307</v>
      </c>
      <c r="DG375" t="s">
        <v>235</v>
      </c>
      <c r="DH375" t="s">
        <v>127</v>
      </c>
      <c r="DI375" t="s">
        <v>236</v>
      </c>
      <c r="DJ375" t="s">
        <v>139</v>
      </c>
      <c r="DK375">
        <v>400000000</v>
      </c>
    </row>
    <row r="376" spans="1:115" x14ac:dyDescent="0.25">
      <c r="A376" t="s">
        <v>1686</v>
      </c>
      <c r="B376" t="s">
        <v>1687</v>
      </c>
      <c r="F376" t="s">
        <v>216</v>
      </c>
      <c r="I376" t="s">
        <v>1688</v>
      </c>
      <c r="N376" t="s">
        <v>1689</v>
      </c>
      <c r="U376" t="s">
        <v>399</v>
      </c>
      <c r="V376" t="s">
        <v>400</v>
      </c>
      <c r="W376" t="s">
        <v>1690</v>
      </c>
      <c r="Z376" s="14">
        <v>43231</v>
      </c>
      <c r="AA376" s="14">
        <v>43259</v>
      </c>
      <c r="AD376" s="14">
        <v>44196</v>
      </c>
      <c r="AL376" t="s">
        <v>357</v>
      </c>
      <c r="AN376">
        <v>825200000</v>
      </c>
      <c r="AR376">
        <v>825200000</v>
      </c>
      <c r="AS376">
        <v>0</v>
      </c>
      <c r="AY376" t="s">
        <v>557</v>
      </c>
      <c r="AZ376" t="s">
        <v>880</v>
      </c>
      <c r="BA376" t="s">
        <v>358</v>
      </c>
      <c r="BB376" t="s">
        <v>358</v>
      </c>
      <c r="BC376" t="s">
        <v>242</v>
      </c>
      <c r="BK376" t="s">
        <v>860</v>
      </c>
      <c r="BM376" t="s">
        <v>560</v>
      </c>
      <c r="BN376" t="s">
        <v>561</v>
      </c>
      <c r="BO376" t="s">
        <v>989</v>
      </c>
      <c r="BP376">
        <v>3.8</v>
      </c>
      <c r="BQ376" t="s">
        <v>902</v>
      </c>
      <c r="DF376" s="15" t="s">
        <v>9436</v>
      </c>
      <c r="DG376" t="s">
        <v>126</v>
      </c>
      <c r="DH376" t="s">
        <v>159</v>
      </c>
      <c r="DI376" t="s">
        <v>159</v>
      </c>
      <c r="DJ376" t="s">
        <v>172</v>
      </c>
      <c r="DK376">
        <v>10000000</v>
      </c>
    </row>
    <row r="377" spans="1:115" x14ac:dyDescent="0.25">
      <c r="A377" t="s">
        <v>1691</v>
      </c>
      <c r="B377" t="s">
        <v>1692</v>
      </c>
      <c r="F377" t="s">
        <v>142</v>
      </c>
      <c r="I377" t="s">
        <v>1693</v>
      </c>
      <c r="N377" t="s">
        <v>1694</v>
      </c>
      <c r="U377" t="s">
        <v>165</v>
      </c>
      <c r="V377" t="s">
        <v>166</v>
      </c>
      <c r="Z377" s="14">
        <v>43231</v>
      </c>
      <c r="AA377" s="14">
        <v>43259</v>
      </c>
      <c r="AD377" s="14">
        <v>44561</v>
      </c>
      <c r="AL377" t="s">
        <v>357</v>
      </c>
      <c r="AN377">
        <v>6023960000</v>
      </c>
      <c r="AR377">
        <v>6023960000</v>
      </c>
      <c r="AS377">
        <v>0</v>
      </c>
      <c r="AY377" t="s">
        <v>557</v>
      </c>
      <c r="AZ377" t="s">
        <v>880</v>
      </c>
      <c r="BA377" t="s">
        <v>358</v>
      </c>
      <c r="BB377" t="s">
        <v>358</v>
      </c>
      <c r="BC377" t="s">
        <v>242</v>
      </c>
      <c r="BK377" t="s">
        <v>860</v>
      </c>
      <c r="BM377" t="s">
        <v>861</v>
      </c>
      <c r="BN377" t="s">
        <v>862</v>
      </c>
      <c r="BO377" t="s">
        <v>971</v>
      </c>
      <c r="BP377">
        <v>9.1</v>
      </c>
      <c r="BQ377" t="s">
        <v>864</v>
      </c>
      <c r="DF377" s="15" t="s">
        <v>9307</v>
      </c>
      <c r="DG377" t="s">
        <v>126</v>
      </c>
      <c r="DH377" t="s">
        <v>159</v>
      </c>
      <c r="DI377" t="s">
        <v>159</v>
      </c>
      <c r="DJ377" t="s">
        <v>172</v>
      </c>
      <c r="DK377">
        <v>73000000</v>
      </c>
    </row>
    <row r="378" spans="1:115" x14ac:dyDescent="0.25">
      <c r="A378" t="s">
        <v>1695</v>
      </c>
      <c r="B378" t="s">
        <v>1696</v>
      </c>
      <c r="F378" t="s">
        <v>118</v>
      </c>
      <c r="I378" t="s">
        <v>1275</v>
      </c>
      <c r="N378" t="s">
        <v>1697</v>
      </c>
      <c r="U378" t="s">
        <v>176</v>
      </c>
      <c r="Z378" s="14">
        <v>43277</v>
      </c>
      <c r="AA378" s="14">
        <v>43384</v>
      </c>
      <c r="AD378" s="14">
        <v>45657</v>
      </c>
      <c r="AL378" t="s">
        <v>624</v>
      </c>
      <c r="AN378">
        <v>27500000000</v>
      </c>
      <c r="AR378">
        <v>0</v>
      </c>
      <c r="AS378">
        <v>27500000000</v>
      </c>
      <c r="AY378" t="s">
        <v>1043</v>
      </c>
      <c r="AZ378" t="s">
        <v>558</v>
      </c>
      <c r="BA378" t="s">
        <v>137</v>
      </c>
      <c r="BB378" t="s">
        <v>138</v>
      </c>
      <c r="BC378" t="s">
        <v>125</v>
      </c>
      <c r="BK378" t="s">
        <v>860</v>
      </c>
      <c r="BM378" t="s">
        <v>861</v>
      </c>
      <c r="BN378" t="s">
        <v>862</v>
      </c>
      <c r="BO378" t="s">
        <v>1173</v>
      </c>
      <c r="BP378">
        <v>7.1</v>
      </c>
      <c r="BQ378" t="s">
        <v>864</v>
      </c>
      <c r="DF378" s="15" t="s">
        <v>9308</v>
      </c>
      <c r="DG378" t="s">
        <v>126</v>
      </c>
      <c r="DH378" t="s">
        <v>127</v>
      </c>
      <c r="DI378" t="s">
        <v>128</v>
      </c>
      <c r="DJ378" t="s">
        <v>139</v>
      </c>
      <c r="DK378">
        <v>50000000</v>
      </c>
    </row>
    <row r="379" spans="1:115" x14ac:dyDescent="0.25">
      <c r="A379" t="s">
        <v>1698</v>
      </c>
      <c r="B379" t="s">
        <v>1699</v>
      </c>
      <c r="F379" t="s">
        <v>315</v>
      </c>
      <c r="N379" t="s">
        <v>1700</v>
      </c>
      <c r="U379" t="s">
        <v>176</v>
      </c>
      <c r="Z379" s="14">
        <v>43265</v>
      </c>
      <c r="AA379" s="14">
        <v>43363</v>
      </c>
      <c r="AD379" s="14">
        <v>45657</v>
      </c>
      <c r="AL379" t="s">
        <v>624</v>
      </c>
      <c r="AN379">
        <v>11759536069</v>
      </c>
      <c r="AR379">
        <v>0</v>
      </c>
      <c r="AS379">
        <v>11759536069</v>
      </c>
      <c r="BA379" t="s">
        <v>148</v>
      </c>
      <c r="BB379" t="s">
        <v>149</v>
      </c>
      <c r="BC379" t="s">
        <v>125</v>
      </c>
      <c r="DF379" s="15" t="s">
        <v>9308</v>
      </c>
      <c r="DG379" t="s">
        <v>126</v>
      </c>
      <c r="DH379" t="s">
        <v>127</v>
      </c>
      <c r="DI379" t="s">
        <v>150</v>
      </c>
      <c r="DJ379" t="s">
        <v>151</v>
      </c>
      <c r="DK379">
        <v>21380974.670000002</v>
      </c>
    </row>
    <row r="380" spans="1:115" x14ac:dyDescent="0.25">
      <c r="A380" t="s">
        <v>1701</v>
      </c>
      <c r="B380" t="s">
        <v>1702</v>
      </c>
      <c r="F380" t="s">
        <v>205</v>
      </c>
      <c r="I380" t="s">
        <v>1703</v>
      </c>
      <c r="N380" t="s">
        <v>1704</v>
      </c>
      <c r="U380" t="s">
        <v>176</v>
      </c>
      <c r="Z380" s="14">
        <v>43235</v>
      </c>
      <c r="AA380" s="14">
        <v>43433</v>
      </c>
      <c r="AD380" s="14">
        <v>45291</v>
      </c>
      <c r="AL380" t="s">
        <v>624</v>
      </c>
      <c r="AN380">
        <v>52429503764</v>
      </c>
      <c r="AR380">
        <v>0</v>
      </c>
      <c r="AS380">
        <v>52429503764</v>
      </c>
      <c r="AY380" t="s">
        <v>557</v>
      </c>
      <c r="AZ380" t="s">
        <v>558</v>
      </c>
      <c r="BA380" t="s">
        <v>178</v>
      </c>
      <c r="BB380" t="s">
        <v>179</v>
      </c>
      <c r="BC380" t="s">
        <v>125</v>
      </c>
      <c r="BK380" t="s">
        <v>860</v>
      </c>
      <c r="BM380" t="s">
        <v>560</v>
      </c>
      <c r="BN380" t="s">
        <v>1012</v>
      </c>
      <c r="BO380" t="s">
        <v>939</v>
      </c>
      <c r="BP380">
        <v>11.3</v>
      </c>
      <c r="BQ380" t="s">
        <v>563</v>
      </c>
      <c r="DF380" s="15" t="s">
        <v>9308</v>
      </c>
      <c r="DG380" t="s">
        <v>317</v>
      </c>
      <c r="DH380" t="s">
        <v>127</v>
      </c>
      <c r="DI380" t="s">
        <v>150</v>
      </c>
      <c r="DJ380" t="s">
        <v>181</v>
      </c>
      <c r="DK380">
        <v>95326370.480000004</v>
      </c>
    </row>
    <row r="381" spans="1:115" x14ac:dyDescent="0.25">
      <c r="A381" t="s">
        <v>1705</v>
      </c>
      <c r="B381" t="s">
        <v>1706</v>
      </c>
      <c r="F381" t="s">
        <v>190</v>
      </c>
      <c r="I381" t="s">
        <v>856</v>
      </c>
      <c r="N381" t="s">
        <v>1707</v>
      </c>
      <c r="U381" t="s">
        <v>176</v>
      </c>
      <c r="Z381" s="14">
        <v>43193</v>
      </c>
      <c r="AA381" s="14">
        <v>43231</v>
      </c>
      <c r="AD381" s="14">
        <v>44561</v>
      </c>
      <c r="AL381" t="s">
        <v>1110</v>
      </c>
      <c r="AN381">
        <v>5790000000</v>
      </c>
      <c r="AR381">
        <v>0</v>
      </c>
      <c r="AS381">
        <v>5790000000</v>
      </c>
      <c r="AY381" t="s">
        <v>557</v>
      </c>
      <c r="AZ381" t="s">
        <v>880</v>
      </c>
      <c r="BA381" t="s">
        <v>822</v>
      </c>
      <c r="BB381" t="s">
        <v>823</v>
      </c>
      <c r="BC381" t="s">
        <v>242</v>
      </c>
      <c r="BK381" t="s">
        <v>860</v>
      </c>
      <c r="BM381" t="s">
        <v>861</v>
      </c>
      <c r="BN381" t="s">
        <v>862</v>
      </c>
      <c r="BO381" t="s">
        <v>863</v>
      </c>
      <c r="BP381">
        <v>2.2999999999999998</v>
      </c>
      <c r="BQ381" t="s">
        <v>864</v>
      </c>
      <c r="DF381" s="15" t="s">
        <v>9308</v>
      </c>
      <c r="DG381" t="s">
        <v>317</v>
      </c>
      <c r="DH381" t="s">
        <v>127</v>
      </c>
      <c r="DI381" t="s">
        <v>127</v>
      </c>
      <c r="DJ381" t="s">
        <v>129</v>
      </c>
      <c r="DK381">
        <v>9650000</v>
      </c>
    </row>
    <row r="382" spans="1:115" x14ac:dyDescent="0.25">
      <c r="A382" t="s">
        <v>1708</v>
      </c>
      <c r="B382" t="s">
        <v>1709</v>
      </c>
      <c r="F382" t="s">
        <v>190</v>
      </c>
      <c r="I382" t="s">
        <v>1710</v>
      </c>
      <c r="N382" t="s">
        <v>1711</v>
      </c>
      <c r="U382" t="s">
        <v>752</v>
      </c>
      <c r="Z382" s="14">
        <v>43193</v>
      </c>
      <c r="AA382" s="14">
        <v>43231</v>
      </c>
      <c r="AD382" s="14">
        <v>45291</v>
      </c>
      <c r="AL382" t="s">
        <v>122</v>
      </c>
      <c r="AN382">
        <v>5575634500</v>
      </c>
      <c r="AR382">
        <v>5575634500</v>
      </c>
      <c r="AS382">
        <v>0</v>
      </c>
      <c r="AY382" t="s">
        <v>557</v>
      </c>
      <c r="AZ382" t="s">
        <v>880</v>
      </c>
      <c r="BA382" t="s">
        <v>267</v>
      </c>
      <c r="BB382" t="s">
        <v>267</v>
      </c>
      <c r="BC382" t="s">
        <v>242</v>
      </c>
      <c r="BK382" t="s">
        <v>860</v>
      </c>
      <c r="BM382" t="s">
        <v>861</v>
      </c>
      <c r="BN382" t="s">
        <v>862</v>
      </c>
      <c r="BO382" t="s">
        <v>863</v>
      </c>
      <c r="BP382">
        <v>2.2999999999999998</v>
      </c>
      <c r="BQ382" t="s">
        <v>864</v>
      </c>
      <c r="DF382" s="15" t="s">
        <v>9422</v>
      </c>
      <c r="DG382" t="s">
        <v>126</v>
      </c>
      <c r="DH382" t="s">
        <v>159</v>
      </c>
      <c r="DI382" t="s">
        <v>159</v>
      </c>
      <c r="DJ382" t="s">
        <v>129</v>
      </c>
      <c r="DK382">
        <v>8500000</v>
      </c>
    </row>
    <row r="383" spans="1:115" x14ac:dyDescent="0.25">
      <c r="A383" t="s">
        <v>1712</v>
      </c>
      <c r="B383" t="s">
        <v>1713</v>
      </c>
      <c r="F383" t="s">
        <v>163</v>
      </c>
      <c r="I383" t="s">
        <v>962</v>
      </c>
      <c r="N383" t="s">
        <v>1714</v>
      </c>
      <c r="U383" t="s">
        <v>165</v>
      </c>
      <c r="V383" t="s">
        <v>166</v>
      </c>
      <c r="Z383" s="14">
        <v>43231</v>
      </c>
      <c r="AA383" s="14">
        <v>43242</v>
      </c>
      <c r="AD383" s="14">
        <v>44561</v>
      </c>
      <c r="AL383" t="s">
        <v>122</v>
      </c>
      <c r="AN383">
        <v>885541950</v>
      </c>
      <c r="AR383">
        <v>885541950</v>
      </c>
      <c r="AS383">
        <v>0</v>
      </c>
      <c r="AY383" t="s">
        <v>557</v>
      </c>
      <c r="AZ383" t="s">
        <v>880</v>
      </c>
      <c r="BA383" t="s">
        <v>267</v>
      </c>
      <c r="BB383" t="s">
        <v>267</v>
      </c>
      <c r="BC383" t="s">
        <v>242</v>
      </c>
      <c r="BK383" t="s">
        <v>860</v>
      </c>
      <c r="BM383" t="s">
        <v>964</v>
      </c>
      <c r="BN383" t="s">
        <v>1035</v>
      </c>
      <c r="BO383" t="s">
        <v>1036</v>
      </c>
      <c r="BP383">
        <v>16.600000000000001</v>
      </c>
      <c r="BQ383" t="s">
        <v>902</v>
      </c>
      <c r="DF383" s="15" t="s">
        <v>9307</v>
      </c>
      <c r="DG383" t="s">
        <v>317</v>
      </c>
      <c r="DH383" t="s">
        <v>159</v>
      </c>
      <c r="DI383" t="s">
        <v>159</v>
      </c>
      <c r="DJ383" t="s">
        <v>129</v>
      </c>
      <c r="DK383">
        <v>1350000</v>
      </c>
    </row>
    <row r="384" spans="1:115" x14ac:dyDescent="0.25">
      <c r="A384" t="s">
        <v>1715</v>
      </c>
      <c r="B384" t="s">
        <v>1716</v>
      </c>
      <c r="F384" t="s">
        <v>190</v>
      </c>
      <c r="I384" t="s">
        <v>1176</v>
      </c>
      <c r="N384" t="s">
        <v>1717</v>
      </c>
      <c r="U384" t="s">
        <v>1718</v>
      </c>
      <c r="V384" t="s">
        <v>1719</v>
      </c>
      <c r="Z384" s="14">
        <v>43170</v>
      </c>
      <c r="AA384" s="14">
        <v>43231</v>
      </c>
      <c r="AD384" s="14">
        <v>44561</v>
      </c>
      <c r="AL384" t="s">
        <v>136</v>
      </c>
      <c r="AN384">
        <v>92000000</v>
      </c>
      <c r="AR384">
        <v>92000000</v>
      </c>
      <c r="AS384">
        <v>0</v>
      </c>
      <c r="AY384" t="s">
        <v>557</v>
      </c>
      <c r="AZ384" t="s">
        <v>880</v>
      </c>
      <c r="BA384" t="s">
        <v>1272</v>
      </c>
      <c r="BB384" t="s">
        <v>1272</v>
      </c>
      <c r="BC384" t="s">
        <v>242</v>
      </c>
      <c r="BK384" t="s">
        <v>860</v>
      </c>
      <c r="BM384" t="s">
        <v>861</v>
      </c>
      <c r="BN384" t="s">
        <v>862</v>
      </c>
      <c r="BO384" t="s">
        <v>863</v>
      </c>
      <c r="BP384">
        <v>2.2999999999999998</v>
      </c>
      <c r="BQ384" t="s">
        <v>864</v>
      </c>
      <c r="DF384" s="15" t="s">
        <v>9437</v>
      </c>
      <c r="DG384" t="s">
        <v>126</v>
      </c>
      <c r="DH384" t="s">
        <v>159</v>
      </c>
      <c r="DI384" t="s">
        <v>159</v>
      </c>
      <c r="DJ384" t="s">
        <v>172</v>
      </c>
      <c r="DK384">
        <v>92000000</v>
      </c>
    </row>
    <row r="385" spans="1:115" x14ac:dyDescent="0.25">
      <c r="A385" t="s">
        <v>1720</v>
      </c>
      <c r="B385" t="s">
        <v>1721</v>
      </c>
      <c r="F385" t="s">
        <v>526</v>
      </c>
      <c r="I385" t="s">
        <v>1095</v>
      </c>
      <c r="N385" t="s">
        <v>1722</v>
      </c>
      <c r="U385" t="s">
        <v>176</v>
      </c>
      <c r="Z385" s="14">
        <v>43231</v>
      </c>
      <c r="AA385" s="14">
        <v>43411</v>
      </c>
      <c r="AD385" s="14">
        <v>43465</v>
      </c>
      <c r="AL385" t="s">
        <v>1127</v>
      </c>
      <c r="AN385">
        <v>38790000</v>
      </c>
      <c r="AR385">
        <v>38790000</v>
      </c>
      <c r="AS385">
        <v>0</v>
      </c>
      <c r="AY385" t="s">
        <v>557</v>
      </c>
      <c r="AZ385" t="s">
        <v>880</v>
      </c>
      <c r="BA385" t="s">
        <v>1128</v>
      </c>
      <c r="BB385" t="s">
        <v>1128</v>
      </c>
      <c r="BC385" t="s">
        <v>242</v>
      </c>
      <c r="BK385" t="s">
        <v>860</v>
      </c>
      <c r="BM385" t="s">
        <v>560</v>
      </c>
      <c r="BN385" t="s">
        <v>561</v>
      </c>
      <c r="BO385" t="s">
        <v>1022</v>
      </c>
      <c r="BP385">
        <v>1.3</v>
      </c>
      <c r="BQ385" t="s">
        <v>902</v>
      </c>
      <c r="DF385" s="15" t="s">
        <v>9308</v>
      </c>
      <c r="DG385" t="s">
        <v>126</v>
      </c>
      <c r="DH385" t="s">
        <v>159</v>
      </c>
      <c r="DI385" t="s">
        <v>159</v>
      </c>
      <c r="DJ385" t="s">
        <v>129</v>
      </c>
      <c r="DK385">
        <v>90000</v>
      </c>
    </row>
    <row r="386" spans="1:115" x14ac:dyDescent="0.25">
      <c r="A386" t="s">
        <v>1723</v>
      </c>
      <c r="B386" t="s">
        <v>1038</v>
      </c>
      <c r="F386" t="s">
        <v>1039</v>
      </c>
      <c r="I386" t="s">
        <v>1040</v>
      </c>
      <c r="N386" t="s">
        <v>1724</v>
      </c>
      <c r="U386" t="s">
        <v>176</v>
      </c>
      <c r="Z386" s="14">
        <v>43101</v>
      </c>
      <c r="AA386" s="14">
        <v>43231</v>
      </c>
      <c r="AD386" s="14">
        <v>45291</v>
      </c>
      <c r="AL386" t="s">
        <v>136</v>
      </c>
      <c r="AN386">
        <v>461700660000</v>
      </c>
      <c r="AR386">
        <v>0</v>
      </c>
      <c r="AS386">
        <v>461700660000</v>
      </c>
      <c r="AY386" t="s">
        <v>1043</v>
      </c>
      <c r="AZ386" t="s">
        <v>1038</v>
      </c>
      <c r="BA386" t="s">
        <v>1044</v>
      </c>
      <c r="BB386" t="s">
        <v>1045</v>
      </c>
      <c r="BC386" t="s">
        <v>1044</v>
      </c>
      <c r="BK386" t="s">
        <v>860</v>
      </c>
      <c r="BM386" t="s">
        <v>861</v>
      </c>
      <c r="BN386" t="s">
        <v>1046</v>
      </c>
      <c r="BO386" t="s">
        <v>1047</v>
      </c>
      <c r="BP386">
        <v>17.170000000000002</v>
      </c>
      <c r="BQ386" t="s">
        <v>864</v>
      </c>
      <c r="DF386" s="15" t="s">
        <v>9308</v>
      </c>
      <c r="DG386" t="s">
        <v>1048</v>
      </c>
      <c r="DH386" t="s">
        <v>127</v>
      </c>
      <c r="DI386" t="s">
        <v>1049</v>
      </c>
      <c r="DJ386" t="s">
        <v>172</v>
      </c>
      <c r="DK386">
        <v>461700660000</v>
      </c>
    </row>
    <row r="387" spans="1:115" x14ac:dyDescent="0.25">
      <c r="A387" t="s">
        <v>1725</v>
      </c>
      <c r="B387" t="s">
        <v>1392</v>
      </c>
      <c r="F387" t="s">
        <v>1039</v>
      </c>
      <c r="I387" t="s">
        <v>1040</v>
      </c>
      <c r="N387" t="s">
        <v>1726</v>
      </c>
      <c r="U387" t="s">
        <v>176</v>
      </c>
      <c r="Z387" s="14">
        <v>43101</v>
      </c>
      <c r="AA387" s="14">
        <v>43231</v>
      </c>
      <c r="AD387" s="14">
        <v>43830</v>
      </c>
      <c r="AL387" t="s">
        <v>624</v>
      </c>
      <c r="AN387">
        <v>270100600</v>
      </c>
      <c r="AR387">
        <v>270100600</v>
      </c>
      <c r="AS387">
        <v>0</v>
      </c>
      <c r="AY387" t="s">
        <v>557</v>
      </c>
      <c r="AZ387" t="s">
        <v>880</v>
      </c>
      <c r="BA387" t="s">
        <v>1010</v>
      </c>
      <c r="BB387" t="s">
        <v>1011</v>
      </c>
      <c r="BC387" t="s">
        <v>125</v>
      </c>
      <c r="BK387" t="s">
        <v>860</v>
      </c>
      <c r="BM387" t="s">
        <v>861</v>
      </c>
      <c r="BN387" t="s">
        <v>1046</v>
      </c>
      <c r="BO387" t="s">
        <v>1047</v>
      </c>
      <c r="BP387">
        <v>17.170000000000002</v>
      </c>
      <c r="BQ387" t="s">
        <v>864</v>
      </c>
      <c r="DF387" s="15" t="s">
        <v>9308</v>
      </c>
      <c r="DG387" t="s">
        <v>126</v>
      </c>
      <c r="DH387" t="s">
        <v>159</v>
      </c>
      <c r="DI387" t="s">
        <v>159</v>
      </c>
      <c r="DJ387" t="s">
        <v>172</v>
      </c>
      <c r="DK387">
        <v>491092</v>
      </c>
    </row>
    <row r="388" spans="1:115" x14ac:dyDescent="0.25">
      <c r="A388" t="s">
        <v>1727</v>
      </c>
      <c r="B388" t="s">
        <v>1728</v>
      </c>
      <c r="F388" t="s">
        <v>216</v>
      </c>
      <c r="I388" t="s">
        <v>1103</v>
      </c>
      <c r="N388" t="s">
        <v>1729</v>
      </c>
      <c r="U388" t="s">
        <v>176</v>
      </c>
      <c r="Z388" s="14">
        <v>43170</v>
      </c>
      <c r="AA388" s="14">
        <v>43231</v>
      </c>
      <c r="AD388" s="14">
        <v>44561</v>
      </c>
      <c r="AL388" t="s">
        <v>624</v>
      </c>
      <c r="AN388">
        <v>1178262800</v>
      </c>
      <c r="AR388">
        <v>1178262800</v>
      </c>
      <c r="AS388">
        <v>0</v>
      </c>
      <c r="AY388" t="s">
        <v>557</v>
      </c>
      <c r="AZ388" t="s">
        <v>880</v>
      </c>
      <c r="BA388" t="s">
        <v>1020</v>
      </c>
      <c r="BB388" t="s">
        <v>1021</v>
      </c>
      <c r="BC388" t="s">
        <v>242</v>
      </c>
      <c r="BK388" t="s">
        <v>860</v>
      </c>
      <c r="BM388" t="s">
        <v>560</v>
      </c>
      <c r="BN388" t="s">
        <v>561</v>
      </c>
      <c r="BO388" t="s">
        <v>989</v>
      </c>
      <c r="BP388">
        <v>3.8</v>
      </c>
      <c r="BQ388" t="s">
        <v>902</v>
      </c>
      <c r="DF388" s="15" t="s">
        <v>9308</v>
      </c>
      <c r="DG388" t="s">
        <v>126</v>
      </c>
      <c r="DH388" t="s">
        <v>159</v>
      </c>
      <c r="DI388" t="s">
        <v>159</v>
      </c>
      <c r="DJ388" t="s">
        <v>172</v>
      </c>
      <c r="DK388">
        <v>2142296</v>
      </c>
    </row>
    <row r="389" spans="1:115" x14ac:dyDescent="0.25">
      <c r="A389" t="s">
        <v>1730</v>
      </c>
      <c r="B389" t="s">
        <v>1731</v>
      </c>
      <c r="F389" t="s">
        <v>216</v>
      </c>
      <c r="I389" t="s">
        <v>1091</v>
      </c>
      <c r="N389" t="s">
        <v>1732</v>
      </c>
      <c r="U389" t="s">
        <v>176</v>
      </c>
      <c r="Z389" s="14">
        <v>43231</v>
      </c>
      <c r="AA389" s="14">
        <v>43276</v>
      </c>
      <c r="AD389" s="14">
        <v>44926</v>
      </c>
      <c r="AL389" t="s">
        <v>1127</v>
      </c>
      <c r="AN389">
        <v>3448000000</v>
      </c>
      <c r="AR389">
        <v>3448000000</v>
      </c>
      <c r="AS389">
        <v>0</v>
      </c>
      <c r="AY389" t="s">
        <v>557</v>
      </c>
      <c r="AZ389" t="s">
        <v>880</v>
      </c>
      <c r="BA389" t="s">
        <v>1128</v>
      </c>
      <c r="BB389" t="s">
        <v>1128</v>
      </c>
      <c r="BC389" t="s">
        <v>242</v>
      </c>
      <c r="BK389" t="s">
        <v>860</v>
      </c>
      <c r="BM389" t="s">
        <v>560</v>
      </c>
      <c r="BN389" t="s">
        <v>561</v>
      </c>
      <c r="BO389" t="s">
        <v>989</v>
      </c>
      <c r="BP389">
        <v>3.8</v>
      </c>
      <c r="BQ389" t="s">
        <v>902</v>
      </c>
      <c r="DF389" s="15" t="s">
        <v>9308</v>
      </c>
      <c r="DG389" t="s">
        <v>126</v>
      </c>
      <c r="DH389" t="s">
        <v>159</v>
      </c>
      <c r="DI389" t="s">
        <v>159</v>
      </c>
      <c r="DJ389" t="s">
        <v>129</v>
      </c>
      <c r="DK389">
        <v>8000000</v>
      </c>
    </row>
    <row r="390" spans="1:115" x14ac:dyDescent="0.25">
      <c r="A390" t="s">
        <v>1733</v>
      </c>
      <c r="B390" t="s">
        <v>1734</v>
      </c>
      <c r="F390" t="s">
        <v>526</v>
      </c>
      <c r="I390" t="s">
        <v>962</v>
      </c>
      <c r="N390" t="s">
        <v>1735</v>
      </c>
      <c r="U390" t="s">
        <v>165</v>
      </c>
      <c r="V390" t="s">
        <v>166</v>
      </c>
      <c r="Z390" s="14">
        <v>43170</v>
      </c>
      <c r="AA390" s="14">
        <v>43231</v>
      </c>
      <c r="AD390" s="14">
        <v>44196</v>
      </c>
      <c r="AL390" t="s">
        <v>624</v>
      </c>
      <c r="AN390">
        <v>377979228</v>
      </c>
      <c r="AR390">
        <v>377979228</v>
      </c>
      <c r="AS390">
        <v>0</v>
      </c>
      <c r="AY390" t="s">
        <v>557</v>
      </c>
      <c r="AZ390" t="s">
        <v>880</v>
      </c>
      <c r="BA390" t="s">
        <v>1010</v>
      </c>
      <c r="BB390" t="s">
        <v>1011</v>
      </c>
      <c r="BC390" t="s">
        <v>125</v>
      </c>
      <c r="BK390" t="s">
        <v>860</v>
      </c>
      <c r="BM390" t="s">
        <v>560</v>
      </c>
      <c r="BN390" t="s">
        <v>561</v>
      </c>
      <c r="BO390" t="s">
        <v>1022</v>
      </c>
      <c r="BP390">
        <v>1.3</v>
      </c>
      <c r="BQ390" t="s">
        <v>902</v>
      </c>
      <c r="DF390" s="15" t="s">
        <v>9307</v>
      </c>
      <c r="DG390" t="s">
        <v>317</v>
      </c>
      <c r="DH390" t="s">
        <v>159</v>
      </c>
      <c r="DI390" t="s">
        <v>159</v>
      </c>
      <c r="DJ390" t="s">
        <v>172</v>
      </c>
      <c r="DK390">
        <v>687234.96</v>
      </c>
    </row>
    <row r="391" spans="1:115" x14ac:dyDescent="0.25">
      <c r="A391" t="s">
        <v>1736</v>
      </c>
      <c r="B391" t="s">
        <v>1737</v>
      </c>
      <c r="F391" t="s">
        <v>205</v>
      </c>
      <c r="I391" t="s">
        <v>1006</v>
      </c>
      <c r="N391" t="s">
        <v>1738</v>
      </c>
      <c r="U391" t="s">
        <v>211</v>
      </c>
      <c r="V391" t="s">
        <v>638</v>
      </c>
      <c r="Z391" s="14">
        <v>43193</v>
      </c>
      <c r="AA391" s="14">
        <v>43231</v>
      </c>
      <c r="AD391" s="14">
        <v>45291</v>
      </c>
      <c r="AL391" t="s">
        <v>122</v>
      </c>
      <c r="AN391">
        <v>957697220</v>
      </c>
      <c r="AR391">
        <v>957697220</v>
      </c>
      <c r="AS391">
        <v>0</v>
      </c>
      <c r="AY391" t="s">
        <v>557</v>
      </c>
      <c r="AZ391" t="s">
        <v>880</v>
      </c>
      <c r="BA391" t="s">
        <v>267</v>
      </c>
      <c r="BB391" t="s">
        <v>267</v>
      </c>
      <c r="BC391" t="s">
        <v>242</v>
      </c>
      <c r="BK391" t="s">
        <v>860</v>
      </c>
      <c r="BM391" t="s">
        <v>560</v>
      </c>
      <c r="BN391" t="s">
        <v>1012</v>
      </c>
      <c r="BO391" t="s">
        <v>939</v>
      </c>
      <c r="BP391">
        <v>11.3</v>
      </c>
      <c r="BQ391" t="s">
        <v>563</v>
      </c>
      <c r="DF391" s="15" t="s">
        <v>9358</v>
      </c>
      <c r="DG391" t="s">
        <v>126</v>
      </c>
      <c r="DH391" t="s">
        <v>159</v>
      </c>
      <c r="DI391" t="s">
        <v>159</v>
      </c>
      <c r="DJ391" t="s">
        <v>129</v>
      </c>
      <c r="DK391">
        <v>1460000</v>
      </c>
    </row>
    <row r="392" spans="1:115" x14ac:dyDescent="0.25">
      <c r="A392" t="s">
        <v>1739</v>
      </c>
      <c r="B392" t="s">
        <v>1740</v>
      </c>
      <c r="F392" t="s">
        <v>216</v>
      </c>
      <c r="I392" t="s">
        <v>1091</v>
      </c>
      <c r="N392" t="s">
        <v>1741</v>
      </c>
      <c r="U392" t="s">
        <v>1742</v>
      </c>
      <c r="Z392" s="14">
        <v>43231</v>
      </c>
      <c r="AA392" s="14">
        <v>43279</v>
      </c>
      <c r="AD392" s="14">
        <v>44926</v>
      </c>
      <c r="AL392" t="s">
        <v>1127</v>
      </c>
      <c r="AN392">
        <v>3469550000</v>
      </c>
      <c r="AR392">
        <v>3469550000</v>
      </c>
      <c r="AS392">
        <v>0</v>
      </c>
      <c r="AY392" t="s">
        <v>557</v>
      </c>
      <c r="AZ392" t="s">
        <v>880</v>
      </c>
      <c r="BA392" t="s">
        <v>1128</v>
      </c>
      <c r="BB392" t="s">
        <v>1128</v>
      </c>
      <c r="BC392" t="s">
        <v>242</v>
      </c>
      <c r="BK392" t="s">
        <v>860</v>
      </c>
      <c r="BM392" t="s">
        <v>560</v>
      </c>
      <c r="BN392" t="s">
        <v>561</v>
      </c>
      <c r="BO392" t="s">
        <v>989</v>
      </c>
      <c r="BP392">
        <v>3.8</v>
      </c>
      <c r="BQ392" t="s">
        <v>902</v>
      </c>
      <c r="DF392" s="15" t="s">
        <v>9438</v>
      </c>
      <c r="DG392" t="s">
        <v>126</v>
      </c>
      <c r="DH392" t="s">
        <v>159</v>
      </c>
      <c r="DI392" t="s">
        <v>159</v>
      </c>
      <c r="DJ392" t="s">
        <v>129</v>
      </c>
      <c r="DK392">
        <v>8050000</v>
      </c>
    </row>
    <row r="393" spans="1:115" x14ac:dyDescent="0.25">
      <c r="A393" t="s">
        <v>1743</v>
      </c>
      <c r="B393" t="s">
        <v>1744</v>
      </c>
      <c r="F393" t="s">
        <v>526</v>
      </c>
      <c r="I393" t="s">
        <v>1131</v>
      </c>
      <c r="N393" t="s">
        <v>1745</v>
      </c>
      <c r="U393" t="s">
        <v>233</v>
      </c>
      <c r="Z393" s="14">
        <v>43193</v>
      </c>
      <c r="AA393" s="14">
        <v>43231</v>
      </c>
      <c r="AD393" s="14">
        <v>44561</v>
      </c>
      <c r="AL393" t="s">
        <v>1110</v>
      </c>
      <c r="AN393">
        <v>2116600000</v>
      </c>
      <c r="AR393">
        <v>2116600000</v>
      </c>
      <c r="AS393">
        <v>0</v>
      </c>
      <c r="AY393" t="s">
        <v>557</v>
      </c>
      <c r="AZ393" t="s">
        <v>880</v>
      </c>
      <c r="BA393" t="s">
        <v>822</v>
      </c>
      <c r="BB393" t="s">
        <v>823</v>
      </c>
      <c r="BC393" t="s">
        <v>242</v>
      </c>
      <c r="BK393" t="s">
        <v>860</v>
      </c>
      <c r="BM393" t="s">
        <v>560</v>
      </c>
      <c r="BN393" t="s">
        <v>561</v>
      </c>
      <c r="BO393" t="s">
        <v>1022</v>
      </c>
      <c r="BP393">
        <v>1.3</v>
      </c>
      <c r="BQ393" t="s">
        <v>902</v>
      </c>
      <c r="DF393" s="15" t="s">
        <v>9396</v>
      </c>
      <c r="DG393" t="s">
        <v>170</v>
      </c>
      <c r="DH393" t="s">
        <v>159</v>
      </c>
      <c r="DI393" t="s">
        <v>159</v>
      </c>
      <c r="DJ393" t="s">
        <v>129</v>
      </c>
      <c r="DK393">
        <v>3800000</v>
      </c>
    </row>
    <row r="394" spans="1:115" x14ac:dyDescent="0.25">
      <c r="A394" t="s">
        <v>1746</v>
      </c>
      <c r="B394" t="s">
        <v>1747</v>
      </c>
      <c r="F394" t="s">
        <v>118</v>
      </c>
      <c r="I394" t="s">
        <v>1171</v>
      </c>
      <c r="N394" t="s">
        <v>1748</v>
      </c>
      <c r="U394" t="s">
        <v>155</v>
      </c>
      <c r="V394" t="s">
        <v>1749</v>
      </c>
      <c r="Z394" s="14">
        <v>43170</v>
      </c>
      <c r="AA394" s="14">
        <v>43231</v>
      </c>
      <c r="AD394" s="14">
        <v>44561</v>
      </c>
      <c r="AL394" t="s">
        <v>624</v>
      </c>
      <c r="AN394">
        <v>388025000</v>
      </c>
      <c r="AR394">
        <v>388025000</v>
      </c>
      <c r="AS394">
        <v>0</v>
      </c>
      <c r="AY394" t="s">
        <v>557</v>
      </c>
      <c r="AZ394" t="s">
        <v>880</v>
      </c>
      <c r="BA394" t="s">
        <v>1010</v>
      </c>
      <c r="BB394" t="s">
        <v>1011</v>
      </c>
      <c r="BC394" t="s">
        <v>125</v>
      </c>
      <c r="BK394" t="s">
        <v>860</v>
      </c>
      <c r="BM394" t="s">
        <v>861</v>
      </c>
      <c r="BN394" t="s">
        <v>862</v>
      </c>
      <c r="BO394" t="s">
        <v>1173</v>
      </c>
      <c r="BP394">
        <v>7.1</v>
      </c>
      <c r="BQ394" t="s">
        <v>864</v>
      </c>
      <c r="DF394" s="15" t="s">
        <v>9439</v>
      </c>
      <c r="DG394" t="s">
        <v>126</v>
      </c>
      <c r="DH394" t="s">
        <v>159</v>
      </c>
      <c r="DI394" t="s">
        <v>159</v>
      </c>
      <c r="DJ394" t="s">
        <v>172</v>
      </c>
      <c r="DK394">
        <v>705500</v>
      </c>
    </row>
    <row r="395" spans="1:115" x14ac:dyDescent="0.25">
      <c r="A395" t="s">
        <v>1750</v>
      </c>
      <c r="B395" t="s">
        <v>1094</v>
      </c>
      <c r="F395" t="s">
        <v>526</v>
      </c>
      <c r="I395" t="s">
        <v>1095</v>
      </c>
      <c r="N395" t="s">
        <v>1751</v>
      </c>
      <c r="U395" t="s">
        <v>176</v>
      </c>
      <c r="Z395" s="14">
        <v>43231</v>
      </c>
      <c r="AA395" s="14">
        <v>43453</v>
      </c>
      <c r="AD395" s="14">
        <v>44469</v>
      </c>
      <c r="AL395" t="s">
        <v>624</v>
      </c>
      <c r="AN395">
        <v>22000000</v>
      </c>
      <c r="AR395">
        <v>22000000</v>
      </c>
      <c r="AS395">
        <v>0</v>
      </c>
      <c r="AY395" t="s">
        <v>557</v>
      </c>
      <c r="AZ395" t="s">
        <v>880</v>
      </c>
      <c r="BA395" t="s">
        <v>1020</v>
      </c>
      <c r="BB395" t="s">
        <v>1021</v>
      </c>
      <c r="BC395" t="s">
        <v>242</v>
      </c>
      <c r="BK395" t="s">
        <v>860</v>
      </c>
      <c r="BM395" t="s">
        <v>560</v>
      </c>
      <c r="BN395" t="s">
        <v>561</v>
      </c>
      <c r="BO395" t="s">
        <v>1022</v>
      </c>
      <c r="BP395">
        <v>1.3</v>
      </c>
      <c r="BQ395" t="s">
        <v>902</v>
      </c>
      <c r="DF395" s="15" t="s">
        <v>9308</v>
      </c>
      <c r="DG395" t="s">
        <v>126</v>
      </c>
      <c r="DH395" t="s">
        <v>159</v>
      </c>
      <c r="DI395" t="s">
        <v>159</v>
      </c>
      <c r="DJ395" t="s">
        <v>172</v>
      </c>
      <c r="DK395">
        <v>40000</v>
      </c>
    </row>
    <row r="396" spans="1:115" x14ac:dyDescent="0.25">
      <c r="A396" t="s">
        <v>1752</v>
      </c>
      <c r="B396" t="s">
        <v>1753</v>
      </c>
      <c r="F396" t="s">
        <v>205</v>
      </c>
      <c r="I396" t="s">
        <v>1754</v>
      </c>
      <c r="N396" t="s">
        <v>1755</v>
      </c>
      <c r="U396" t="s">
        <v>176</v>
      </c>
      <c r="Z396" s="14">
        <v>43170</v>
      </c>
      <c r="AA396" s="14">
        <v>43231</v>
      </c>
      <c r="AD396" s="14">
        <v>44834</v>
      </c>
      <c r="AL396" t="s">
        <v>624</v>
      </c>
      <c r="AN396">
        <v>16948800</v>
      </c>
      <c r="AR396">
        <v>16948800</v>
      </c>
      <c r="AS396">
        <v>0</v>
      </c>
      <c r="AY396" t="s">
        <v>557</v>
      </c>
      <c r="AZ396" t="s">
        <v>880</v>
      </c>
      <c r="BA396" t="s">
        <v>1020</v>
      </c>
      <c r="BB396" t="s">
        <v>1021</v>
      </c>
      <c r="BC396" t="s">
        <v>242</v>
      </c>
      <c r="BK396" t="s">
        <v>860</v>
      </c>
      <c r="BM396" t="s">
        <v>560</v>
      </c>
      <c r="BN396" t="s">
        <v>1012</v>
      </c>
      <c r="BO396" t="s">
        <v>939</v>
      </c>
      <c r="BP396">
        <v>11.3</v>
      </c>
      <c r="BQ396" t="s">
        <v>563</v>
      </c>
      <c r="DF396" s="15" t="s">
        <v>9308</v>
      </c>
      <c r="DG396" t="s">
        <v>126</v>
      </c>
      <c r="DH396" t="s">
        <v>159</v>
      </c>
      <c r="DI396" t="s">
        <v>159</v>
      </c>
      <c r="DJ396" t="s">
        <v>172</v>
      </c>
      <c r="DK396">
        <v>30816</v>
      </c>
    </row>
    <row r="397" spans="1:115" x14ac:dyDescent="0.25">
      <c r="A397" t="s">
        <v>1756</v>
      </c>
      <c r="B397" t="s">
        <v>1422</v>
      </c>
      <c r="F397" t="s">
        <v>190</v>
      </c>
      <c r="I397" t="s">
        <v>974</v>
      </c>
      <c r="N397" t="s">
        <v>1757</v>
      </c>
      <c r="U397" t="s">
        <v>1313</v>
      </c>
      <c r="Z397" s="14">
        <v>43193</v>
      </c>
      <c r="AA397" s="14">
        <v>43231</v>
      </c>
      <c r="AD397" s="14">
        <v>44561</v>
      </c>
      <c r="AL397" t="s">
        <v>122</v>
      </c>
      <c r="AN397">
        <v>5542836650</v>
      </c>
      <c r="AR397">
        <v>5542836650</v>
      </c>
      <c r="AS397">
        <v>0</v>
      </c>
      <c r="AY397" t="s">
        <v>557</v>
      </c>
      <c r="AZ397" t="s">
        <v>880</v>
      </c>
      <c r="BA397" t="s">
        <v>267</v>
      </c>
      <c r="BB397" t="s">
        <v>267</v>
      </c>
      <c r="BC397" t="s">
        <v>242</v>
      </c>
      <c r="BK397" t="s">
        <v>860</v>
      </c>
      <c r="BM397" t="s">
        <v>861</v>
      </c>
      <c r="BN397" t="s">
        <v>862</v>
      </c>
      <c r="BO397" t="s">
        <v>863</v>
      </c>
      <c r="BP397">
        <v>2.2999999999999998</v>
      </c>
      <c r="BQ397" t="s">
        <v>864</v>
      </c>
      <c r="DF397" s="15" t="s">
        <v>9414</v>
      </c>
      <c r="DG397" t="s">
        <v>126</v>
      </c>
      <c r="DH397" t="s">
        <v>159</v>
      </c>
      <c r="DI397" t="s">
        <v>159</v>
      </c>
      <c r="DJ397" t="s">
        <v>129</v>
      </c>
      <c r="DK397">
        <v>8450000</v>
      </c>
    </row>
    <row r="398" spans="1:115" x14ac:dyDescent="0.25">
      <c r="A398" t="s">
        <v>1758</v>
      </c>
      <c r="B398" t="s">
        <v>1759</v>
      </c>
      <c r="F398" t="s">
        <v>205</v>
      </c>
      <c r="I398" t="s">
        <v>1052</v>
      </c>
      <c r="N398" t="s">
        <v>1760</v>
      </c>
      <c r="U398" t="s">
        <v>165</v>
      </c>
      <c r="V398" t="s">
        <v>166</v>
      </c>
      <c r="Z398" s="14">
        <v>43193</v>
      </c>
      <c r="AA398" s="14">
        <v>43231</v>
      </c>
      <c r="AD398" s="14">
        <v>44561</v>
      </c>
      <c r="AL398" t="s">
        <v>122</v>
      </c>
      <c r="AN398">
        <v>1666130780</v>
      </c>
      <c r="AR398">
        <v>1666130780</v>
      </c>
      <c r="AS398">
        <v>0</v>
      </c>
      <c r="AY398" t="s">
        <v>557</v>
      </c>
      <c r="AZ398" t="s">
        <v>880</v>
      </c>
      <c r="BA398" t="s">
        <v>267</v>
      </c>
      <c r="BB398" t="s">
        <v>267</v>
      </c>
      <c r="BC398" t="s">
        <v>242</v>
      </c>
      <c r="BK398" t="s">
        <v>860</v>
      </c>
      <c r="BM398" t="s">
        <v>560</v>
      </c>
      <c r="BN398" t="s">
        <v>1012</v>
      </c>
      <c r="BO398" t="s">
        <v>939</v>
      </c>
      <c r="BP398">
        <v>11.3</v>
      </c>
      <c r="BQ398" t="s">
        <v>563</v>
      </c>
      <c r="DF398" s="15" t="s">
        <v>9307</v>
      </c>
      <c r="DG398" t="s">
        <v>126</v>
      </c>
      <c r="DH398" t="s">
        <v>159</v>
      </c>
      <c r="DI398" t="s">
        <v>159</v>
      </c>
      <c r="DJ398" t="s">
        <v>129</v>
      </c>
      <c r="DK398">
        <v>2540000</v>
      </c>
    </row>
    <row r="399" spans="1:115" x14ac:dyDescent="0.25">
      <c r="A399" t="s">
        <v>1761</v>
      </c>
      <c r="B399" t="s">
        <v>1762</v>
      </c>
      <c r="F399" t="s">
        <v>315</v>
      </c>
      <c r="I399" t="s">
        <v>1519</v>
      </c>
      <c r="N399" t="s">
        <v>1763</v>
      </c>
      <c r="U399" t="s">
        <v>176</v>
      </c>
      <c r="Z399" s="14">
        <v>43231</v>
      </c>
      <c r="AA399" s="14">
        <v>43453</v>
      </c>
      <c r="AD399" s="14">
        <v>44561</v>
      </c>
      <c r="AL399" t="s">
        <v>122</v>
      </c>
      <c r="AN399">
        <v>10495312000</v>
      </c>
      <c r="AR399">
        <v>0</v>
      </c>
      <c r="AS399">
        <v>10495312000</v>
      </c>
      <c r="AY399" t="s">
        <v>557</v>
      </c>
      <c r="AZ399" t="s">
        <v>558</v>
      </c>
      <c r="BA399" t="s">
        <v>267</v>
      </c>
      <c r="BB399" t="s">
        <v>267</v>
      </c>
      <c r="BC399" t="s">
        <v>242</v>
      </c>
      <c r="BK399" t="s">
        <v>860</v>
      </c>
      <c r="BM399" t="s">
        <v>861</v>
      </c>
      <c r="BN399" t="s">
        <v>900</v>
      </c>
      <c r="BO399" t="s">
        <v>901</v>
      </c>
      <c r="BP399">
        <v>4.0999999999999996</v>
      </c>
      <c r="BQ399" t="s">
        <v>902</v>
      </c>
      <c r="DF399" s="15" t="s">
        <v>9308</v>
      </c>
      <c r="DG399" t="s">
        <v>126</v>
      </c>
      <c r="DH399" t="s">
        <v>127</v>
      </c>
      <c r="DI399" t="s">
        <v>150</v>
      </c>
      <c r="DJ399" t="s">
        <v>129</v>
      </c>
      <c r="DK399">
        <v>16000000</v>
      </c>
    </row>
    <row r="400" spans="1:115" x14ac:dyDescent="0.25">
      <c r="A400" t="s">
        <v>1764</v>
      </c>
      <c r="B400" t="s">
        <v>1765</v>
      </c>
      <c r="F400" t="s">
        <v>526</v>
      </c>
      <c r="I400" t="s">
        <v>1095</v>
      </c>
      <c r="N400" t="s">
        <v>1766</v>
      </c>
      <c r="U400" t="s">
        <v>1167</v>
      </c>
      <c r="V400" t="s">
        <v>1767</v>
      </c>
      <c r="Z400" s="14">
        <v>43170</v>
      </c>
      <c r="AA400" s="14">
        <v>43231</v>
      </c>
      <c r="AD400" s="14">
        <v>44561</v>
      </c>
      <c r="AL400" t="s">
        <v>122</v>
      </c>
      <c r="AN400">
        <v>102436213</v>
      </c>
      <c r="AR400">
        <v>102436213</v>
      </c>
      <c r="AS400">
        <v>0</v>
      </c>
      <c r="AY400" t="s">
        <v>557</v>
      </c>
      <c r="AZ400" t="s">
        <v>880</v>
      </c>
      <c r="BA400" t="s">
        <v>1439</v>
      </c>
      <c r="BB400" t="s">
        <v>1439</v>
      </c>
      <c r="BC400" t="s">
        <v>242</v>
      </c>
      <c r="BK400" t="s">
        <v>860</v>
      </c>
      <c r="BM400" t="s">
        <v>560</v>
      </c>
      <c r="BN400" t="s">
        <v>561</v>
      </c>
      <c r="BO400" t="s">
        <v>1022</v>
      </c>
      <c r="BP400">
        <v>1.3</v>
      </c>
      <c r="BQ400" t="s">
        <v>902</v>
      </c>
      <c r="DF400" s="15" t="s">
        <v>9440</v>
      </c>
      <c r="DG400" t="s">
        <v>126</v>
      </c>
      <c r="DH400" t="s">
        <v>159</v>
      </c>
      <c r="DI400" t="s">
        <v>159</v>
      </c>
      <c r="DJ400" t="s">
        <v>129</v>
      </c>
      <c r="DK400">
        <v>156163</v>
      </c>
    </row>
    <row r="401" spans="1:115" x14ac:dyDescent="0.25">
      <c r="A401" t="s">
        <v>1768</v>
      </c>
      <c r="B401" t="s">
        <v>1769</v>
      </c>
      <c r="F401" t="s">
        <v>216</v>
      </c>
      <c r="I401" t="s">
        <v>1770</v>
      </c>
      <c r="N401" t="s">
        <v>1771</v>
      </c>
      <c r="U401" t="s">
        <v>176</v>
      </c>
      <c r="Z401" s="14">
        <v>43170</v>
      </c>
      <c r="AA401" s="14">
        <v>43231</v>
      </c>
      <c r="AD401" s="14">
        <v>44926</v>
      </c>
      <c r="AL401" t="s">
        <v>136</v>
      </c>
      <c r="AN401">
        <v>464000000</v>
      </c>
      <c r="AR401">
        <v>464000000</v>
      </c>
      <c r="AS401">
        <v>0</v>
      </c>
      <c r="AY401" t="s">
        <v>557</v>
      </c>
      <c r="AZ401" t="s">
        <v>880</v>
      </c>
      <c r="BA401" t="s">
        <v>1272</v>
      </c>
      <c r="BB401" t="s">
        <v>1272</v>
      </c>
      <c r="BC401" t="s">
        <v>242</v>
      </c>
      <c r="BK401" t="s">
        <v>860</v>
      </c>
      <c r="BM401" t="s">
        <v>560</v>
      </c>
      <c r="BN401" t="s">
        <v>561</v>
      </c>
      <c r="BO401" t="s">
        <v>989</v>
      </c>
      <c r="BP401">
        <v>3.8</v>
      </c>
      <c r="BQ401" t="s">
        <v>902</v>
      </c>
      <c r="DF401" s="15" t="s">
        <v>9308</v>
      </c>
      <c r="DG401" t="s">
        <v>126</v>
      </c>
      <c r="DH401" t="s">
        <v>159</v>
      </c>
      <c r="DI401" t="s">
        <v>159</v>
      </c>
      <c r="DJ401" t="s">
        <v>172</v>
      </c>
      <c r="DK401">
        <v>464000000</v>
      </c>
    </row>
    <row r="402" spans="1:115" x14ac:dyDescent="0.25">
      <c r="A402" t="s">
        <v>1772</v>
      </c>
      <c r="B402" t="s">
        <v>1773</v>
      </c>
      <c r="F402" t="s">
        <v>315</v>
      </c>
      <c r="I402" t="s">
        <v>1108</v>
      </c>
      <c r="N402" t="s">
        <v>1774</v>
      </c>
      <c r="U402" t="s">
        <v>233</v>
      </c>
      <c r="Z402" s="14">
        <v>43193</v>
      </c>
      <c r="AA402" s="14">
        <v>43231</v>
      </c>
      <c r="AD402" s="14">
        <v>44561</v>
      </c>
      <c r="AL402" t="s">
        <v>1110</v>
      </c>
      <c r="AN402">
        <v>2710260000</v>
      </c>
      <c r="AR402">
        <v>2710260000</v>
      </c>
      <c r="AS402">
        <v>0</v>
      </c>
      <c r="AY402" t="s">
        <v>557</v>
      </c>
      <c r="AZ402" t="s">
        <v>880</v>
      </c>
      <c r="BA402" t="s">
        <v>822</v>
      </c>
      <c r="BB402" t="s">
        <v>823</v>
      </c>
      <c r="BC402" t="s">
        <v>242</v>
      </c>
      <c r="BK402" t="s">
        <v>860</v>
      </c>
      <c r="BM402" t="s">
        <v>861</v>
      </c>
      <c r="BN402" t="s">
        <v>900</v>
      </c>
      <c r="BO402" t="s">
        <v>901</v>
      </c>
      <c r="BP402">
        <v>4.0999999999999996</v>
      </c>
      <c r="BQ402" t="s">
        <v>902</v>
      </c>
      <c r="DF402" s="15" t="s">
        <v>9396</v>
      </c>
      <c r="DG402" t="s">
        <v>317</v>
      </c>
      <c r="DH402" t="s">
        <v>159</v>
      </c>
      <c r="DI402" t="s">
        <v>159</v>
      </c>
      <c r="DJ402" t="s">
        <v>129</v>
      </c>
      <c r="DK402">
        <v>4780000</v>
      </c>
    </row>
    <row r="403" spans="1:115" x14ac:dyDescent="0.25">
      <c r="A403" t="s">
        <v>1775</v>
      </c>
      <c r="B403" t="s">
        <v>1776</v>
      </c>
      <c r="F403" t="s">
        <v>163</v>
      </c>
      <c r="I403" t="s">
        <v>1476</v>
      </c>
      <c r="N403" t="s">
        <v>1777</v>
      </c>
      <c r="U403" t="s">
        <v>176</v>
      </c>
      <c r="Z403" s="14">
        <v>43193</v>
      </c>
      <c r="AA403" s="14">
        <v>43231</v>
      </c>
      <c r="AD403" s="14">
        <v>44926</v>
      </c>
      <c r="AL403" t="s">
        <v>1110</v>
      </c>
      <c r="AN403">
        <v>885541950</v>
      </c>
      <c r="AR403">
        <v>885541950</v>
      </c>
      <c r="AS403">
        <v>0</v>
      </c>
      <c r="AY403" t="s">
        <v>557</v>
      </c>
      <c r="AZ403" t="s">
        <v>880</v>
      </c>
      <c r="BA403" t="s">
        <v>822</v>
      </c>
      <c r="BB403" t="s">
        <v>823</v>
      </c>
      <c r="BC403" t="s">
        <v>242</v>
      </c>
      <c r="BK403" t="s">
        <v>860</v>
      </c>
      <c r="BM403" t="s">
        <v>861</v>
      </c>
      <c r="BN403" t="s">
        <v>1046</v>
      </c>
      <c r="BO403" t="s">
        <v>1036</v>
      </c>
      <c r="BP403">
        <v>16.600000000000001</v>
      </c>
      <c r="BQ403" t="s">
        <v>902</v>
      </c>
      <c r="DF403" s="15" t="s">
        <v>9308</v>
      </c>
      <c r="DG403" t="s">
        <v>317</v>
      </c>
      <c r="DH403" t="s">
        <v>159</v>
      </c>
      <c r="DI403" t="s">
        <v>159</v>
      </c>
      <c r="DJ403" t="s">
        <v>129</v>
      </c>
      <c r="DK403">
        <v>1475903.25</v>
      </c>
    </row>
    <row r="404" spans="1:115" x14ac:dyDescent="0.25">
      <c r="A404" t="s">
        <v>1778</v>
      </c>
      <c r="B404" t="s">
        <v>1779</v>
      </c>
      <c r="F404" t="s">
        <v>142</v>
      </c>
      <c r="I404" t="s">
        <v>1693</v>
      </c>
      <c r="N404" t="s">
        <v>1780</v>
      </c>
      <c r="U404" t="s">
        <v>233</v>
      </c>
      <c r="Z404" s="14">
        <v>43193</v>
      </c>
      <c r="AA404" s="14">
        <v>43231</v>
      </c>
      <c r="AD404" s="14">
        <v>44926</v>
      </c>
      <c r="AL404" t="s">
        <v>1110</v>
      </c>
      <c r="AN404">
        <v>1047739200</v>
      </c>
      <c r="AR404">
        <v>1047739200</v>
      </c>
      <c r="AS404">
        <v>0</v>
      </c>
      <c r="AY404" t="s">
        <v>557</v>
      </c>
      <c r="AZ404" t="s">
        <v>880</v>
      </c>
      <c r="BA404" t="s">
        <v>822</v>
      </c>
      <c r="BB404" t="s">
        <v>823</v>
      </c>
      <c r="BC404" t="s">
        <v>242</v>
      </c>
      <c r="BK404" t="s">
        <v>860</v>
      </c>
      <c r="BM404" t="s">
        <v>861</v>
      </c>
      <c r="BN404" t="s">
        <v>862</v>
      </c>
      <c r="BO404" t="s">
        <v>971</v>
      </c>
      <c r="BP404">
        <v>9.1</v>
      </c>
      <c r="BQ404" t="s">
        <v>864</v>
      </c>
      <c r="DF404" s="15" t="s">
        <v>9396</v>
      </c>
      <c r="DG404" t="s">
        <v>317</v>
      </c>
      <c r="DH404" t="s">
        <v>159</v>
      </c>
      <c r="DI404" t="s">
        <v>159</v>
      </c>
      <c r="DJ404" t="s">
        <v>129</v>
      </c>
      <c r="DK404">
        <v>1746232</v>
      </c>
    </row>
    <row r="405" spans="1:115" x14ac:dyDescent="0.25">
      <c r="A405" t="s">
        <v>1781</v>
      </c>
      <c r="B405" t="s">
        <v>1782</v>
      </c>
      <c r="F405" t="s">
        <v>315</v>
      </c>
      <c r="I405" t="s">
        <v>1108</v>
      </c>
      <c r="N405" t="s">
        <v>1783</v>
      </c>
      <c r="U405" t="s">
        <v>233</v>
      </c>
      <c r="Z405" s="14">
        <v>43193</v>
      </c>
      <c r="AA405" s="14">
        <v>43231</v>
      </c>
      <c r="AD405" s="14">
        <v>44561</v>
      </c>
      <c r="AL405" t="s">
        <v>1110</v>
      </c>
      <c r="AN405">
        <v>5700000000</v>
      </c>
      <c r="AR405">
        <v>0</v>
      </c>
      <c r="AS405">
        <v>5700000000</v>
      </c>
      <c r="AY405" t="s">
        <v>557</v>
      </c>
      <c r="AZ405" t="s">
        <v>558</v>
      </c>
      <c r="BA405" t="s">
        <v>822</v>
      </c>
      <c r="BB405" t="s">
        <v>823</v>
      </c>
      <c r="BC405" t="s">
        <v>242</v>
      </c>
      <c r="BK405" t="s">
        <v>860</v>
      </c>
      <c r="BM405" t="s">
        <v>861</v>
      </c>
      <c r="BN405" t="s">
        <v>900</v>
      </c>
      <c r="BO405" t="s">
        <v>901</v>
      </c>
      <c r="BP405">
        <v>4.0999999999999996</v>
      </c>
      <c r="BQ405" t="s">
        <v>902</v>
      </c>
      <c r="DF405" s="15" t="s">
        <v>9396</v>
      </c>
      <c r="DG405" t="s">
        <v>317</v>
      </c>
      <c r="DH405" t="s">
        <v>127</v>
      </c>
      <c r="DI405" t="s">
        <v>127</v>
      </c>
      <c r="DJ405" t="s">
        <v>129</v>
      </c>
      <c r="DK405">
        <v>9500000</v>
      </c>
    </row>
    <row r="406" spans="1:115" x14ac:dyDescent="0.25">
      <c r="A406" t="s">
        <v>1784</v>
      </c>
      <c r="B406" t="s">
        <v>1785</v>
      </c>
      <c r="F406" t="s">
        <v>315</v>
      </c>
      <c r="I406" t="s">
        <v>998</v>
      </c>
      <c r="N406" t="s">
        <v>1786</v>
      </c>
      <c r="U406" t="s">
        <v>1360</v>
      </c>
      <c r="V406" t="s">
        <v>1361</v>
      </c>
      <c r="Z406" s="14">
        <v>43231</v>
      </c>
      <c r="AA406" s="14">
        <v>43335</v>
      </c>
      <c r="AD406" s="14">
        <v>44196</v>
      </c>
      <c r="AL406" t="s">
        <v>136</v>
      </c>
      <c r="AN406">
        <v>97035719</v>
      </c>
      <c r="AR406">
        <v>97035719</v>
      </c>
      <c r="AS406">
        <v>0</v>
      </c>
      <c r="AY406" t="s">
        <v>557</v>
      </c>
      <c r="AZ406" t="s">
        <v>880</v>
      </c>
      <c r="BA406" t="s">
        <v>1148</v>
      </c>
      <c r="BB406" t="s">
        <v>1148</v>
      </c>
      <c r="BC406" t="s">
        <v>242</v>
      </c>
      <c r="BK406" t="s">
        <v>860</v>
      </c>
      <c r="BM406" t="s">
        <v>861</v>
      </c>
      <c r="BN406" t="s">
        <v>900</v>
      </c>
      <c r="BO406" t="s">
        <v>901</v>
      </c>
      <c r="BP406">
        <v>4.0999999999999996</v>
      </c>
      <c r="BQ406" t="s">
        <v>902</v>
      </c>
      <c r="DF406" s="15" t="s">
        <v>9417</v>
      </c>
      <c r="DG406" t="s">
        <v>126</v>
      </c>
      <c r="DH406" t="s">
        <v>159</v>
      </c>
      <c r="DI406" t="s">
        <v>159</v>
      </c>
      <c r="DJ406" t="s">
        <v>172</v>
      </c>
      <c r="DK406">
        <v>97035719</v>
      </c>
    </row>
    <row r="407" spans="1:115" x14ac:dyDescent="0.25">
      <c r="A407" t="s">
        <v>1787</v>
      </c>
      <c r="B407" t="s">
        <v>1788</v>
      </c>
      <c r="F407" t="s">
        <v>315</v>
      </c>
      <c r="I407" t="s">
        <v>1146</v>
      </c>
      <c r="N407" t="s">
        <v>1789</v>
      </c>
      <c r="U407" t="s">
        <v>176</v>
      </c>
      <c r="Z407" s="14">
        <v>43101</v>
      </c>
      <c r="AA407" s="14">
        <v>43231</v>
      </c>
      <c r="AD407" s="14">
        <v>44196</v>
      </c>
      <c r="AL407" t="s">
        <v>136</v>
      </c>
      <c r="AN407">
        <v>97147231</v>
      </c>
      <c r="AR407">
        <v>97147231</v>
      </c>
      <c r="AS407">
        <v>0</v>
      </c>
      <c r="AY407" t="s">
        <v>557</v>
      </c>
      <c r="AZ407" t="s">
        <v>880</v>
      </c>
      <c r="BA407" t="s">
        <v>1148</v>
      </c>
      <c r="BB407" t="s">
        <v>1148</v>
      </c>
      <c r="BC407" t="s">
        <v>242</v>
      </c>
      <c r="BK407" t="s">
        <v>860</v>
      </c>
      <c r="BM407" t="s">
        <v>861</v>
      </c>
      <c r="BN407" t="s">
        <v>900</v>
      </c>
      <c r="BO407" t="s">
        <v>901</v>
      </c>
      <c r="BP407">
        <v>4.0999999999999996</v>
      </c>
      <c r="BQ407" t="s">
        <v>902</v>
      </c>
      <c r="DF407" s="15" t="s">
        <v>9308</v>
      </c>
      <c r="DG407" t="s">
        <v>126</v>
      </c>
      <c r="DH407" t="s">
        <v>159</v>
      </c>
      <c r="DI407" t="s">
        <v>159</v>
      </c>
      <c r="DJ407" t="s">
        <v>172</v>
      </c>
      <c r="DK407">
        <v>97147231</v>
      </c>
    </row>
    <row r="408" spans="1:115" x14ac:dyDescent="0.25">
      <c r="A408" t="s">
        <v>1790</v>
      </c>
      <c r="B408" t="s">
        <v>1791</v>
      </c>
      <c r="F408" t="s">
        <v>142</v>
      </c>
      <c r="I408" t="s">
        <v>968</v>
      </c>
      <c r="N408" t="s">
        <v>1792</v>
      </c>
      <c r="U408" t="s">
        <v>165</v>
      </c>
      <c r="V408" t="s">
        <v>166</v>
      </c>
      <c r="W408" t="s">
        <v>1793</v>
      </c>
      <c r="Z408" s="14">
        <v>43101</v>
      </c>
      <c r="AA408" s="14">
        <v>43231</v>
      </c>
      <c r="AD408" s="14">
        <v>46022</v>
      </c>
      <c r="AL408" t="s">
        <v>624</v>
      </c>
      <c r="AN408">
        <v>16000000000</v>
      </c>
      <c r="AR408">
        <v>16000000000</v>
      </c>
      <c r="AS408">
        <v>0</v>
      </c>
      <c r="AY408" t="s">
        <v>557</v>
      </c>
      <c r="AZ408" t="s">
        <v>880</v>
      </c>
      <c r="BA408" t="s">
        <v>1148</v>
      </c>
      <c r="BB408" t="s">
        <v>1148</v>
      </c>
      <c r="BC408" t="s">
        <v>242</v>
      </c>
      <c r="BK408" t="s">
        <v>860</v>
      </c>
      <c r="BM408" t="s">
        <v>861</v>
      </c>
      <c r="BN408" t="s">
        <v>862</v>
      </c>
      <c r="BO408" t="s">
        <v>971</v>
      </c>
      <c r="BP408">
        <v>9.1</v>
      </c>
      <c r="BQ408" t="s">
        <v>864</v>
      </c>
      <c r="DF408" s="15" t="s">
        <v>9441</v>
      </c>
      <c r="DG408" t="s">
        <v>126</v>
      </c>
      <c r="DH408" t="s">
        <v>159</v>
      </c>
      <c r="DI408" t="s">
        <v>159</v>
      </c>
      <c r="DJ408" t="s">
        <v>172</v>
      </c>
      <c r="DK408">
        <v>29090909.09</v>
      </c>
    </row>
    <row r="409" spans="1:115" x14ac:dyDescent="0.25">
      <c r="A409" t="s">
        <v>1794</v>
      </c>
      <c r="B409" t="s">
        <v>1795</v>
      </c>
      <c r="F409" t="s">
        <v>1344</v>
      </c>
      <c r="I409" t="s">
        <v>1508</v>
      </c>
      <c r="N409" t="s">
        <v>1796</v>
      </c>
      <c r="U409" t="s">
        <v>1797</v>
      </c>
      <c r="V409" t="s">
        <v>1798</v>
      </c>
      <c r="W409" t="s">
        <v>1799</v>
      </c>
      <c r="Z409" s="14">
        <v>43231</v>
      </c>
      <c r="AA409" s="14">
        <v>43280</v>
      </c>
      <c r="AD409" s="14">
        <v>44561</v>
      </c>
      <c r="AL409" t="s">
        <v>624</v>
      </c>
      <c r="AN409">
        <v>8002675400</v>
      </c>
      <c r="AR409">
        <v>0</v>
      </c>
      <c r="AS409">
        <v>8002675400</v>
      </c>
      <c r="AY409" t="s">
        <v>557</v>
      </c>
      <c r="AZ409" t="s">
        <v>558</v>
      </c>
      <c r="BA409" t="s">
        <v>1800</v>
      </c>
      <c r="BB409" t="s">
        <v>1800</v>
      </c>
      <c r="BC409" t="s">
        <v>242</v>
      </c>
      <c r="BK409" t="s">
        <v>860</v>
      </c>
      <c r="BM409" t="s">
        <v>964</v>
      </c>
      <c r="BN409" t="s">
        <v>965</v>
      </c>
      <c r="BO409" t="s">
        <v>1036</v>
      </c>
      <c r="BP409">
        <v>16.600000000000001</v>
      </c>
      <c r="BQ409" t="s">
        <v>902</v>
      </c>
      <c r="DF409" s="15" t="s">
        <v>9442</v>
      </c>
      <c r="DG409" t="s">
        <v>126</v>
      </c>
      <c r="DH409" t="s">
        <v>127</v>
      </c>
      <c r="DI409" t="s">
        <v>824</v>
      </c>
      <c r="DJ409" t="s">
        <v>172</v>
      </c>
      <c r="DK409">
        <v>14550318.91</v>
      </c>
    </row>
    <row r="410" spans="1:115" x14ac:dyDescent="0.25">
      <c r="A410" t="s">
        <v>1801</v>
      </c>
      <c r="B410" t="s">
        <v>1802</v>
      </c>
      <c r="F410" t="s">
        <v>190</v>
      </c>
      <c r="I410" t="s">
        <v>974</v>
      </c>
      <c r="N410" t="s">
        <v>1803</v>
      </c>
      <c r="U410" t="s">
        <v>176</v>
      </c>
      <c r="Z410" s="14">
        <v>43101</v>
      </c>
      <c r="AA410" s="14">
        <v>43231</v>
      </c>
      <c r="AD410" s="14">
        <v>44561</v>
      </c>
      <c r="AL410" t="s">
        <v>624</v>
      </c>
      <c r="AN410">
        <v>29150000</v>
      </c>
      <c r="AR410">
        <v>29150000</v>
      </c>
      <c r="AS410">
        <v>0</v>
      </c>
      <c r="AY410" t="s">
        <v>557</v>
      </c>
      <c r="AZ410" t="s">
        <v>880</v>
      </c>
      <c r="BA410" t="s">
        <v>1010</v>
      </c>
      <c r="BB410" t="s">
        <v>1011</v>
      </c>
      <c r="BC410" t="s">
        <v>125</v>
      </c>
      <c r="BK410" t="s">
        <v>860</v>
      </c>
      <c r="BM410" t="s">
        <v>861</v>
      </c>
      <c r="BN410" t="s">
        <v>862</v>
      </c>
      <c r="BO410" t="s">
        <v>863</v>
      </c>
      <c r="BP410">
        <v>2.2999999999999998</v>
      </c>
      <c r="BQ410" t="s">
        <v>864</v>
      </c>
      <c r="DF410" s="15" t="s">
        <v>9308</v>
      </c>
      <c r="DG410" t="s">
        <v>126</v>
      </c>
      <c r="DH410" t="s">
        <v>159</v>
      </c>
      <c r="DI410" t="s">
        <v>159</v>
      </c>
      <c r="DJ410" t="s">
        <v>172</v>
      </c>
      <c r="DK410">
        <v>53000</v>
      </c>
    </row>
    <row r="411" spans="1:115" x14ac:dyDescent="0.25">
      <c r="A411" t="s">
        <v>1804</v>
      </c>
      <c r="B411" t="s">
        <v>1805</v>
      </c>
      <c r="F411" t="s">
        <v>216</v>
      </c>
      <c r="I411" t="s">
        <v>992</v>
      </c>
      <c r="N411" t="s">
        <v>1806</v>
      </c>
      <c r="U411" t="s">
        <v>176</v>
      </c>
      <c r="Z411" s="14">
        <v>43101</v>
      </c>
      <c r="AA411" s="14">
        <v>43231</v>
      </c>
      <c r="AD411" s="14">
        <v>44561</v>
      </c>
      <c r="AL411" t="s">
        <v>624</v>
      </c>
      <c r="AN411">
        <v>148046684</v>
      </c>
      <c r="AR411">
        <v>148046684</v>
      </c>
      <c r="AS411">
        <v>0</v>
      </c>
      <c r="AY411" t="s">
        <v>557</v>
      </c>
      <c r="AZ411" t="s">
        <v>880</v>
      </c>
      <c r="BA411" t="s">
        <v>1010</v>
      </c>
      <c r="BB411" t="s">
        <v>1011</v>
      </c>
      <c r="BC411" t="s">
        <v>125</v>
      </c>
      <c r="BK411" t="s">
        <v>860</v>
      </c>
      <c r="BM411" t="s">
        <v>560</v>
      </c>
      <c r="BN411" t="s">
        <v>561</v>
      </c>
      <c r="BO411" t="s">
        <v>989</v>
      </c>
      <c r="BP411">
        <v>3.8</v>
      </c>
      <c r="BQ411" t="s">
        <v>902</v>
      </c>
      <c r="DF411" s="15" t="s">
        <v>9308</v>
      </c>
      <c r="DG411" t="s">
        <v>126</v>
      </c>
      <c r="DH411" t="s">
        <v>159</v>
      </c>
      <c r="DI411" t="s">
        <v>159</v>
      </c>
      <c r="DJ411" t="s">
        <v>172</v>
      </c>
      <c r="DK411">
        <v>269175.78999999998</v>
      </c>
    </row>
    <row r="412" spans="1:115" x14ac:dyDescent="0.25">
      <c r="A412" t="s">
        <v>1807</v>
      </c>
      <c r="B412" t="s">
        <v>1808</v>
      </c>
      <c r="F412" t="s">
        <v>263</v>
      </c>
      <c r="I412" t="s">
        <v>555</v>
      </c>
      <c r="N412" t="s">
        <v>1809</v>
      </c>
      <c r="U412" t="s">
        <v>176</v>
      </c>
      <c r="Z412" s="14">
        <v>43101</v>
      </c>
      <c r="AA412" s="14">
        <v>43231</v>
      </c>
      <c r="AD412" s="14">
        <v>44926</v>
      </c>
      <c r="AL412" t="s">
        <v>624</v>
      </c>
      <c r="AN412">
        <v>1310181950</v>
      </c>
      <c r="AR412">
        <v>1310181950</v>
      </c>
      <c r="AS412">
        <v>0</v>
      </c>
      <c r="AY412" t="s">
        <v>557</v>
      </c>
      <c r="AZ412" t="s">
        <v>880</v>
      </c>
      <c r="BA412" t="s">
        <v>1010</v>
      </c>
      <c r="BB412" t="s">
        <v>1011</v>
      </c>
      <c r="BC412" t="s">
        <v>125</v>
      </c>
      <c r="BK412" t="s">
        <v>860</v>
      </c>
      <c r="BM412" t="s">
        <v>560</v>
      </c>
      <c r="BN412" t="s">
        <v>561</v>
      </c>
      <c r="BO412" t="s">
        <v>562</v>
      </c>
      <c r="BP412">
        <v>6.1</v>
      </c>
      <c r="BQ412" t="s">
        <v>563</v>
      </c>
      <c r="DF412" s="15" t="s">
        <v>9308</v>
      </c>
      <c r="DG412" t="s">
        <v>126</v>
      </c>
      <c r="DH412" t="s">
        <v>159</v>
      </c>
      <c r="DI412" t="s">
        <v>159</v>
      </c>
      <c r="DJ412" t="s">
        <v>172</v>
      </c>
      <c r="DK412">
        <v>2382149</v>
      </c>
    </row>
    <row r="413" spans="1:115" x14ac:dyDescent="0.25">
      <c r="A413" t="s">
        <v>1810</v>
      </c>
      <c r="B413" t="s">
        <v>1811</v>
      </c>
      <c r="F413" t="s">
        <v>282</v>
      </c>
      <c r="I413" t="s">
        <v>1076</v>
      </c>
      <c r="N413" t="s">
        <v>1812</v>
      </c>
      <c r="U413" t="s">
        <v>176</v>
      </c>
      <c r="Z413" s="14">
        <v>43101</v>
      </c>
      <c r="AA413" s="14">
        <v>43231</v>
      </c>
      <c r="AD413" s="14">
        <v>44561</v>
      </c>
      <c r="AL413" t="s">
        <v>624</v>
      </c>
      <c r="AN413">
        <v>475119150</v>
      </c>
      <c r="AR413">
        <v>475119150</v>
      </c>
      <c r="AS413">
        <v>0</v>
      </c>
      <c r="AY413" t="s">
        <v>557</v>
      </c>
      <c r="AZ413" t="s">
        <v>880</v>
      </c>
      <c r="BA413" t="s">
        <v>1010</v>
      </c>
      <c r="BB413" t="s">
        <v>1011</v>
      </c>
      <c r="BC413" t="s">
        <v>125</v>
      </c>
      <c r="BK413" t="s">
        <v>860</v>
      </c>
      <c r="BM413" t="s">
        <v>964</v>
      </c>
      <c r="BN413" t="s">
        <v>965</v>
      </c>
      <c r="BO413" t="s">
        <v>939</v>
      </c>
      <c r="BP413">
        <v>11.3</v>
      </c>
      <c r="BQ413" t="s">
        <v>902</v>
      </c>
      <c r="DF413" s="15" t="s">
        <v>9308</v>
      </c>
      <c r="DG413" t="s">
        <v>126</v>
      </c>
      <c r="DH413" t="s">
        <v>159</v>
      </c>
      <c r="DI413" t="s">
        <v>159</v>
      </c>
      <c r="DJ413" t="s">
        <v>172</v>
      </c>
      <c r="DK413">
        <v>863853</v>
      </c>
    </row>
    <row r="414" spans="1:115" x14ac:dyDescent="0.25">
      <c r="A414" t="s">
        <v>1813</v>
      </c>
      <c r="B414" t="s">
        <v>1814</v>
      </c>
      <c r="F414" t="s">
        <v>190</v>
      </c>
      <c r="I414" t="s">
        <v>856</v>
      </c>
      <c r="N414" t="s">
        <v>1815</v>
      </c>
      <c r="U414" t="s">
        <v>176</v>
      </c>
      <c r="Z414" s="14">
        <v>43101</v>
      </c>
      <c r="AA414" s="14">
        <v>43231</v>
      </c>
      <c r="AD414" s="14">
        <v>44926</v>
      </c>
      <c r="AL414" t="s">
        <v>624</v>
      </c>
      <c r="AN414">
        <v>189750000</v>
      </c>
      <c r="AR414">
        <v>189750000</v>
      </c>
      <c r="AS414">
        <v>0</v>
      </c>
      <c r="AY414" t="s">
        <v>557</v>
      </c>
      <c r="AZ414" t="s">
        <v>880</v>
      </c>
      <c r="BA414" t="s">
        <v>1010</v>
      </c>
      <c r="BB414" t="s">
        <v>1011</v>
      </c>
      <c r="BC414" t="s">
        <v>125</v>
      </c>
      <c r="BK414" t="s">
        <v>860</v>
      </c>
      <c r="BM414" t="s">
        <v>861</v>
      </c>
      <c r="BN414" t="s">
        <v>862</v>
      </c>
      <c r="BO414" t="s">
        <v>863</v>
      </c>
      <c r="BP414">
        <v>2.2999999999999998</v>
      </c>
      <c r="BQ414" t="s">
        <v>864</v>
      </c>
      <c r="DF414" s="15" t="s">
        <v>9308</v>
      </c>
      <c r="DG414" t="s">
        <v>126</v>
      </c>
      <c r="DH414" t="s">
        <v>159</v>
      </c>
      <c r="DI414" t="s">
        <v>159</v>
      </c>
      <c r="DJ414" t="s">
        <v>172</v>
      </c>
      <c r="DK414">
        <v>345000</v>
      </c>
    </row>
    <row r="415" spans="1:115" x14ac:dyDescent="0.25">
      <c r="A415" t="s">
        <v>1816</v>
      </c>
      <c r="B415" t="s">
        <v>1817</v>
      </c>
      <c r="F415" t="s">
        <v>190</v>
      </c>
      <c r="I415" t="s">
        <v>856</v>
      </c>
      <c r="N415" t="s">
        <v>1818</v>
      </c>
      <c r="U415" t="s">
        <v>176</v>
      </c>
      <c r="Z415" s="14">
        <v>43101</v>
      </c>
      <c r="AA415" s="14">
        <v>43231</v>
      </c>
      <c r="AD415" s="14">
        <v>44926</v>
      </c>
      <c r="AL415" t="s">
        <v>624</v>
      </c>
      <c r="AN415">
        <v>2750000000</v>
      </c>
      <c r="AR415">
        <v>2750000000</v>
      </c>
      <c r="AS415">
        <v>0</v>
      </c>
      <c r="AY415" t="s">
        <v>557</v>
      </c>
      <c r="AZ415" t="s">
        <v>880</v>
      </c>
      <c r="BA415" t="s">
        <v>1010</v>
      </c>
      <c r="BB415" t="s">
        <v>1011</v>
      </c>
      <c r="BC415" t="s">
        <v>125</v>
      </c>
      <c r="BK415" t="s">
        <v>860</v>
      </c>
      <c r="BM415" t="s">
        <v>861</v>
      </c>
      <c r="BN415" t="s">
        <v>862</v>
      </c>
      <c r="BO415" t="s">
        <v>863</v>
      </c>
      <c r="BP415">
        <v>2.2999999999999998</v>
      </c>
      <c r="BQ415" t="s">
        <v>864</v>
      </c>
      <c r="DF415" s="15" t="s">
        <v>9308</v>
      </c>
      <c r="DG415" t="s">
        <v>126</v>
      </c>
      <c r="DH415" t="s">
        <v>159</v>
      </c>
      <c r="DI415" t="s">
        <v>159</v>
      </c>
      <c r="DJ415" t="s">
        <v>172</v>
      </c>
      <c r="DK415">
        <v>5000000</v>
      </c>
    </row>
    <row r="416" spans="1:115" x14ac:dyDescent="0.25">
      <c r="A416" t="s">
        <v>1819</v>
      </c>
      <c r="B416" t="s">
        <v>1098</v>
      </c>
      <c r="F416" t="s">
        <v>526</v>
      </c>
      <c r="I416" t="s">
        <v>1099</v>
      </c>
      <c r="N416" t="s">
        <v>1820</v>
      </c>
      <c r="U416" t="s">
        <v>176</v>
      </c>
      <c r="Z416" s="14">
        <v>43101</v>
      </c>
      <c r="AA416" s="14">
        <v>43231</v>
      </c>
      <c r="AD416" s="14">
        <v>44561</v>
      </c>
      <c r="AL416" t="s">
        <v>624</v>
      </c>
      <c r="AN416">
        <v>878559170</v>
      </c>
      <c r="AR416">
        <v>878559170</v>
      </c>
      <c r="AS416">
        <v>0</v>
      </c>
      <c r="AY416" t="s">
        <v>557</v>
      </c>
      <c r="AZ416" t="s">
        <v>880</v>
      </c>
      <c r="BA416" t="s">
        <v>1010</v>
      </c>
      <c r="BB416" t="s">
        <v>1011</v>
      </c>
      <c r="BC416" t="s">
        <v>125</v>
      </c>
      <c r="BK416" t="s">
        <v>860</v>
      </c>
      <c r="BM416" t="s">
        <v>560</v>
      </c>
      <c r="BN416" t="s">
        <v>561</v>
      </c>
      <c r="BO416" t="s">
        <v>1022</v>
      </c>
      <c r="BP416">
        <v>1.3</v>
      </c>
      <c r="BQ416" t="s">
        <v>902</v>
      </c>
      <c r="DF416" s="15" t="s">
        <v>9308</v>
      </c>
      <c r="DG416" t="s">
        <v>317</v>
      </c>
      <c r="DH416" t="s">
        <v>159</v>
      </c>
      <c r="DI416" t="s">
        <v>159</v>
      </c>
      <c r="DJ416" t="s">
        <v>172</v>
      </c>
      <c r="DK416">
        <v>1597380.31</v>
      </c>
    </row>
    <row r="417" spans="1:115" x14ac:dyDescent="0.25">
      <c r="A417" t="s">
        <v>1821</v>
      </c>
      <c r="B417" t="s">
        <v>1822</v>
      </c>
      <c r="F417" t="s">
        <v>1823</v>
      </c>
      <c r="I417" t="s">
        <v>1824</v>
      </c>
      <c r="N417" t="s">
        <v>1825</v>
      </c>
      <c r="U417" t="s">
        <v>176</v>
      </c>
      <c r="Z417" s="14">
        <v>43170</v>
      </c>
      <c r="AA417" s="14">
        <v>43231</v>
      </c>
      <c r="AD417" s="14">
        <v>44561</v>
      </c>
      <c r="AL417" t="s">
        <v>624</v>
      </c>
      <c r="AN417">
        <v>156816000</v>
      </c>
      <c r="AR417">
        <v>156816000</v>
      </c>
      <c r="AS417">
        <v>0</v>
      </c>
      <c r="AY417" t="s">
        <v>557</v>
      </c>
      <c r="AZ417" t="s">
        <v>880</v>
      </c>
      <c r="BA417" t="s">
        <v>1010</v>
      </c>
      <c r="BB417" t="s">
        <v>1011</v>
      </c>
      <c r="BC417" t="s">
        <v>125</v>
      </c>
      <c r="BK417" t="s">
        <v>860</v>
      </c>
      <c r="BM417" t="s">
        <v>964</v>
      </c>
      <c r="BN417" t="s">
        <v>965</v>
      </c>
      <c r="BO417" t="s">
        <v>1036</v>
      </c>
      <c r="BP417">
        <v>16.600000000000001</v>
      </c>
      <c r="BQ417" t="s">
        <v>902</v>
      </c>
      <c r="DF417" s="15" t="s">
        <v>9308</v>
      </c>
      <c r="DG417" t="s">
        <v>126</v>
      </c>
      <c r="DH417" t="s">
        <v>159</v>
      </c>
      <c r="DI417" t="s">
        <v>159</v>
      </c>
      <c r="DJ417" t="s">
        <v>172</v>
      </c>
      <c r="DK417">
        <v>285120</v>
      </c>
    </row>
    <row r="418" spans="1:115" x14ac:dyDescent="0.25">
      <c r="A418" t="s">
        <v>1826</v>
      </c>
      <c r="B418" t="s">
        <v>1827</v>
      </c>
      <c r="F418" t="s">
        <v>282</v>
      </c>
      <c r="I418" t="s">
        <v>1029</v>
      </c>
      <c r="N418" t="s">
        <v>1828</v>
      </c>
      <c r="U418" t="s">
        <v>1829</v>
      </c>
      <c r="V418" t="s">
        <v>1830</v>
      </c>
      <c r="Z418" s="14">
        <v>43170</v>
      </c>
      <c r="AA418" s="14">
        <v>43231</v>
      </c>
      <c r="AD418" s="14">
        <v>44561</v>
      </c>
      <c r="AL418" t="s">
        <v>136</v>
      </c>
      <c r="AN418">
        <v>90524642</v>
      </c>
      <c r="AR418">
        <v>90524642</v>
      </c>
      <c r="AS418">
        <v>0</v>
      </c>
      <c r="AY418" t="s">
        <v>557</v>
      </c>
      <c r="AZ418" t="s">
        <v>880</v>
      </c>
      <c r="BA418" t="s">
        <v>1010</v>
      </c>
      <c r="BB418" t="s">
        <v>1011</v>
      </c>
      <c r="BC418" t="s">
        <v>125</v>
      </c>
      <c r="BK418" t="s">
        <v>860</v>
      </c>
      <c r="BM418" t="s">
        <v>964</v>
      </c>
      <c r="BN418" t="s">
        <v>965</v>
      </c>
      <c r="BO418" t="s">
        <v>939</v>
      </c>
      <c r="BP418">
        <v>11.3</v>
      </c>
      <c r="BQ418" t="s">
        <v>902</v>
      </c>
      <c r="DF418" s="15" t="s">
        <v>9443</v>
      </c>
      <c r="DG418" t="s">
        <v>126</v>
      </c>
      <c r="DH418" t="s">
        <v>159</v>
      </c>
      <c r="DI418" t="s">
        <v>159</v>
      </c>
      <c r="DJ418" t="s">
        <v>129</v>
      </c>
      <c r="DK418">
        <v>90524642</v>
      </c>
    </row>
    <row r="419" spans="1:115" x14ac:dyDescent="0.25">
      <c r="A419" t="s">
        <v>1831</v>
      </c>
      <c r="B419" t="s">
        <v>1832</v>
      </c>
      <c r="F419" t="s">
        <v>315</v>
      </c>
      <c r="I419" t="s">
        <v>1492</v>
      </c>
      <c r="N419" t="s">
        <v>1833</v>
      </c>
      <c r="U419" t="s">
        <v>176</v>
      </c>
      <c r="Z419" s="14">
        <v>43170</v>
      </c>
      <c r="AA419" s="14">
        <v>43231</v>
      </c>
      <c r="AD419" s="14">
        <v>44561</v>
      </c>
      <c r="AL419" t="s">
        <v>624</v>
      </c>
      <c r="AN419">
        <v>26761022750</v>
      </c>
      <c r="AR419">
        <v>26761022750</v>
      </c>
      <c r="AS419">
        <v>0</v>
      </c>
      <c r="AY419" t="s">
        <v>557</v>
      </c>
      <c r="AZ419" t="s">
        <v>880</v>
      </c>
      <c r="BA419" t="s">
        <v>1010</v>
      </c>
      <c r="BB419" t="s">
        <v>1011</v>
      </c>
      <c r="BC419" t="s">
        <v>125</v>
      </c>
      <c r="BK419" t="s">
        <v>860</v>
      </c>
      <c r="BM419" t="s">
        <v>861</v>
      </c>
      <c r="BN419" t="s">
        <v>900</v>
      </c>
      <c r="BO419" t="s">
        <v>901</v>
      </c>
      <c r="BP419">
        <v>4.0999999999999996</v>
      </c>
      <c r="BQ419" t="s">
        <v>902</v>
      </c>
      <c r="DF419" s="15" t="s">
        <v>9308</v>
      </c>
      <c r="DG419" t="s">
        <v>126</v>
      </c>
      <c r="DH419" t="s">
        <v>159</v>
      </c>
      <c r="DI419" t="s">
        <v>159</v>
      </c>
      <c r="DJ419" t="s">
        <v>172</v>
      </c>
      <c r="DK419">
        <v>48656405</v>
      </c>
    </row>
    <row r="420" spans="1:115" x14ac:dyDescent="0.25">
      <c r="A420" t="s">
        <v>1834</v>
      </c>
      <c r="B420" t="s">
        <v>1425</v>
      </c>
      <c r="F420" t="s">
        <v>216</v>
      </c>
      <c r="I420" t="s">
        <v>1426</v>
      </c>
      <c r="N420" t="s">
        <v>1835</v>
      </c>
      <c r="U420" t="s">
        <v>176</v>
      </c>
      <c r="Z420" s="14">
        <v>43231</v>
      </c>
      <c r="AA420" s="14">
        <v>43383</v>
      </c>
      <c r="AD420" s="14">
        <v>44561</v>
      </c>
      <c r="AL420" t="s">
        <v>624</v>
      </c>
      <c r="AN420">
        <v>92664000</v>
      </c>
      <c r="AR420">
        <v>92664000</v>
      </c>
      <c r="AS420">
        <v>0</v>
      </c>
      <c r="AY420" t="s">
        <v>557</v>
      </c>
      <c r="AZ420" t="s">
        <v>880</v>
      </c>
      <c r="BA420" t="s">
        <v>1010</v>
      </c>
      <c r="BB420" t="s">
        <v>1011</v>
      </c>
      <c r="BC420" t="s">
        <v>125</v>
      </c>
      <c r="BK420" t="s">
        <v>860</v>
      </c>
      <c r="BM420" t="s">
        <v>560</v>
      </c>
      <c r="BN420" t="s">
        <v>561</v>
      </c>
      <c r="BO420" t="s">
        <v>989</v>
      </c>
      <c r="BP420">
        <v>3.8</v>
      </c>
      <c r="BQ420" t="s">
        <v>902</v>
      </c>
      <c r="DF420" s="15" t="s">
        <v>9308</v>
      </c>
      <c r="DG420" t="s">
        <v>126</v>
      </c>
      <c r="DH420" t="s">
        <v>159</v>
      </c>
      <c r="DI420" t="s">
        <v>159</v>
      </c>
      <c r="DJ420" t="s">
        <v>172</v>
      </c>
      <c r="DK420">
        <v>168480</v>
      </c>
    </row>
    <row r="421" spans="1:115" x14ac:dyDescent="0.25">
      <c r="A421" t="s">
        <v>1836</v>
      </c>
      <c r="B421" t="s">
        <v>1837</v>
      </c>
      <c r="F421" t="s">
        <v>369</v>
      </c>
      <c r="I421" t="s">
        <v>1838</v>
      </c>
      <c r="N421" t="s">
        <v>1839</v>
      </c>
      <c r="U421" t="s">
        <v>165</v>
      </c>
      <c r="V421" t="s">
        <v>166</v>
      </c>
      <c r="Z421" s="14">
        <v>43231</v>
      </c>
      <c r="AA421" s="14">
        <v>43362</v>
      </c>
      <c r="AD421" s="14">
        <v>44196</v>
      </c>
      <c r="AL421" t="s">
        <v>136</v>
      </c>
      <c r="AN421">
        <v>21787333</v>
      </c>
      <c r="AR421">
        <v>21787333</v>
      </c>
      <c r="AS421">
        <v>0</v>
      </c>
      <c r="AY421" t="s">
        <v>557</v>
      </c>
      <c r="AZ421" t="s">
        <v>880</v>
      </c>
      <c r="BA421" t="s">
        <v>1010</v>
      </c>
      <c r="BB421" t="s">
        <v>1011</v>
      </c>
      <c r="BC421" t="s">
        <v>125</v>
      </c>
      <c r="BK421" t="s">
        <v>860</v>
      </c>
      <c r="BM421" t="s">
        <v>861</v>
      </c>
      <c r="BN421" t="s">
        <v>862</v>
      </c>
      <c r="BO421" t="s">
        <v>971</v>
      </c>
      <c r="BP421">
        <v>9.1</v>
      </c>
      <c r="BQ421" t="s">
        <v>864</v>
      </c>
      <c r="DF421" s="15" t="s">
        <v>9307</v>
      </c>
      <c r="DG421" t="s">
        <v>170</v>
      </c>
      <c r="DH421" t="s">
        <v>159</v>
      </c>
      <c r="DI421" t="s">
        <v>171</v>
      </c>
      <c r="DJ421" t="s">
        <v>172</v>
      </c>
      <c r="DK421">
        <v>21787333</v>
      </c>
    </row>
    <row r="422" spans="1:115" x14ac:dyDescent="0.25">
      <c r="A422" t="s">
        <v>1840</v>
      </c>
      <c r="B422" t="s">
        <v>1841</v>
      </c>
      <c r="F422" t="s">
        <v>190</v>
      </c>
      <c r="I422" t="s">
        <v>856</v>
      </c>
      <c r="N422" t="s">
        <v>1842</v>
      </c>
      <c r="U422" t="s">
        <v>176</v>
      </c>
      <c r="Z422" s="14">
        <v>43170</v>
      </c>
      <c r="AA422" s="14">
        <v>43231</v>
      </c>
      <c r="AD422" s="14">
        <v>44561</v>
      </c>
      <c r="AL422" t="s">
        <v>624</v>
      </c>
      <c r="AN422">
        <v>4785000000</v>
      </c>
      <c r="AR422">
        <v>4785000000</v>
      </c>
      <c r="AS422">
        <v>0</v>
      </c>
      <c r="AY422" t="s">
        <v>557</v>
      </c>
      <c r="AZ422" t="s">
        <v>880</v>
      </c>
      <c r="BA422" t="s">
        <v>1010</v>
      </c>
      <c r="BB422" t="s">
        <v>1011</v>
      </c>
      <c r="BC422" t="s">
        <v>125</v>
      </c>
      <c r="BK422" t="s">
        <v>860</v>
      </c>
      <c r="BM422" t="s">
        <v>861</v>
      </c>
      <c r="BN422" t="s">
        <v>862</v>
      </c>
      <c r="BO422" t="s">
        <v>863</v>
      </c>
      <c r="BP422">
        <v>2.2999999999999998</v>
      </c>
      <c r="BQ422" t="s">
        <v>864</v>
      </c>
      <c r="DF422" s="15" t="s">
        <v>9308</v>
      </c>
      <c r="DG422" t="s">
        <v>126</v>
      </c>
      <c r="DH422" t="s">
        <v>159</v>
      </c>
      <c r="DI422" t="s">
        <v>159</v>
      </c>
      <c r="DJ422" t="s">
        <v>172</v>
      </c>
      <c r="DK422">
        <v>8700000</v>
      </c>
    </row>
    <row r="423" spans="1:115" x14ac:dyDescent="0.25">
      <c r="A423" t="s">
        <v>1843</v>
      </c>
      <c r="B423" t="s">
        <v>1844</v>
      </c>
      <c r="F423" t="s">
        <v>245</v>
      </c>
      <c r="I423" t="s">
        <v>1410</v>
      </c>
      <c r="N423" t="s">
        <v>1845</v>
      </c>
      <c r="U423" t="s">
        <v>176</v>
      </c>
      <c r="Z423" s="14">
        <v>43231</v>
      </c>
      <c r="AA423" s="14">
        <v>43447</v>
      </c>
      <c r="AD423" s="14">
        <v>44196</v>
      </c>
      <c r="AL423" t="s">
        <v>136</v>
      </c>
      <c r="AN423">
        <v>43239208.399999999</v>
      </c>
      <c r="AR423">
        <v>43239208.399999999</v>
      </c>
      <c r="AS423">
        <v>0</v>
      </c>
      <c r="AY423" t="s">
        <v>557</v>
      </c>
      <c r="AZ423" t="s">
        <v>880</v>
      </c>
      <c r="BA423" t="s">
        <v>1010</v>
      </c>
      <c r="BB423" t="s">
        <v>1011</v>
      </c>
      <c r="BC423" t="s">
        <v>125</v>
      </c>
      <c r="BK423" t="s">
        <v>860</v>
      </c>
      <c r="BM423" t="s">
        <v>861</v>
      </c>
      <c r="BN423" t="s">
        <v>862</v>
      </c>
      <c r="BO423" t="s">
        <v>971</v>
      </c>
      <c r="BP423">
        <v>9.1</v>
      </c>
      <c r="BQ423" t="s">
        <v>864</v>
      </c>
      <c r="DF423" s="15" t="s">
        <v>9308</v>
      </c>
      <c r="DG423" t="s">
        <v>126</v>
      </c>
      <c r="DH423" t="s">
        <v>159</v>
      </c>
      <c r="DI423" t="s">
        <v>159</v>
      </c>
      <c r="DJ423" t="s">
        <v>172</v>
      </c>
      <c r="DK423">
        <v>43239208.399999999</v>
      </c>
    </row>
    <row r="424" spans="1:115" x14ac:dyDescent="0.25">
      <c r="A424" t="s">
        <v>1846</v>
      </c>
      <c r="B424" t="s">
        <v>1847</v>
      </c>
      <c r="F424" t="s">
        <v>369</v>
      </c>
      <c r="I424" t="s">
        <v>1087</v>
      </c>
      <c r="N424" t="s">
        <v>1848</v>
      </c>
      <c r="U424" t="s">
        <v>165</v>
      </c>
      <c r="V424" t="s">
        <v>166</v>
      </c>
      <c r="Z424" s="14">
        <v>43170</v>
      </c>
      <c r="AA424" s="14">
        <v>43231</v>
      </c>
      <c r="AD424" s="14">
        <v>43830</v>
      </c>
      <c r="AL424" t="s">
        <v>624</v>
      </c>
      <c r="AN424">
        <v>4393400</v>
      </c>
      <c r="AR424">
        <v>4393400</v>
      </c>
      <c r="AS424">
        <v>0</v>
      </c>
      <c r="AY424" t="s">
        <v>557</v>
      </c>
      <c r="AZ424" t="s">
        <v>880</v>
      </c>
      <c r="BA424" t="s">
        <v>1184</v>
      </c>
      <c r="BB424" t="s">
        <v>1184</v>
      </c>
      <c r="BC424" t="s">
        <v>242</v>
      </c>
      <c r="BK424" t="s">
        <v>860</v>
      </c>
      <c r="BM424" t="s">
        <v>861</v>
      </c>
      <c r="BN424" t="s">
        <v>862</v>
      </c>
      <c r="BO424" t="s">
        <v>971</v>
      </c>
      <c r="BP424">
        <v>9.1</v>
      </c>
      <c r="BQ424" t="s">
        <v>864</v>
      </c>
      <c r="DF424" s="15" t="s">
        <v>9307</v>
      </c>
      <c r="DG424" t="s">
        <v>126</v>
      </c>
      <c r="DH424" t="s">
        <v>159</v>
      </c>
      <c r="DI424" t="s">
        <v>159</v>
      </c>
      <c r="DJ424" t="s">
        <v>172</v>
      </c>
      <c r="DK424">
        <v>7988</v>
      </c>
    </row>
    <row r="425" spans="1:115" x14ac:dyDescent="0.25">
      <c r="A425" t="s">
        <v>1849</v>
      </c>
      <c r="B425" t="s">
        <v>1850</v>
      </c>
      <c r="F425" t="s">
        <v>216</v>
      </c>
      <c r="I425" t="s">
        <v>1851</v>
      </c>
      <c r="N425" t="s">
        <v>1852</v>
      </c>
      <c r="U425" t="s">
        <v>176</v>
      </c>
      <c r="Z425" s="14">
        <v>43231</v>
      </c>
      <c r="AA425" s="14">
        <v>43405</v>
      </c>
      <c r="AD425" s="14">
        <v>44196</v>
      </c>
      <c r="AL425" t="s">
        <v>624</v>
      </c>
      <c r="AN425">
        <v>20350000</v>
      </c>
      <c r="AR425">
        <v>20350000</v>
      </c>
      <c r="AS425">
        <v>0</v>
      </c>
      <c r="AY425" t="s">
        <v>557</v>
      </c>
      <c r="AZ425" t="s">
        <v>880</v>
      </c>
      <c r="BA425" t="s">
        <v>1184</v>
      </c>
      <c r="BB425" t="s">
        <v>1184</v>
      </c>
      <c r="BC425" t="s">
        <v>242</v>
      </c>
      <c r="BK425" t="s">
        <v>860</v>
      </c>
      <c r="BM425" t="s">
        <v>560</v>
      </c>
      <c r="BN425" t="s">
        <v>561</v>
      </c>
      <c r="BO425" t="s">
        <v>989</v>
      </c>
      <c r="BP425">
        <v>3.8</v>
      </c>
      <c r="BQ425" t="s">
        <v>902</v>
      </c>
      <c r="DF425" s="15" t="s">
        <v>9308</v>
      </c>
      <c r="DG425" t="s">
        <v>126</v>
      </c>
      <c r="DH425" t="s">
        <v>159</v>
      </c>
      <c r="DI425" t="s">
        <v>159</v>
      </c>
      <c r="DJ425" t="s">
        <v>172</v>
      </c>
      <c r="DK425">
        <v>37000</v>
      </c>
    </row>
    <row r="426" spans="1:115" x14ac:dyDescent="0.25">
      <c r="A426" t="s">
        <v>1853</v>
      </c>
      <c r="B426" t="s">
        <v>1854</v>
      </c>
      <c r="F426" t="s">
        <v>1344</v>
      </c>
      <c r="I426" t="s">
        <v>1855</v>
      </c>
      <c r="N426" t="s">
        <v>1856</v>
      </c>
      <c r="U426" t="s">
        <v>176</v>
      </c>
      <c r="Z426" s="14">
        <v>43231</v>
      </c>
      <c r="AA426" s="14">
        <v>43447</v>
      </c>
      <c r="AD426" s="14">
        <v>44196</v>
      </c>
      <c r="AL426" t="s">
        <v>624</v>
      </c>
      <c r="AN426">
        <v>22533594</v>
      </c>
      <c r="AR426">
        <v>22533594</v>
      </c>
      <c r="AS426">
        <v>0</v>
      </c>
      <c r="AY426" t="s">
        <v>557</v>
      </c>
      <c r="AZ426" t="s">
        <v>880</v>
      </c>
      <c r="BA426" t="s">
        <v>1184</v>
      </c>
      <c r="BB426" t="s">
        <v>1184</v>
      </c>
      <c r="BC426" t="s">
        <v>242</v>
      </c>
      <c r="BK426" t="s">
        <v>860</v>
      </c>
      <c r="BM426" t="s">
        <v>964</v>
      </c>
      <c r="BN426" t="s">
        <v>965</v>
      </c>
      <c r="BO426" t="s">
        <v>1036</v>
      </c>
      <c r="BP426">
        <v>16.600000000000001</v>
      </c>
      <c r="BQ426" t="s">
        <v>902</v>
      </c>
      <c r="DF426" s="15" t="s">
        <v>9308</v>
      </c>
      <c r="DG426" t="s">
        <v>126</v>
      </c>
      <c r="DH426" t="s">
        <v>159</v>
      </c>
      <c r="DI426" t="s">
        <v>159</v>
      </c>
      <c r="DJ426" t="s">
        <v>172</v>
      </c>
      <c r="DK426">
        <v>40970.17</v>
      </c>
    </row>
    <row r="427" spans="1:115" x14ac:dyDescent="0.25">
      <c r="A427" t="s">
        <v>1857</v>
      </c>
      <c r="B427" t="s">
        <v>1858</v>
      </c>
      <c r="F427" t="s">
        <v>315</v>
      </c>
      <c r="I427" t="s">
        <v>896</v>
      </c>
      <c r="N427" t="s">
        <v>1859</v>
      </c>
      <c r="U427" t="s">
        <v>176</v>
      </c>
      <c r="Z427" s="14">
        <v>43231</v>
      </c>
      <c r="AA427" s="14">
        <v>43347</v>
      </c>
      <c r="AD427" s="14">
        <v>44561</v>
      </c>
      <c r="AL427" t="s">
        <v>122</v>
      </c>
      <c r="AN427">
        <v>401461125</v>
      </c>
      <c r="AR427">
        <v>401461125</v>
      </c>
      <c r="AS427">
        <v>0</v>
      </c>
      <c r="AY427" t="s">
        <v>557</v>
      </c>
      <c r="AZ427" t="s">
        <v>880</v>
      </c>
      <c r="BA427" t="s">
        <v>1184</v>
      </c>
      <c r="BB427" t="s">
        <v>1184</v>
      </c>
      <c r="BC427" t="s">
        <v>242</v>
      </c>
      <c r="BK427" t="s">
        <v>860</v>
      </c>
      <c r="BM427" t="s">
        <v>861</v>
      </c>
      <c r="BN427" t="s">
        <v>900</v>
      </c>
      <c r="BO427" t="s">
        <v>901</v>
      </c>
      <c r="BP427">
        <v>4.0999999999999996</v>
      </c>
      <c r="BQ427" t="s">
        <v>902</v>
      </c>
      <c r="DF427" s="15" t="s">
        <v>9308</v>
      </c>
      <c r="DG427" t="s">
        <v>126</v>
      </c>
      <c r="DH427" t="s">
        <v>159</v>
      </c>
      <c r="DI427" t="s">
        <v>159</v>
      </c>
      <c r="DJ427" t="s">
        <v>172</v>
      </c>
      <c r="DK427">
        <v>612023.54</v>
      </c>
    </row>
    <row r="428" spans="1:115" x14ac:dyDescent="0.25">
      <c r="A428" t="s">
        <v>1860</v>
      </c>
      <c r="B428" t="s">
        <v>1102</v>
      </c>
      <c r="F428" t="s">
        <v>216</v>
      </c>
      <c r="I428" t="s">
        <v>1103</v>
      </c>
      <c r="N428" t="s">
        <v>1861</v>
      </c>
      <c r="U428" t="s">
        <v>211</v>
      </c>
      <c r="V428" t="s">
        <v>1105</v>
      </c>
      <c r="Z428" s="14">
        <v>43170</v>
      </c>
      <c r="AA428" s="14">
        <v>43231</v>
      </c>
      <c r="AD428" s="14">
        <v>44469</v>
      </c>
      <c r="AL428" t="s">
        <v>624</v>
      </c>
      <c r="AN428">
        <v>2351800000</v>
      </c>
      <c r="AR428">
        <v>2351800000</v>
      </c>
      <c r="AS428">
        <v>0</v>
      </c>
      <c r="AY428" t="s">
        <v>557</v>
      </c>
      <c r="AZ428" t="s">
        <v>880</v>
      </c>
      <c r="BA428" t="s">
        <v>1020</v>
      </c>
      <c r="BB428" t="s">
        <v>1021</v>
      </c>
      <c r="BC428" t="s">
        <v>242</v>
      </c>
      <c r="BK428" t="s">
        <v>860</v>
      </c>
      <c r="BM428" t="s">
        <v>560</v>
      </c>
      <c r="BN428" t="s">
        <v>561</v>
      </c>
      <c r="BO428" t="s">
        <v>989</v>
      </c>
      <c r="BP428">
        <v>3.8</v>
      </c>
      <c r="BQ428" t="s">
        <v>902</v>
      </c>
      <c r="DF428" s="15" t="s">
        <v>9395</v>
      </c>
      <c r="DG428" t="s">
        <v>126</v>
      </c>
      <c r="DH428" t="s">
        <v>159</v>
      </c>
      <c r="DI428" t="s">
        <v>159</v>
      </c>
      <c r="DJ428" t="s">
        <v>172</v>
      </c>
      <c r="DK428">
        <v>4276000</v>
      </c>
    </row>
    <row r="429" spans="1:115" x14ac:dyDescent="0.25">
      <c r="A429" t="s">
        <v>1862</v>
      </c>
      <c r="B429" t="s">
        <v>1863</v>
      </c>
      <c r="F429" t="s">
        <v>216</v>
      </c>
      <c r="I429" t="s">
        <v>1064</v>
      </c>
      <c r="N429" t="s">
        <v>1864</v>
      </c>
      <c r="U429" t="s">
        <v>165</v>
      </c>
      <c r="V429" t="s">
        <v>166</v>
      </c>
      <c r="Z429" s="14">
        <v>43231</v>
      </c>
      <c r="AA429" s="14">
        <v>43299</v>
      </c>
      <c r="AD429" s="14">
        <v>44834</v>
      </c>
      <c r="AL429" t="s">
        <v>624</v>
      </c>
      <c r="AN429">
        <v>79215950</v>
      </c>
      <c r="AR429">
        <v>79215950</v>
      </c>
      <c r="AS429">
        <v>0</v>
      </c>
      <c r="AY429" t="s">
        <v>557</v>
      </c>
      <c r="AZ429" t="s">
        <v>880</v>
      </c>
      <c r="BA429" t="s">
        <v>1020</v>
      </c>
      <c r="BB429" t="s">
        <v>1021</v>
      </c>
      <c r="BC429" t="s">
        <v>242</v>
      </c>
      <c r="BK429" t="s">
        <v>860</v>
      </c>
      <c r="BM429" t="s">
        <v>560</v>
      </c>
      <c r="BN429" t="s">
        <v>561</v>
      </c>
      <c r="BO429" t="s">
        <v>989</v>
      </c>
      <c r="BP429">
        <v>3.8</v>
      </c>
      <c r="BQ429" t="s">
        <v>902</v>
      </c>
      <c r="DF429" s="15" t="s">
        <v>9307</v>
      </c>
      <c r="DG429" t="s">
        <v>126</v>
      </c>
      <c r="DH429" t="s">
        <v>159</v>
      </c>
      <c r="DI429" t="s">
        <v>159</v>
      </c>
      <c r="DJ429" t="s">
        <v>172</v>
      </c>
      <c r="DK429">
        <v>144029</v>
      </c>
    </row>
    <row r="430" spans="1:115" x14ac:dyDescent="0.25">
      <c r="A430" t="s">
        <v>1865</v>
      </c>
      <c r="B430" t="s">
        <v>1866</v>
      </c>
      <c r="F430" t="s">
        <v>163</v>
      </c>
      <c r="I430" t="s">
        <v>1476</v>
      </c>
      <c r="N430" t="s">
        <v>1867</v>
      </c>
      <c r="U430" t="s">
        <v>165</v>
      </c>
      <c r="V430" t="s">
        <v>166</v>
      </c>
      <c r="Z430" s="14">
        <v>43231</v>
      </c>
      <c r="AA430" s="14">
        <v>43447</v>
      </c>
      <c r="AD430" s="14">
        <v>44561</v>
      </c>
      <c r="AL430" t="s">
        <v>624</v>
      </c>
      <c r="AN430">
        <v>550000000</v>
      </c>
      <c r="AR430">
        <v>550000000</v>
      </c>
      <c r="AS430">
        <v>0</v>
      </c>
      <c r="AY430" t="s">
        <v>557</v>
      </c>
      <c r="AZ430" t="s">
        <v>880</v>
      </c>
      <c r="BA430" t="s">
        <v>1020</v>
      </c>
      <c r="BB430" t="s">
        <v>1021</v>
      </c>
      <c r="BC430" t="s">
        <v>242</v>
      </c>
      <c r="BK430" t="s">
        <v>860</v>
      </c>
      <c r="BM430" t="s">
        <v>964</v>
      </c>
      <c r="BN430" t="s">
        <v>965</v>
      </c>
      <c r="BO430" t="s">
        <v>1036</v>
      </c>
      <c r="BP430">
        <v>16.600000000000001</v>
      </c>
      <c r="BQ430" t="s">
        <v>902</v>
      </c>
      <c r="DF430" s="15" t="s">
        <v>9307</v>
      </c>
      <c r="DG430" t="s">
        <v>126</v>
      </c>
      <c r="DH430" t="s">
        <v>159</v>
      </c>
      <c r="DI430" t="s">
        <v>159</v>
      </c>
      <c r="DJ430" t="s">
        <v>172</v>
      </c>
      <c r="DK430">
        <v>1000000</v>
      </c>
    </row>
    <row r="431" spans="1:115" x14ac:dyDescent="0.25">
      <c r="A431" t="s">
        <v>1868</v>
      </c>
      <c r="B431" t="s">
        <v>1869</v>
      </c>
      <c r="F431" t="s">
        <v>190</v>
      </c>
      <c r="N431" t="s">
        <v>1870</v>
      </c>
      <c r="U431" t="s">
        <v>176</v>
      </c>
      <c r="Z431" s="14">
        <v>43231</v>
      </c>
      <c r="AD431" s="14">
        <v>44196</v>
      </c>
      <c r="AL431" t="s">
        <v>357</v>
      </c>
      <c r="AN431">
        <v>2508300000</v>
      </c>
      <c r="AR431">
        <v>2508300000</v>
      </c>
      <c r="AS431">
        <v>0</v>
      </c>
      <c r="BA431" t="s">
        <v>358</v>
      </c>
      <c r="BB431" t="s">
        <v>358</v>
      </c>
      <c r="BC431" t="s">
        <v>242</v>
      </c>
      <c r="DF431" s="15" t="s">
        <v>9308</v>
      </c>
      <c r="DG431" t="s">
        <v>126</v>
      </c>
      <c r="DH431" t="s">
        <v>159</v>
      </c>
      <c r="DI431" t="s">
        <v>159</v>
      </c>
      <c r="DJ431" t="s">
        <v>172</v>
      </c>
      <c r="DK431">
        <v>30000000</v>
      </c>
    </row>
    <row r="432" spans="1:115" x14ac:dyDescent="0.25">
      <c r="A432" t="s">
        <v>1871</v>
      </c>
      <c r="B432" t="s">
        <v>1872</v>
      </c>
      <c r="F432" t="s">
        <v>163</v>
      </c>
      <c r="N432" t="s">
        <v>1873</v>
      </c>
      <c r="U432" t="s">
        <v>165</v>
      </c>
      <c r="V432" t="s">
        <v>166</v>
      </c>
      <c r="Z432" s="14">
        <v>43231</v>
      </c>
      <c r="AA432" s="14">
        <v>43252</v>
      </c>
      <c r="AD432" s="14">
        <v>44104</v>
      </c>
      <c r="AL432" t="s">
        <v>624</v>
      </c>
      <c r="AN432">
        <v>85674741</v>
      </c>
      <c r="AR432">
        <v>85674741</v>
      </c>
      <c r="AS432">
        <v>0</v>
      </c>
      <c r="BA432" t="s">
        <v>1020</v>
      </c>
      <c r="BB432" t="s">
        <v>1021</v>
      </c>
      <c r="BC432" t="s">
        <v>242</v>
      </c>
      <c r="DF432" s="15" t="s">
        <v>9307</v>
      </c>
      <c r="DG432" t="s">
        <v>126</v>
      </c>
      <c r="DH432" t="s">
        <v>159</v>
      </c>
      <c r="DI432" t="s">
        <v>159</v>
      </c>
      <c r="DJ432" t="s">
        <v>172</v>
      </c>
      <c r="DK432">
        <v>148628</v>
      </c>
    </row>
    <row r="433" spans="1:115" x14ac:dyDescent="0.25">
      <c r="A433" t="s">
        <v>1874</v>
      </c>
      <c r="B433" t="s">
        <v>1875</v>
      </c>
      <c r="F433" t="s">
        <v>216</v>
      </c>
      <c r="I433" t="s">
        <v>1064</v>
      </c>
      <c r="N433" t="s">
        <v>1876</v>
      </c>
      <c r="U433" t="s">
        <v>176</v>
      </c>
      <c r="Z433" s="14">
        <v>43235</v>
      </c>
      <c r="AA433" s="14">
        <v>43432</v>
      </c>
      <c r="AD433" s="14">
        <v>45657</v>
      </c>
      <c r="AL433" t="s">
        <v>624</v>
      </c>
      <c r="AN433">
        <v>94335090140</v>
      </c>
      <c r="AR433">
        <v>48410090140</v>
      </c>
      <c r="AS433">
        <v>45925000000</v>
      </c>
      <c r="AY433" t="s">
        <v>557</v>
      </c>
      <c r="AZ433" t="s">
        <v>859</v>
      </c>
      <c r="BA433" t="s">
        <v>178</v>
      </c>
      <c r="BB433" t="s">
        <v>179</v>
      </c>
      <c r="BC433" t="s">
        <v>125</v>
      </c>
      <c r="BK433" t="s">
        <v>860</v>
      </c>
      <c r="BM433" t="s">
        <v>560</v>
      </c>
      <c r="BN433" t="s">
        <v>561</v>
      </c>
      <c r="BO433" t="s">
        <v>989</v>
      </c>
      <c r="BP433">
        <v>3.8</v>
      </c>
      <c r="BQ433" t="s">
        <v>902</v>
      </c>
      <c r="DF433" s="15" t="s">
        <v>9308</v>
      </c>
      <c r="DG433" t="s">
        <v>1877</v>
      </c>
      <c r="DH433" t="s">
        <v>201</v>
      </c>
      <c r="DI433" t="s">
        <v>279</v>
      </c>
      <c r="DJ433" t="s">
        <v>372</v>
      </c>
      <c r="DK433">
        <v>171518345.71000001</v>
      </c>
    </row>
    <row r="434" spans="1:115" x14ac:dyDescent="0.25">
      <c r="A434" t="s">
        <v>1878</v>
      </c>
      <c r="B434" t="s">
        <v>1879</v>
      </c>
      <c r="F434" t="s">
        <v>1880</v>
      </c>
      <c r="I434" t="s">
        <v>1040</v>
      </c>
      <c r="N434" t="s">
        <v>1881</v>
      </c>
      <c r="U434" t="s">
        <v>176</v>
      </c>
      <c r="Z434" s="14">
        <v>43538</v>
      </c>
      <c r="AA434" s="14">
        <v>43543</v>
      </c>
      <c r="AD434" t="s">
        <v>1882</v>
      </c>
      <c r="AL434" t="s">
        <v>122</v>
      </c>
      <c r="AN434">
        <v>327978500000</v>
      </c>
      <c r="AR434">
        <v>0</v>
      </c>
      <c r="AS434">
        <v>327978500000</v>
      </c>
      <c r="AY434" t="s">
        <v>1043</v>
      </c>
      <c r="AZ434" t="s">
        <v>558</v>
      </c>
      <c r="BA434" t="s">
        <v>1355</v>
      </c>
      <c r="BB434" t="s">
        <v>1356</v>
      </c>
      <c r="BC434" t="s">
        <v>442</v>
      </c>
      <c r="BK434" t="s">
        <v>860</v>
      </c>
      <c r="BM434" t="s">
        <v>861</v>
      </c>
      <c r="BN434" t="s">
        <v>1046</v>
      </c>
      <c r="BO434" t="s">
        <v>1047</v>
      </c>
      <c r="BP434">
        <v>17.170000000000002</v>
      </c>
      <c r="BQ434" t="s">
        <v>864</v>
      </c>
      <c r="DF434" s="15" t="s">
        <v>9308</v>
      </c>
      <c r="DG434" t="s">
        <v>1048</v>
      </c>
      <c r="DH434" t="s">
        <v>127</v>
      </c>
      <c r="DI434" t="s">
        <v>1883</v>
      </c>
      <c r="DJ434" t="s">
        <v>172</v>
      </c>
      <c r="DK434">
        <v>500000000</v>
      </c>
    </row>
    <row r="435" spans="1:115" x14ac:dyDescent="0.25">
      <c r="A435" t="s">
        <v>1884</v>
      </c>
      <c r="B435" t="s">
        <v>1885</v>
      </c>
      <c r="F435" t="s">
        <v>526</v>
      </c>
      <c r="I435" t="s">
        <v>1064</v>
      </c>
      <c r="N435" t="s">
        <v>1886</v>
      </c>
      <c r="U435" t="s">
        <v>176</v>
      </c>
      <c r="Z435" s="14">
        <v>43473</v>
      </c>
      <c r="AA435" s="14">
        <v>43596</v>
      </c>
      <c r="AD435" s="14">
        <v>45657</v>
      </c>
      <c r="AL435" t="s">
        <v>122</v>
      </c>
      <c r="AN435">
        <v>83306539000</v>
      </c>
      <c r="AR435">
        <v>0</v>
      </c>
      <c r="AS435">
        <v>83306539000</v>
      </c>
      <c r="AY435" t="s">
        <v>1043</v>
      </c>
      <c r="AZ435" t="s">
        <v>558</v>
      </c>
      <c r="BA435" t="s">
        <v>1355</v>
      </c>
      <c r="BB435" t="s">
        <v>1356</v>
      </c>
      <c r="BC435" t="s">
        <v>442</v>
      </c>
      <c r="BM435" t="s">
        <v>560</v>
      </c>
      <c r="BN435" t="s">
        <v>561</v>
      </c>
      <c r="BO435" t="s">
        <v>989</v>
      </c>
      <c r="BP435">
        <v>3.8</v>
      </c>
      <c r="BQ435" t="s">
        <v>902</v>
      </c>
      <c r="DF435" s="15" t="s">
        <v>9308</v>
      </c>
      <c r="DG435" t="s">
        <v>126</v>
      </c>
      <c r="DH435" t="s">
        <v>127</v>
      </c>
      <c r="DI435" t="s">
        <v>443</v>
      </c>
      <c r="DJ435" t="s">
        <v>172</v>
      </c>
      <c r="DK435">
        <v>127000000</v>
      </c>
    </row>
    <row r="436" spans="1:115" x14ac:dyDescent="0.25">
      <c r="A436" t="s">
        <v>1887</v>
      </c>
      <c r="B436" t="s">
        <v>1888</v>
      </c>
      <c r="F436" t="s">
        <v>142</v>
      </c>
      <c r="N436" t="s">
        <v>1889</v>
      </c>
      <c r="U436" t="s">
        <v>1890</v>
      </c>
      <c r="V436" t="s">
        <v>1891</v>
      </c>
      <c r="Z436" s="14">
        <v>43483</v>
      </c>
      <c r="AA436" s="14">
        <v>43794</v>
      </c>
      <c r="AD436" s="14">
        <v>46387</v>
      </c>
      <c r="AL436" t="s">
        <v>122</v>
      </c>
      <c r="AN436">
        <v>106999705840</v>
      </c>
      <c r="AR436">
        <v>0</v>
      </c>
      <c r="AS436">
        <v>106999705840</v>
      </c>
      <c r="BA436" t="s">
        <v>277</v>
      </c>
      <c r="BB436" t="s">
        <v>278</v>
      </c>
      <c r="BC436" t="s">
        <v>125</v>
      </c>
      <c r="DF436" s="15" t="s">
        <v>9444</v>
      </c>
      <c r="DG436" t="s">
        <v>126</v>
      </c>
      <c r="DH436" t="s">
        <v>127</v>
      </c>
      <c r="DI436" t="s">
        <v>1892</v>
      </c>
      <c r="DJ436" t="s">
        <v>151</v>
      </c>
      <c r="DK436">
        <v>163120000</v>
      </c>
    </row>
    <row r="437" spans="1:115" x14ac:dyDescent="0.25">
      <c r="A437" t="s">
        <v>1893</v>
      </c>
      <c r="B437" t="s">
        <v>1894</v>
      </c>
      <c r="F437" t="s">
        <v>263</v>
      </c>
      <c r="N437" t="s">
        <v>1895</v>
      </c>
      <c r="U437" t="s">
        <v>1896</v>
      </c>
      <c r="V437" t="s">
        <v>1897</v>
      </c>
      <c r="Z437" s="14">
        <v>43493</v>
      </c>
      <c r="AA437" s="14">
        <v>43749</v>
      </c>
      <c r="AD437" s="14">
        <v>46022</v>
      </c>
      <c r="AL437" t="s">
        <v>624</v>
      </c>
      <c r="AN437">
        <v>9735000000</v>
      </c>
      <c r="AR437">
        <v>0</v>
      </c>
      <c r="AS437">
        <v>9735000000</v>
      </c>
      <c r="BA437" t="s">
        <v>240</v>
      </c>
      <c r="BB437" t="s">
        <v>241</v>
      </c>
      <c r="BC437" t="s">
        <v>242</v>
      </c>
      <c r="DF437" s="15" t="s">
        <v>9445</v>
      </c>
      <c r="DG437" t="s">
        <v>126</v>
      </c>
      <c r="DH437" t="s">
        <v>127</v>
      </c>
      <c r="DI437" t="s">
        <v>150</v>
      </c>
      <c r="DJ437" t="s">
        <v>129</v>
      </c>
      <c r="DK437">
        <v>17700000</v>
      </c>
    </row>
    <row r="438" spans="1:115" x14ac:dyDescent="0.25">
      <c r="A438" t="s">
        <v>1898</v>
      </c>
      <c r="B438" t="s">
        <v>1899</v>
      </c>
      <c r="F438" t="s">
        <v>190</v>
      </c>
      <c r="N438" t="s">
        <v>1900</v>
      </c>
      <c r="U438" t="s">
        <v>176</v>
      </c>
      <c r="Z438" s="14">
        <v>43504</v>
      </c>
      <c r="AA438" s="14">
        <v>43510</v>
      </c>
      <c r="AD438" s="14">
        <v>46022</v>
      </c>
      <c r="AL438" t="s">
        <v>122</v>
      </c>
      <c r="AN438">
        <v>8737347240</v>
      </c>
      <c r="AR438">
        <v>0</v>
      </c>
      <c r="AS438">
        <v>8737347240</v>
      </c>
      <c r="BA438" t="s">
        <v>448</v>
      </c>
      <c r="BB438" t="s">
        <v>449</v>
      </c>
      <c r="BC438" t="s">
        <v>125</v>
      </c>
      <c r="DF438" s="15" t="s">
        <v>9308</v>
      </c>
      <c r="DG438" t="s">
        <v>126</v>
      </c>
      <c r="DH438" t="s">
        <v>127</v>
      </c>
      <c r="DI438" t="s">
        <v>150</v>
      </c>
      <c r="DJ438" t="s">
        <v>129</v>
      </c>
      <c r="DK438">
        <v>13320000</v>
      </c>
    </row>
    <row r="439" spans="1:115" x14ac:dyDescent="0.25">
      <c r="A439" t="s">
        <v>1901</v>
      </c>
      <c r="B439" t="s">
        <v>1899</v>
      </c>
      <c r="F439" t="s">
        <v>190</v>
      </c>
      <c r="N439" t="s">
        <v>1902</v>
      </c>
      <c r="U439" t="s">
        <v>176</v>
      </c>
      <c r="Z439" s="14">
        <v>43510</v>
      </c>
      <c r="AA439" s="14">
        <v>43753</v>
      </c>
      <c r="AD439" s="14">
        <v>45930</v>
      </c>
      <c r="AL439" t="s">
        <v>624</v>
      </c>
      <c r="AN439">
        <v>5500000000</v>
      </c>
      <c r="AR439">
        <v>0</v>
      </c>
      <c r="AS439">
        <v>5500000000</v>
      </c>
      <c r="BA439" t="s">
        <v>148</v>
      </c>
      <c r="BB439" t="s">
        <v>149</v>
      </c>
      <c r="BC439" t="s">
        <v>125</v>
      </c>
      <c r="DF439" s="15" t="s">
        <v>9308</v>
      </c>
      <c r="DG439" t="s">
        <v>126</v>
      </c>
      <c r="DH439" t="s">
        <v>127</v>
      </c>
      <c r="DI439" t="s">
        <v>150</v>
      </c>
      <c r="DJ439" t="s">
        <v>151</v>
      </c>
      <c r="DK439">
        <v>10000000</v>
      </c>
    </row>
    <row r="440" spans="1:115" x14ac:dyDescent="0.25">
      <c r="A440" t="s">
        <v>1903</v>
      </c>
      <c r="B440" t="s">
        <v>1904</v>
      </c>
      <c r="F440" t="s">
        <v>315</v>
      </c>
      <c r="N440" t="s">
        <v>1905</v>
      </c>
      <c r="U440" t="s">
        <v>1906</v>
      </c>
      <c r="V440" t="s">
        <v>1907</v>
      </c>
      <c r="Z440" s="14">
        <v>43543</v>
      </c>
      <c r="AA440" s="14">
        <v>43560</v>
      </c>
      <c r="AD440" s="14">
        <v>45291</v>
      </c>
      <c r="AL440" t="s">
        <v>624</v>
      </c>
      <c r="AN440">
        <v>11000000000</v>
      </c>
      <c r="AR440">
        <v>0</v>
      </c>
      <c r="AS440">
        <v>11000000000</v>
      </c>
      <c r="BA440" t="s">
        <v>305</v>
      </c>
      <c r="BB440" t="s">
        <v>306</v>
      </c>
      <c r="BC440" t="s">
        <v>125</v>
      </c>
      <c r="DF440" s="15" t="s">
        <v>9446</v>
      </c>
      <c r="DG440" t="s">
        <v>126</v>
      </c>
      <c r="DH440" t="s">
        <v>127</v>
      </c>
      <c r="DI440" t="s">
        <v>150</v>
      </c>
      <c r="DJ440" t="s">
        <v>151</v>
      </c>
      <c r="DK440">
        <v>20000000</v>
      </c>
    </row>
    <row r="441" spans="1:115" x14ac:dyDescent="0.25">
      <c r="A441" t="s">
        <v>1908</v>
      </c>
      <c r="B441" t="s">
        <v>1909</v>
      </c>
      <c r="F441" t="s">
        <v>190</v>
      </c>
      <c r="I441" t="s">
        <v>1176</v>
      </c>
      <c r="N441" t="s">
        <v>1910</v>
      </c>
      <c r="U441" t="s">
        <v>1911</v>
      </c>
      <c r="Z441" s="14">
        <v>43592</v>
      </c>
      <c r="AA441" s="14">
        <v>43812</v>
      </c>
      <c r="AD441" s="14">
        <v>46022</v>
      </c>
      <c r="AL441" t="s">
        <v>276</v>
      </c>
      <c r="AN441">
        <v>5671001680</v>
      </c>
      <c r="AR441">
        <v>0</v>
      </c>
      <c r="AS441">
        <v>5671001680</v>
      </c>
      <c r="AY441" t="s">
        <v>557</v>
      </c>
      <c r="AZ441" t="s">
        <v>859</v>
      </c>
      <c r="BA441" t="s">
        <v>277</v>
      </c>
      <c r="BB441" t="s">
        <v>278</v>
      </c>
      <c r="BC441" t="s">
        <v>125</v>
      </c>
      <c r="BK441" t="s">
        <v>860</v>
      </c>
      <c r="BM441" t="s">
        <v>861</v>
      </c>
      <c r="BN441" t="s">
        <v>862</v>
      </c>
      <c r="BO441" t="s">
        <v>863</v>
      </c>
      <c r="BP441">
        <v>2.2999999999999998</v>
      </c>
      <c r="BQ441" t="s">
        <v>864</v>
      </c>
      <c r="DF441" s="15" t="s">
        <v>9447</v>
      </c>
      <c r="DG441" t="s">
        <v>126</v>
      </c>
      <c r="DH441" t="s">
        <v>127</v>
      </c>
      <c r="DI441" t="s">
        <v>150</v>
      </c>
      <c r="DJ441" t="s">
        <v>151</v>
      </c>
      <c r="DK441">
        <v>7120000</v>
      </c>
    </row>
    <row r="442" spans="1:115" x14ac:dyDescent="0.25">
      <c r="A442" t="s">
        <v>1912</v>
      </c>
      <c r="B442" t="s">
        <v>1913</v>
      </c>
      <c r="F442" t="s">
        <v>216</v>
      </c>
      <c r="N442" t="s">
        <v>1914</v>
      </c>
      <c r="U442" t="s">
        <v>345</v>
      </c>
      <c r="V442" t="s">
        <v>346</v>
      </c>
      <c r="Z442" s="14">
        <v>43605</v>
      </c>
      <c r="AA442" s="14">
        <v>43649</v>
      </c>
      <c r="AD442" s="14">
        <v>45291</v>
      </c>
      <c r="AL442" t="s">
        <v>624</v>
      </c>
      <c r="AN442">
        <v>2750000000</v>
      </c>
      <c r="AR442">
        <v>0</v>
      </c>
      <c r="AS442">
        <v>2750000000</v>
      </c>
      <c r="BA442" t="s">
        <v>123</v>
      </c>
      <c r="BB442" t="s">
        <v>124</v>
      </c>
      <c r="BC442" t="s">
        <v>125</v>
      </c>
      <c r="DF442" s="15" t="s">
        <v>9327</v>
      </c>
      <c r="DG442" t="s">
        <v>126</v>
      </c>
      <c r="DH442" t="s">
        <v>127</v>
      </c>
      <c r="DI442" t="s">
        <v>128</v>
      </c>
      <c r="DJ442" t="s">
        <v>853</v>
      </c>
      <c r="DK442">
        <v>5000000</v>
      </c>
    </row>
    <row r="443" spans="1:115" x14ac:dyDescent="0.25">
      <c r="A443" t="s">
        <v>1915</v>
      </c>
      <c r="B443" t="s">
        <v>1916</v>
      </c>
      <c r="F443" t="s">
        <v>118</v>
      </c>
      <c r="N443" t="s">
        <v>1917</v>
      </c>
      <c r="U443" t="s">
        <v>176</v>
      </c>
      <c r="Z443" s="14">
        <v>43613</v>
      </c>
      <c r="AA443" s="14">
        <v>43670</v>
      </c>
      <c r="AD443" s="14">
        <v>46022</v>
      </c>
      <c r="AL443" t="s">
        <v>122</v>
      </c>
      <c r="AN443">
        <v>29518065000</v>
      </c>
      <c r="AR443">
        <v>0</v>
      </c>
      <c r="AS443">
        <v>29518065000</v>
      </c>
      <c r="BA443" t="s">
        <v>337</v>
      </c>
      <c r="BB443" t="s">
        <v>338</v>
      </c>
      <c r="BC443" t="s">
        <v>242</v>
      </c>
      <c r="DF443" s="15" t="s">
        <v>9308</v>
      </c>
      <c r="DG443" t="s">
        <v>126</v>
      </c>
      <c r="DH443" t="s">
        <v>127</v>
      </c>
      <c r="DI443" t="s">
        <v>150</v>
      </c>
      <c r="DJ443" t="s">
        <v>129</v>
      </c>
      <c r="DK443">
        <v>45000000</v>
      </c>
    </row>
    <row r="444" spans="1:115" x14ac:dyDescent="0.25">
      <c r="A444" t="s">
        <v>1918</v>
      </c>
      <c r="B444" t="s">
        <v>1919</v>
      </c>
      <c r="F444" t="s">
        <v>369</v>
      </c>
      <c r="N444" t="s">
        <v>1920</v>
      </c>
      <c r="U444" t="s">
        <v>176</v>
      </c>
      <c r="Z444" s="14">
        <v>43657</v>
      </c>
      <c r="AA444" s="14">
        <v>43685</v>
      </c>
      <c r="AD444" s="14">
        <v>45838</v>
      </c>
      <c r="AL444" t="s">
        <v>122</v>
      </c>
      <c r="AN444">
        <v>58511364400</v>
      </c>
      <c r="AR444">
        <v>0</v>
      </c>
      <c r="AS444">
        <v>58511364400</v>
      </c>
      <c r="BA444" t="s">
        <v>178</v>
      </c>
      <c r="BB444" t="s">
        <v>179</v>
      </c>
      <c r="BC444" t="s">
        <v>125</v>
      </c>
      <c r="DF444" s="15" t="s">
        <v>9308</v>
      </c>
      <c r="DG444" t="s">
        <v>126</v>
      </c>
      <c r="DH444" t="s">
        <v>127</v>
      </c>
      <c r="DI444" t="s">
        <v>150</v>
      </c>
      <c r="DJ444" t="s">
        <v>181</v>
      </c>
      <c r="DK444">
        <v>89200000</v>
      </c>
    </row>
    <row r="445" spans="1:115" x14ac:dyDescent="0.25">
      <c r="A445" t="s">
        <v>1921</v>
      </c>
      <c r="B445" t="s">
        <v>1922</v>
      </c>
      <c r="F445" t="s">
        <v>1923</v>
      </c>
      <c r="N445" t="s">
        <v>1924</v>
      </c>
      <c r="U445" t="s">
        <v>176</v>
      </c>
      <c r="Z445" s="14">
        <v>43690</v>
      </c>
      <c r="AA445" s="14">
        <v>43812</v>
      </c>
      <c r="AD445" s="14">
        <v>44561</v>
      </c>
      <c r="AL445" t="s">
        <v>276</v>
      </c>
      <c r="AN445">
        <v>2809871575</v>
      </c>
      <c r="AR445">
        <v>0</v>
      </c>
      <c r="AS445">
        <v>2809871575</v>
      </c>
      <c r="BA445" t="s">
        <v>277</v>
      </c>
      <c r="BB445" t="s">
        <v>278</v>
      </c>
      <c r="BC445" t="s">
        <v>125</v>
      </c>
      <c r="DF445" s="15" t="s">
        <v>9308</v>
      </c>
      <c r="DG445" t="s">
        <v>317</v>
      </c>
      <c r="DH445" t="s">
        <v>127</v>
      </c>
      <c r="DI445" t="s">
        <v>150</v>
      </c>
      <c r="DJ445" t="s">
        <v>151</v>
      </c>
      <c r="DK445">
        <v>3497974</v>
      </c>
    </row>
    <row r="446" spans="1:115" x14ac:dyDescent="0.25">
      <c r="A446" t="s">
        <v>1925</v>
      </c>
      <c r="B446" t="s">
        <v>1926</v>
      </c>
      <c r="F446" t="s">
        <v>873</v>
      </c>
      <c r="N446" t="s">
        <v>1927</v>
      </c>
      <c r="U446" t="s">
        <v>185</v>
      </c>
      <c r="V446" t="s">
        <v>1928</v>
      </c>
      <c r="W446" t="s">
        <v>1929</v>
      </c>
      <c r="Z446" s="14">
        <v>43613</v>
      </c>
      <c r="AA446" s="14">
        <v>43734</v>
      </c>
      <c r="AD446" s="14">
        <v>45657</v>
      </c>
      <c r="AL446" t="s">
        <v>122</v>
      </c>
      <c r="AN446">
        <v>22630516500</v>
      </c>
      <c r="AR446">
        <v>0</v>
      </c>
      <c r="AS446">
        <v>22630516500</v>
      </c>
      <c r="BA446" t="s">
        <v>337</v>
      </c>
      <c r="BB446" t="s">
        <v>338</v>
      </c>
      <c r="BC446" t="s">
        <v>242</v>
      </c>
      <c r="DF446" s="15" t="s">
        <v>9448</v>
      </c>
      <c r="DG446" t="s">
        <v>126</v>
      </c>
      <c r="DH446" t="s">
        <v>127</v>
      </c>
      <c r="DI446" t="s">
        <v>150</v>
      </c>
      <c r="DJ446" t="s">
        <v>129</v>
      </c>
      <c r="DK446">
        <v>34500000</v>
      </c>
    </row>
    <row r="447" spans="1:115" x14ac:dyDescent="0.25">
      <c r="A447" t="s">
        <v>1930</v>
      </c>
      <c r="B447" t="s">
        <v>1931</v>
      </c>
      <c r="F447" t="s">
        <v>1932</v>
      </c>
      <c r="N447" t="s">
        <v>1933</v>
      </c>
      <c r="U447" t="s">
        <v>165</v>
      </c>
      <c r="V447" t="s">
        <v>166</v>
      </c>
      <c r="Z447" s="14">
        <v>43601</v>
      </c>
      <c r="AA447" s="14">
        <v>43745</v>
      </c>
      <c r="AD447" s="14">
        <v>46022</v>
      </c>
      <c r="AL447" t="s">
        <v>122</v>
      </c>
      <c r="AN447">
        <v>58445768700</v>
      </c>
      <c r="AR447">
        <v>0</v>
      </c>
      <c r="AS447">
        <v>58445768700</v>
      </c>
      <c r="BA447" t="s">
        <v>178</v>
      </c>
      <c r="BB447" t="s">
        <v>179</v>
      </c>
      <c r="BC447" t="s">
        <v>125</v>
      </c>
      <c r="DF447" s="15" t="s">
        <v>9307</v>
      </c>
      <c r="DG447" t="s">
        <v>126</v>
      </c>
      <c r="DH447" t="s">
        <v>127</v>
      </c>
      <c r="DI447" t="s">
        <v>150</v>
      </c>
      <c r="DJ447" t="s">
        <v>181</v>
      </c>
      <c r="DK447">
        <v>89100000</v>
      </c>
    </row>
    <row r="448" spans="1:115" x14ac:dyDescent="0.25">
      <c r="A448" t="s">
        <v>1934</v>
      </c>
      <c r="B448" t="s">
        <v>1935</v>
      </c>
      <c r="F448" t="s">
        <v>1936</v>
      </c>
      <c r="N448" t="s">
        <v>1937</v>
      </c>
      <c r="U448" t="s">
        <v>185</v>
      </c>
      <c r="V448" t="s">
        <v>224</v>
      </c>
      <c r="W448" t="s">
        <v>1293</v>
      </c>
      <c r="Z448" s="14">
        <v>43610</v>
      </c>
      <c r="AA448" s="14">
        <v>43755</v>
      </c>
      <c r="AD448" s="14">
        <v>45657</v>
      </c>
      <c r="AL448" t="s">
        <v>122</v>
      </c>
      <c r="AN448">
        <v>41246576160</v>
      </c>
      <c r="AR448">
        <v>0</v>
      </c>
      <c r="AS448">
        <v>41246576160</v>
      </c>
      <c r="BA448" t="s">
        <v>168</v>
      </c>
      <c r="BB448" t="s">
        <v>169</v>
      </c>
      <c r="BC448" t="s">
        <v>125</v>
      </c>
      <c r="DF448" s="15" t="s">
        <v>9411</v>
      </c>
      <c r="DG448" t="s">
        <v>126</v>
      </c>
      <c r="DH448" t="s">
        <v>127</v>
      </c>
      <c r="DI448" t="s">
        <v>150</v>
      </c>
      <c r="DJ448" t="s">
        <v>151</v>
      </c>
      <c r="DK448">
        <v>62880000</v>
      </c>
    </row>
    <row r="449" spans="1:115" x14ac:dyDescent="0.25">
      <c r="A449" t="s">
        <v>1938</v>
      </c>
      <c r="B449" t="s">
        <v>1939</v>
      </c>
      <c r="F449" t="s">
        <v>1932</v>
      </c>
      <c r="N449" t="s">
        <v>1940</v>
      </c>
      <c r="U449" t="s">
        <v>165</v>
      </c>
      <c r="V449" t="s">
        <v>166</v>
      </c>
      <c r="Z449" s="14">
        <v>43784</v>
      </c>
      <c r="AA449" s="14">
        <v>43812</v>
      </c>
      <c r="AD449" s="14">
        <v>46022</v>
      </c>
      <c r="AL449" t="s">
        <v>122</v>
      </c>
      <c r="AN449">
        <v>40013377000</v>
      </c>
      <c r="AR449">
        <v>0</v>
      </c>
      <c r="AS449">
        <v>40013377000</v>
      </c>
      <c r="BA449" t="s">
        <v>277</v>
      </c>
      <c r="BB449" t="s">
        <v>278</v>
      </c>
      <c r="BC449" t="s">
        <v>125</v>
      </c>
      <c r="DF449" s="15" t="s">
        <v>9307</v>
      </c>
      <c r="DG449" t="s">
        <v>126</v>
      </c>
      <c r="DH449" t="s">
        <v>127</v>
      </c>
      <c r="DI449" t="s">
        <v>128</v>
      </c>
      <c r="DJ449" t="s">
        <v>151</v>
      </c>
      <c r="DK449">
        <v>61000000</v>
      </c>
    </row>
    <row r="450" spans="1:115" x14ac:dyDescent="0.25">
      <c r="A450" t="s">
        <v>1941</v>
      </c>
      <c r="B450" t="s">
        <v>1942</v>
      </c>
      <c r="F450" t="s">
        <v>118</v>
      </c>
      <c r="N450" t="s">
        <v>1943</v>
      </c>
      <c r="U450" t="s">
        <v>176</v>
      </c>
      <c r="Z450" s="14">
        <v>43784</v>
      </c>
      <c r="AA450" s="14">
        <v>43812</v>
      </c>
      <c r="AD450" s="14">
        <v>46387</v>
      </c>
      <c r="AL450" t="s">
        <v>122</v>
      </c>
      <c r="AN450">
        <v>40518463890</v>
      </c>
      <c r="AR450">
        <v>0</v>
      </c>
      <c r="AS450">
        <v>40518463890</v>
      </c>
      <c r="BA450" t="s">
        <v>277</v>
      </c>
      <c r="BB450" t="s">
        <v>278</v>
      </c>
      <c r="BC450" t="s">
        <v>125</v>
      </c>
      <c r="DF450" s="15" t="s">
        <v>9308</v>
      </c>
      <c r="DG450" t="s">
        <v>126</v>
      </c>
      <c r="DH450" t="s">
        <v>127</v>
      </c>
      <c r="DI450" t="s">
        <v>128</v>
      </c>
      <c r="DJ450" t="s">
        <v>151</v>
      </c>
      <c r="DK450">
        <v>61770000</v>
      </c>
    </row>
    <row r="451" spans="1:115" x14ac:dyDescent="0.25">
      <c r="A451" t="s">
        <v>1944</v>
      </c>
      <c r="B451" t="s">
        <v>1945</v>
      </c>
      <c r="F451" t="s">
        <v>1880</v>
      </c>
      <c r="N451" t="s">
        <v>1946</v>
      </c>
      <c r="U451" t="s">
        <v>176</v>
      </c>
      <c r="Z451" s="14">
        <v>43811</v>
      </c>
      <c r="AA451" s="14">
        <v>43815</v>
      </c>
      <c r="AD451" s="14">
        <v>44196</v>
      </c>
      <c r="AL451" t="s">
        <v>122</v>
      </c>
      <c r="AN451">
        <v>26631854200</v>
      </c>
      <c r="AR451">
        <v>0</v>
      </c>
      <c r="AS451">
        <v>26631854200</v>
      </c>
      <c r="BA451" t="s">
        <v>178</v>
      </c>
      <c r="BB451" t="s">
        <v>179</v>
      </c>
      <c r="BC451" t="s">
        <v>125</v>
      </c>
      <c r="DF451" s="15" t="s">
        <v>9308</v>
      </c>
      <c r="DG451" t="s">
        <v>126</v>
      </c>
      <c r="DH451" t="s">
        <v>127</v>
      </c>
      <c r="DI451" t="s">
        <v>150</v>
      </c>
      <c r="DJ451" t="s">
        <v>372</v>
      </c>
      <c r="DK451">
        <v>40600000</v>
      </c>
    </row>
    <row r="452" spans="1:115" x14ac:dyDescent="0.25">
      <c r="A452" t="s">
        <v>1947</v>
      </c>
      <c r="B452" t="s">
        <v>1948</v>
      </c>
      <c r="F452" t="s">
        <v>190</v>
      </c>
      <c r="I452" t="s">
        <v>856</v>
      </c>
      <c r="N452" t="s">
        <v>1949</v>
      </c>
      <c r="U452" t="s">
        <v>176</v>
      </c>
      <c r="Z452" s="14">
        <v>43749</v>
      </c>
      <c r="AA452" s="14">
        <v>43784</v>
      </c>
      <c r="AD452" s="14">
        <v>45291</v>
      </c>
      <c r="AL452" t="s">
        <v>122</v>
      </c>
      <c r="AN452">
        <v>7149931300</v>
      </c>
      <c r="AR452">
        <v>7149931300</v>
      </c>
      <c r="AS452">
        <v>0</v>
      </c>
      <c r="AY452" t="s">
        <v>557</v>
      </c>
      <c r="AZ452" t="s">
        <v>880</v>
      </c>
      <c r="BA452" t="s">
        <v>267</v>
      </c>
      <c r="BB452" t="s">
        <v>267</v>
      </c>
      <c r="BC452" t="s">
        <v>242</v>
      </c>
      <c r="BK452" t="s">
        <v>860</v>
      </c>
      <c r="BM452" t="s">
        <v>861</v>
      </c>
      <c r="BN452" t="s">
        <v>862</v>
      </c>
      <c r="BO452" t="s">
        <v>863</v>
      </c>
      <c r="BP452">
        <v>2.2999999999999998</v>
      </c>
      <c r="BQ452" t="s">
        <v>864</v>
      </c>
      <c r="DF452" s="15" t="s">
        <v>9308</v>
      </c>
      <c r="DG452" t="s">
        <v>126</v>
      </c>
      <c r="DH452" t="s">
        <v>159</v>
      </c>
      <c r="DI452" t="s">
        <v>159</v>
      </c>
      <c r="DJ452" t="s">
        <v>129</v>
      </c>
      <c r="DK452">
        <v>10900000</v>
      </c>
    </row>
    <row r="453" spans="1:115" x14ac:dyDescent="0.25">
      <c r="A453" t="s">
        <v>1950</v>
      </c>
      <c r="B453" t="s">
        <v>1951</v>
      </c>
      <c r="F453" t="s">
        <v>142</v>
      </c>
      <c r="I453" t="s">
        <v>968</v>
      </c>
      <c r="N453" t="s">
        <v>1952</v>
      </c>
      <c r="U453" t="s">
        <v>185</v>
      </c>
      <c r="V453" t="s">
        <v>925</v>
      </c>
      <c r="W453" t="s">
        <v>926</v>
      </c>
      <c r="Z453" s="14">
        <v>43538</v>
      </c>
      <c r="AA453" s="14">
        <v>43596</v>
      </c>
      <c r="AD453" s="14">
        <v>45657</v>
      </c>
      <c r="AL453" t="s">
        <v>136</v>
      </c>
      <c r="AN453">
        <v>64288219505</v>
      </c>
      <c r="AR453">
        <v>0</v>
      </c>
      <c r="AS453">
        <v>64288219505</v>
      </c>
      <c r="AY453" t="s">
        <v>1043</v>
      </c>
      <c r="AZ453" t="s">
        <v>558</v>
      </c>
      <c r="BA453" t="s">
        <v>675</v>
      </c>
      <c r="BB453" t="s">
        <v>676</v>
      </c>
      <c r="BC453" t="s">
        <v>442</v>
      </c>
      <c r="BK453" t="s">
        <v>860</v>
      </c>
      <c r="BM453" t="s">
        <v>861</v>
      </c>
      <c r="BN453" t="s">
        <v>862</v>
      </c>
      <c r="BO453" t="s">
        <v>971</v>
      </c>
      <c r="BP453">
        <v>9.1</v>
      </c>
      <c r="BQ453" t="s">
        <v>864</v>
      </c>
      <c r="DF453" s="15" t="s">
        <v>9383</v>
      </c>
      <c r="DG453" t="s">
        <v>126</v>
      </c>
      <c r="DH453" t="s">
        <v>127</v>
      </c>
      <c r="DI453" t="s">
        <v>443</v>
      </c>
      <c r="DJ453" t="s">
        <v>151</v>
      </c>
      <c r="DK453">
        <v>64288219505</v>
      </c>
    </row>
    <row r="454" spans="1:115" x14ac:dyDescent="0.25">
      <c r="A454" t="s">
        <v>1953</v>
      </c>
      <c r="B454" t="s">
        <v>967</v>
      </c>
      <c r="F454" t="s">
        <v>142</v>
      </c>
      <c r="I454" t="s">
        <v>968</v>
      </c>
      <c r="N454" t="s">
        <v>1954</v>
      </c>
      <c r="U454" t="s">
        <v>185</v>
      </c>
      <c r="V454" t="s">
        <v>224</v>
      </c>
      <c r="W454" t="s">
        <v>970</v>
      </c>
      <c r="Z454" s="14">
        <v>43538</v>
      </c>
      <c r="AA454" s="14">
        <v>43657</v>
      </c>
      <c r="AD454" s="14">
        <v>44561</v>
      </c>
      <c r="AL454" t="s">
        <v>122</v>
      </c>
      <c r="AN454">
        <v>6589091345</v>
      </c>
      <c r="AR454">
        <v>6589091345</v>
      </c>
      <c r="AS454">
        <v>0</v>
      </c>
      <c r="AY454" t="s">
        <v>557</v>
      </c>
      <c r="AZ454" t="s">
        <v>880</v>
      </c>
      <c r="BA454" t="s">
        <v>574</v>
      </c>
      <c r="BB454" t="s">
        <v>575</v>
      </c>
      <c r="BC454" t="s">
        <v>125</v>
      </c>
      <c r="BK454" t="s">
        <v>860</v>
      </c>
      <c r="BM454" t="s">
        <v>861</v>
      </c>
      <c r="BN454" t="s">
        <v>862</v>
      </c>
      <c r="BO454" t="s">
        <v>971</v>
      </c>
      <c r="BP454">
        <v>9.1</v>
      </c>
      <c r="BQ454" t="s">
        <v>864</v>
      </c>
      <c r="DF454" s="15" t="s">
        <v>9386</v>
      </c>
      <c r="DG454" t="s">
        <v>126</v>
      </c>
      <c r="DH454" t="s">
        <v>159</v>
      </c>
      <c r="DI454" t="s">
        <v>159</v>
      </c>
      <c r="DJ454" t="s">
        <v>129</v>
      </c>
      <c r="DK454">
        <v>10045005</v>
      </c>
    </row>
    <row r="455" spans="1:115" x14ac:dyDescent="0.25">
      <c r="A455" t="s">
        <v>1955</v>
      </c>
      <c r="B455" t="s">
        <v>1956</v>
      </c>
      <c r="F455" t="s">
        <v>163</v>
      </c>
      <c r="I455" t="s">
        <v>1033</v>
      </c>
      <c r="N455" t="s">
        <v>1957</v>
      </c>
      <c r="U455" t="s">
        <v>176</v>
      </c>
      <c r="Z455" s="14">
        <v>43538</v>
      </c>
      <c r="AA455" s="14">
        <v>43726</v>
      </c>
      <c r="AD455" s="14">
        <v>44196</v>
      </c>
      <c r="AL455" t="s">
        <v>357</v>
      </c>
      <c r="AN455">
        <v>26001000000</v>
      </c>
      <c r="AR455">
        <v>26001000000</v>
      </c>
      <c r="AS455">
        <v>0</v>
      </c>
      <c r="AY455" t="s">
        <v>557</v>
      </c>
      <c r="AZ455" t="s">
        <v>880</v>
      </c>
      <c r="BA455" t="s">
        <v>358</v>
      </c>
      <c r="BB455" t="s">
        <v>358</v>
      </c>
      <c r="BC455" t="s">
        <v>242</v>
      </c>
      <c r="BK455" t="s">
        <v>860</v>
      </c>
      <c r="BM455" t="s">
        <v>861</v>
      </c>
      <c r="BN455" t="s">
        <v>1046</v>
      </c>
      <c r="BO455" t="s">
        <v>1036</v>
      </c>
      <c r="BP455">
        <v>16.600000000000001</v>
      </c>
      <c r="BQ455" t="s">
        <v>902</v>
      </c>
      <c r="DF455" s="15" t="s">
        <v>9308</v>
      </c>
      <c r="DG455" t="s">
        <v>1335</v>
      </c>
      <c r="DH455" t="s">
        <v>159</v>
      </c>
      <c r="DI455" t="s">
        <v>1252</v>
      </c>
      <c r="DJ455" t="s">
        <v>172</v>
      </c>
      <c r="DK455">
        <v>300000000</v>
      </c>
    </row>
    <row r="456" spans="1:115" x14ac:dyDescent="0.25">
      <c r="A456" t="s">
        <v>1958</v>
      </c>
      <c r="B456" t="s">
        <v>1959</v>
      </c>
      <c r="F456" t="s">
        <v>142</v>
      </c>
      <c r="I456" t="s">
        <v>968</v>
      </c>
      <c r="N456" t="s">
        <v>1960</v>
      </c>
      <c r="U456" t="s">
        <v>176</v>
      </c>
      <c r="Z456" s="14">
        <v>43538</v>
      </c>
      <c r="AA456" s="14">
        <v>43596</v>
      </c>
      <c r="AD456" s="14">
        <v>45291</v>
      </c>
      <c r="AL456" t="s">
        <v>122</v>
      </c>
      <c r="AN456">
        <v>787148400</v>
      </c>
      <c r="AR456">
        <v>787148400</v>
      </c>
      <c r="AS456">
        <v>0</v>
      </c>
      <c r="AY456" t="s">
        <v>557</v>
      </c>
      <c r="AZ456" t="s">
        <v>880</v>
      </c>
      <c r="BA456" t="s">
        <v>574</v>
      </c>
      <c r="BB456" t="s">
        <v>575</v>
      </c>
      <c r="BC456" t="s">
        <v>125</v>
      </c>
      <c r="BK456" t="s">
        <v>860</v>
      </c>
      <c r="BM456" t="s">
        <v>861</v>
      </c>
      <c r="BN456" t="s">
        <v>862</v>
      </c>
      <c r="BO456" t="s">
        <v>971</v>
      </c>
      <c r="BP456">
        <v>9.1</v>
      </c>
      <c r="BQ456" t="s">
        <v>864</v>
      </c>
      <c r="DF456" s="15" t="s">
        <v>9308</v>
      </c>
      <c r="DG456" t="s">
        <v>126</v>
      </c>
      <c r="DH456" t="s">
        <v>159</v>
      </c>
      <c r="DI456" t="s">
        <v>159</v>
      </c>
      <c r="DJ456" t="s">
        <v>129</v>
      </c>
      <c r="DK456">
        <v>1200000</v>
      </c>
    </row>
    <row r="457" spans="1:115" x14ac:dyDescent="0.25">
      <c r="A457" t="s">
        <v>1961</v>
      </c>
      <c r="B457" t="s">
        <v>1962</v>
      </c>
      <c r="F457" t="s">
        <v>163</v>
      </c>
      <c r="I457" t="s">
        <v>1033</v>
      </c>
      <c r="N457" t="s">
        <v>1963</v>
      </c>
      <c r="U457" t="s">
        <v>165</v>
      </c>
      <c r="V457" t="s">
        <v>166</v>
      </c>
      <c r="Z457" s="14">
        <v>43538</v>
      </c>
      <c r="AA457" s="14">
        <v>43596</v>
      </c>
      <c r="AD457" s="14">
        <v>45657</v>
      </c>
      <c r="AL457" t="s">
        <v>122</v>
      </c>
      <c r="AN457">
        <v>1547242759</v>
      </c>
      <c r="AR457">
        <v>1547242759</v>
      </c>
      <c r="AS457">
        <v>0</v>
      </c>
      <c r="AY457" t="s">
        <v>557</v>
      </c>
      <c r="AZ457" t="s">
        <v>880</v>
      </c>
      <c r="BA457" t="s">
        <v>574</v>
      </c>
      <c r="BB457" t="s">
        <v>575</v>
      </c>
      <c r="BC457" t="s">
        <v>125</v>
      </c>
      <c r="BK457" t="s">
        <v>860</v>
      </c>
      <c r="BM457" t="s">
        <v>861</v>
      </c>
      <c r="BN457" t="s">
        <v>1046</v>
      </c>
      <c r="BO457" t="s">
        <v>1036</v>
      </c>
      <c r="BP457">
        <v>16.600000000000001</v>
      </c>
      <c r="BQ457" t="s">
        <v>902</v>
      </c>
      <c r="DF457" s="15" t="s">
        <v>9307</v>
      </c>
      <c r="DG457" t="s">
        <v>126</v>
      </c>
      <c r="DH457" t="s">
        <v>159</v>
      </c>
      <c r="DI457" t="s">
        <v>159</v>
      </c>
      <c r="DJ457" t="s">
        <v>129</v>
      </c>
      <c r="DK457">
        <v>2358756.38</v>
      </c>
    </row>
    <row r="458" spans="1:115" x14ac:dyDescent="0.25">
      <c r="A458" t="s">
        <v>1964</v>
      </c>
      <c r="B458" t="s">
        <v>1965</v>
      </c>
      <c r="F458" t="s">
        <v>142</v>
      </c>
      <c r="I458" t="s">
        <v>968</v>
      </c>
      <c r="N458" t="s">
        <v>1966</v>
      </c>
      <c r="U458" t="s">
        <v>176</v>
      </c>
      <c r="Z458" s="14">
        <v>43538</v>
      </c>
      <c r="AA458" s="14">
        <v>43596</v>
      </c>
      <c r="AD458" s="14">
        <v>44926</v>
      </c>
      <c r="AL458" t="s">
        <v>122</v>
      </c>
      <c r="AN458">
        <v>406877664</v>
      </c>
      <c r="AR458">
        <v>406877664</v>
      </c>
      <c r="AS458">
        <v>0</v>
      </c>
      <c r="AY458" t="s">
        <v>557</v>
      </c>
      <c r="AZ458" t="s">
        <v>880</v>
      </c>
      <c r="BA458" t="s">
        <v>574</v>
      </c>
      <c r="BB458" t="s">
        <v>575</v>
      </c>
      <c r="BC458" t="s">
        <v>125</v>
      </c>
      <c r="BK458" t="s">
        <v>860</v>
      </c>
      <c r="BM458" t="s">
        <v>861</v>
      </c>
      <c r="BN458" t="s">
        <v>862</v>
      </c>
      <c r="BO458" t="s">
        <v>971</v>
      </c>
      <c r="BP458">
        <v>9.1</v>
      </c>
      <c r="BQ458" t="s">
        <v>864</v>
      </c>
      <c r="DF458" s="15" t="s">
        <v>9308</v>
      </c>
      <c r="DG458" t="s">
        <v>126</v>
      </c>
      <c r="DH458" t="s">
        <v>159</v>
      </c>
      <c r="DI458" t="s">
        <v>159</v>
      </c>
      <c r="DJ458" t="s">
        <v>129</v>
      </c>
      <c r="DK458">
        <v>620281</v>
      </c>
    </row>
    <row r="459" spans="1:115" x14ac:dyDescent="0.25">
      <c r="A459" t="s">
        <v>1967</v>
      </c>
      <c r="B459" t="s">
        <v>1968</v>
      </c>
      <c r="F459" t="s">
        <v>142</v>
      </c>
      <c r="I459" t="s">
        <v>968</v>
      </c>
      <c r="N459" t="s">
        <v>1969</v>
      </c>
      <c r="U459" t="s">
        <v>579</v>
      </c>
      <c r="V459" t="s">
        <v>1620</v>
      </c>
      <c r="W459" t="s">
        <v>1621</v>
      </c>
      <c r="Z459" s="14">
        <v>43538</v>
      </c>
      <c r="AA459" s="14">
        <v>43596</v>
      </c>
      <c r="AD459" s="14">
        <v>45657</v>
      </c>
      <c r="AL459" t="s">
        <v>136</v>
      </c>
      <c r="AN459">
        <v>10000000000</v>
      </c>
      <c r="AR459">
        <v>0</v>
      </c>
      <c r="AS459">
        <v>10000000000</v>
      </c>
      <c r="AY459" t="s">
        <v>1043</v>
      </c>
      <c r="AZ459" t="s">
        <v>558</v>
      </c>
      <c r="BA459" t="s">
        <v>738</v>
      </c>
      <c r="BB459" t="s">
        <v>739</v>
      </c>
      <c r="BC459" t="s">
        <v>442</v>
      </c>
      <c r="BK459" t="s">
        <v>860</v>
      </c>
      <c r="BM459" t="s">
        <v>861</v>
      </c>
      <c r="BN459" t="s">
        <v>862</v>
      </c>
      <c r="BO459" t="s">
        <v>971</v>
      </c>
      <c r="BP459">
        <v>9.1</v>
      </c>
      <c r="BQ459" t="s">
        <v>864</v>
      </c>
      <c r="DF459" s="15" t="s">
        <v>9432</v>
      </c>
      <c r="DG459" t="s">
        <v>126</v>
      </c>
      <c r="DH459" t="s">
        <v>127</v>
      </c>
      <c r="DI459" t="s">
        <v>443</v>
      </c>
      <c r="DJ459" t="s">
        <v>129</v>
      </c>
      <c r="DK459">
        <v>10000000000</v>
      </c>
    </row>
    <row r="460" spans="1:115" x14ac:dyDescent="0.25">
      <c r="A460" t="s">
        <v>1970</v>
      </c>
      <c r="B460" t="s">
        <v>1971</v>
      </c>
      <c r="F460" t="s">
        <v>205</v>
      </c>
      <c r="I460" t="s">
        <v>1972</v>
      </c>
      <c r="N460" t="s">
        <v>1973</v>
      </c>
      <c r="U460" t="s">
        <v>605</v>
      </c>
      <c r="V460" t="s">
        <v>606</v>
      </c>
      <c r="Z460" s="14">
        <v>43538</v>
      </c>
      <c r="AA460" s="14">
        <v>43596</v>
      </c>
      <c r="AD460" s="14">
        <v>44561</v>
      </c>
      <c r="AL460" t="s">
        <v>624</v>
      </c>
      <c r="AN460">
        <v>16385284333</v>
      </c>
      <c r="AR460">
        <v>0</v>
      </c>
      <c r="AS460">
        <v>16385284333</v>
      </c>
      <c r="AY460" t="s">
        <v>557</v>
      </c>
      <c r="AZ460" t="s">
        <v>558</v>
      </c>
      <c r="BA460" t="s">
        <v>484</v>
      </c>
      <c r="BB460" t="s">
        <v>484</v>
      </c>
      <c r="BC460" t="s">
        <v>242</v>
      </c>
      <c r="BK460" t="s">
        <v>860</v>
      </c>
      <c r="BM460" t="s">
        <v>560</v>
      </c>
      <c r="BN460" t="s">
        <v>1012</v>
      </c>
      <c r="BO460" t="s">
        <v>939</v>
      </c>
      <c r="BP460">
        <v>11.3</v>
      </c>
      <c r="BQ460" t="s">
        <v>563</v>
      </c>
      <c r="DF460" s="15" t="s">
        <v>9356</v>
      </c>
      <c r="DG460" t="s">
        <v>126</v>
      </c>
      <c r="DH460" t="s">
        <v>127</v>
      </c>
      <c r="DI460" t="s">
        <v>127</v>
      </c>
      <c r="DJ460" t="s">
        <v>129</v>
      </c>
      <c r="DK460">
        <v>29791426.059999999</v>
      </c>
    </row>
    <row r="461" spans="1:115" x14ac:dyDescent="0.25">
      <c r="A461" t="s">
        <v>1974</v>
      </c>
      <c r="B461" t="s">
        <v>1975</v>
      </c>
      <c r="F461" t="s">
        <v>315</v>
      </c>
      <c r="I461" t="s">
        <v>896</v>
      </c>
      <c r="N461" t="s">
        <v>1976</v>
      </c>
      <c r="U461" t="s">
        <v>185</v>
      </c>
      <c r="V461" t="s">
        <v>224</v>
      </c>
      <c r="Z461" s="14">
        <v>43483</v>
      </c>
      <c r="AA461" s="14">
        <v>43538</v>
      </c>
      <c r="AD461" s="14">
        <v>44561</v>
      </c>
      <c r="AL461" t="s">
        <v>357</v>
      </c>
      <c r="AN461">
        <v>5220000000</v>
      </c>
      <c r="AR461">
        <v>5220000000</v>
      </c>
      <c r="AS461">
        <v>0</v>
      </c>
      <c r="AY461" t="s">
        <v>557</v>
      </c>
      <c r="AZ461" t="s">
        <v>880</v>
      </c>
      <c r="BA461" t="s">
        <v>358</v>
      </c>
      <c r="BB461" t="s">
        <v>358</v>
      </c>
      <c r="BC461" t="s">
        <v>242</v>
      </c>
      <c r="BK461" t="s">
        <v>860</v>
      </c>
      <c r="BM461" t="s">
        <v>861</v>
      </c>
      <c r="BN461" t="s">
        <v>900</v>
      </c>
      <c r="BO461" t="s">
        <v>901</v>
      </c>
      <c r="BP461">
        <v>4.0999999999999996</v>
      </c>
      <c r="BQ461" t="s">
        <v>902</v>
      </c>
      <c r="DF461" s="15" t="s">
        <v>9334</v>
      </c>
      <c r="DG461" t="s">
        <v>126</v>
      </c>
      <c r="DH461" t="s">
        <v>159</v>
      </c>
      <c r="DI461" t="s">
        <v>159</v>
      </c>
      <c r="DJ461" t="s">
        <v>172</v>
      </c>
      <c r="DK461">
        <v>63257392.149999999</v>
      </c>
    </row>
    <row r="462" spans="1:115" x14ac:dyDescent="0.25">
      <c r="A462" t="s">
        <v>1977</v>
      </c>
      <c r="B462" t="s">
        <v>1978</v>
      </c>
      <c r="F462" t="s">
        <v>118</v>
      </c>
      <c r="I462" t="s">
        <v>1275</v>
      </c>
      <c r="N462" t="s">
        <v>1979</v>
      </c>
      <c r="U462" t="s">
        <v>176</v>
      </c>
      <c r="Z462" s="14">
        <v>43538</v>
      </c>
      <c r="AA462" s="14">
        <v>43596</v>
      </c>
      <c r="AD462" s="14">
        <v>46022</v>
      </c>
      <c r="AL462" t="s">
        <v>122</v>
      </c>
      <c r="AN462">
        <v>9999999998</v>
      </c>
      <c r="AR462">
        <v>9999999998</v>
      </c>
      <c r="AS462">
        <v>0</v>
      </c>
      <c r="AY462" t="s">
        <v>557</v>
      </c>
      <c r="AZ462" t="s">
        <v>880</v>
      </c>
      <c r="BA462" t="s">
        <v>574</v>
      </c>
      <c r="BB462" t="s">
        <v>575</v>
      </c>
      <c r="BC462" t="s">
        <v>125</v>
      </c>
      <c r="BK462" t="s">
        <v>860</v>
      </c>
      <c r="BM462" t="s">
        <v>861</v>
      </c>
      <c r="BN462" t="s">
        <v>862</v>
      </c>
      <c r="BO462" t="s">
        <v>1173</v>
      </c>
      <c r="BP462">
        <v>7.1</v>
      </c>
      <c r="BQ462" t="s">
        <v>864</v>
      </c>
      <c r="DF462" s="15" t="s">
        <v>9308</v>
      </c>
      <c r="DG462" t="s">
        <v>126</v>
      </c>
      <c r="DH462" t="s">
        <v>159</v>
      </c>
      <c r="DI462" t="s">
        <v>159</v>
      </c>
      <c r="DJ462" t="s">
        <v>326</v>
      </c>
      <c r="DK462">
        <v>15244901.720000001</v>
      </c>
    </row>
    <row r="463" spans="1:115" x14ac:dyDescent="0.25">
      <c r="A463" t="s">
        <v>1980</v>
      </c>
      <c r="B463" t="s">
        <v>1981</v>
      </c>
      <c r="F463" t="s">
        <v>205</v>
      </c>
      <c r="I463" t="s">
        <v>1052</v>
      </c>
      <c r="N463" t="s">
        <v>1982</v>
      </c>
      <c r="U463" t="s">
        <v>176</v>
      </c>
      <c r="Z463" s="14">
        <v>43231</v>
      </c>
      <c r="AA463" s="14">
        <v>43574</v>
      </c>
      <c r="AD463" s="14">
        <v>46387</v>
      </c>
      <c r="AL463" t="s">
        <v>122</v>
      </c>
      <c r="AN463">
        <v>7215527000</v>
      </c>
      <c r="AR463">
        <v>0</v>
      </c>
      <c r="AS463">
        <v>7215527000</v>
      </c>
      <c r="AY463" t="s">
        <v>557</v>
      </c>
      <c r="AZ463" t="s">
        <v>558</v>
      </c>
      <c r="BA463" t="s">
        <v>484</v>
      </c>
      <c r="BB463" t="s">
        <v>484</v>
      </c>
      <c r="BC463" t="s">
        <v>242</v>
      </c>
      <c r="BK463" t="s">
        <v>860</v>
      </c>
      <c r="BM463" t="s">
        <v>560</v>
      </c>
      <c r="BN463" t="s">
        <v>1012</v>
      </c>
      <c r="BO463" t="s">
        <v>939</v>
      </c>
      <c r="BP463">
        <v>11.3</v>
      </c>
      <c r="BQ463" t="s">
        <v>563</v>
      </c>
      <c r="DF463" s="15" t="s">
        <v>9308</v>
      </c>
      <c r="DG463" t="s">
        <v>126</v>
      </c>
      <c r="DH463" t="s">
        <v>127</v>
      </c>
      <c r="DI463" t="s">
        <v>127</v>
      </c>
      <c r="DJ463" t="s">
        <v>129</v>
      </c>
      <c r="DK463">
        <v>11000000</v>
      </c>
    </row>
    <row r="464" spans="1:115" x14ac:dyDescent="0.25">
      <c r="A464" t="s">
        <v>1983</v>
      </c>
      <c r="B464" t="s">
        <v>1984</v>
      </c>
      <c r="F464" t="s">
        <v>118</v>
      </c>
      <c r="I464" t="s">
        <v>1275</v>
      </c>
      <c r="N464" t="s">
        <v>1985</v>
      </c>
      <c r="U464" t="s">
        <v>1167</v>
      </c>
      <c r="V464" t="s">
        <v>1986</v>
      </c>
      <c r="W464" t="s">
        <v>1987</v>
      </c>
      <c r="Z464" s="14">
        <v>43538</v>
      </c>
      <c r="AA464" s="14">
        <v>43663</v>
      </c>
      <c r="AD464" s="14">
        <v>45657</v>
      </c>
      <c r="AL464" t="s">
        <v>624</v>
      </c>
      <c r="AN464">
        <v>27500000000</v>
      </c>
      <c r="AR464">
        <v>0</v>
      </c>
      <c r="AS464">
        <v>27500000000</v>
      </c>
      <c r="AY464" t="s">
        <v>557</v>
      </c>
      <c r="AZ464" t="s">
        <v>558</v>
      </c>
      <c r="BA464" t="s">
        <v>297</v>
      </c>
      <c r="BB464" t="s">
        <v>298</v>
      </c>
      <c r="BC464" t="s">
        <v>242</v>
      </c>
      <c r="BK464" t="s">
        <v>860</v>
      </c>
      <c r="BM464" t="s">
        <v>861</v>
      </c>
      <c r="BN464" t="s">
        <v>862</v>
      </c>
      <c r="BO464" t="s">
        <v>1173</v>
      </c>
      <c r="BP464">
        <v>7.1</v>
      </c>
      <c r="BQ464" t="s">
        <v>864</v>
      </c>
      <c r="DF464" s="15" t="s">
        <v>9449</v>
      </c>
      <c r="DG464" t="s">
        <v>126</v>
      </c>
      <c r="DH464" t="s">
        <v>127</v>
      </c>
      <c r="DI464" t="s">
        <v>150</v>
      </c>
      <c r="DJ464" t="s">
        <v>151</v>
      </c>
      <c r="DK464">
        <v>50000000</v>
      </c>
    </row>
    <row r="465" spans="1:115" x14ac:dyDescent="0.25">
      <c r="A465" t="s">
        <v>1988</v>
      </c>
      <c r="B465" t="s">
        <v>1989</v>
      </c>
      <c r="F465" t="s">
        <v>216</v>
      </c>
      <c r="I465" t="s">
        <v>1025</v>
      </c>
      <c r="N465" t="s">
        <v>1990</v>
      </c>
      <c r="U465" t="s">
        <v>176</v>
      </c>
      <c r="Z465" s="14">
        <v>43538</v>
      </c>
      <c r="AA465" s="14">
        <v>43596</v>
      </c>
      <c r="AD465" s="14">
        <v>45657</v>
      </c>
      <c r="AL465" t="s">
        <v>1127</v>
      </c>
      <c r="AN465">
        <v>976413300</v>
      </c>
      <c r="AR465">
        <v>976413300</v>
      </c>
      <c r="AS465">
        <v>0</v>
      </c>
      <c r="AY465" t="s">
        <v>557</v>
      </c>
      <c r="AZ465" t="s">
        <v>880</v>
      </c>
      <c r="BA465" t="s">
        <v>1128</v>
      </c>
      <c r="BB465" t="s">
        <v>1128</v>
      </c>
      <c r="BC465" t="s">
        <v>242</v>
      </c>
      <c r="BK465" t="s">
        <v>860</v>
      </c>
      <c r="BM465" t="s">
        <v>560</v>
      </c>
      <c r="BN465" t="s">
        <v>561</v>
      </c>
      <c r="BO465" t="s">
        <v>989</v>
      </c>
      <c r="BP465">
        <v>3.8</v>
      </c>
      <c r="BQ465" t="s">
        <v>902</v>
      </c>
      <c r="DF465" s="15" t="s">
        <v>9308</v>
      </c>
      <c r="DG465" t="s">
        <v>126</v>
      </c>
      <c r="DH465" t="s">
        <v>159</v>
      </c>
      <c r="DI465" t="s">
        <v>159</v>
      </c>
      <c r="DJ465" t="s">
        <v>129</v>
      </c>
      <c r="DK465">
        <v>2130000</v>
      </c>
    </row>
    <row r="466" spans="1:115" x14ac:dyDescent="0.25">
      <c r="A466" t="s">
        <v>1991</v>
      </c>
      <c r="B466" t="s">
        <v>1992</v>
      </c>
      <c r="F466" t="s">
        <v>190</v>
      </c>
      <c r="I466" t="s">
        <v>856</v>
      </c>
      <c r="N466" t="s">
        <v>1993</v>
      </c>
      <c r="U466" t="s">
        <v>176</v>
      </c>
      <c r="Z466" s="14">
        <v>43538</v>
      </c>
      <c r="AA466" s="14">
        <v>43573</v>
      </c>
      <c r="AD466" s="14">
        <v>44926</v>
      </c>
      <c r="AL466" t="s">
        <v>624</v>
      </c>
      <c r="AN466">
        <v>48950000</v>
      </c>
      <c r="AR466">
        <v>48950000</v>
      </c>
      <c r="AS466">
        <v>0</v>
      </c>
      <c r="AY466" t="s">
        <v>557</v>
      </c>
      <c r="AZ466" t="s">
        <v>880</v>
      </c>
      <c r="BA466" t="s">
        <v>1010</v>
      </c>
      <c r="BB466" t="s">
        <v>1011</v>
      </c>
      <c r="BC466" t="s">
        <v>125</v>
      </c>
      <c r="BK466" t="s">
        <v>860</v>
      </c>
      <c r="BM466" t="s">
        <v>861</v>
      </c>
      <c r="BN466" t="s">
        <v>862</v>
      </c>
      <c r="BO466" t="s">
        <v>863</v>
      </c>
      <c r="BP466">
        <v>2.2999999999999998</v>
      </c>
      <c r="BQ466" t="s">
        <v>864</v>
      </c>
      <c r="DF466" s="15" t="s">
        <v>9308</v>
      </c>
      <c r="DG466" t="s">
        <v>126</v>
      </c>
      <c r="DH466" t="s">
        <v>159</v>
      </c>
      <c r="DI466" t="s">
        <v>159</v>
      </c>
      <c r="DJ466" t="s">
        <v>1994</v>
      </c>
      <c r="DK466">
        <v>89000</v>
      </c>
    </row>
    <row r="467" spans="1:115" x14ac:dyDescent="0.25">
      <c r="A467" t="s">
        <v>1995</v>
      </c>
      <c r="B467" t="s">
        <v>1996</v>
      </c>
      <c r="F467" t="s">
        <v>216</v>
      </c>
      <c r="I467" t="s">
        <v>1559</v>
      </c>
      <c r="N467" t="s">
        <v>1997</v>
      </c>
      <c r="U467" t="s">
        <v>176</v>
      </c>
      <c r="Z467" s="14">
        <v>43538</v>
      </c>
      <c r="AA467" s="14">
        <v>43596</v>
      </c>
      <c r="AD467" s="14">
        <v>45199</v>
      </c>
      <c r="AL467" t="s">
        <v>624</v>
      </c>
      <c r="AN467">
        <v>302500000</v>
      </c>
      <c r="AR467">
        <v>302500000</v>
      </c>
      <c r="AS467">
        <v>0</v>
      </c>
      <c r="AY467" t="s">
        <v>557</v>
      </c>
      <c r="AZ467" t="s">
        <v>880</v>
      </c>
      <c r="BA467" t="s">
        <v>1020</v>
      </c>
      <c r="BB467" t="s">
        <v>1021</v>
      </c>
      <c r="BC467" t="s">
        <v>242</v>
      </c>
      <c r="BK467" t="s">
        <v>860</v>
      </c>
      <c r="BM467" t="s">
        <v>560</v>
      </c>
      <c r="BN467" t="s">
        <v>561</v>
      </c>
      <c r="BO467" t="s">
        <v>989</v>
      </c>
      <c r="BP467">
        <v>3.8</v>
      </c>
      <c r="BQ467" t="s">
        <v>902</v>
      </c>
      <c r="DF467" s="15" t="s">
        <v>9308</v>
      </c>
      <c r="DG467" t="s">
        <v>126</v>
      </c>
      <c r="DH467" t="s">
        <v>159</v>
      </c>
      <c r="DI467" t="s">
        <v>159</v>
      </c>
      <c r="DJ467" t="s">
        <v>1998</v>
      </c>
      <c r="DK467">
        <v>550000</v>
      </c>
    </row>
    <row r="468" spans="1:115" x14ac:dyDescent="0.25">
      <c r="A468" t="s">
        <v>1999</v>
      </c>
      <c r="B468" t="s">
        <v>2000</v>
      </c>
      <c r="F468" t="s">
        <v>315</v>
      </c>
      <c r="I468" t="s">
        <v>1108</v>
      </c>
      <c r="N468" t="s">
        <v>2001</v>
      </c>
      <c r="U468" t="s">
        <v>176</v>
      </c>
      <c r="Z468" s="14">
        <v>43483</v>
      </c>
      <c r="AA468" s="14">
        <v>43538</v>
      </c>
      <c r="AD468" s="14">
        <v>44926</v>
      </c>
      <c r="AL468" t="s">
        <v>122</v>
      </c>
      <c r="AN468">
        <v>1213520450</v>
      </c>
      <c r="AR468">
        <v>1213520450</v>
      </c>
      <c r="AS468">
        <v>0</v>
      </c>
      <c r="AY468" t="s">
        <v>557</v>
      </c>
      <c r="AZ468" t="s">
        <v>880</v>
      </c>
      <c r="BA468" t="s">
        <v>267</v>
      </c>
      <c r="BB468" t="s">
        <v>267</v>
      </c>
      <c r="BC468" t="s">
        <v>242</v>
      </c>
      <c r="BK468" t="s">
        <v>860</v>
      </c>
      <c r="BM468" t="s">
        <v>861</v>
      </c>
      <c r="BN468" t="s">
        <v>900</v>
      </c>
      <c r="BO468" t="s">
        <v>901</v>
      </c>
      <c r="BP468">
        <v>4.0999999999999996</v>
      </c>
      <c r="BQ468" t="s">
        <v>902</v>
      </c>
      <c r="DF468" s="15" t="s">
        <v>9308</v>
      </c>
      <c r="DG468" t="s">
        <v>126</v>
      </c>
      <c r="DH468" t="s">
        <v>159</v>
      </c>
      <c r="DI468" t="s">
        <v>159</v>
      </c>
      <c r="DJ468" t="s">
        <v>129</v>
      </c>
      <c r="DK468">
        <v>1850000</v>
      </c>
    </row>
    <row r="469" spans="1:115" x14ac:dyDescent="0.25">
      <c r="A469" t="s">
        <v>2002</v>
      </c>
      <c r="B469" t="s">
        <v>1716</v>
      </c>
      <c r="F469" t="s">
        <v>190</v>
      </c>
      <c r="I469" t="s">
        <v>1176</v>
      </c>
      <c r="N469" t="s">
        <v>2003</v>
      </c>
      <c r="U469" t="s">
        <v>1718</v>
      </c>
      <c r="V469" t="s">
        <v>1719</v>
      </c>
      <c r="Z469" s="14">
        <v>43538</v>
      </c>
      <c r="AA469" s="14">
        <v>43596</v>
      </c>
      <c r="AD469" s="14">
        <v>45291</v>
      </c>
      <c r="AL469" t="s">
        <v>136</v>
      </c>
      <c r="AN469">
        <v>92000000</v>
      </c>
      <c r="AR469">
        <v>92000000</v>
      </c>
      <c r="AS469">
        <v>0</v>
      </c>
      <c r="AY469" t="s">
        <v>557</v>
      </c>
      <c r="AZ469" t="s">
        <v>880</v>
      </c>
      <c r="BA469" t="s">
        <v>1272</v>
      </c>
      <c r="BB469" t="s">
        <v>1272</v>
      </c>
      <c r="BC469" t="s">
        <v>242</v>
      </c>
      <c r="BK469" t="s">
        <v>860</v>
      </c>
      <c r="BM469" t="s">
        <v>861</v>
      </c>
      <c r="BN469" t="s">
        <v>862</v>
      </c>
      <c r="BO469" t="s">
        <v>863</v>
      </c>
      <c r="BP469">
        <v>2.2999999999999998</v>
      </c>
      <c r="BQ469" t="s">
        <v>864</v>
      </c>
      <c r="DF469" s="15" t="s">
        <v>9437</v>
      </c>
      <c r="DG469" t="s">
        <v>126</v>
      </c>
      <c r="DH469" t="s">
        <v>159</v>
      </c>
      <c r="DI469" t="s">
        <v>159</v>
      </c>
      <c r="DJ469" t="s">
        <v>172</v>
      </c>
      <c r="DK469">
        <v>92000000</v>
      </c>
    </row>
    <row r="470" spans="1:115" x14ac:dyDescent="0.25">
      <c r="A470" t="s">
        <v>2004</v>
      </c>
      <c r="B470" t="s">
        <v>1038</v>
      </c>
      <c r="F470" t="s">
        <v>1039</v>
      </c>
      <c r="I470" t="s">
        <v>1040</v>
      </c>
      <c r="N470" t="s">
        <v>2005</v>
      </c>
      <c r="U470" t="s">
        <v>176</v>
      </c>
      <c r="Z470" s="14">
        <v>43538</v>
      </c>
      <c r="AA470" s="14">
        <v>43466</v>
      </c>
      <c r="AD470" t="s">
        <v>2006</v>
      </c>
      <c r="AL470" t="s">
        <v>136</v>
      </c>
      <c r="AN470">
        <v>1467527200000</v>
      </c>
      <c r="AR470">
        <v>0</v>
      </c>
      <c r="AS470">
        <v>1467527200000</v>
      </c>
      <c r="AY470" t="s">
        <v>1043</v>
      </c>
      <c r="AZ470" t="s">
        <v>1038</v>
      </c>
      <c r="BA470" t="s">
        <v>1044</v>
      </c>
      <c r="BB470" t="s">
        <v>1045</v>
      </c>
      <c r="BC470" t="s">
        <v>1044</v>
      </c>
      <c r="BK470" t="s">
        <v>860</v>
      </c>
      <c r="BM470" t="s">
        <v>861</v>
      </c>
      <c r="BN470" t="s">
        <v>1046</v>
      </c>
      <c r="BO470" t="s">
        <v>1047</v>
      </c>
      <c r="BP470">
        <v>17.170000000000002</v>
      </c>
      <c r="BQ470" t="s">
        <v>864</v>
      </c>
      <c r="DF470" s="15" t="s">
        <v>9308</v>
      </c>
      <c r="DG470" t="s">
        <v>1048</v>
      </c>
      <c r="DH470" t="s">
        <v>127</v>
      </c>
      <c r="DI470" t="s">
        <v>1049</v>
      </c>
      <c r="DJ470" t="s">
        <v>172</v>
      </c>
      <c r="DK470">
        <v>1467527200000</v>
      </c>
    </row>
    <row r="471" spans="1:115" x14ac:dyDescent="0.25">
      <c r="A471" t="s">
        <v>2007</v>
      </c>
      <c r="B471" t="s">
        <v>2008</v>
      </c>
      <c r="F471" t="s">
        <v>163</v>
      </c>
      <c r="I471" t="s">
        <v>962</v>
      </c>
      <c r="N471" t="s">
        <v>2009</v>
      </c>
      <c r="U471" t="s">
        <v>165</v>
      </c>
      <c r="V471" t="s">
        <v>166</v>
      </c>
      <c r="Z471" s="14">
        <v>43504</v>
      </c>
      <c r="AA471" s="14">
        <v>43538</v>
      </c>
      <c r="AD471" s="14">
        <v>44926</v>
      </c>
      <c r="AL471" t="s">
        <v>624</v>
      </c>
      <c r="AN471">
        <v>825133650</v>
      </c>
      <c r="AR471">
        <v>825133650</v>
      </c>
      <c r="AS471">
        <v>0</v>
      </c>
      <c r="AY471" t="s">
        <v>557</v>
      </c>
      <c r="AZ471" t="s">
        <v>880</v>
      </c>
      <c r="BA471" t="s">
        <v>1010</v>
      </c>
      <c r="BB471" t="s">
        <v>1011</v>
      </c>
      <c r="BC471" t="s">
        <v>125</v>
      </c>
      <c r="BK471" t="s">
        <v>860</v>
      </c>
      <c r="BM471" t="s">
        <v>964</v>
      </c>
      <c r="BN471" t="s">
        <v>1035</v>
      </c>
      <c r="BO471" t="s">
        <v>1036</v>
      </c>
      <c r="BP471">
        <v>16.600000000000001</v>
      </c>
      <c r="BQ471" t="s">
        <v>902</v>
      </c>
      <c r="DF471" s="15" t="s">
        <v>9307</v>
      </c>
      <c r="DG471" t="s">
        <v>126</v>
      </c>
      <c r="DH471" t="s">
        <v>159</v>
      </c>
      <c r="DI471" t="s">
        <v>159</v>
      </c>
      <c r="DJ471" t="s">
        <v>172</v>
      </c>
      <c r="DK471">
        <v>1500243</v>
      </c>
    </row>
    <row r="472" spans="1:115" x14ac:dyDescent="0.25">
      <c r="A472" t="s">
        <v>2010</v>
      </c>
      <c r="B472" t="s">
        <v>1397</v>
      </c>
      <c r="F472" t="s">
        <v>205</v>
      </c>
      <c r="I472" t="s">
        <v>1006</v>
      </c>
      <c r="N472" t="s">
        <v>2011</v>
      </c>
      <c r="U472" t="s">
        <v>1399</v>
      </c>
      <c r="Z472" s="14">
        <v>43538</v>
      </c>
      <c r="AA472" s="14">
        <v>43466</v>
      </c>
      <c r="AD472" s="14">
        <v>44926</v>
      </c>
      <c r="AL472" t="s">
        <v>624</v>
      </c>
      <c r="AN472">
        <v>1766362950</v>
      </c>
      <c r="AR472">
        <v>1766362950</v>
      </c>
      <c r="AS472">
        <v>0</v>
      </c>
      <c r="AY472" t="s">
        <v>557</v>
      </c>
      <c r="AZ472" t="s">
        <v>880</v>
      </c>
      <c r="BA472" t="s">
        <v>1010</v>
      </c>
      <c r="BB472" t="s">
        <v>1011</v>
      </c>
      <c r="BC472" t="s">
        <v>125</v>
      </c>
      <c r="BK472" t="s">
        <v>860</v>
      </c>
      <c r="BM472" t="s">
        <v>560</v>
      </c>
      <c r="BN472" t="s">
        <v>1012</v>
      </c>
      <c r="BO472" t="s">
        <v>939</v>
      </c>
      <c r="BP472">
        <v>11.3</v>
      </c>
      <c r="BQ472" t="s">
        <v>563</v>
      </c>
      <c r="DF472" s="15" t="s">
        <v>9420</v>
      </c>
      <c r="DG472" t="s">
        <v>126</v>
      </c>
      <c r="DH472" t="s">
        <v>159</v>
      </c>
      <c r="DI472" t="s">
        <v>159</v>
      </c>
      <c r="DJ472" t="s">
        <v>172</v>
      </c>
      <c r="DK472">
        <v>3211569</v>
      </c>
    </row>
    <row r="473" spans="1:115" x14ac:dyDescent="0.25">
      <c r="A473" t="s">
        <v>2012</v>
      </c>
      <c r="B473" t="s">
        <v>1728</v>
      </c>
      <c r="F473" t="s">
        <v>216</v>
      </c>
      <c r="I473" t="s">
        <v>1103</v>
      </c>
      <c r="N473" t="s">
        <v>2013</v>
      </c>
      <c r="U473" t="s">
        <v>176</v>
      </c>
      <c r="Z473" s="14">
        <v>43538</v>
      </c>
      <c r="AA473" s="14">
        <v>43596</v>
      </c>
      <c r="AD473" s="14">
        <v>45199</v>
      </c>
      <c r="AL473" t="s">
        <v>624</v>
      </c>
      <c r="AN473">
        <v>588500000</v>
      </c>
      <c r="AR473">
        <v>588500000</v>
      </c>
      <c r="AS473">
        <v>0</v>
      </c>
      <c r="AY473" t="s">
        <v>557</v>
      </c>
      <c r="AZ473" t="s">
        <v>880</v>
      </c>
      <c r="BA473" t="s">
        <v>1020</v>
      </c>
      <c r="BB473" t="s">
        <v>1021</v>
      </c>
      <c r="BC473" t="s">
        <v>242</v>
      </c>
      <c r="BK473" t="s">
        <v>860</v>
      </c>
      <c r="BM473" t="s">
        <v>560</v>
      </c>
      <c r="BN473" t="s">
        <v>561</v>
      </c>
      <c r="BO473" t="s">
        <v>989</v>
      </c>
      <c r="BP473">
        <v>3.8</v>
      </c>
      <c r="BQ473" t="s">
        <v>902</v>
      </c>
      <c r="DF473" s="15" t="s">
        <v>9308</v>
      </c>
      <c r="DG473" t="s">
        <v>126</v>
      </c>
      <c r="DH473" t="s">
        <v>159</v>
      </c>
      <c r="DI473" t="s">
        <v>159</v>
      </c>
      <c r="DJ473" t="s">
        <v>2014</v>
      </c>
      <c r="DK473">
        <v>1070000</v>
      </c>
    </row>
    <row r="474" spans="1:115" x14ac:dyDescent="0.25">
      <c r="A474" t="s">
        <v>2015</v>
      </c>
      <c r="B474" t="s">
        <v>2016</v>
      </c>
      <c r="F474" t="s">
        <v>263</v>
      </c>
      <c r="I474" t="s">
        <v>952</v>
      </c>
      <c r="N474" t="s">
        <v>2017</v>
      </c>
      <c r="U474" t="s">
        <v>176</v>
      </c>
      <c r="Z474" s="14">
        <v>43538</v>
      </c>
      <c r="AA474" s="14">
        <v>43596</v>
      </c>
      <c r="AD474" s="14">
        <v>44926</v>
      </c>
      <c r="AL474" t="s">
        <v>122</v>
      </c>
      <c r="AN474">
        <v>6821952800</v>
      </c>
      <c r="AR474">
        <v>6821952800</v>
      </c>
      <c r="AS474">
        <v>0</v>
      </c>
      <c r="AY474" t="s">
        <v>557</v>
      </c>
      <c r="AZ474" t="s">
        <v>880</v>
      </c>
      <c r="BA474" t="s">
        <v>267</v>
      </c>
      <c r="BB474" t="s">
        <v>267</v>
      </c>
      <c r="BC474" t="s">
        <v>242</v>
      </c>
      <c r="BK474" t="s">
        <v>860</v>
      </c>
      <c r="BM474" t="s">
        <v>560</v>
      </c>
      <c r="BN474" t="s">
        <v>561</v>
      </c>
      <c r="BO474" t="s">
        <v>562</v>
      </c>
      <c r="BP474">
        <v>6.1</v>
      </c>
      <c r="BQ474" t="s">
        <v>563</v>
      </c>
      <c r="DF474" s="15" t="s">
        <v>9308</v>
      </c>
      <c r="DG474" t="s">
        <v>317</v>
      </c>
      <c r="DH474" t="s">
        <v>159</v>
      </c>
      <c r="DI474" t="s">
        <v>159</v>
      </c>
      <c r="DJ474" t="s">
        <v>326</v>
      </c>
      <c r="DK474">
        <v>10400000</v>
      </c>
    </row>
    <row r="475" spans="1:115" x14ac:dyDescent="0.25">
      <c r="A475" t="s">
        <v>2018</v>
      </c>
      <c r="B475" t="s">
        <v>1079</v>
      </c>
      <c r="F475" t="s">
        <v>1039</v>
      </c>
      <c r="I475" t="s">
        <v>1080</v>
      </c>
      <c r="N475" t="s">
        <v>2019</v>
      </c>
      <c r="U475" t="s">
        <v>165</v>
      </c>
      <c r="V475" t="s">
        <v>166</v>
      </c>
      <c r="Z475" s="14">
        <v>43538</v>
      </c>
      <c r="AA475" s="14">
        <v>43596</v>
      </c>
      <c r="AD475" s="14">
        <v>45657</v>
      </c>
      <c r="AL475" t="s">
        <v>122</v>
      </c>
      <c r="AN475">
        <v>1049531200</v>
      </c>
      <c r="AR475">
        <v>1049531200</v>
      </c>
      <c r="AS475">
        <v>0</v>
      </c>
      <c r="AY475" t="s">
        <v>557</v>
      </c>
      <c r="AZ475" t="s">
        <v>880</v>
      </c>
      <c r="BA475" t="s">
        <v>267</v>
      </c>
      <c r="BB475" t="s">
        <v>267</v>
      </c>
      <c r="BC475" t="s">
        <v>242</v>
      </c>
      <c r="BK475" t="s">
        <v>860</v>
      </c>
      <c r="BM475" t="s">
        <v>861</v>
      </c>
      <c r="BN475" t="s">
        <v>1046</v>
      </c>
      <c r="BO475" t="s">
        <v>1047</v>
      </c>
      <c r="BP475">
        <v>17.170000000000002</v>
      </c>
      <c r="BQ475" t="s">
        <v>864</v>
      </c>
      <c r="DF475" s="15" t="s">
        <v>9307</v>
      </c>
      <c r="DG475" t="s">
        <v>126</v>
      </c>
      <c r="DH475" t="s">
        <v>159</v>
      </c>
      <c r="DI475" t="s">
        <v>159</v>
      </c>
      <c r="DJ475" t="s">
        <v>326</v>
      </c>
      <c r="DK475">
        <v>1600000</v>
      </c>
    </row>
    <row r="476" spans="1:115" x14ac:dyDescent="0.25">
      <c r="A476" t="s">
        <v>2020</v>
      </c>
      <c r="B476" t="s">
        <v>1737</v>
      </c>
      <c r="F476" t="s">
        <v>205</v>
      </c>
      <c r="I476" t="s">
        <v>1006</v>
      </c>
      <c r="N476" t="s">
        <v>2021</v>
      </c>
      <c r="U476" t="s">
        <v>211</v>
      </c>
      <c r="V476" t="s">
        <v>638</v>
      </c>
      <c r="Z476" s="14">
        <v>43538</v>
      </c>
      <c r="AA476" s="14">
        <v>43543</v>
      </c>
      <c r="AD476" t="s">
        <v>2022</v>
      </c>
      <c r="AL476" t="s">
        <v>122</v>
      </c>
      <c r="AN476">
        <v>3935742000</v>
      </c>
      <c r="AR476">
        <v>3935742000</v>
      </c>
      <c r="AS476">
        <v>0</v>
      </c>
      <c r="AY476" t="s">
        <v>557</v>
      </c>
      <c r="AZ476" t="s">
        <v>880</v>
      </c>
      <c r="BA476" t="s">
        <v>267</v>
      </c>
      <c r="BB476" t="s">
        <v>267</v>
      </c>
      <c r="BC476" t="s">
        <v>242</v>
      </c>
      <c r="BK476" t="s">
        <v>860</v>
      </c>
      <c r="BM476" t="s">
        <v>560</v>
      </c>
      <c r="BN476" t="s">
        <v>1012</v>
      </c>
      <c r="BO476" t="s">
        <v>939</v>
      </c>
      <c r="BP476">
        <v>11.3</v>
      </c>
      <c r="BQ476" t="s">
        <v>563</v>
      </c>
      <c r="DF476" s="15" t="s">
        <v>9358</v>
      </c>
      <c r="DG476" t="s">
        <v>126</v>
      </c>
      <c r="DH476" t="s">
        <v>159</v>
      </c>
      <c r="DI476" t="s">
        <v>159</v>
      </c>
      <c r="DJ476" t="s">
        <v>326</v>
      </c>
      <c r="DK476">
        <v>6000000</v>
      </c>
    </row>
    <row r="477" spans="1:115" x14ac:dyDescent="0.25">
      <c r="A477" t="s">
        <v>2023</v>
      </c>
      <c r="B477" t="s">
        <v>2024</v>
      </c>
      <c r="F477" t="s">
        <v>245</v>
      </c>
      <c r="I477" t="s">
        <v>1410</v>
      </c>
      <c r="N477" t="s">
        <v>2025</v>
      </c>
      <c r="U477" t="s">
        <v>176</v>
      </c>
      <c r="Z477" s="14">
        <v>43473</v>
      </c>
      <c r="AA477" s="14">
        <v>43538</v>
      </c>
      <c r="AD477" s="14">
        <v>44926</v>
      </c>
      <c r="AL477" t="s">
        <v>122</v>
      </c>
      <c r="AN477">
        <v>85274410</v>
      </c>
      <c r="AR477">
        <v>85274410</v>
      </c>
      <c r="AS477">
        <v>0</v>
      </c>
      <c r="AY477" t="s">
        <v>557</v>
      </c>
      <c r="AZ477" t="s">
        <v>880</v>
      </c>
      <c r="BA477" t="s">
        <v>267</v>
      </c>
      <c r="BB477" t="s">
        <v>267</v>
      </c>
      <c r="BC477" t="s">
        <v>242</v>
      </c>
      <c r="BK477" t="s">
        <v>860</v>
      </c>
      <c r="BM477" t="s">
        <v>861</v>
      </c>
      <c r="BN477" t="s">
        <v>862</v>
      </c>
      <c r="BO477" t="s">
        <v>971</v>
      </c>
      <c r="BP477">
        <v>9.1</v>
      </c>
      <c r="BQ477" t="s">
        <v>864</v>
      </c>
      <c r="DF477" s="15" t="s">
        <v>9308</v>
      </c>
      <c r="DG477" t="s">
        <v>126</v>
      </c>
      <c r="DH477" t="s">
        <v>159</v>
      </c>
      <c r="DI477" t="s">
        <v>159</v>
      </c>
      <c r="DJ477" t="s">
        <v>326</v>
      </c>
      <c r="DK477">
        <v>130000</v>
      </c>
    </row>
    <row r="478" spans="1:115" x14ac:dyDescent="0.25">
      <c r="A478" t="s">
        <v>2026</v>
      </c>
      <c r="B478" t="s">
        <v>2027</v>
      </c>
      <c r="F478" t="s">
        <v>190</v>
      </c>
      <c r="I478" t="s">
        <v>1453</v>
      </c>
      <c r="N478" t="s">
        <v>2028</v>
      </c>
      <c r="U478" t="s">
        <v>176</v>
      </c>
      <c r="Z478" s="14">
        <v>43538</v>
      </c>
      <c r="AA478" s="14">
        <v>43657</v>
      </c>
      <c r="AD478" s="14">
        <v>44926</v>
      </c>
      <c r="AL478" t="s">
        <v>122</v>
      </c>
      <c r="AN478">
        <v>32797850</v>
      </c>
      <c r="AR478">
        <v>32797850</v>
      </c>
      <c r="AS478">
        <v>0</v>
      </c>
      <c r="AY478" t="s">
        <v>557</v>
      </c>
      <c r="AZ478" t="s">
        <v>880</v>
      </c>
      <c r="BA478" t="s">
        <v>267</v>
      </c>
      <c r="BB478" t="s">
        <v>267</v>
      </c>
      <c r="BC478" t="s">
        <v>242</v>
      </c>
      <c r="BK478" t="s">
        <v>860</v>
      </c>
      <c r="BM478" t="s">
        <v>861</v>
      </c>
      <c r="BN478" t="s">
        <v>862</v>
      </c>
      <c r="BO478" t="s">
        <v>863</v>
      </c>
      <c r="BP478">
        <v>2.2999999999999998</v>
      </c>
      <c r="BQ478" t="s">
        <v>864</v>
      </c>
      <c r="DF478" s="15" t="s">
        <v>9308</v>
      </c>
      <c r="DG478" t="s">
        <v>126</v>
      </c>
      <c r="DH478" t="s">
        <v>159</v>
      </c>
      <c r="DI478" t="s">
        <v>159</v>
      </c>
      <c r="DJ478" t="s">
        <v>326</v>
      </c>
      <c r="DK478">
        <v>50000</v>
      </c>
    </row>
    <row r="479" spans="1:115" x14ac:dyDescent="0.25">
      <c r="A479" t="s">
        <v>2029</v>
      </c>
      <c r="B479" t="s">
        <v>2030</v>
      </c>
      <c r="F479" t="s">
        <v>190</v>
      </c>
      <c r="I479" t="s">
        <v>1176</v>
      </c>
      <c r="N479" t="s">
        <v>2031</v>
      </c>
      <c r="U479" t="s">
        <v>176</v>
      </c>
      <c r="Z479" s="14">
        <v>43538</v>
      </c>
      <c r="AA479" s="14">
        <v>43596</v>
      </c>
      <c r="AD479" s="14">
        <v>44926</v>
      </c>
      <c r="AL479" t="s">
        <v>122</v>
      </c>
      <c r="AN479">
        <v>91833980</v>
      </c>
      <c r="AR479">
        <v>0</v>
      </c>
      <c r="AS479">
        <v>91833980</v>
      </c>
      <c r="AY479" t="s">
        <v>557</v>
      </c>
      <c r="AZ479" t="s">
        <v>558</v>
      </c>
      <c r="BA479" t="s">
        <v>267</v>
      </c>
      <c r="BB479" t="s">
        <v>267</v>
      </c>
      <c r="BC479" t="s">
        <v>242</v>
      </c>
      <c r="BK479" t="s">
        <v>860</v>
      </c>
      <c r="BM479" t="s">
        <v>861</v>
      </c>
      <c r="BN479" t="s">
        <v>862</v>
      </c>
      <c r="BO479" t="s">
        <v>863</v>
      </c>
      <c r="BP479">
        <v>2.2999999999999998</v>
      </c>
      <c r="BQ479" t="s">
        <v>864</v>
      </c>
      <c r="DF479" s="15" t="s">
        <v>9308</v>
      </c>
      <c r="DG479" t="s">
        <v>126</v>
      </c>
      <c r="DH479" t="s">
        <v>127</v>
      </c>
      <c r="DI479" t="s">
        <v>150</v>
      </c>
      <c r="DJ479" t="s">
        <v>326</v>
      </c>
      <c r="DK479">
        <v>140000</v>
      </c>
    </row>
    <row r="480" spans="1:115" x14ac:dyDescent="0.25">
      <c r="A480" t="s">
        <v>2032</v>
      </c>
      <c r="B480" t="s">
        <v>2033</v>
      </c>
      <c r="F480" t="s">
        <v>282</v>
      </c>
      <c r="I480" t="s">
        <v>1029</v>
      </c>
      <c r="N480" t="s">
        <v>2034</v>
      </c>
      <c r="U480" t="s">
        <v>176</v>
      </c>
      <c r="Z480" s="14">
        <v>43538</v>
      </c>
      <c r="AA480" s="14">
        <v>43755</v>
      </c>
      <c r="AD480" s="14">
        <v>44926</v>
      </c>
      <c r="AL480" t="s">
        <v>122</v>
      </c>
      <c r="AN480">
        <v>6559570000</v>
      </c>
      <c r="AR480">
        <v>6559570000</v>
      </c>
      <c r="AS480">
        <v>0</v>
      </c>
      <c r="AY480" t="s">
        <v>557</v>
      </c>
      <c r="AZ480" t="s">
        <v>880</v>
      </c>
      <c r="BA480" t="s">
        <v>267</v>
      </c>
      <c r="BB480" t="s">
        <v>267</v>
      </c>
      <c r="BC480" t="s">
        <v>242</v>
      </c>
      <c r="BK480" t="s">
        <v>860</v>
      </c>
      <c r="BM480" t="s">
        <v>964</v>
      </c>
      <c r="BN480" t="s">
        <v>965</v>
      </c>
      <c r="BO480" t="s">
        <v>939</v>
      </c>
      <c r="BP480">
        <v>11.3</v>
      </c>
      <c r="BQ480" t="s">
        <v>902</v>
      </c>
      <c r="DF480" s="15" t="s">
        <v>9308</v>
      </c>
      <c r="DG480" t="s">
        <v>284</v>
      </c>
      <c r="DH480" t="s">
        <v>159</v>
      </c>
      <c r="DI480" t="s">
        <v>159</v>
      </c>
      <c r="DJ480" t="s">
        <v>326</v>
      </c>
      <c r="DK480">
        <v>10000000</v>
      </c>
    </row>
    <row r="481" spans="1:115" x14ac:dyDescent="0.25">
      <c r="A481" t="s">
        <v>2035</v>
      </c>
      <c r="B481" t="s">
        <v>2036</v>
      </c>
      <c r="F481" t="s">
        <v>315</v>
      </c>
      <c r="I481" t="s">
        <v>1519</v>
      </c>
      <c r="N481" t="s">
        <v>2037</v>
      </c>
      <c r="U481" t="s">
        <v>176</v>
      </c>
      <c r="Z481" s="14">
        <v>43538</v>
      </c>
      <c r="AA481" s="14">
        <v>43596</v>
      </c>
      <c r="AD481" s="14">
        <v>44926</v>
      </c>
      <c r="AL481" t="s">
        <v>122</v>
      </c>
      <c r="AN481">
        <v>5247656000</v>
      </c>
      <c r="AR481">
        <v>5247656000</v>
      </c>
      <c r="AS481">
        <v>0</v>
      </c>
      <c r="AY481" t="s">
        <v>557</v>
      </c>
      <c r="AZ481" t="s">
        <v>880</v>
      </c>
      <c r="BA481" t="s">
        <v>267</v>
      </c>
      <c r="BB481" t="s">
        <v>267</v>
      </c>
      <c r="BC481" t="s">
        <v>242</v>
      </c>
      <c r="BK481" t="s">
        <v>860</v>
      </c>
      <c r="BM481" t="s">
        <v>861</v>
      </c>
      <c r="BN481" t="s">
        <v>900</v>
      </c>
      <c r="BO481" t="s">
        <v>901</v>
      </c>
      <c r="BP481">
        <v>4.0999999999999996</v>
      </c>
      <c r="BQ481" t="s">
        <v>902</v>
      </c>
      <c r="DF481" s="15" t="s">
        <v>9308</v>
      </c>
      <c r="DG481" t="s">
        <v>126</v>
      </c>
      <c r="DH481" t="s">
        <v>159</v>
      </c>
      <c r="DI481" t="s">
        <v>159</v>
      </c>
      <c r="DJ481" t="s">
        <v>326</v>
      </c>
      <c r="DK481">
        <v>8000000</v>
      </c>
    </row>
    <row r="482" spans="1:115" x14ac:dyDescent="0.25">
      <c r="A482" t="s">
        <v>2038</v>
      </c>
      <c r="B482" t="s">
        <v>2039</v>
      </c>
      <c r="F482" t="s">
        <v>190</v>
      </c>
      <c r="I482" t="s">
        <v>856</v>
      </c>
      <c r="N482" t="s">
        <v>2040</v>
      </c>
      <c r="U482" t="s">
        <v>176</v>
      </c>
      <c r="Z482" s="14">
        <v>43538</v>
      </c>
      <c r="AA482" s="14">
        <v>43727</v>
      </c>
      <c r="AD482" s="14">
        <v>44926</v>
      </c>
      <c r="AL482" t="s">
        <v>122</v>
      </c>
      <c r="AN482">
        <v>6461071595</v>
      </c>
      <c r="AR482">
        <v>0</v>
      </c>
      <c r="AS482">
        <v>6461071595</v>
      </c>
      <c r="AY482" t="s">
        <v>557</v>
      </c>
      <c r="AZ482" t="s">
        <v>558</v>
      </c>
      <c r="BA482" t="s">
        <v>267</v>
      </c>
      <c r="BB482" t="s">
        <v>267</v>
      </c>
      <c r="BC482" t="s">
        <v>242</v>
      </c>
      <c r="BK482" t="s">
        <v>860</v>
      </c>
      <c r="BM482" t="s">
        <v>861</v>
      </c>
      <c r="BN482" t="s">
        <v>862</v>
      </c>
      <c r="BO482" t="s">
        <v>863</v>
      </c>
      <c r="BP482">
        <v>2.2999999999999998</v>
      </c>
      <c r="BQ482" t="s">
        <v>864</v>
      </c>
      <c r="DF482" s="15" t="s">
        <v>9308</v>
      </c>
      <c r="DG482" t="s">
        <v>126</v>
      </c>
      <c r="DH482" t="s">
        <v>127</v>
      </c>
      <c r="DI482" t="s">
        <v>150</v>
      </c>
      <c r="DJ482" t="s">
        <v>326</v>
      </c>
      <c r="DK482">
        <v>9849840.1500000004</v>
      </c>
    </row>
    <row r="483" spans="1:115" x14ac:dyDescent="0.25">
      <c r="A483" t="s">
        <v>2041</v>
      </c>
      <c r="B483" t="s">
        <v>2042</v>
      </c>
      <c r="F483" t="s">
        <v>216</v>
      </c>
      <c r="I483" t="s">
        <v>2043</v>
      </c>
      <c r="N483" t="s">
        <v>2044</v>
      </c>
      <c r="U483" t="s">
        <v>176</v>
      </c>
      <c r="Z483" s="14">
        <v>43504</v>
      </c>
      <c r="AA483" s="14">
        <v>43538</v>
      </c>
      <c r="AD483" s="14">
        <v>45291</v>
      </c>
      <c r="AL483" t="s">
        <v>122</v>
      </c>
      <c r="AN483">
        <v>9622889</v>
      </c>
      <c r="AR483">
        <v>9622889</v>
      </c>
      <c r="AS483">
        <v>0</v>
      </c>
      <c r="AY483" t="s">
        <v>557</v>
      </c>
      <c r="AZ483" t="s">
        <v>880</v>
      </c>
      <c r="BA483" t="s">
        <v>1439</v>
      </c>
      <c r="BB483" t="s">
        <v>1439</v>
      </c>
      <c r="BC483" t="s">
        <v>242</v>
      </c>
      <c r="BK483" t="s">
        <v>860</v>
      </c>
      <c r="BM483" t="s">
        <v>560</v>
      </c>
      <c r="BN483" t="s">
        <v>561</v>
      </c>
      <c r="BO483" t="s">
        <v>989</v>
      </c>
      <c r="BP483">
        <v>3.8</v>
      </c>
      <c r="BQ483" t="s">
        <v>902</v>
      </c>
      <c r="DF483" s="15" t="s">
        <v>9308</v>
      </c>
      <c r="DG483" t="s">
        <v>126</v>
      </c>
      <c r="DH483" t="s">
        <v>159</v>
      </c>
      <c r="DI483" t="s">
        <v>159</v>
      </c>
      <c r="DJ483" t="s">
        <v>326</v>
      </c>
      <c r="DK483">
        <v>14670</v>
      </c>
    </row>
    <row r="484" spans="1:115" x14ac:dyDescent="0.25">
      <c r="A484" t="s">
        <v>2045</v>
      </c>
      <c r="B484" t="s">
        <v>2046</v>
      </c>
      <c r="F484" t="s">
        <v>190</v>
      </c>
      <c r="I484" t="s">
        <v>974</v>
      </c>
      <c r="N484" t="s">
        <v>2047</v>
      </c>
      <c r="U484" t="s">
        <v>265</v>
      </c>
      <c r="Z484" s="14">
        <v>43538</v>
      </c>
      <c r="AA484" s="14">
        <v>43592</v>
      </c>
      <c r="AD484" s="14">
        <v>45291</v>
      </c>
      <c r="AL484" t="s">
        <v>122</v>
      </c>
      <c r="AN484">
        <v>404500476</v>
      </c>
      <c r="AR484">
        <v>404500476</v>
      </c>
      <c r="AS484">
        <v>0</v>
      </c>
      <c r="AY484" t="s">
        <v>557</v>
      </c>
      <c r="AZ484" t="s">
        <v>880</v>
      </c>
      <c r="BA484" t="s">
        <v>1439</v>
      </c>
      <c r="BB484" t="s">
        <v>1439</v>
      </c>
      <c r="BC484" t="s">
        <v>242</v>
      </c>
      <c r="BK484" t="s">
        <v>860</v>
      </c>
      <c r="BM484" t="s">
        <v>861</v>
      </c>
      <c r="BN484" t="s">
        <v>862</v>
      </c>
      <c r="BO484" t="s">
        <v>863</v>
      </c>
      <c r="BP484">
        <v>2.2999999999999998</v>
      </c>
      <c r="BQ484" t="s">
        <v>864</v>
      </c>
      <c r="DF484" s="15" t="s">
        <v>9450</v>
      </c>
      <c r="DG484" t="s">
        <v>126</v>
      </c>
      <c r="DH484" t="s">
        <v>159</v>
      </c>
      <c r="DI484" t="s">
        <v>159</v>
      </c>
      <c r="DJ484" t="s">
        <v>326</v>
      </c>
      <c r="DK484">
        <v>616657</v>
      </c>
    </row>
    <row r="485" spans="1:115" x14ac:dyDescent="0.25">
      <c r="A485" t="s">
        <v>2048</v>
      </c>
      <c r="B485" t="s">
        <v>2049</v>
      </c>
      <c r="F485" t="s">
        <v>190</v>
      </c>
      <c r="I485" t="s">
        <v>1176</v>
      </c>
      <c r="N485" t="s">
        <v>2050</v>
      </c>
      <c r="U485" t="s">
        <v>265</v>
      </c>
      <c r="Z485" s="14">
        <v>43538</v>
      </c>
      <c r="AA485" s="14">
        <v>43560</v>
      </c>
      <c r="AD485" s="14">
        <v>45291</v>
      </c>
      <c r="AL485" t="s">
        <v>122</v>
      </c>
      <c r="AN485">
        <v>1320410611</v>
      </c>
      <c r="AR485">
        <v>1320410611</v>
      </c>
      <c r="AS485">
        <v>0</v>
      </c>
      <c r="AY485" t="s">
        <v>557</v>
      </c>
      <c r="AZ485" t="s">
        <v>880</v>
      </c>
      <c r="BA485" t="s">
        <v>1439</v>
      </c>
      <c r="BB485" t="s">
        <v>1439</v>
      </c>
      <c r="BC485" t="s">
        <v>242</v>
      </c>
      <c r="BK485" t="s">
        <v>860</v>
      </c>
      <c r="BM485" t="s">
        <v>861</v>
      </c>
      <c r="BN485" t="s">
        <v>862</v>
      </c>
      <c r="BO485" t="s">
        <v>863</v>
      </c>
      <c r="BP485">
        <v>2.2999999999999998</v>
      </c>
      <c r="BQ485" t="s">
        <v>864</v>
      </c>
      <c r="DF485" s="15" t="s">
        <v>9450</v>
      </c>
      <c r="DG485" t="s">
        <v>126</v>
      </c>
      <c r="DH485" t="s">
        <v>159</v>
      </c>
      <c r="DI485" t="s">
        <v>159</v>
      </c>
      <c r="DJ485" t="s">
        <v>129</v>
      </c>
      <c r="DK485">
        <v>2012953</v>
      </c>
    </row>
    <row r="486" spans="1:115" x14ac:dyDescent="0.25">
      <c r="A486" t="s">
        <v>2051</v>
      </c>
      <c r="B486" t="s">
        <v>2052</v>
      </c>
      <c r="F486" t="s">
        <v>216</v>
      </c>
      <c r="I486" t="s">
        <v>1091</v>
      </c>
      <c r="N486" t="s">
        <v>2053</v>
      </c>
      <c r="U486" t="s">
        <v>1742</v>
      </c>
      <c r="Z486" s="14">
        <v>43538</v>
      </c>
      <c r="AA486" s="14">
        <v>43596</v>
      </c>
      <c r="AD486" s="14">
        <v>45291</v>
      </c>
      <c r="AL486" t="s">
        <v>122</v>
      </c>
      <c r="AN486">
        <v>4657194995</v>
      </c>
      <c r="AR486">
        <v>4657194995</v>
      </c>
      <c r="AS486">
        <v>0</v>
      </c>
      <c r="AY486" t="s">
        <v>557</v>
      </c>
      <c r="AZ486" t="s">
        <v>880</v>
      </c>
      <c r="BA486" t="s">
        <v>1439</v>
      </c>
      <c r="BB486" t="s">
        <v>1439</v>
      </c>
      <c r="BC486" t="s">
        <v>242</v>
      </c>
      <c r="BK486" t="s">
        <v>860</v>
      </c>
      <c r="BM486" t="s">
        <v>560</v>
      </c>
      <c r="BN486" t="s">
        <v>561</v>
      </c>
      <c r="BO486" t="s">
        <v>989</v>
      </c>
      <c r="BP486">
        <v>3.8</v>
      </c>
      <c r="BQ486" t="s">
        <v>902</v>
      </c>
      <c r="DF486" s="15" t="s">
        <v>9438</v>
      </c>
      <c r="DG486" t="s">
        <v>317</v>
      </c>
      <c r="DH486" t="s">
        <v>159</v>
      </c>
      <c r="DI486" t="s">
        <v>159</v>
      </c>
      <c r="DJ486" t="s">
        <v>129</v>
      </c>
      <c r="DK486">
        <v>7099848</v>
      </c>
    </row>
    <row r="487" spans="1:115" x14ac:dyDescent="0.25">
      <c r="A487" t="s">
        <v>2054</v>
      </c>
      <c r="B487" t="s">
        <v>2055</v>
      </c>
      <c r="F487" t="s">
        <v>315</v>
      </c>
      <c r="I487" t="s">
        <v>1519</v>
      </c>
      <c r="N487" t="s">
        <v>2056</v>
      </c>
      <c r="U487" t="s">
        <v>1521</v>
      </c>
      <c r="V487" t="s">
        <v>2057</v>
      </c>
      <c r="Z487" s="14">
        <v>43538</v>
      </c>
      <c r="AA487" s="14">
        <v>43596</v>
      </c>
      <c r="AD487" s="14">
        <v>45291</v>
      </c>
      <c r="AL487" t="s">
        <v>136</v>
      </c>
      <c r="AN487">
        <v>240000000</v>
      </c>
      <c r="AR487">
        <v>240000000</v>
      </c>
      <c r="AS487">
        <v>0</v>
      </c>
      <c r="AY487" t="s">
        <v>557</v>
      </c>
      <c r="AZ487" t="s">
        <v>880</v>
      </c>
      <c r="BA487" t="s">
        <v>1272</v>
      </c>
      <c r="BB487" t="s">
        <v>1272</v>
      </c>
      <c r="BC487" t="s">
        <v>242</v>
      </c>
      <c r="BK487" t="s">
        <v>860</v>
      </c>
      <c r="BM487" t="s">
        <v>861</v>
      </c>
      <c r="BN487" t="s">
        <v>900</v>
      </c>
      <c r="BO487" t="s">
        <v>901</v>
      </c>
      <c r="BP487">
        <v>4.0999999999999996</v>
      </c>
      <c r="BQ487" t="s">
        <v>902</v>
      </c>
      <c r="DF487" s="15" t="s">
        <v>9451</v>
      </c>
      <c r="DG487" t="s">
        <v>170</v>
      </c>
      <c r="DH487" t="s">
        <v>159</v>
      </c>
      <c r="DI487" t="s">
        <v>159</v>
      </c>
      <c r="DJ487" t="s">
        <v>172</v>
      </c>
      <c r="DK487">
        <v>240000000</v>
      </c>
    </row>
    <row r="488" spans="1:115" x14ac:dyDescent="0.25">
      <c r="A488" t="s">
        <v>2058</v>
      </c>
      <c r="B488" t="s">
        <v>2059</v>
      </c>
      <c r="F488" t="s">
        <v>216</v>
      </c>
      <c r="I488" t="s">
        <v>1064</v>
      </c>
      <c r="N488" t="s">
        <v>2060</v>
      </c>
      <c r="U488" t="s">
        <v>176</v>
      </c>
      <c r="Z488" s="14">
        <v>43538</v>
      </c>
      <c r="AA488" s="14">
        <v>43466</v>
      </c>
      <c r="AD488" s="14">
        <v>45291</v>
      </c>
      <c r="AL488" t="s">
        <v>1127</v>
      </c>
      <c r="AN488">
        <v>1133586600</v>
      </c>
      <c r="AR488">
        <v>1133586600</v>
      </c>
      <c r="AS488">
        <v>0</v>
      </c>
      <c r="AY488" t="s">
        <v>557</v>
      </c>
      <c r="AZ488" t="s">
        <v>880</v>
      </c>
      <c r="BA488" t="s">
        <v>1128</v>
      </c>
      <c r="BB488" t="s">
        <v>1128</v>
      </c>
      <c r="BC488" t="s">
        <v>242</v>
      </c>
      <c r="BK488" t="s">
        <v>860</v>
      </c>
      <c r="BM488" t="s">
        <v>560</v>
      </c>
      <c r="BN488" t="s">
        <v>561</v>
      </c>
      <c r="BO488" t="s">
        <v>989</v>
      </c>
      <c r="BP488">
        <v>3.8</v>
      </c>
      <c r="BQ488" t="s">
        <v>902</v>
      </c>
      <c r="DF488" s="15" t="s">
        <v>9308</v>
      </c>
      <c r="DG488" t="s">
        <v>126</v>
      </c>
      <c r="DH488" t="s">
        <v>159</v>
      </c>
      <c r="DI488" t="s">
        <v>159</v>
      </c>
      <c r="DJ488" t="s">
        <v>129</v>
      </c>
      <c r="DK488">
        <v>2550000</v>
      </c>
    </row>
    <row r="489" spans="1:115" x14ac:dyDescent="0.25">
      <c r="A489" t="s">
        <v>2061</v>
      </c>
      <c r="B489" t="s">
        <v>1405</v>
      </c>
      <c r="F489" t="s">
        <v>190</v>
      </c>
      <c r="I489" t="s">
        <v>1406</v>
      </c>
      <c r="N489" t="s">
        <v>2062</v>
      </c>
      <c r="U489" t="s">
        <v>176</v>
      </c>
      <c r="Z489" s="14">
        <v>43538</v>
      </c>
      <c r="AA489" s="14">
        <v>43596</v>
      </c>
      <c r="AD489" s="14">
        <v>45657</v>
      </c>
      <c r="AL489" t="s">
        <v>1127</v>
      </c>
      <c r="AN489">
        <v>2521350000</v>
      </c>
      <c r="AR489">
        <v>2521350000</v>
      </c>
      <c r="AS489">
        <v>0</v>
      </c>
      <c r="AY489" t="s">
        <v>557</v>
      </c>
      <c r="AZ489" t="s">
        <v>880</v>
      </c>
      <c r="BA489" t="s">
        <v>1128</v>
      </c>
      <c r="BB489" t="s">
        <v>1128</v>
      </c>
      <c r="BC489" t="s">
        <v>242</v>
      </c>
      <c r="BK489" t="s">
        <v>860</v>
      </c>
      <c r="BM489" t="s">
        <v>861</v>
      </c>
      <c r="BN489" t="s">
        <v>862</v>
      </c>
      <c r="BO489" t="s">
        <v>863</v>
      </c>
      <c r="BP489">
        <v>2.2999999999999998</v>
      </c>
      <c r="BQ489" t="s">
        <v>864</v>
      </c>
      <c r="DF489" s="15" t="s">
        <v>9308</v>
      </c>
      <c r="DG489" t="s">
        <v>126</v>
      </c>
      <c r="DH489" t="s">
        <v>159</v>
      </c>
      <c r="DI489" t="s">
        <v>159</v>
      </c>
      <c r="DJ489" t="s">
        <v>129</v>
      </c>
      <c r="DK489">
        <v>5850000</v>
      </c>
    </row>
    <row r="490" spans="1:115" x14ac:dyDescent="0.25">
      <c r="A490" t="s">
        <v>2063</v>
      </c>
      <c r="B490" t="s">
        <v>2064</v>
      </c>
      <c r="F490" t="s">
        <v>526</v>
      </c>
      <c r="I490" t="s">
        <v>1099</v>
      </c>
      <c r="N490" t="s">
        <v>2065</v>
      </c>
      <c r="U490" t="s">
        <v>321</v>
      </c>
      <c r="Z490" s="14">
        <v>43538</v>
      </c>
      <c r="AA490" s="14">
        <v>43596</v>
      </c>
      <c r="AD490" s="14">
        <v>45657</v>
      </c>
      <c r="AL490" t="s">
        <v>1127</v>
      </c>
      <c r="AN490">
        <v>1311500000</v>
      </c>
      <c r="AR490">
        <v>1311500000</v>
      </c>
      <c r="AS490">
        <v>0</v>
      </c>
      <c r="AY490" t="s">
        <v>557</v>
      </c>
      <c r="AZ490" t="s">
        <v>880</v>
      </c>
      <c r="BA490" t="s">
        <v>1128</v>
      </c>
      <c r="BB490" t="s">
        <v>1128</v>
      </c>
      <c r="BC490" t="s">
        <v>242</v>
      </c>
      <c r="BK490" t="s">
        <v>860</v>
      </c>
      <c r="BM490" t="s">
        <v>560</v>
      </c>
      <c r="BN490" t="s">
        <v>561</v>
      </c>
      <c r="BO490" t="s">
        <v>1022</v>
      </c>
      <c r="BP490">
        <v>1.3</v>
      </c>
      <c r="BQ490" t="s">
        <v>902</v>
      </c>
      <c r="DF490" s="15" t="s">
        <v>9324</v>
      </c>
      <c r="DG490" t="s">
        <v>126</v>
      </c>
      <c r="DH490" t="s">
        <v>159</v>
      </c>
      <c r="DI490" t="s">
        <v>159</v>
      </c>
      <c r="DJ490" t="s">
        <v>129</v>
      </c>
      <c r="DK490">
        <v>3050000</v>
      </c>
    </row>
    <row r="491" spans="1:115" x14ac:dyDescent="0.25">
      <c r="A491" t="s">
        <v>2066</v>
      </c>
      <c r="B491" t="s">
        <v>2067</v>
      </c>
      <c r="F491" t="s">
        <v>315</v>
      </c>
      <c r="I491" t="s">
        <v>1519</v>
      </c>
      <c r="N491" t="s">
        <v>2068</v>
      </c>
      <c r="U491" t="s">
        <v>176</v>
      </c>
      <c r="Z491" s="14">
        <v>43493</v>
      </c>
      <c r="AA491" s="14">
        <v>43538</v>
      </c>
      <c r="AD491" s="14">
        <v>45657</v>
      </c>
      <c r="AL491" t="s">
        <v>1127</v>
      </c>
      <c r="AN491">
        <v>73345600</v>
      </c>
      <c r="AR491">
        <v>73345600</v>
      </c>
      <c r="AS491">
        <v>0</v>
      </c>
      <c r="AY491" t="s">
        <v>557</v>
      </c>
      <c r="AZ491" t="s">
        <v>880</v>
      </c>
      <c r="BA491" t="s">
        <v>1128</v>
      </c>
      <c r="BB491" t="s">
        <v>1128</v>
      </c>
      <c r="BC491" t="s">
        <v>242</v>
      </c>
      <c r="BK491" t="s">
        <v>860</v>
      </c>
      <c r="BM491" t="s">
        <v>861</v>
      </c>
      <c r="BN491" t="s">
        <v>900</v>
      </c>
      <c r="BO491" t="s">
        <v>901</v>
      </c>
      <c r="BP491">
        <v>4.0999999999999996</v>
      </c>
      <c r="BQ491" t="s">
        <v>902</v>
      </c>
      <c r="DF491" s="15" t="s">
        <v>9308</v>
      </c>
      <c r="DG491" t="s">
        <v>126</v>
      </c>
      <c r="DH491" t="s">
        <v>159</v>
      </c>
      <c r="DI491" t="s">
        <v>159</v>
      </c>
      <c r="DJ491" t="s">
        <v>129</v>
      </c>
      <c r="DK491">
        <v>160000</v>
      </c>
    </row>
    <row r="492" spans="1:115" x14ac:dyDescent="0.25">
      <c r="A492" t="s">
        <v>2069</v>
      </c>
      <c r="B492" t="s">
        <v>2070</v>
      </c>
      <c r="F492" t="s">
        <v>526</v>
      </c>
      <c r="I492" t="s">
        <v>1099</v>
      </c>
      <c r="N492" t="s">
        <v>2071</v>
      </c>
      <c r="U492" t="s">
        <v>321</v>
      </c>
      <c r="Z492" s="14">
        <v>43538</v>
      </c>
      <c r="AA492" s="14">
        <v>43596</v>
      </c>
      <c r="AD492" s="14">
        <v>45657</v>
      </c>
      <c r="AL492" t="s">
        <v>1127</v>
      </c>
      <c r="AN492">
        <v>1375230000</v>
      </c>
      <c r="AR492">
        <v>1375230000</v>
      </c>
      <c r="AS492">
        <v>0</v>
      </c>
      <c r="AY492" t="s">
        <v>557</v>
      </c>
      <c r="AZ492" t="s">
        <v>880</v>
      </c>
      <c r="BA492" t="s">
        <v>1128</v>
      </c>
      <c r="BB492" t="s">
        <v>1128</v>
      </c>
      <c r="BC492" t="s">
        <v>242</v>
      </c>
      <c r="BK492" t="s">
        <v>860</v>
      </c>
      <c r="BM492" t="s">
        <v>560</v>
      </c>
      <c r="BN492" t="s">
        <v>561</v>
      </c>
      <c r="BO492" t="s">
        <v>1022</v>
      </c>
      <c r="BP492">
        <v>1.3</v>
      </c>
      <c r="BQ492" t="s">
        <v>902</v>
      </c>
      <c r="DF492" s="15" t="s">
        <v>9324</v>
      </c>
      <c r="DG492" t="s">
        <v>126</v>
      </c>
      <c r="DH492" t="s">
        <v>159</v>
      </c>
      <c r="DI492" t="s">
        <v>159</v>
      </c>
      <c r="DJ492" t="s">
        <v>129</v>
      </c>
      <c r="DK492">
        <v>3000000</v>
      </c>
    </row>
    <row r="493" spans="1:115" x14ac:dyDescent="0.25">
      <c r="A493" t="s">
        <v>2072</v>
      </c>
      <c r="B493" t="s">
        <v>2073</v>
      </c>
      <c r="F493" t="s">
        <v>190</v>
      </c>
      <c r="I493" t="s">
        <v>856</v>
      </c>
      <c r="N493" t="s">
        <v>2074</v>
      </c>
      <c r="U493" t="s">
        <v>176</v>
      </c>
      <c r="Z493" s="14">
        <v>43538</v>
      </c>
      <c r="AA493" s="14">
        <v>43596</v>
      </c>
      <c r="AD493" s="14">
        <v>45657</v>
      </c>
      <c r="AL493" t="s">
        <v>1127</v>
      </c>
      <c r="AN493">
        <v>444657700</v>
      </c>
      <c r="AR493">
        <v>444657700</v>
      </c>
      <c r="AS493">
        <v>0</v>
      </c>
      <c r="AY493" t="s">
        <v>557</v>
      </c>
      <c r="AZ493" t="s">
        <v>880</v>
      </c>
      <c r="BA493" t="s">
        <v>1128</v>
      </c>
      <c r="BB493" t="s">
        <v>1128</v>
      </c>
      <c r="BC493" t="s">
        <v>242</v>
      </c>
      <c r="BK493" t="s">
        <v>860</v>
      </c>
      <c r="BM493" t="s">
        <v>861</v>
      </c>
      <c r="BN493" t="s">
        <v>862</v>
      </c>
      <c r="BO493" t="s">
        <v>863</v>
      </c>
      <c r="BP493">
        <v>2.2999999999999998</v>
      </c>
      <c r="BQ493" t="s">
        <v>864</v>
      </c>
      <c r="DF493" s="15" t="s">
        <v>9308</v>
      </c>
      <c r="DG493" t="s">
        <v>317</v>
      </c>
      <c r="DH493" t="s">
        <v>159</v>
      </c>
      <c r="DI493" t="s">
        <v>159</v>
      </c>
      <c r="DJ493" t="s">
        <v>129</v>
      </c>
      <c r="DK493">
        <v>970000</v>
      </c>
    </row>
    <row r="494" spans="1:115" x14ac:dyDescent="0.25">
      <c r="A494" t="s">
        <v>2075</v>
      </c>
      <c r="B494" t="s">
        <v>2076</v>
      </c>
      <c r="F494" t="s">
        <v>163</v>
      </c>
      <c r="I494" t="s">
        <v>1033</v>
      </c>
      <c r="N494" t="s">
        <v>2077</v>
      </c>
      <c r="U494" t="s">
        <v>165</v>
      </c>
      <c r="V494" t="s">
        <v>166</v>
      </c>
      <c r="Z494" s="14">
        <v>43538</v>
      </c>
      <c r="AA494" s="14">
        <v>43596</v>
      </c>
      <c r="AD494" s="14">
        <v>45657</v>
      </c>
      <c r="AL494" t="s">
        <v>1127</v>
      </c>
      <c r="AN494">
        <v>6637776800</v>
      </c>
      <c r="AR494">
        <v>6637776800</v>
      </c>
      <c r="AS494">
        <v>0</v>
      </c>
      <c r="AY494" t="s">
        <v>557</v>
      </c>
      <c r="AZ494" t="s">
        <v>880</v>
      </c>
      <c r="BA494" t="s">
        <v>1128</v>
      </c>
      <c r="BB494" t="s">
        <v>1128</v>
      </c>
      <c r="BC494" t="s">
        <v>242</v>
      </c>
      <c r="BK494" t="s">
        <v>860</v>
      </c>
      <c r="BM494" t="s">
        <v>964</v>
      </c>
      <c r="BN494" t="s">
        <v>1035</v>
      </c>
      <c r="BO494" t="s">
        <v>1036</v>
      </c>
      <c r="BP494">
        <v>16.600000000000001</v>
      </c>
      <c r="BQ494" t="s">
        <v>902</v>
      </c>
      <c r="DF494" s="15" t="s">
        <v>9307</v>
      </c>
      <c r="DG494" t="s">
        <v>126</v>
      </c>
      <c r="DH494" t="s">
        <v>159</v>
      </c>
      <c r="DI494" t="s">
        <v>159</v>
      </c>
      <c r="DJ494" t="s">
        <v>129</v>
      </c>
      <c r="DK494">
        <v>14480000</v>
      </c>
    </row>
    <row r="495" spans="1:115" x14ac:dyDescent="0.25">
      <c r="A495" t="s">
        <v>2078</v>
      </c>
      <c r="B495" t="s">
        <v>1409</v>
      </c>
      <c r="F495" t="s">
        <v>245</v>
      </c>
      <c r="I495" t="s">
        <v>1410</v>
      </c>
      <c r="N495" t="s">
        <v>2079</v>
      </c>
      <c r="U495" t="s">
        <v>176</v>
      </c>
      <c r="Z495" s="14">
        <v>43538</v>
      </c>
      <c r="AA495" s="14">
        <v>43596</v>
      </c>
      <c r="AD495" s="14">
        <v>45657</v>
      </c>
      <c r="AL495" t="s">
        <v>1127</v>
      </c>
      <c r="AN495">
        <v>8228459500</v>
      </c>
      <c r="AR495">
        <v>8228459500</v>
      </c>
      <c r="AS495">
        <v>0</v>
      </c>
      <c r="AY495" t="s">
        <v>557</v>
      </c>
      <c r="AZ495" t="s">
        <v>880</v>
      </c>
      <c r="BA495" t="s">
        <v>1128</v>
      </c>
      <c r="BB495" t="s">
        <v>1128</v>
      </c>
      <c r="BC495" t="s">
        <v>242</v>
      </c>
      <c r="BK495" t="s">
        <v>860</v>
      </c>
      <c r="BM495" t="s">
        <v>861</v>
      </c>
      <c r="BN495" t="s">
        <v>862</v>
      </c>
      <c r="BO495" t="s">
        <v>971</v>
      </c>
      <c r="BP495">
        <v>9.1</v>
      </c>
      <c r="BQ495" t="s">
        <v>864</v>
      </c>
      <c r="DF495" s="15" t="s">
        <v>9308</v>
      </c>
      <c r="DG495" t="s">
        <v>126</v>
      </c>
      <c r="DH495" t="s">
        <v>159</v>
      </c>
      <c r="DI495" t="s">
        <v>159</v>
      </c>
      <c r="DJ495" t="s">
        <v>129</v>
      </c>
      <c r="DK495">
        <v>17950000</v>
      </c>
    </row>
    <row r="496" spans="1:115" x14ac:dyDescent="0.25">
      <c r="A496" t="s">
        <v>2080</v>
      </c>
      <c r="B496" t="s">
        <v>1740</v>
      </c>
      <c r="F496" t="s">
        <v>216</v>
      </c>
      <c r="I496" t="s">
        <v>1091</v>
      </c>
      <c r="N496" t="s">
        <v>2081</v>
      </c>
      <c r="U496" t="s">
        <v>1742</v>
      </c>
      <c r="Z496" s="14">
        <v>43538</v>
      </c>
      <c r="AA496" s="14">
        <v>43553</v>
      </c>
      <c r="AD496" s="14">
        <v>45291</v>
      </c>
      <c r="AL496" t="s">
        <v>1127</v>
      </c>
      <c r="AN496">
        <v>4125690000</v>
      </c>
      <c r="AR496">
        <v>4125690000</v>
      </c>
      <c r="AS496">
        <v>0</v>
      </c>
      <c r="AY496" t="s">
        <v>557</v>
      </c>
      <c r="AZ496" t="s">
        <v>880</v>
      </c>
      <c r="BA496" t="s">
        <v>1128</v>
      </c>
      <c r="BB496" t="s">
        <v>1128</v>
      </c>
      <c r="BC496" t="s">
        <v>242</v>
      </c>
      <c r="BK496" t="s">
        <v>860</v>
      </c>
      <c r="BM496" t="s">
        <v>560</v>
      </c>
      <c r="BN496" t="s">
        <v>561</v>
      </c>
      <c r="BO496" t="s">
        <v>989</v>
      </c>
      <c r="BP496">
        <v>3.8</v>
      </c>
      <c r="BQ496" t="s">
        <v>902</v>
      </c>
      <c r="DF496" s="15" t="s">
        <v>9438</v>
      </c>
      <c r="DG496" t="s">
        <v>126</v>
      </c>
      <c r="DH496" t="s">
        <v>159</v>
      </c>
      <c r="DI496" t="s">
        <v>159</v>
      </c>
      <c r="DJ496" t="s">
        <v>129</v>
      </c>
      <c r="DK496">
        <v>9000000</v>
      </c>
    </row>
    <row r="497" spans="1:115" x14ac:dyDescent="0.25">
      <c r="A497" t="s">
        <v>2082</v>
      </c>
      <c r="B497" t="s">
        <v>2083</v>
      </c>
      <c r="F497" t="s">
        <v>190</v>
      </c>
      <c r="I497" t="s">
        <v>856</v>
      </c>
      <c r="N497" t="s">
        <v>2084</v>
      </c>
      <c r="U497" t="s">
        <v>233</v>
      </c>
      <c r="Z497" s="14">
        <v>43538</v>
      </c>
      <c r="AA497" s="14">
        <v>43636</v>
      </c>
      <c r="AD497" s="14">
        <v>44926</v>
      </c>
      <c r="AL497" t="s">
        <v>1110</v>
      </c>
      <c r="AN497">
        <v>5542150000</v>
      </c>
      <c r="AR497">
        <v>5542150000</v>
      </c>
      <c r="AS497">
        <v>0</v>
      </c>
      <c r="AY497" t="s">
        <v>557</v>
      </c>
      <c r="AZ497" t="s">
        <v>880</v>
      </c>
      <c r="BA497" t="s">
        <v>822</v>
      </c>
      <c r="BB497" t="s">
        <v>823</v>
      </c>
      <c r="BC497" t="s">
        <v>242</v>
      </c>
      <c r="BK497" t="s">
        <v>860</v>
      </c>
      <c r="BM497" t="s">
        <v>861</v>
      </c>
      <c r="BN497" t="s">
        <v>862</v>
      </c>
      <c r="BO497" t="s">
        <v>863</v>
      </c>
      <c r="BP497">
        <v>2.2999999999999998</v>
      </c>
      <c r="BQ497" t="s">
        <v>864</v>
      </c>
      <c r="DF497" s="15" t="s">
        <v>9396</v>
      </c>
      <c r="DG497" t="s">
        <v>317</v>
      </c>
      <c r="DH497" t="s">
        <v>159</v>
      </c>
      <c r="DI497" t="s">
        <v>159</v>
      </c>
      <c r="DJ497" t="s">
        <v>129</v>
      </c>
      <c r="DK497">
        <v>9950000</v>
      </c>
    </row>
    <row r="498" spans="1:115" x14ac:dyDescent="0.25">
      <c r="A498" t="s">
        <v>2085</v>
      </c>
      <c r="B498" t="s">
        <v>2086</v>
      </c>
      <c r="F498" t="s">
        <v>282</v>
      </c>
      <c r="I498" t="s">
        <v>1142</v>
      </c>
      <c r="N498" t="s">
        <v>2087</v>
      </c>
      <c r="U498" t="s">
        <v>176</v>
      </c>
      <c r="Z498" s="14">
        <v>43538</v>
      </c>
      <c r="AA498" s="14">
        <v>43636</v>
      </c>
      <c r="AD498" s="14">
        <v>44926</v>
      </c>
      <c r="AL498" t="s">
        <v>1110</v>
      </c>
      <c r="AN498">
        <v>845597400</v>
      </c>
      <c r="AR498">
        <v>845597400</v>
      </c>
      <c r="AS498">
        <v>0</v>
      </c>
      <c r="AY498" t="s">
        <v>557</v>
      </c>
      <c r="AZ498" t="s">
        <v>880</v>
      </c>
      <c r="BA498" t="s">
        <v>822</v>
      </c>
      <c r="BB498" t="s">
        <v>823</v>
      </c>
      <c r="BC498" t="s">
        <v>242</v>
      </c>
      <c r="BK498" t="s">
        <v>860</v>
      </c>
      <c r="BM498" t="s">
        <v>964</v>
      </c>
      <c r="BN498" t="s">
        <v>965</v>
      </c>
      <c r="BO498" t="s">
        <v>939</v>
      </c>
      <c r="BP498">
        <v>11.3</v>
      </c>
      <c r="BQ498" t="s">
        <v>902</v>
      </c>
      <c r="DF498" s="15" t="s">
        <v>9308</v>
      </c>
      <c r="DG498" t="s">
        <v>284</v>
      </c>
      <c r="DH498" t="s">
        <v>159</v>
      </c>
      <c r="DI498" t="s">
        <v>159</v>
      </c>
      <c r="DJ498" t="s">
        <v>129</v>
      </c>
      <c r="DK498">
        <v>1409329</v>
      </c>
    </row>
    <row r="499" spans="1:115" x14ac:dyDescent="0.25">
      <c r="A499" t="s">
        <v>2088</v>
      </c>
      <c r="B499" t="s">
        <v>2089</v>
      </c>
      <c r="F499" t="s">
        <v>190</v>
      </c>
      <c r="I499" t="s">
        <v>856</v>
      </c>
      <c r="N499" t="s">
        <v>2090</v>
      </c>
      <c r="U499" t="s">
        <v>233</v>
      </c>
      <c r="Z499" s="14">
        <v>43538</v>
      </c>
      <c r="AA499" s="14">
        <v>43560</v>
      </c>
      <c r="AD499" s="14">
        <v>44926</v>
      </c>
      <c r="AL499" t="s">
        <v>1110</v>
      </c>
      <c r="AN499">
        <v>899295600</v>
      </c>
      <c r="AR499">
        <v>899295600</v>
      </c>
      <c r="AS499">
        <v>0</v>
      </c>
      <c r="AY499" t="s">
        <v>557</v>
      </c>
      <c r="AZ499" t="s">
        <v>880</v>
      </c>
      <c r="BA499" t="s">
        <v>822</v>
      </c>
      <c r="BB499" t="s">
        <v>823</v>
      </c>
      <c r="BC499" t="s">
        <v>242</v>
      </c>
      <c r="BK499" t="s">
        <v>860</v>
      </c>
      <c r="BM499" t="s">
        <v>861</v>
      </c>
      <c r="BN499" t="s">
        <v>862</v>
      </c>
      <c r="BO499" t="s">
        <v>863</v>
      </c>
      <c r="BP499">
        <v>2.2999999999999998</v>
      </c>
      <c r="BQ499" t="s">
        <v>864</v>
      </c>
      <c r="DF499" s="15" t="s">
        <v>9396</v>
      </c>
      <c r="DG499" t="s">
        <v>317</v>
      </c>
      <c r="DH499" t="s">
        <v>159</v>
      </c>
      <c r="DI499" t="s">
        <v>159</v>
      </c>
      <c r="DJ499" t="s">
        <v>129</v>
      </c>
      <c r="DK499">
        <v>1498826</v>
      </c>
    </row>
    <row r="500" spans="1:115" x14ac:dyDescent="0.25">
      <c r="A500" t="s">
        <v>2091</v>
      </c>
      <c r="B500" t="s">
        <v>1744</v>
      </c>
      <c r="F500" t="s">
        <v>526</v>
      </c>
      <c r="I500" t="s">
        <v>1131</v>
      </c>
      <c r="N500" t="s">
        <v>2092</v>
      </c>
      <c r="U500" t="s">
        <v>233</v>
      </c>
      <c r="Z500" s="14">
        <v>43504</v>
      </c>
      <c r="AA500" s="14">
        <v>43538</v>
      </c>
      <c r="AD500" s="14">
        <v>44926</v>
      </c>
      <c r="AL500" t="s">
        <v>1110</v>
      </c>
      <c r="AN500">
        <v>500152800</v>
      </c>
      <c r="AR500">
        <v>500152800</v>
      </c>
      <c r="AS500">
        <v>0</v>
      </c>
      <c r="AY500" t="s">
        <v>557</v>
      </c>
      <c r="AZ500" t="s">
        <v>880</v>
      </c>
      <c r="BA500" t="s">
        <v>822</v>
      </c>
      <c r="BB500" t="s">
        <v>823</v>
      </c>
      <c r="BC500" t="s">
        <v>242</v>
      </c>
      <c r="BK500" t="s">
        <v>860</v>
      </c>
      <c r="BM500" t="s">
        <v>560</v>
      </c>
      <c r="BN500" t="s">
        <v>561</v>
      </c>
      <c r="BO500" t="s">
        <v>1022</v>
      </c>
      <c r="BP500">
        <v>1.3</v>
      </c>
      <c r="BQ500" t="s">
        <v>902</v>
      </c>
      <c r="DF500" s="15" t="s">
        <v>9396</v>
      </c>
      <c r="DG500" t="s">
        <v>170</v>
      </c>
      <c r="DH500" t="s">
        <v>159</v>
      </c>
      <c r="DI500" t="s">
        <v>159</v>
      </c>
      <c r="DJ500" t="s">
        <v>129</v>
      </c>
      <c r="DK500">
        <v>833588</v>
      </c>
    </row>
    <row r="501" spans="1:115" x14ac:dyDescent="0.25">
      <c r="A501" t="s">
        <v>2093</v>
      </c>
      <c r="B501" t="s">
        <v>2094</v>
      </c>
      <c r="F501" t="s">
        <v>163</v>
      </c>
      <c r="I501" t="s">
        <v>1033</v>
      </c>
      <c r="N501" t="s">
        <v>2095</v>
      </c>
      <c r="U501" t="s">
        <v>176</v>
      </c>
      <c r="Z501" s="14">
        <v>43538</v>
      </c>
      <c r="AA501" s="14">
        <v>43549</v>
      </c>
      <c r="AD501" s="14">
        <v>44196</v>
      </c>
      <c r="AL501" t="s">
        <v>624</v>
      </c>
      <c r="AN501">
        <v>12375000000</v>
      </c>
      <c r="AR501">
        <v>12375000000</v>
      </c>
      <c r="AS501">
        <v>0</v>
      </c>
      <c r="AY501" t="s">
        <v>557</v>
      </c>
      <c r="AZ501" t="s">
        <v>880</v>
      </c>
      <c r="BA501" t="s">
        <v>2096</v>
      </c>
      <c r="BB501" t="s">
        <v>2097</v>
      </c>
      <c r="BC501" t="s">
        <v>125</v>
      </c>
      <c r="BK501" t="s">
        <v>860</v>
      </c>
      <c r="BM501" t="s">
        <v>861</v>
      </c>
      <c r="BN501" t="s">
        <v>1046</v>
      </c>
      <c r="BO501" t="s">
        <v>1036</v>
      </c>
      <c r="BP501">
        <v>16.600000000000001</v>
      </c>
      <c r="BQ501" t="s">
        <v>902</v>
      </c>
      <c r="DF501" s="15" t="s">
        <v>9308</v>
      </c>
      <c r="DG501" t="s">
        <v>1335</v>
      </c>
      <c r="DH501" t="s">
        <v>159</v>
      </c>
      <c r="DI501" t="s">
        <v>1252</v>
      </c>
      <c r="DJ501" t="s">
        <v>172</v>
      </c>
      <c r="DK501">
        <v>22500000</v>
      </c>
    </row>
    <row r="502" spans="1:115" x14ac:dyDescent="0.25">
      <c r="A502" t="s">
        <v>2098</v>
      </c>
      <c r="B502" t="s">
        <v>2099</v>
      </c>
      <c r="F502" t="s">
        <v>315</v>
      </c>
      <c r="I502" t="s">
        <v>1146</v>
      </c>
      <c r="N502" t="s">
        <v>2100</v>
      </c>
      <c r="U502" t="s">
        <v>1360</v>
      </c>
      <c r="V502" t="s">
        <v>1361</v>
      </c>
      <c r="Z502" s="14">
        <v>43538</v>
      </c>
      <c r="AA502" s="14">
        <v>43552</v>
      </c>
      <c r="AD502" s="14">
        <v>44561</v>
      </c>
      <c r="AL502" t="s">
        <v>136</v>
      </c>
      <c r="AN502">
        <v>95936614</v>
      </c>
      <c r="AR502">
        <v>95936614</v>
      </c>
      <c r="AS502">
        <v>0</v>
      </c>
      <c r="AY502" t="s">
        <v>557</v>
      </c>
      <c r="AZ502" t="s">
        <v>880</v>
      </c>
      <c r="BA502" t="s">
        <v>1148</v>
      </c>
      <c r="BB502" t="s">
        <v>1148</v>
      </c>
      <c r="BC502" t="s">
        <v>242</v>
      </c>
      <c r="BK502" t="s">
        <v>860</v>
      </c>
      <c r="BM502" t="s">
        <v>861</v>
      </c>
      <c r="BN502" t="s">
        <v>900</v>
      </c>
      <c r="BO502" t="s">
        <v>901</v>
      </c>
      <c r="BP502">
        <v>4.0999999999999996</v>
      </c>
      <c r="BQ502" t="s">
        <v>902</v>
      </c>
      <c r="DF502" s="15" t="s">
        <v>9417</v>
      </c>
      <c r="DG502" t="s">
        <v>126</v>
      </c>
      <c r="DH502" t="s">
        <v>159</v>
      </c>
      <c r="DI502" t="s">
        <v>159</v>
      </c>
      <c r="DJ502" t="s">
        <v>172</v>
      </c>
      <c r="DK502">
        <v>95936614</v>
      </c>
    </row>
    <row r="503" spans="1:115" x14ac:dyDescent="0.25">
      <c r="A503" t="s">
        <v>2101</v>
      </c>
      <c r="B503" t="s">
        <v>2102</v>
      </c>
      <c r="F503" t="s">
        <v>216</v>
      </c>
      <c r="I503" t="s">
        <v>1025</v>
      </c>
      <c r="N503" t="s">
        <v>2103</v>
      </c>
      <c r="U503" t="s">
        <v>302</v>
      </c>
      <c r="V503" t="s">
        <v>2104</v>
      </c>
      <c r="W503" t="s">
        <v>2105</v>
      </c>
      <c r="Z503" s="14">
        <v>43538</v>
      </c>
      <c r="AA503" s="14">
        <v>43552</v>
      </c>
      <c r="AD503" s="14">
        <v>44561</v>
      </c>
      <c r="AL503" t="s">
        <v>136</v>
      </c>
      <c r="AN503">
        <v>57026933</v>
      </c>
      <c r="AR503">
        <v>57026933</v>
      </c>
      <c r="AS503">
        <v>0</v>
      </c>
      <c r="AY503" t="s">
        <v>557</v>
      </c>
      <c r="AZ503" t="s">
        <v>880</v>
      </c>
      <c r="BA503" t="s">
        <v>1148</v>
      </c>
      <c r="BB503" t="s">
        <v>1148</v>
      </c>
      <c r="BC503" t="s">
        <v>242</v>
      </c>
      <c r="BK503" t="s">
        <v>860</v>
      </c>
      <c r="BM503" t="s">
        <v>560</v>
      </c>
      <c r="BN503" t="s">
        <v>561</v>
      </c>
      <c r="BO503" t="s">
        <v>989</v>
      </c>
      <c r="BP503">
        <v>3.8</v>
      </c>
      <c r="BQ503" t="s">
        <v>902</v>
      </c>
      <c r="DF503" s="15" t="s">
        <v>9452</v>
      </c>
      <c r="DG503" t="s">
        <v>126</v>
      </c>
      <c r="DH503" t="s">
        <v>159</v>
      </c>
      <c r="DI503" t="s">
        <v>159</v>
      </c>
      <c r="DJ503" t="s">
        <v>172</v>
      </c>
      <c r="DK503">
        <v>57026933</v>
      </c>
    </row>
    <row r="504" spans="1:115" x14ac:dyDescent="0.25">
      <c r="A504" t="s">
        <v>2106</v>
      </c>
      <c r="B504" t="s">
        <v>2107</v>
      </c>
      <c r="F504" t="s">
        <v>118</v>
      </c>
      <c r="I504" t="s">
        <v>1171</v>
      </c>
      <c r="N504" t="s">
        <v>2108</v>
      </c>
      <c r="U504" t="s">
        <v>1240</v>
      </c>
      <c r="V504" t="s">
        <v>1241</v>
      </c>
      <c r="W504" t="s">
        <v>1242</v>
      </c>
      <c r="Z504" s="14">
        <v>43538</v>
      </c>
      <c r="AA504" s="14">
        <v>43753</v>
      </c>
      <c r="AD504" s="14">
        <v>45657</v>
      </c>
      <c r="AL504" t="s">
        <v>624</v>
      </c>
      <c r="AN504">
        <v>19678799998</v>
      </c>
      <c r="AR504">
        <v>0</v>
      </c>
      <c r="AS504">
        <v>19678799998</v>
      </c>
      <c r="AY504" t="s">
        <v>557</v>
      </c>
      <c r="AZ504" t="s">
        <v>558</v>
      </c>
      <c r="BA504" t="s">
        <v>1148</v>
      </c>
      <c r="BB504" t="s">
        <v>1148</v>
      </c>
      <c r="BC504" t="s">
        <v>242</v>
      </c>
      <c r="BK504" t="s">
        <v>860</v>
      </c>
      <c r="BM504" t="s">
        <v>861</v>
      </c>
      <c r="BN504" t="s">
        <v>862</v>
      </c>
      <c r="BO504" t="s">
        <v>1173</v>
      </c>
      <c r="BP504">
        <v>7.1</v>
      </c>
      <c r="BQ504" t="s">
        <v>864</v>
      </c>
      <c r="DF504" s="15" t="s">
        <v>9405</v>
      </c>
      <c r="DG504" t="s">
        <v>126</v>
      </c>
      <c r="DH504" t="s">
        <v>127</v>
      </c>
      <c r="DI504" t="s">
        <v>150</v>
      </c>
      <c r="DJ504" t="s">
        <v>172</v>
      </c>
      <c r="DK504">
        <v>35779636.359999999</v>
      </c>
    </row>
    <row r="505" spans="1:115" x14ac:dyDescent="0.25">
      <c r="A505" t="s">
        <v>2109</v>
      </c>
      <c r="B505" t="s">
        <v>2110</v>
      </c>
      <c r="F505" t="s">
        <v>190</v>
      </c>
      <c r="I505" t="s">
        <v>1453</v>
      </c>
      <c r="N505" t="s">
        <v>2111</v>
      </c>
      <c r="U505" t="s">
        <v>176</v>
      </c>
      <c r="Z505" s="14">
        <v>43511</v>
      </c>
      <c r="AA505" s="14">
        <v>43596</v>
      </c>
      <c r="AD505" s="14">
        <v>45291</v>
      </c>
      <c r="AL505" t="s">
        <v>624</v>
      </c>
      <c r="AN505">
        <v>6690671400</v>
      </c>
      <c r="AR505">
        <v>0</v>
      </c>
      <c r="AS505">
        <v>6690671400</v>
      </c>
      <c r="AY505" t="s">
        <v>557</v>
      </c>
      <c r="AZ505" t="s">
        <v>558</v>
      </c>
      <c r="BA505" t="s">
        <v>1515</v>
      </c>
      <c r="BB505" t="s">
        <v>1516</v>
      </c>
      <c r="BC505" t="s">
        <v>242</v>
      </c>
      <c r="BK505" t="s">
        <v>860</v>
      </c>
      <c r="BM505" t="s">
        <v>861</v>
      </c>
      <c r="BN505" t="s">
        <v>862</v>
      </c>
      <c r="BO505" t="s">
        <v>863</v>
      </c>
      <c r="BP505">
        <v>2.2999999999999998</v>
      </c>
      <c r="BQ505" t="s">
        <v>864</v>
      </c>
      <c r="DF505" s="15" t="s">
        <v>9308</v>
      </c>
      <c r="DG505" t="s">
        <v>126</v>
      </c>
      <c r="DH505" t="s">
        <v>127</v>
      </c>
      <c r="DI505" t="s">
        <v>150</v>
      </c>
      <c r="DJ505" t="s">
        <v>129</v>
      </c>
      <c r="DK505">
        <v>12164857.09</v>
      </c>
    </row>
    <row r="506" spans="1:115" x14ac:dyDescent="0.25">
      <c r="A506" t="s">
        <v>2112</v>
      </c>
      <c r="B506" t="s">
        <v>2113</v>
      </c>
      <c r="F506" t="s">
        <v>216</v>
      </c>
      <c r="I506" t="s">
        <v>1064</v>
      </c>
      <c r="N506" t="s">
        <v>2114</v>
      </c>
      <c r="U506" t="s">
        <v>165</v>
      </c>
      <c r="V506" t="s">
        <v>166</v>
      </c>
      <c r="Z506" s="14">
        <v>43538</v>
      </c>
      <c r="AA506" s="14">
        <v>43466</v>
      </c>
      <c r="AD506" s="14">
        <v>44926</v>
      </c>
      <c r="AL506" t="s">
        <v>624</v>
      </c>
      <c r="AN506">
        <v>106596820</v>
      </c>
      <c r="AR506">
        <v>106596820</v>
      </c>
      <c r="AS506">
        <v>0</v>
      </c>
      <c r="AY506" t="s">
        <v>557</v>
      </c>
      <c r="AZ506" t="s">
        <v>880</v>
      </c>
      <c r="BA506" t="s">
        <v>1010</v>
      </c>
      <c r="BB506" t="s">
        <v>1011</v>
      </c>
      <c r="BC506" t="s">
        <v>125</v>
      </c>
      <c r="BK506" t="s">
        <v>860</v>
      </c>
      <c r="BM506" t="s">
        <v>560</v>
      </c>
      <c r="BN506" t="s">
        <v>561</v>
      </c>
      <c r="BO506" t="s">
        <v>989</v>
      </c>
      <c r="BP506">
        <v>3.8</v>
      </c>
      <c r="BQ506" t="s">
        <v>902</v>
      </c>
      <c r="DF506" s="15" t="s">
        <v>9307</v>
      </c>
      <c r="DG506" t="s">
        <v>170</v>
      </c>
      <c r="DH506" t="s">
        <v>159</v>
      </c>
      <c r="DI506" t="s">
        <v>159</v>
      </c>
      <c r="DJ506" t="s">
        <v>172</v>
      </c>
      <c r="DK506">
        <v>193812.4</v>
      </c>
    </row>
    <row r="507" spans="1:115" x14ac:dyDescent="0.25">
      <c r="A507" t="s">
        <v>2115</v>
      </c>
      <c r="B507" t="s">
        <v>1083</v>
      </c>
      <c r="F507" t="s">
        <v>216</v>
      </c>
      <c r="I507" t="s">
        <v>1025</v>
      </c>
      <c r="N507" t="s">
        <v>2116</v>
      </c>
      <c r="U507" t="s">
        <v>176</v>
      </c>
      <c r="Z507" s="14">
        <v>43504</v>
      </c>
      <c r="AA507" s="14">
        <v>43538</v>
      </c>
      <c r="AD507" s="14">
        <v>44926</v>
      </c>
      <c r="AL507" t="s">
        <v>624</v>
      </c>
      <c r="AN507">
        <v>32200262</v>
      </c>
      <c r="AR507">
        <v>32200262</v>
      </c>
      <c r="AS507">
        <v>0</v>
      </c>
      <c r="AY507" t="s">
        <v>557</v>
      </c>
      <c r="AZ507" t="s">
        <v>880</v>
      </c>
      <c r="BA507" t="s">
        <v>1010</v>
      </c>
      <c r="BB507" t="s">
        <v>1011</v>
      </c>
      <c r="BC507" t="s">
        <v>125</v>
      </c>
      <c r="BK507" t="s">
        <v>860</v>
      </c>
      <c r="BM507" t="s">
        <v>560</v>
      </c>
      <c r="BN507" t="s">
        <v>561</v>
      </c>
      <c r="BO507" t="s">
        <v>989</v>
      </c>
      <c r="BP507">
        <v>3.8</v>
      </c>
      <c r="BQ507" t="s">
        <v>902</v>
      </c>
      <c r="DF507" s="15" t="s">
        <v>9308</v>
      </c>
      <c r="DG507" t="s">
        <v>126</v>
      </c>
      <c r="DH507" t="s">
        <v>159</v>
      </c>
      <c r="DI507" t="s">
        <v>159</v>
      </c>
      <c r="DJ507" t="s">
        <v>172</v>
      </c>
      <c r="DK507">
        <v>58545.93</v>
      </c>
    </row>
    <row r="508" spans="1:115" x14ac:dyDescent="0.25">
      <c r="A508" t="s">
        <v>2117</v>
      </c>
      <c r="B508" t="s">
        <v>2118</v>
      </c>
      <c r="F508" t="s">
        <v>216</v>
      </c>
      <c r="I508" t="s">
        <v>1103</v>
      </c>
      <c r="N508" t="s">
        <v>2119</v>
      </c>
      <c r="U508" t="s">
        <v>176</v>
      </c>
      <c r="Z508" s="14">
        <v>43504</v>
      </c>
      <c r="AA508" s="14">
        <v>43538</v>
      </c>
      <c r="AD508" s="14">
        <v>44196</v>
      </c>
      <c r="AL508" t="s">
        <v>624</v>
      </c>
      <c r="AN508">
        <v>1679437100</v>
      </c>
      <c r="AR508">
        <v>1679437100</v>
      </c>
      <c r="AS508">
        <v>0</v>
      </c>
      <c r="AY508" t="s">
        <v>557</v>
      </c>
      <c r="AZ508" t="s">
        <v>880</v>
      </c>
      <c r="BA508" t="s">
        <v>1010</v>
      </c>
      <c r="BB508" t="s">
        <v>1011</v>
      </c>
      <c r="BC508" t="s">
        <v>125</v>
      </c>
      <c r="BK508" t="s">
        <v>860</v>
      </c>
      <c r="BM508" t="s">
        <v>560</v>
      </c>
      <c r="BN508" t="s">
        <v>561</v>
      </c>
      <c r="BO508" t="s">
        <v>989</v>
      </c>
      <c r="BP508">
        <v>3.8</v>
      </c>
      <c r="BQ508" t="s">
        <v>902</v>
      </c>
      <c r="DF508" s="15" t="s">
        <v>9308</v>
      </c>
      <c r="DG508" t="s">
        <v>317</v>
      </c>
      <c r="DH508" t="s">
        <v>159</v>
      </c>
      <c r="DI508" t="s">
        <v>159</v>
      </c>
      <c r="DJ508" t="s">
        <v>172</v>
      </c>
      <c r="DK508">
        <v>3053522</v>
      </c>
    </row>
    <row r="509" spans="1:115" x14ac:dyDescent="0.25">
      <c r="A509" t="s">
        <v>2120</v>
      </c>
      <c r="B509" t="s">
        <v>2121</v>
      </c>
      <c r="F509" t="s">
        <v>190</v>
      </c>
      <c r="I509" t="s">
        <v>974</v>
      </c>
      <c r="N509" t="s">
        <v>2122</v>
      </c>
      <c r="U509" t="s">
        <v>176</v>
      </c>
      <c r="Z509" s="14">
        <v>43504</v>
      </c>
      <c r="AA509" s="14">
        <v>43538</v>
      </c>
      <c r="AD509" s="14">
        <v>44926</v>
      </c>
      <c r="AL509" t="s">
        <v>624</v>
      </c>
      <c r="AN509">
        <v>14300000000</v>
      </c>
      <c r="AR509">
        <v>14300000000</v>
      </c>
      <c r="AS509">
        <v>0</v>
      </c>
      <c r="AY509" t="s">
        <v>557</v>
      </c>
      <c r="AZ509" t="s">
        <v>880</v>
      </c>
      <c r="BA509" t="s">
        <v>1010</v>
      </c>
      <c r="BB509" t="s">
        <v>1011</v>
      </c>
      <c r="BC509" t="s">
        <v>125</v>
      </c>
      <c r="BK509" t="s">
        <v>860</v>
      </c>
      <c r="BM509" t="s">
        <v>861</v>
      </c>
      <c r="BN509" t="s">
        <v>862</v>
      </c>
      <c r="BO509" t="s">
        <v>863</v>
      </c>
      <c r="BP509">
        <v>2.2999999999999998</v>
      </c>
      <c r="BQ509" t="s">
        <v>864</v>
      </c>
      <c r="DF509" s="15" t="s">
        <v>9308</v>
      </c>
      <c r="DG509" t="s">
        <v>317</v>
      </c>
      <c r="DH509" t="s">
        <v>159</v>
      </c>
      <c r="DI509" t="s">
        <v>159</v>
      </c>
      <c r="DJ509" t="s">
        <v>172</v>
      </c>
      <c r="DK509">
        <v>26000000</v>
      </c>
    </row>
    <row r="510" spans="1:115" x14ac:dyDescent="0.25">
      <c r="A510" t="s">
        <v>2123</v>
      </c>
      <c r="B510" t="s">
        <v>2124</v>
      </c>
      <c r="F510" t="s">
        <v>216</v>
      </c>
      <c r="I510" t="s">
        <v>1091</v>
      </c>
      <c r="N510" t="s">
        <v>2125</v>
      </c>
      <c r="U510" t="s">
        <v>176</v>
      </c>
      <c r="Z510" s="14">
        <v>43504</v>
      </c>
      <c r="AA510" s="14">
        <v>43538</v>
      </c>
      <c r="AD510" s="14">
        <v>44926</v>
      </c>
      <c r="AL510" t="s">
        <v>624</v>
      </c>
      <c r="AN510">
        <v>31885150</v>
      </c>
      <c r="AR510">
        <v>31885150</v>
      </c>
      <c r="AS510">
        <v>0</v>
      </c>
      <c r="AY510" t="s">
        <v>557</v>
      </c>
      <c r="AZ510" t="s">
        <v>880</v>
      </c>
      <c r="BA510" t="s">
        <v>1010</v>
      </c>
      <c r="BB510" t="s">
        <v>1011</v>
      </c>
      <c r="BC510" t="s">
        <v>125</v>
      </c>
      <c r="BK510" t="s">
        <v>860</v>
      </c>
      <c r="BM510" t="s">
        <v>560</v>
      </c>
      <c r="BN510" t="s">
        <v>561</v>
      </c>
      <c r="BO510" t="s">
        <v>989</v>
      </c>
      <c r="BP510">
        <v>3.8</v>
      </c>
      <c r="BQ510" t="s">
        <v>902</v>
      </c>
      <c r="DF510" s="15" t="s">
        <v>9308</v>
      </c>
      <c r="DG510" t="s">
        <v>126</v>
      </c>
      <c r="DH510" t="s">
        <v>159</v>
      </c>
      <c r="DI510" t="s">
        <v>159</v>
      </c>
      <c r="DJ510" t="s">
        <v>172</v>
      </c>
      <c r="DK510">
        <v>57973</v>
      </c>
    </row>
    <row r="511" spans="1:115" x14ac:dyDescent="0.25">
      <c r="A511" t="s">
        <v>2126</v>
      </c>
      <c r="B511" t="s">
        <v>1413</v>
      </c>
      <c r="F511" t="s">
        <v>216</v>
      </c>
      <c r="I511" t="s">
        <v>1414</v>
      </c>
      <c r="N511" t="s">
        <v>2127</v>
      </c>
      <c r="U511" t="s">
        <v>165</v>
      </c>
      <c r="V511" t="s">
        <v>166</v>
      </c>
      <c r="Z511" s="14">
        <v>43538</v>
      </c>
      <c r="AA511" s="14">
        <v>43570</v>
      </c>
      <c r="AD511" s="14">
        <v>44926</v>
      </c>
      <c r="AL511" t="s">
        <v>624</v>
      </c>
      <c r="AN511">
        <v>84604850</v>
      </c>
      <c r="AR511">
        <v>84604850</v>
      </c>
      <c r="AS511">
        <v>0</v>
      </c>
      <c r="AY511" t="s">
        <v>557</v>
      </c>
      <c r="AZ511" t="s">
        <v>880</v>
      </c>
      <c r="BA511" t="s">
        <v>1010</v>
      </c>
      <c r="BB511" t="s">
        <v>1011</v>
      </c>
      <c r="BC511" t="s">
        <v>125</v>
      </c>
      <c r="BK511" t="s">
        <v>860</v>
      </c>
      <c r="BM511" t="s">
        <v>560</v>
      </c>
      <c r="BN511" t="s">
        <v>561</v>
      </c>
      <c r="BO511" t="s">
        <v>989</v>
      </c>
      <c r="BP511">
        <v>3.8</v>
      </c>
      <c r="BQ511" t="s">
        <v>902</v>
      </c>
      <c r="DF511" s="15" t="s">
        <v>9307</v>
      </c>
      <c r="DG511" t="s">
        <v>170</v>
      </c>
      <c r="DH511" t="s">
        <v>159</v>
      </c>
      <c r="DI511" t="s">
        <v>159</v>
      </c>
      <c r="DJ511" t="s">
        <v>172</v>
      </c>
      <c r="DK511">
        <v>153827</v>
      </c>
    </row>
    <row r="512" spans="1:115" x14ac:dyDescent="0.25">
      <c r="A512" t="s">
        <v>2128</v>
      </c>
      <c r="B512" t="s">
        <v>1747</v>
      </c>
      <c r="F512" t="s">
        <v>118</v>
      </c>
      <c r="I512" t="s">
        <v>1171</v>
      </c>
      <c r="N512" t="s">
        <v>2129</v>
      </c>
      <c r="U512" t="s">
        <v>155</v>
      </c>
      <c r="V512" t="s">
        <v>1749</v>
      </c>
      <c r="Z512" s="14">
        <v>43538</v>
      </c>
      <c r="AA512" s="14">
        <v>43570</v>
      </c>
      <c r="AD512" s="14">
        <v>44926</v>
      </c>
      <c r="AL512" t="s">
        <v>624</v>
      </c>
      <c r="AN512">
        <v>2404931100</v>
      </c>
      <c r="AR512">
        <v>2404931100</v>
      </c>
      <c r="AS512">
        <v>0</v>
      </c>
      <c r="AY512" t="s">
        <v>557</v>
      </c>
      <c r="AZ512" t="s">
        <v>880</v>
      </c>
      <c r="BA512" t="s">
        <v>1010</v>
      </c>
      <c r="BB512" t="s">
        <v>1011</v>
      </c>
      <c r="BC512" t="s">
        <v>125</v>
      </c>
      <c r="BK512" t="s">
        <v>860</v>
      </c>
      <c r="BM512" t="s">
        <v>861</v>
      </c>
      <c r="BN512" t="s">
        <v>862</v>
      </c>
      <c r="BO512" t="s">
        <v>1173</v>
      </c>
      <c r="BP512">
        <v>7.1</v>
      </c>
      <c r="BQ512" t="s">
        <v>864</v>
      </c>
      <c r="DF512" s="15" t="s">
        <v>9439</v>
      </c>
      <c r="DG512" t="s">
        <v>126</v>
      </c>
      <c r="DH512" t="s">
        <v>159</v>
      </c>
      <c r="DI512" t="s">
        <v>159</v>
      </c>
      <c r="DJ512" t="s">
        <v>172</v>
      </c>
      <c r="DK512">
        <v>4372602</v>
      </c>
    </row>
    <row r="513" spans="1:115" x14ac:dyDescent="0.25">
      <c r="A513" t="s">
        <v>2130</v>
      </c>
      <c r="B513" t="s">
        <v>2131</v>
      </c>
      <c r="F513" t="s">
        <v>245</v>
      </c>
      <c r="I513" t="s">
        <v>2132</v>
      </c>
      <c r="N513" t="s">
        <v>2133</v>
      </c>
      <c r="U513" t="s">
        <v>2134</v>
      </c>
      <c r="V513" t="s">
        <v>2135</v>
      </c>
      <c r="Z513" s="14">
        <v>43538</v>
      </c>
      <c r="AA513" s="14">
        <v>43579</v>
      </c>
      <c r="AD513" s="14">
        <v>44926</v>
      </c>
      <c r="AL513" t="s">
        <v>136</v>
      </c>
      <c r="AN513">
        <v>16605120</v>
      </c>
      <c r="AR513">
        <v>16605120</v>
      </c>
      <c r="AS513">
        <v>0</v>
      </c>
      <c r="AY513" t="s">
        <v>557</v>
      </c>
      <c r="AZ513" t="s">
        <v>880</v>
      </c>
      <c r="BA513" t="s">
        <v>1010</v>
      </c>
      <c r="BB513" t="s">
        <v>1011</v>
      </c>
      <c r="BC513" t="s">
        <v>125</v>
      </c>
      <c r="BK513" t="s">
        <v>860</v>
      </c>
      <c r="BM513" t="s">
        <v>861</v>
      </c>
      <c r="BN513" t="s">
        <v>862</v>
      </c>
      <c r="BO513" t="s">
        <v>971</v>
      </c>
      <c r="BP513">
        <v>9.1</v>
      </c>
      <c r="BQ513" t="s">
        <v>864</v>
      </c>
      <c r="DF513" s="15" t="s">
        <v>9453</v>
      </c>
      <c r="DG513" t="s">
        <v>126</v>
      </c>
      <c r="DH513" t="s">
        <v>159</v>
      </c>
      <c r="DI513" t="s">
        <v>159</v>
      </c>
      <c r="DJ513" t="s">
        <v>129</v>
      </c>
      <c r="DK513">
        <v>16605120</v>
      </c>
    </row>
    <row r="514" spans="1:115" x14ac:dyDescent="0.25">
      <c r="A514" t="s">
        <v>2136</v>
      </c>
      <c r="B514" t="s">
        <v>2137</v>
      </c>
      <c r="F514" t="s">
        <v>205</v>
      </c>
      <c r="I514" t="s">
        <v>1006</v>
      </c>
      <c r="N514" t="s">
        <v>2138</v>
      </c>
      <c r="U514" t="s">
        <v>165</v>
      </c>
      <c r="V514" t="s">
        <v>166</v>
      </c>
      <c r="Z514" s="14">
        <v>43538</v>
      </c>
      <c r="AA514" s="14">
        <v>43570</v>
      </c>
      <c r="AD514" s="14">
        <v>44561</v>
      </c>
      <c r="AL514" t="s">
        <v>136</v>
      </c>
      <c r="AN514">
        <v>61835068</v>
      </c>
      <c r="AR514">
        <v>61835068</v>
      </c>
      <c r="AS514">
        <v>0</v>
      </c>
      <c r="AY514" t="s">
        <v>557</v>
      </c>
      <c r="AZ514" t="s">
        <v>880</v>
      </c>
      <c r="BA514" t="s">
        <v>1010</v>
      </c>
      <c r="BB514" t="s">
        <v>1011</v>
      </c>
      <c r="BC514" t="s">
        <v>125</v>
      </c>
      <c r="BK514" t="s">
        <v>860</v>
      </c>
      <c r="BM514" t="s">
        <v>560</v>
      </c>
      <c r="BN514" t="s">
        <v>1012</v>
      </c>
      <c r="BO514" t="s">
        <v>939</v>
      </c>
      <c r="BP514">
        <v>11.3</v>
      </c>
      <c r="BQ514" t="s">
        <v>563</v>
      </c>
      <c r="DF514" s="15" t="s">
        <v>9307</v>
      </c>
      <c r="DG514" t="s">
        <v>126</v>
      </c>
      <c r="DH514" t="s">
        <v>159</v>
      </c>
      <c r="DI514" t="s">
        <v>159</v>
      </c>
      <c r="DJ514" t="s">
        <v>172</v>
      </c>
      <c r="DK514">
        <v>61835068</v>
      </c>
    </row>
    <row r="515" spans="1:115" x14ac:dyDescent="0.25">
      <c r="A515" t="s">
        <v>2139</v>
      </c>
      <c r="B515" t="s">
        <v>2140</v>
      </c>
      <c r="F515" t="s">
        <v>369</v>
      </c>
      <c r="I515" t="s">
        <v>1838</v>
      </c>
      <c r="N515" t="s">
        <v>2141</v>
      </c>
      <c r="U515" t="s">
        <v>165</v>
      </c>
      <c r="V515" t="s">
        <v>166</v>
      </c>
      <c r="Z515" s="14">
        <v>43538</v>
      </c>
      <c r="AA515" s="14">
        <v>43579</v>
      </c>
      <c r="AD515" s="14">
        <v>44926</v>
      </c>
      <c r="AL515" t="s">
        <v>136</v>
      </c>
      <c r="AN515">
        <v>55660062.859999999</v>
      </c>
      <c r="AR515">
        <v>55660062.859999999</v>
      </c>
      <c r="AS515">
        <v>0</v>
      </c>
      <c r="AY515" t="s">
        <v>557</v>
      </c>
      <c r="AZ515" t="s">
        <v>880</v>
      </c>
      <c r="BA515" t="s">
        <v>1010</v>
      </c>
      <c r="BB515" t="s">
        <v>1011</v>
      </c>
      <c r="BC515" t="s">
        <v>125</v>
      </c>
      <c r="BK515" t="s">
        <v>860</v>
      </c>
      <c r="BM515" t="s">
        <v>861</v>
      </c>
      <c r="BN515" t="s">
        <v>862</v>
      </c>
      <c r="BO515" t="s">
        <v>971</v>
      </c>
      <c r="BP515">
        <v>9.1</v>
      </c>
      <c r="BQ515" t="s">
        <v>864</v>
      </c>
      <c r="DF515" s="15" t="s">
        <v>9307</v>
      </c>
      <c r="DG515" t="s">
        <v>170</v>
      </c>
      <c r="DH515" t="s">
        <v>159</v>
      </c>
      <c r="DI515" t="s">
        <v>171</v>
      </c>
      <c r="DJ515" t="s">
        <v>172</v>
      </c>
      <c r="DK515">
        <v>55660062.859999999</v>
      </c>
    </row>
    <row r="516" spans="1:115" x14ac:dyDescent="0.25">
      <c r="A516" t="s">
        <v>2142</v>
      </c>
      <c r="B516" t="s">
        <v>1086</v>
      </c>
      <c r="F516" t="s">
        <v>163</v>
      </c>
      <c r="I516" t="s">
        <v>1087</v>
      </c>
      <c r="N516" t="s">
        <v>2143</v>
      </c>
      <c r="U516" t="s">
        <v>176</v>
      </c>
      <c r="Z516" s="14">
        <v>43538</v>
      </c>
      <c r="AA516" s="14">
        <v>43570</v>
      </c>
      <c r="AD516" s="14">
        <v>44926</v>
      </c>
      <c r="AL516" t="s">
        <v>624</v>
      </c>
      <c r="AN516">
        <v>164104050</v>
      </c>
      <c r="AR516">
        <v>164104050</v>
      </c>
      <c r="AS516">
        <v>0</v>
      </c>
      <c r="AY516" t="s">
        <v>557</v>
      </c>
      <c r="AZ516" t="s">
        <v>880</v>
      </c>
      <c r="BA516" t="s">
        <v>1010</v>
      </c>
      <c r="BB516" t="s">
        <v>1011</v>
      </c>
      <c r="BC516" t="s">
        <v>125</v>
      </c>
      <c r="BK516" t="s">
        <v>860</v>
      </c>
      <c r="BM516" t="s">
        <v>861</v>
      </c>
      <c r="BN516" t="s">
        <v>1046</v>
      </c>
      <c r="BO516" t="s">
        <v>1036</v>
      </c>
      <c r="BP516">
        <v>16.600000000000001</v>
      </c>
      <c r="BQ516" t="s">
        <v>902</v>
      </c>
      <c r="DF516" s="15" t="s">
        <v>9308</v>
      </c>
      <c r="DG516" t="s">
        <v>170</v>
      </c>
      <c r="DH516" t="s">
        <v>159</v>
      </c>
      <c r="DI516" t="s">
        <v>159</v>
      </c>
      <c r="DJ516" t="s">
        <v>172</v>
      </c>
      <c r="DK516">
        <v>298371</v>
      </c>
    </row>
    <row r="517" spans="1:115" x14ac:dyDescent="0.25">
      <c r="A517" t="s">
        <v>2144</v>
      </c>
      <c r="B517" t="s">
        <v>2145</v>
      </c>
      <c r="F517" t="s">
        <v>163</v>
      </c>
      <c r="I517" t="s">
        <v>2146</v>
      </c>
      <c r="N517" t="s">
        <v>2147</v>
      </c>
      <c r="U517" t="s">
        <v>176</v>
      </c>
      <c r="Z517" s="14">
        <v>43538</v>
      </c>
      <c r="AA517" s="14">
        <v>43575</v>
      </c>
      <c r="AD517" s="14">
        <v>44926</v>
      </c>
      <c r="AL517" t="s">
        <v>624</v>
      </c>
      <c r="AN517">
        <v>1100000000</v>
      </c>
      <c r="AR517">
        <v>1100000000</v>
      </c>
      <c r="AS517">
        <v>0</v>
      </c>
      <c r="AY517" t="s">
        <v>557</v>
      </c>
      <c r="AZ517" t="s">
        <v>880</v>
      </c>
      <c r="BA517" t="s">
        <v>1010</v>
      </c>
      <c r="BB517" t="s">
        <v>1011</v>
      </c>
      <c r="BC517" t="s">
        <v>125</v>
      </c>
      <c r="BK517" t="s">
        <v>860</v>
      </c>
      <c r="BM517" t="s">
        <v>861</v>
      </c>
      <c r="BN517" t="s">
        <v>1046</v>
      </c>
      <c r="BO517" t="s">
        <v>1036</v>
      </c>
      <c r="BP517">
        <v>16.600000000000001</v>
      </c>
      <c r="BQ517" t="s">
        <v>902</v>
      </c>
      <c r="DF517" s="15" t="s">
        <v>9308</v>
      </c>
      <c r="DG517" t="s">
        <v>170</v>
      </c>
      <c r="DH517" t="s">
        <v>159</v>
      </c>
      <c r="DI517" t="s">
        <v>159</v>
      </c>
      <c r="DJ517" t="s">
        <v>172</v>
      </c>
      <c r="DK517">
        <v>2000000</v>
      </c>
    </row>
    <row r="518" spans="1:115" x14ac:dyDescent="0.25">
      <c r="A518" t="s">
        <v>2148</v>
      </c>
      <c r="B518" t="s">
        <v>1419</v>
      </c>
      <c r="F518" t="s">
        <v>216</v>
      </c>
      <c r="I518" t="s">
        <v>1060</v>
      </c>
      <c r="N518" t="s">
        <v>2149</v>
      </c>
      <c r="U518" t="s">
        <v>176</v>
      </c>
      <c r="Z518" s="14">
        <v>43538</v>
      </c>
      <c r="AA518" s="14">
        <v>43466</v>
      </c>
      <c r="AD518" s="14">
        <v>44104</v>
      </c>
      <c r="AL518" t="s">
        <v>624</v>
      </c>
      <c r="AN518">
        <v>7205535150</v>
      </c>
      <c r="AR518">
        <v>7205535150</v>
      </c>
      <c r="AS518">
        <v>0</v>
      </c>
      <c r="AY518" t="s">
        <v>557</v>
      </c>
      <c r="AZ518" t="s">
        <v>880</v>
      </c>
      <c r="BA518" t="s">
        <v>1020</v>
      </c>
      <c r="BB518" t="s">
        <v>1021</v>
      </c>
      <c r="BC518" t="s">
        <v>242</v>
      </c>
      <c r="BK518" t="s">
        <v>860</v>
      </c>
      <c r="BM518" t="s">
        <v>560</v>
      </c>
      <c r="BN518" t="s">
        <v>561</v>
      </c>
      <c r="BO518" t="s">
        <v>989</v>
      </c>
      <c r="BP518">
        <v>3.8</v>
      </c>
      <c r="BQ518" t="s">
        <v>902</v>
      </c>
      <c r="DF518" s="15" t="s">
        <v>9308</v>
      </c>
      <c r="DG518" t="s">
        <v>126</v>
      </c>
      <c r="DH518" t="s">
        <v>159</v>
      </c>
      <c r="DI518" t="s">
        <v>159</v>
      </c>
      <c r="DJ518" t="s">
        <v>172</v>
      </c>
      <c r="DK518">
        <v>13100973</v>
      </c>
    </row>
    <row r="519" spans="1:115" x14ac:dyDescent="0.25">
      <c r="A519" t="s">
        <v>2150</v>
      </c>
      <c r="B519" t="s">
        <v>1090</v>
      </c>
      <c r="F519" t="s">
        <v>216</v>
      </c>
      <c r="I519" t="s">
        <v>1091</v>
      </c>
      <c r="N519" t="s">
        <v>2151</v>
      </c>
      <c r="U519" t="s">
        <v>176</v>
      </c>
      <c r="Z519" s="14">
        <v>43538</v>
      </c>
      <c r="AA519" s="14">
        <v>43596</v>
      </c>
      <c r="AD519" s="14">
        <v>44104</v>
      </c>
      <c r="AL519" t="s">
        <v>624</v>
      </c>
      <c r="AN519">
        <v>445500000</v>
      </c>
      <c r="AR519">
        <v>445500000</v>
      </c>
      <c r="AS519">
        <v>0</v>
      </c>
      <c r="AY519" t="s">
        <v>557</v>
      </c>
      <c r="AZ519" t="s">
        <v>880</v>
      </c>
      <c r="BA519" t="s">
        <v>1020</v>
      </c>
      <c r="BB519" t="s">
        <v>1021</v>
      </c>
      <c r="BC519" t="s">
        <v>242</v>
      </c>
      <c r="BK519" t="s">
        <v>860</v>
      </c>
      <c r="BM519" t="s">
        <v>560</v>
      </c>
      <c r="BN519" t="s">
        <v>561</v>
      </c>
      <c r="BO519" t="s">
        <v>989</v>
      </c>
      <c r="BP519">
        <v>3.8</v>
      </c>
      <c r="BQ519" t="s">
        <v>902</v>
      </c>
      <c r="DF519" s="15" t="s">
        <v>9308</v>
      </c>
      <c r="DG519" t="s">
        <v>126</v>
      </c>
      <c r="DH519" t="s">
        <v>159</v>
      </c>
      <c r="DI519" t="s">
        <v>159</v>
      </c>
      <c r="DJ519" t="s">
        <v>172</v>
      </c>
      <c r="DK519">
        <v>810000</v>
      </c>
    </row>
    <row r="520" spans="1:115" x14ac:dyDescent="0.25">
      <c r="A520" t="s">
        <v>2152</v>
      </c>
      <c r="B520" t="s">
        <v>2153</v>
      </c>
      <c r="F520" t="s">
        <v>216</v>
      </c>
      <c r="I520" t="s">
        <v>992</v>
      </c>
      <c r="N520" t="s">
        <v>2154</v>
      </c>
      <c r="U520" t="s">
        <v>176</v>
      </c>
      <c r="Z520" s="14">
        <v>43538</v>
      </c>
      <c r="AA520" s="14">
        <v>43596</v>
      </c>
      <c r="AD520" s="14">
        <v>44561</v>
      </c>
      <c r="AL520" t="s">
        <v>624</v>
      </c>
      <c r="AN520">
        <v>22560450</v>
      </c>
      <c r="AR520">
        <v>22560450</v>
      </c>
      <c r="AS520">
        <v>0</v>
      </c>
      <c r="AY520" t="s">
        <v>557</v>
      </c>
      <c r="AZ520" t="s">
        <v>880</v>
      </c>
      <c r="BA520" t="s">
        <v>1020</v>
      </c>
      <c r="BB520" t="s">
        <v>1021</v>
      </c>
      <c r="BC520" t="s">
        <v>242</v>
      </c>
      <c r="BK520" t="s">
        <v>860</v>
      </c>
      <c r="BM520" t="s">
        <v>560</v>
      </c>
      <c r="BN520" t="s">
        <v>561</v>
      </c>
      <c r="BO520" t="s">
        <v>989</v>
      </c>
      <c r="BP520">
        <v>3.8</v>
      </c>
      <c r="BQ520" t="s">
        <v>902</v>
      </c>
      <c r="DF520" s="15" t="s">
        <v>9308</v>
      </c>
      <c r="DG520" t="s">
        <v>126</v>
      </c>
      <c r="DH520" t="s">
        <v>159</v>
      </c>
      <c r="DI520" t="s">
        <v>159</v>
      </c>
      <c r="DJ520" t="s">
        <v>172</v>
      </c>
      <c r="DK520">
        <v>41019</v>
      </c>
    </row>
    <row r="521" spans="1:115" x14ac:dyDescent="0.25">
      <c r="A521" t="s">
        <v>2155</v>
      </c>
      <c r="B521" t="s">
        <v>1094</v>
      </c>
      <c r="F521" t="s">
        <v>526</v>
      </c>
      <c r="I521" t="s">
        <v>1095</v>
      </c>
      <c r="N521" t="s">
        <v>2156</v>
      </c>
      <c r="U521" t="s">
        <v>176</v>
      </c>
      <c r="Z521" s="14">
        <v>43538</v>
      </c>
      <c r="AA521" s="14">
        <v>43607</v>
      </c>
      <c r="AD521" s="14">
        <v>44469</v>
      </c>
      <c r="AL521" t="s">
        <v>624</v>
      </c>
      <c r="AN521">
        <v>33000000</v>
      </c>
      <c r="AR521">
        <v>33000000</v>
      </c>
      <c r="AS521">
        <v>0</v>
      </c>
      <c r="AY521" t="s">
        <v>557</v>
      </c>
      <c r="AZ521" t="s">
        <v>880</v>
      </c>
      <c r="BA521" t="s">
        <v>1020</v>
      </c>
      <c r="BB521" t="s">
        <v>1021</v>
      </c>
      <c r="BC521" t="s">
        <v>242</v>
      </c>
      <c r="BK521" t="s">
        <v>860</v>
      </c>
      <c r="BM521" t="s">
        <v>560</v>
      </c>
      <c r="BN521" t="s">
        <v>561</v>
      </c>
      <c r="BO521" t="s">
        <v>1022</v>
      </c>
      <c r="BP521">
        <v>1.3</v>
      </c>
      <c r="BQ521" t="s">
        <v>902</v>
      </c>
      <c r="DF521" s="15" t="s">
        <v>9308</v>
      </c>
      <c r="DG521" t="s">
        <v>126</v>
      </c>
      <c r="DH521" t="s">
        <v>159</v>
      </c>
      <c r="DI521" t="s">
        <v>159</v>
      </c>
      <c r="DJ521" t="s">
        <v>172</v>
      </c>
      <c r="DK521">
        <v>60000</v>
      </c>
    </row>
    <row r="522" spans="1:115" x14ac:dyDescent="0.25">
      <c r="A522" t="s">
        <v>2157</v>
      </c>
      <c r="B522" t="s">
        <v>2158</v>
      </c>
      <c r="F522" t="s">
        <v>216</v>
      </c>
      <c r="I522" t="s">
        <v>1103</v>
      </c>
      <c r="N522" t="s">
        <v>2159</v>
      </c>
      <c r="U522" t="s">
        <v>176</v>
      </c>
      <c r="Z522" s="14">
        <v>43538</v>
      </c>
      <c r="AA522" s="14">
        <v>43596</v>
      </c>
      <c r="AD522" s="14">
        <v>45199</v>
      </c>
      <c r="AL522" t="s">
        <v>624</v>
      </c>
      <c r="AN522">
        <v>14530450</v>
      </c>
      <c r="AR522">
        <v>14530450</v>
      </c>
      <c r="AS522">
        <v>0</v>
      </c>
      <c r="AY522" t="s">
        <v>557</v>
      </c>
      <c r="AZ522" t="s">
        <v>880</v>
      </c>
      <c r="BA522" t="s">
        <v>1020</v>
      </c>
      <c r="BB522" t="s">
        <v>1021</v>
      </c>
      <c r="BC522" t="s">
        <v>242</v>
      </c>
      <c r="BK522" t="s">
        <v>860</v>
      </c>
      <c r="BM522" t="s">
        <v>560</v>
      </c>
      <c r="BN522" t="s">
        <v>561</v>
      </c>
      <c r="BO522" t="s">
        <v>989</v>
      </c>
      <c r="BP522">
        <v>3.8</v>
      </c>
      <c r="BQ522" t="s">
        <v>902</v>
      </c>
      <c r="DF522" s="15" t="s">
        <v>9308</v>
      </c>
      <c r="DG522" t="s">
        <v>126</v>
      </c>
      <c r="DH522" t="s">
        <v>159</v>
      </c>
      <c r="DI522" t="s">
        <v>159</v>
      </c>
      <c r="DJ522" t="s">
        <v>172</v>
      </c>
      <c r="DK522">
        <v>26419</v>
      </c>
    </row>
    <row r="523" spans="1:115" x14ac:dyDescent="0.25">
      <c r="A523" t="s">
        <v>2160</v>
      </c>
      <c r="B523" t="s">
        <v>1753</v>
      </c>
      <c r="F523" t="s">
        <v>205</v>
      </c>
      <c r="I523" t="s">
        <v>1754</v>
      </c>
      <c r="N523" t="s">
        <v>2161</v>
      </c>
      <c r="U523" t="s">
        <v>176</v>
      </c>
      <c r="Z523" s="14">
        <v>43526</v>
      </c>
      <c r="AA523" s="14">
        <v>43538</v>
      </c>
      <c r="AD523" s="14">
        <v>44834</v>
      </c>
      <c r="AL523" t="s">
        <v>624</v>
      </c>
      <c r="AN523">
        <v>19250000</v>
      </c>
      <c r="AR523">
        <v>19250000</v>
      </c>
      <c r="AS523">
        <v>0</v>
      </c>
      <c r="AY523" t="s">
        <v>557</v>
      </c>
      <c r="AZ523" t="s">
        <v>880</v>
      </c>
      <c r="BA523" t="s">
        <v>1020</v>
      </c>
      <c r="BB523" t="s">
        <v>1021</v>
      </c>
      <c r="BC523" t="s">
        <v>242</v>
      </c>
      <c r="BK523" t="s">
        <v>860</v>
      </c>
      <c r="BM523" t="s">
        <v>560</v>
      </c>
      <c r="BN523" t="s">
        <v>1012</v>
      </c>
      <c r="BO523" t="s">
        <v>939</v>
      </c>
      <c r="BP523">
        <v>11.3</v>
      </c>
      <c r="BQ523" t="s">
        <v>563</v>
      </c>
      <c r="DF523" s="15" t="s">
        <v>9308</v>
      </c>
      <c r="DG523" t="s">
        <v>126</v>
      </c>
      <c r="DH523" t="s">
        <v>159</v>
      </c>
      <c r="DI523" t="s">
        <v>159</v>
      </c>
      <c r="DJ523" t="s">
        <v>172</v>
      </c>
      <c r="DK523">
        <v>35000</v>
      </c>
    </row>
    <row r="524" spans="1:115" x14ac:dyDescent="0.25">
      <c r="A524" t="s">
        <v>2162</v>
      </c>
      <c r="B524" t="s">
        <v>2163</v>
      </c>
      <c r="F524" t="s">
        <v>1344</v>
      </c>
      <c r="I524" t="s">
        <v>2164</v>
      </c>
      <c r="N524" t="s">
        <v>2165</v>
      </c>
      <c r="U524" t="s">
        <v>176</v>
      </c>
      <c r="Z524" s="14">
        <v>43538</v>
      </c>
      <c r="AA524" s="14">
        <v>43596</v>
      </c>
      <c r="AD524" s="14">
        <v>45199</v>
      </c>
      <c r="AL524" t="s">
        <v>624</v>
      </c>
      <c r="AN524">
        <v>3276538100</v>
      </c>
      <c r="AR524">
        <v>3276538100</v>
      </c>
      <c r="AS524">
        <v>0</v>
      </c>
      <c r="AY524" t="s">
        <v>557</v>
      </c>
      <c r="AZ524" t="s">
        <v>880</v>
      </c>
      <c r="BA524" t="s">
        <v>1020</v>
      </c>
      <c r="BB524" t="s">
        <v>1021</v>
      </c>
      <c r="BC524" t="s">
        <v>242</v>
      </c>
      <c r="BK524" t="s">
        <v>860</v>
      </c>
      <c r="BM524" t="s">
        <v>964</v>
      </c>
      <c r="BN524" t="s">
        <v>965</v>
      </c>
      <c r="BO524" t="s">
        <v>1036</v>
      </c>
      <c r="BP524">
        <v>16.600000000000001</v>
      </c>
      <c r="BQ524" t="s">
        <v>902</v>
      </c>
      <c r="DF524" s="15" t="s">
        <v>9308</v>
      </c>
      <c r="DG524" t="s">
        <v>126</v>
      </c>
      <c r="DH524" t="s">
        <v>159</v>
      </c>
      <c r="DI524" t="s">
        <v>159</v>
      </c>
      <c r="DJ524" t="s">
        <v>172</v>
      </c>
      <c r="DK524">
        <v>5957342</v>
      </c>
    </row>
    <row r="525" spans="1:115" x14ac:dyDescent="0.25">
      <c r="A525" t="s">
        <v>2166</v>
      </c>
      <c r="B525" t="s">
        <v>2167</v>
      </c>
      <c r="F525" t="s">
        <v>216</v>
      </c>
      <c r="N525" t="s">
        <v>2168</v>
      </c>
      <c r="U525" t="s">
        <v>185</v>
      </c>
      <c r="V525" t="s">
        <v>224</v>
      </c>
      <c r="Z525" s="14">
        <v>43852</v>
      </c>
      <c r="AA525" s="14">
        <v>43901</v>
      </c>
      <c r="AD525" s="14">
        <v>46022</v>
      </c>
      <c r="AL525" t="s">
        <v>122</v>
      </c>
      <c r="AN525">
        <v>127583636500</v>
      </c>
      <c r="AR525">
        <v>0</v>
      </c>
      <c r="AS525">
        <v>127583636500</v>
      </c>
      <c r="BA525" t="s">
        <v>2169</v>
      </c>
      <c r="BB525" t="s">
        <v>2170</v>
      </c>
      <c r="BC525" t="s">
        <v>442</v>
      </c>
      <c r="DF525" s="15" t="s">
        <v>9334</v>
      </c>
      <c r="DG525" t="s">
        <v>126</v>
      </c>
      <c r="DH525" t="s">
        <v>127</v>
      </c>
      <c r="DI525" t="s">
        <v>443</v>
      </c>
      <c r="DJ525" t="s">
        <v>172</v>
      </c>
      <c r="DK525">
        <v>194500000</v>
      </c>
    </row>
    <row r="526" spans="1:115" x14ac:dyDescent="0.25">
      <c r="A526" t="s">
        <v>2171</v>
      </c>
      <c r="B526" t="s">
        <v>2172</v>
      </c>
      <c r="F526" t="s">
        <v>118</v>
      </c>
      <c r="N526" t="s">
        <v>2173</v>
      </c>
      <c r="U526" t="s">
        <v>176</v>
      </c>
      <c r="Z526" s="14">
        <v>43882</v>
      </c>
      <c r="AA526" s="14">
        <v>43901</v>
      </c>
      <c r="AD526" s="14">
        <v>45291</v>
      </c>
      <c r="AL526" t="s">
        <v>122</v>
      </c>
      <c r="AN526">
        <v>13447118500</v>
      </c>
      <c r="AR526">
        <v>0</v>
      </c>
      <c r="AS526">
        <v>13447118500</v>
      </c>
      <c r="BA526" t="s">
        <v>2174</v>
      </c>
      <c r="BB526" t="s">
        <v>2175</v>
      </c>
      <c r="BC526" t="s">
        <v>442</v>
      </c>
      <c r="DF526" s="15" t="s">
        <v>9308</v>
      </c>
      <c r="DG526" t="s">
        <v>126</v>
      </c>
      <c r="DH526" t="s">
        <v>127</v>
      </c>
      <c r="DI526" t="s">
        <v>2176</v>
      </c>
      <c r="DJ526" t="s">
        <v>172</v>
      </c>
      <c r="DK526">
        <v>20500000</v>
      </c>
    </row>
    <row r="527" spans="1:115" x14ac:dyDescent="0.25">
      <c r="A527" t="s">
        <v>2177</v>
      </c>
      <c r="B527" t="s">
        <v>2178</v>
      </c>
      <c r="F527" t="s">
        <v>315</v>
      </c>
      <c r="N527" t="s">
        <v>2179</v>
      </c>
      <c r="U527" t="s">
        <v>185</v>
      </c>
      <c r="V527" t="s">
        <v>224</v>
      </c>
      <c r="Z527" s="14">
        <v>43871</v>
      </c>
      <c r="AA527" s="14">
        <v>43892</v>
      </c>
      <c r="AD527" s="14">
        <v>45838</v>
      </c>
      <c r="AL527" t="s">
        <v>122</v>
      </c>
      <c r="AN527">
        <v>1246318300</v>
      </c>
      <c r="AR527">
        <v>0</v>
      </c>
      <c r="AS527">
        <v>1246318300</v>
      </c>
      <c r="BA527" t="s">
        <v>178</v>
      </c>
      <c r="BB527" t="s">
        <v>179</v>
      </c>
      <c r="BC527" t="s">
        <v>125</v>
      </c>
      <c r="DF527" s="15" t="s">
        <v>9334</v>
      </c>
      <c r="DG527" t="s">
        <v>126</v>
      </c>
      <c r="DH527" t="s">
        <v>127</v>
      </c>
      <c r="DI527" t="s">
        <v>150</v>
      </c>
      <c r="DJ527" t="s">
        <v>372</v>
      </c>
      <c r="DK527">
        <v>1900000</v>
      </c>
    </row>
    <row r="528" spans="1:115" x14ac:dyDescent="0.25">
      <c r="A528" t="s">
        <v>2180</v>
      </c>
      <c r="B528" t="s">
        <v>2181</v>
      </c>
      <c r="F528" t="s">
        <v>118</v>
      </c>
      <c r="N528" t="s">
        <v>2182</v>
      </c>
      <c r="U528" t="s">
        <v>176</v>
      </c>
      <c r="Z528" s="14">
        <v>43895</v>
      </c>
      <c r="AA528" s="14">
        <v>44015</v>
      </c>
      <c r="AD528" s="14">
        <v>46022</v>
      </c>
      <c r="AL528" t="s">
        <v>624</v>
      </c>
      <c r="AN528">
        <v>11765360000</v>
      </c>
      <c r="AR528">
        <v>0</v>
      </c>
      <c r="AS528">
        <v>11765360000</v>
      </c>
      <c r="BA528" t="s">
        <v>123</v>
      </c>
      <c r="BB528" t="s">
        <v>124</v>
      </c>
      <c r="BC528" t="s">
        <v>125</v>
      </c>
      <c r="DF528" s="15" t="s">
        <v>9308</v>
      </c>
      <c r="DG528" t="s">
        <v>126</v>
      </c>
      <c r="DH528" t="s">
        <v>127</v>
      </c>
      <c r="DI528" t="s">
        <v>128</v>
      </c>
      <c r="DJ528" t="s">
        <v>129</v>
      </c>
      <c r="DK528">
        <v>21100000</v>
      </c>
    </row>
    <row r="529" spans="1:115" x14ac:dyDescent="0.25">
      <c r="A529" t="s">
        <v>2183</v>
      </c>
      <c r="B529" t="s">
        <v>2184</v>
      </c>
      <c r="F529" t="s">
        <v>1932</v>
      </c>
      <c r="I529" t="s">
        <v>2185</v>
      </c>
      <c r="N529" t="s">
        <v>2186</v>
      </c>
      <c r="U529" t="s">
        <v>218</v>
      </c>
      <c r="V529" t="s">
        <v>219</v>
      </c>
      <c r="Z529" s="14">
        <v>43896</v>
      </c>
      <c r="AA529" s="14">
        <v>43901</v>
      </c>
      <c r="AD529" s="14">
        <v>45291</v>
      </c>
      <c r="AL529" t="s">
        <v>122</v>
      </c>
      <c r="AN529">
        <v>6500533870</v>
      </c>
      <c r="AR529">
        <v>0</v>
      </c>
      <c r="AS529">
        <v>6500533870</v>
      </c>
      <c r="AY529" t="s">
        <v>1043</v>
      </c>
      <c r="AZ529" t="s">
        <v>558</v>
      </c>
      <c r="BA529" t="s">
        <v>2187</v>
      </c>
      <c r="BB529" t="s">
        <v>2188</v>
      </c>
      <c r="BC529" t="s">
        <v>442</v>
      </c>
      <c r="BK529" t="s">
        <v>860</v>
      </c>
      <c r="BM529" t="s">
        <v>560</v>
      </c>
      <c r="BN529" t="s">
        <v>1012</v>
      </c>
      <c r="BO529" t="s">
        <v>939</v>
      </c>
      <c r="BP529">
        <v>11.3</v>
      </c>
      <c r="BQ529" t="s">
        <v>563</v>
      </c>
      <c r="DF529" s="15" t="s">
        <v>9340</v>
      </c>
      <c r="DG529" t="s">
        <v>126</v>
      </c>
      <c r="DH529" t="s">
        <v>127</v>
      </c>
      <c r="DI529" t="s">
        <v>128</v>
      </c>
      <c r="DJ529" t="s">
        <v>172</v>
      </c>
      <c r="DK529">
        <v>9910000</v>
      </c>
    </row>
    <row r="530" spans="1:115" x14ac:dyDescent="0.25">
      <c r="A530" t="s">
        <v>2189</v>
      </c>
      <c r="B530" t="s">
        <v>2190</v>
      </c>
      <c r="F530" t="s">
        <v>216</v>
      </c>
      <c r="N530" t="s">
        <v>2191</v>
      </c>
      <c r="U530" t="s">
        <v>176</v>
      </c>
      <c r="Z530" s="14">
        <v>43948</v>
      </c>
      <c r="AA530" s="14">
        <v>43955</v>
      </c>
      <c r="AD530" s="14">
        <v>45657</v>
      </c>
      <c r="AL530" t="s">
        <v>122</v>
      </c>
      <c r="AN530">
        <v>3148593600</v>
      </c>
      <c r="AR530">
        <v>0</v>
      </c>
      <c r="AS530">
        <v>3148593600</v>
      </c>
      <c r="BA530" t="s">
        <v>178</v>
      </c>
      <c r="BB530" t="s">
        <v>179</v>
      </c>
      <c r="BC530" t="s">
        <v>125</v>
      </c>
      <c r="DF530" s="15" t="s">
        <v>9308</v>
      </c>
      <c r="DG530" t="s">
        <v>126</v>
      </c>
      <c r="DH530" t="s">
        <v>127</v>
      </c>
      <c r="DI530" t="s">
        <v>150</v>
      </c>
      <c r="DJ530" t="s">
        <v>181</v>
      </c>
      <c r="DK530">
        <v>4800000</v>
      </c>
    </row>
    <row r="531" spans="1:115" x14ac:dyDescent="0.25">
      <c r="A531" t="s">
        <v>2192</v>
      </c>
      <c r="B531" t="s">
        <v>2193</v>
      </c>
      <c r="F531" t="s">
        <v>1932</v>
      </c>
      <c r="N531" t="s">
        <v>2194</v>
      </c>
      <c r="U531" t="s">
        <v>165</v>
      </c>
      <c r="V531" t="s">
        <v>166</v>
      </c>
      <c r="Z531" s="14">
        <v>43921</v>
      </c>
      <c r="AA531" s="14">
        <v>43979</v>
      </c>
      <c r="AD531" s="14">
        <v>46387</v>
      </c>
      <c r="AL531" t="s">
        <v>122</v>
      </c>
      <c r="AN531">
        <v>26238280000</v>
      </c>
      <c r="AR531">
        <v>0</v>
      </c>
      <c r="AS531">
        <v>26238280000</v>
      </c>
      <c r="BA531" t="s">
        <v>337</v>
      </c>
      <c r="BB531" t="s">
        <v>338</v>
      </c>
      <c r="BC531" t="s">
        <v>242</v>
      </c>
      <c r="DF531" s="15" t="s">
        <v>9307</v>
      </c>
      <c r="DG531" t="s">
        <v>126</v>
      </c>
      <c r="DH531" t="s">
        <v>127</v>
      </c>
      <c r="DI531" t="s">
        <v>150</v>
      </c>
      <c r="DJ531" t="s">
        <v>129</v>
      </c>
      <c r="DK531">
        <v>40000000</v>
      </c>
    </row>
    <row r="532" spans="1:115" x14ac:dyDescent="0.25">
      <c r="A532" t="s">
        <v>2195</v>
      </c>
      <c r="B532" t="s">
        <v>2196</v>
      </c>
      <c r="F532" t="s">
        <v>142</v>
      </c>
      <c r="N532" t="s">
        <v>2197</v>
      </c>
      <c r="U532" t="s">
        <v>2198</v>
      </c>
      <c r="V532" t="s">
        <v>2199</v>
      </c>
      <c r="Z532" s="14">
        <v>43901</v>
      </c>
      <c r="AA532" s="14">
        <v>43951</v>
      </c>
      <c r="AD532" s="14">
        <v>45657</v>
      </c>
      <c r="AL532" t="s">
        <v>122</v>
      </c>
      <c r="AN532">
        <v>96995440699</v>
      </c>
      <c r="AR532">
        <v>0</v>
      </c>
      <c r="AS532">
        <v>96995440699</v>
      </c>
      <c r="BA532" t="s">
        <v>2200</v>
      </c>
      <c r="BB532" t="s">
        <v>2200</v>
      </c>
      <c r="BC532" t="s">
        <v>442</v>
      </c>
      <c r="DF532" s="15" t="s">
        <v>9454</v>
      </c>
      <c r="DG532" t="s">
        <v>126</v>
      </c>
      <c r="DH532" t="s">
        <v>127</v>
      </c>
      <c r="DI532" t="s">
        <v>443</v>
      </c>
      <c r="DJ532" t="s">
        <v>172</v>
      </c>
      <c r="DK532">
        <v>147868596.16</v>
      </c>
    </row>
    <row r="533" spans="1:115" x14ac:dyDescent="0.25">
      <c r="A533" t="s">
        <v>2201</v>
      </c>
      <c r="B533" t="s">
        <v>2202</v>
      </c>
      <c r="F533" t="s">
        <v>216</v>
      </c>
      <c r="I533" t="s">
        <v>992</v>
      </c>
      <c r="N533" t="s">
        <v>2203</v>
      </c>
      <c r="U533" t="s">
        <v>176</v>
      </c>
      <c r="Z533" s="14">
        <v>43948</v>
      </c>
      <c r="AA533" s="14">
        <v>43955</v>
      </c>
      <c r="AD533" s="14">
        <v>45657</v>
      </c>
      <c r="AL533" t="s">
        <v>624</v>
      </c>
      <c r="AN533">
        <v>2899520000</v>
      </c>
      <c r="AR533">
        <v>0</v>
      </c>
      <c r="AS533">
        <v>2899520000</v>
      </c>
      <c r="AY533" t="s">
        <v>557</v>
      </c>
      <c r="AZ533" t="s">
        <v>859</v>
      </c>
      <c r="BA533" t="s">
        <v>178</v>
      </c>
      <c r="BB533" t="s">
        <v>179</v>
      </c>
      <c r="BC533" t="s">
        <v>125</v>
      </c>
      <c r="BK533" t="s">
        <v>860</v>
      </c>
      <c r="BM533" t="s">
        <v>560</v>
      </c>
      <c r="BN533" t="s">
        <v>561</v>
      </c>
      <c r="BO533" t="s">
        <v>989</v>
      </c>
      <c r="BP533">
        <v>3.8</v>
      </c>
      <c r="BQ533" t="s">
        <v>902</v>
      </c>
      <c r="DF533" s="15" t="s">
        <v>9308</v>
      </c>
      <c r="DG533" t="s">
        <v>625</v>
      </c>
      <c r="DH533" t="s">
        <v>127</v>
      </c>
      <c r="DI533" t="s">
        <v>150</v>
      </c>
      <c r="DJ533" t="s">
        <v>181</v>
      </c>
      <c r="DK533">
        <v>5200000</v>
      </c>
    </row>
    <row r="534" spans="1:115" x14ac:dyDescent="0.25">
      <c r="A534" t="s">
        <v>2204</v>
      </c>
      <c r="B534" t="s">
        <v>2205</v>
      </c>
      <c r="F534" t="s">
        <v>315</v>
      </c>
      <c r="N534" t="s">
        <v>2206</v>
      </c>
      <c r="U534" t="s">
        <v>185</v>
      </c>
      <c r="V534" t="s">
        <v>224</v>
      </c>
      <c r="Z534" s="14">
        <v>43970</v>
      </c>
      <c r="AA534" s="14">
        <v>43979</v>
      </c>
      <c r="AD534" s="14">
        <v>46022</v>
      </c>
      <c r="AL534" t="s">
        <v>122</v>
      </c>
      <c r="AN534">
        <v>6559570000</v>
      </c>
      <c r="AR534">
        <v>0</v>
      </c>
      <c r="AS534">
        <v>6559570000</v>
      </c>
      <c r="BA534" t="s">
        <v>337</v>
      </c>
      <c r="BB534" t="s">
        <v>338</v>
      </c>
      <c r="BC534" t="s">
        <v>242</v>
      </c>
      <c r="DF534" s="15" t="s">
        <v>9334</v>
      </c>
      <c r="DG534" t="s">
        <v>126</v>
      </c>
      <c r="DH534" t="s">
        <v>127</v>
      </c>
      <c r="DI534" t="s">
        <v>150</v>
      </c>
      <c r="DJ534" t="s">
        <v>129</v>
      </c>
      <c r="DK534">
        <v>10000000</v>
      </c>
    </row>
    <row r="535" spans="1:115" x14ac:dyDescent="0.25">
      <c r="A535" t="s">
        <v>2207</v>
      </c>
      <c r="B535" t="s">
        <v>2208</v>
      </c>
      <c r="F535" t="s">
        <v>216</v>
      </c>
      <c r="N535" t="s">
        <v>2209</v>
      </c>
      <c r="U535" t="s">
        <v>176</v>
      </c>
      <c r="Z535" s="14">
        <v>43994</v>
      </c>
      <c r="AA535" s="14">
        <v>44011</v>
      </c>
      <c r="AD535" s="14">
        <v>46387</v>
      </c>
      <c r="AL535" t="s">
        <v>122</v>
      </c>
      <c r="AN535">
        <v>12004013100</v>
      </c>
      <c r="AR535">
        <v>0</v>
      </c>
      <c r="AS535">
        <v>12004013100</v>
      </c>
      <c r="BA535" t="s">
        <v>178</v>
      </c>
      <c r="BB535" t="s">
        <v>179</v>
      </c>
      <c r="BC535" t="s">
        <v>125</v>
      </c>
      <c r="DF535" s="15" t="s">
        <v>9308</v>
      </c>
      <c r="DG535" t="s">
        <v>1335</v>
      </c>
      <c r="DH535" t="s">
        <v>127</v>
      </c>
      <c r="DI535" t="s">
        <v>1252</v>
      </c>
      <c r="DJ535" t="s">
        <v>181</v>
      </c>
      <c r="DK535">
        <v>18300000</v>
      </c>
    </row>
    <row r="536" spans="1:115" x14ac:dyDescent="0.25">
      <c r="A536" t="s">
        <v>2210</v>
      </c>
      <c r="B536" t="s">
        <v>2211</v>
      </c>
      <c r="F536" t="s">
        <v>163</v>
      </c>
      <c r="N536" t="s">
        <v>2212</v>
      </c>
      <c r="U536" t="s">
        <v>176</v>
      </c>
      <c r="Z536" s="14">
        <v>43997</v>
      </c>
      <c r="AA536" s="14">
        <v>44011</v>
      </c>
      <c r="AD536" s="14">
        <v>45838</v>
      </c>
      <c r="AL536" t="s">
        <v>122</v>
      </c>
      <c r="AN536">
        <v>17907626100</v>
      </c>
      <c r="AR536">
        <v>0</v>
      </c>
      <c r="AS536">
        <v>17907626100</v>
      </c>
      <c r="BA536" t="s">
        <v>178</v>
      </c>
      <c r="BB536" t="s">
        <v>179</v>
      </c>
      <c r="BC536" t="s">
        <v>125</v>
      </c>
      <c r="DF536" s="15" t="s">
        <v>9308</v>
      </c>
      <c r="DG536" t="s">
        <v>126</v>
      </c>
      <c r="DH536" t="s">
        <v>127</v>
      </c>
      <c r="DI536" t="s">
        <v>150</v>
      </c>
      <c r="DJ536" t="s">
        <v>181</v>
      </c>
      <c r="DK536">
        <v>27300000</v>
      </c>
    </row>
    <row r="537" spans="1:115" x14ac:dyDescent="0.25">
      <c r="A537" t="s">
        <v>2213</v>
      </c>
      <c r="B537" t="s">
        <v>2214</v>
      </c>
      <c r="F537" t="s">
        <v>1923</v>
      </c>
      <c r="N537" t="s">
        <v>2215</v>
      </c>
      <c r="U537" t="s">
        <v>176</v>
      </c>
      <c r="Z537" s="14">
        <v>43937</v>
      </c>
      <c r="AA537" s="14">
        <v>44012</v>
      </c>
      <c r="AD537" s="14">
        <v>46387</v>
      </c>
      <c r="AL537" t="s">
        <v>122</v>
      </c>
      <c r="AN537">
        <v>95900913400</v>
      </c>
      <c r="AR537">
        <v>0</v>
      </c>
      <c r="AS537">
        <v>95900913400</v>
      </c>
      <c r="BA537" t="s">
        <v>178</v>
      </c>
      <c r="BB537" t="s">
        <v>179</v>
      </c>
      <c r="BC537" t="s">
        <v>125</v>
      </c>
      <c r="DF537" s="15" t="s">
        <v>9308</v>
      </c>
      <c r="DG537" t="s">
        <v>235</v>
      </c>
      <c r="DH537" t="s">
        <v>127</v>
      </c>
      <c r="DI537" t="s">
        <v>236</v>
      </c>
      <c r="DJ537" t="s">
        <v>181</v>
      </c>
      <c r="DK537">
        <v>146200000</v>
      </c>
    </row>
    <row r="538" spans="1:115" x14ac:dyDescent="0.25">
      <c r="A538" t="s">
        <v>2216</v>
      </c>
      <c r="B538" t="s">
        <v>2217</v>
      </c>
      <c r="F538" t="s">
        <v>118</v>
      </c>
      <c r="N538" t="s">
        <v>2218</v>
      </c>
      <c r="U538" t="s">
        <v>2219</v>
      </c>
      <c r="Z538" s="14">
        <v>44015</v>
      </c>
      <c r="AA538" s="14">
        <v>44022</v>
      </c>
      <c r="AD538" s="14">
        <v>45657</v>
      </c>
      <c r="AL538" t="s">
        <v>624</v>
      </c>
      <c r="AN538">
        <v>27880000000</v>
      </c>
      <c r="AR538">
        <v>0</v>
      </c>
      <c r="AS538">
        <v>27880000000</v>
      </c>
      <c r="BA538" t="s">
        <v>305</v>
      </c>
      <c r="BB538" t="s">
        <v>306</v>
      </c>
      <c r="BC538" t="s">
        <v>125</v>
      </c>
      <c r="DF538" s="15" t="s">
        <v>9455</v>
      </c>
      <c r="DG538" t="s">
        <v>126</v>
      </c>
      <c r="DH538" t="s">
        <v>127</v>
      </c>
      <c r="DI538" t="s">
        <v>150</v>
      </c>
      <c r="DJ538" t="s">
        <v>151</v>
      </c>
      <c r="DK538">
        <v>50000000</v>
      </c>
    </row>
    <row r="539" spans="1:115" x14ac:dyDescent="0.25">
      <c r="A539" t="s">
        <v>2220</v>
      </c>
      <c r="B539" t="s">
        <v>2221</v>
      </c>
      <c r="F539" t="s">
        <v>263</v>
      </c>
      <c r="N539" t="s">
        <v>2222</v>
      </c>
      <c r="U539" t="s">
        <v>185</v>
      </c>
      <c r="V539" t="s">
        <v>224</v>
      </c>
      <c r="W539" t="s">
        <v>2223</v>
      </c>
      <c r="X539" t="s">
        <v>2224</v>
      </c>
      <c r="Z539" s="14">
        <v>43901</v>
      </c>
      <c r="AA539" s="14">
        <v>44032</v>
      </c>
      <c r="AD539" s="14">
        <v>44926</v>
      </c>
      <c r="AL539" t="s">
        <v>122</v>
      </c>
      <c r="AN539">
        <v>6559570000</v>
      </c>
      <c r="AR539">
        <v>0</v>
      </c>
      <c r="AS539">
        <v>6559570000</v>
      </c>
      <c r="BA539" t="s">
        <v>267</v>
      </c>
      <c r="BB539" t="s">
        <v>267</v>
      </c>
      <c r="BC539" t="s">
        <v>242</v>
      </c>
      <c r="DF539" s="15" t="s">
        <v>9456</v>
      </c>
      <c r="DG539" t="s">
        <v>126</v>
      </c>
      <c r="DH539" t="s">
        <v>127</v>
      </c>
      <c r="DI539" t="s">
        <v>150</v>
      </c>
      <c r="DJ539" t="s">
        <v>129</v>
      </c>
      <c r="DK539">
        <v>10000000</v>
      </c>
    </row>
    <row r="540" spans="1:115" x14ac:dyDescent="0.25">
      <c r="A540" t="s">
        <v>2225</v>
      </c>
      <c r="B540" t="s">
        <v>2226</v>
      </c>
      <c r="F540" t="s">
        <v>142</v>
      </c>
      <c r="N540" t="s">
        <v>2227</v>
      </c>
      <c r="U540" t="s">
        <v>185</v>
      </c>
      <c r="V540" t="s">
        <v>362</v>
      </c>
      <c r="Z540" s="14">
        <v>43901</v>
      </c>
      <c r="AA540" s="14">
        <v>44036</v>
      </c>
      <c r="AD540" s="14">
        <v>46022</v>
      </c>
      <c r="AL540" t="s">
        <v>122</v>
      </c>
      <c r="AN540">
        <v>109787523090</v>
      </c>
      <c r="AR540">
        <v>0</v>
      </c>
      <c r="AS540">
        <v>109787523090</v>
      </c>
      <c r="BA540" t="s">
        <v>2228</v>
      </c>
      <c r="BB540" t="s">
        <v>2229</v>
      </c>
      <c r="BC540" t="s">
        <v>442</v>
      </c>
      <c r="DF540" s="15" t="s">
        <v>9387</v>
      </c>
      <c r="DG540" t="s">
        <v>126</v>
      </c>
      <c r="DH540" t="s">
        <v>127</v>
      </c>
      <c r="DI540" t="s">
        <v>443</v>
      </c>
      <c r="DJ540" t="s">
        <v>172</v>
      </c>
      <c r="DK540">
        <v>167370000</v>
      </c>
    </row>
    <row r="541" spans="1:115" x14ac:dyDescent="0.25">
      <c r="A541" t="s">
        <v>2230</v>
      </c>
      <c r="B541" t="s">
        <v>2231</v>
      </c>
      <c r="F541" t="s">
        <v>216</v>
      </c>
      <c r="N541" t="s">
        <v>2232</v>
      </c>
      <c r="U541" t="s">
        <v>176</v>
      </c>
      <c r="Z541" s="14">
        <v>44035</v>
      </c>
      <c r="AA541" s="14">
        <v>44060</v>
      </c>
      <c r="AD541" s="14">
        <v>44561</v>
      </c>
      <c r="AL541" t="s">
        <v>276</v>
      </c>
      <c r="AN541">
        <v>4109865600</v>
      </c>
      <c r="AR541">
        <v>0</v>
      </c>
      <c r="AS541">
        <v>4109865600</v>
      </c>
      <c r="BA541" t="s">
        <v>277</v>
      </c>
      <c r="BB541" t="s">
        <v>278</v>
      </c>
      <c r="BC541" t="s">
        <v>125</v>
      </c>
      <c r="DF541" s="15" t="s">
        <v>9308</v>
      </c>
      <c r="DG541" t="s">
        <v>317</v>
      </c>
      <c r="DH541" t="s">
        <v>127</v>
      </c>
      <c r="DI541" t="s">
        <v>150</v>
      </c>
      <c r="DJ541" t="s">
        <v>151</v>
      </c>
      <c r="DK541">
        <v>5100000</v>
      </c>
    </row>
    <row r="542" spans="1:115" x14ac:dyDescent="0.25">
      <c r="A542" t="s">
        <v>2233</v>
      </c>
      <c r="B542" t="s">
        <v>2234</v>
      </c>
      <c r="F542" t="s">
        <v>1880</v>
      </c>
      <c r="I542" t="s">
        <v>1880</v>
      </c>
      <c r="N542" t="s">
        <v>2235</v>
      </c>
      <c r="U542" t="s">
        <v>176</v>
      </c>
      <c r="Z542" s="14">
        <v>43901</v>
      </c>
      <c r="AA542" s="14">
        <v>44117</v>
      </c>
      <c r="AD542" t="s">
        <v>2236</v>
      </c>
      <c r="AL542" t="s">
        <v>122</v>
      </c>
      <c r="AN542">
        <v>9839355000</v>
      </c>
      <c r="AR542">
        <v>0</v>
      </c>
      <c r="AS542">
        <v>9839355000</v>
      </c>
      <c r="AY542" t="s">
        <v>557</v>
      </c>
      <c r="AZ542" t="s">
        <v>558</v>
      </c>
      <c r="BA542" t="s">
        <v>689</v>
      </c>
      <c r="BB542" t="s">
        <v>690</v>
      </c>
      <c r="BC542" t="s">
        <v>125</v>
      </c>
      <c r="BM542" t="s">
        <v>861</v>
      </c>
      <c r="BN542" t="s">
        <v>1046</v>
      </c>
      <c r="BO542" t="s">
        <v>1036</v>
      </c>
      <c r="BP542">
        <v>16.600000000000001</v>
      </c>
      <c r="BQ542" t="s">
        <v>902</v>
      </c>
      <c r="DF542" s="15" t="s">
        <v>9308</v>
      </c>
      <c r="DG542" t="s">
        <v>126</v>
      </c>
      <c r="DH542" t="s">
        <v>127</v>
      </c>
      <c r="DI542" t="s">
        <v>127</v>
      </c>
      <c r="DJ542" t="s">
        <v>129</v>
      </c>
      <c r="DK542">
        <v>15000000</v>
      </c>
    </row>
    <row r="543" spans="1:115" x14ac:dyDescent="0.25">
      <c r="A543" t="s">
        <v>2237</v>
      </c>
      <c r="B543" t="s">
        <v>2238</v>
      </c>
      <c r="F543" t="s">
        <v>216</v>
      </c>
      <c r="I543" t="s">
        <v>1851</v>
      </c>
      <c r="N543" t="s">
        <v>2239</v>
      </c>
      <c r="U543" t="s">
        <v>176</v>
      </c>
      <c r="Z543" s="14">
        <v>43901</v>
      </c>
      <c r="AA543" s="14">
        <v>44162</v>
      </c>
      <c r="AD543" s="14">
        <v>44561</v>
      </c>
      <c r="AL543" t="s">
        <v>122</v>
      </c>
      <c r="AN543">
        <v>19678710000</v>
      </c>
      <c r="AR543">
        <v>0</v>
      </c>
      <c r="AS543">
        <v>19678710000</v>
      </c>
      <c r="AY543" t="s">
        <v>557</v>
      </c>
      <c r="AZ543" t="s">
        <v>558</v>
      </c>
      <c r="BA543" t="s">
        <v>689</v>
      </c>
      <c r="BB543" t="s">
        <v>690</v>
      </c>
      <c r="BC543" t="s">
        <v>125</v>
      </c>
      <c r="BM543" t="s">
        <v>560</v>
      </c>
      <c r="BN543" t="s">
        <v>561</v>
      </c>
      <c r="BO543" t="s">
        <v>989</v>
      </c>
      <c r="BP543">
        <v>3.8</v>
      </c>
      <c r="BQ543" t="s">
        <v>902</v>
      </c>
      <c r="DF543" s="15" t="s">
        <v>9308</v>
      </c>
      <c r="DG543" t="s">
        <v>625</v>
      </c>
      <c r="DH543" t="s">
        <v>127</v>
      </c>
      <c r="DI543" t="s">
        <v>127</v>
      </c>
      <c r="DJ543" t="s">
        <v>129</v>
      </c>
      <c r="DK543">
        <v>30000000</v>
      </c>
    </row>
    <row r="544" spans="1:115" x14ac:dyDescent="0.25">
      <c r="A544" t="s">
        <v>2240</v>
      </c>
      <c r="B544" t="s">
        <v>2238</v>
      </c>
      <c r="F544" t="s">
        <v>216</v>
      </c>
      <c r="I544" t="s">
        <v>1851</v>
      </c>
      <c r="N544" t="s">
        <v>2241</v>
      </c>
      <c r="U544" t="s">
        <v>176</v>
      </c>
      <c r="Z544" s="14">
        <v>44015</v>
      </c>
      <c r="AA544" s="14">
        <v>44147</v>
      </c>
      <c r="AD544" s="14">
        <v>44561</v>
      </c>
      <c r="AL544" t="s">
        <v>624</v>
      </c>
      <c r="AN544">
        <v>9000000000</v>
      </c>
      <c r="AR544">
        <v>0</v>
      </c>
      <c r="AS544">
        <v>9000000000</v>
      </c>
      <c r="AY544" t="s">
        <v>557</v>
      </c>
      <c r="AZ544" t="s">
        <v>558</v>
      </c>
      <c r="BA544" t="s">
        <v>148</v>
      </c>
      <c r="BB544" t="s">
        <v>149</v>
      </c>
      <c r="BC544" t="s">
        <v>125</v>
      </c>
      <c r="BM544" t="s">
        <v>560</v>
      </c>
      <c r="BN544" t="s">
        <v>561</v>
      </c>
      <c r="BO544" t="s">
        <v>989</v>
      </c>
      <c r="BP544">
        <v>3.8</v>
      </c>
      <c r="BQ544" t="s">
        <v>902</v>
      </c>
      <c r="DF544" s="15" t="s">
        <v>9308</v>
      </c>
      <c r="DG544" t="s">
        <v>625</v>
      </c>
      <c r="DH544" t="s">
        <v>127</v>
      </c>
      <c r="DI544" t="s">
        <v>150</v>
      </c>
      <c r="DJ544" t="s">
        <v>151</v>
      </c>
      <c r="DK544">
        <v>15000000</v>
      </c>
    </row>
    <row r="545" spans="1:115" x14ac:dyDescent="0.25">
      <c r="A545" t="s">
        <v>2242</v>
      </c>
      <c r="B545" t="s">
        <v>2243</v>
      </c>
      <c r="F545" t="s">
        <v>118</v>
      </c>
      <c r="N545" t="s">
        <v>2244</v>
      </c>
      <c r="U545" t="s">
        <v>176</v>
      </c>
      <c r="Z545" s="14">
        <v>43901</v>
      </c>
      <c r="AA545" s="14">
        <v>44181</v>
      </c>
      <c r="AD545" s="14">
        <v>44561</v>
      </c>
      <c r="AL545" t="s">
        <v>122</v>
      </c>
      <c r="AN545">
        <v>16398925000</v>
      </c>
      <c r="AR545">
        <v>0</v>
      </c>
      <c r="AS545">
        <v>16398925000</v>
      </c>
      <c r="BA545" t="s">
        <v>168</v>
      </c>
      <c r="BB545" t="s">
        <v>169</v>
      </c>
      <c r="BC545" t="s">
        <v>125</v>
      </c>
      <c r="DF545" s="15" t="s">
        <v>9308</v>
      </c>
      <c r="DG545" t="s">
        <v>126</v>
      </c>
      <c r="DH545" t="s">
        <v>127</v>
      </c>
      <c r="DI545" t="s">
        <v>150</v>
      </c>
      <c r="DJ545" t="s">
        <v>151</v>
      </c>
      <c r="DK545">
        <v>25000000</v>
      </c>
    </row>
    <row r="546" spans="1:115" x14ac:dyDescent="0.25">
      <c r="A546" t="s">
        <v>2245</v>
      </c>
      <c r="B546" t="s">
        <v>2246</v>
      </c>
      <c r="F546" t="s">
        <v>1880</v>
      </c>
      <c r="N546" t="s">
        <v>2247</v>
      </c>
      <c r="U546" t="s">
        <v>176</v>
      </c>
      <c r="Z546" s="14">
        <v>44182</v>
      </c>
      <c r="AA546" s="14">
        <v>44183</v>
      </c>
      <c r="AD546" s="14">
        <v>44561</v>
      </c>
      <c r="AL546" t="s">
        <v>122</v>
      </c>
      <c r="AN546">
        <v>28140555300</v>
      </c>
      <c r="AR546">
        <v>0</v>
      </c>
      <c r="AS546">
        <v>28140555300</v>
      </c>
      <c r="BA546" t="s">
        <v>178</v>
      </c>
      <c r="BB546" t="s">
        <v>179</v>
      </c>
      <c r="BC546" t="s">
        <v>125</v>
      </c>
      <c r="DF546" s="15" t="s">
        <v>9308</v>
      </c>
      <c r="DG546" t="s">
        <v>1335</v>
      </c>
      <c r="DH546" t="s">
        <v>127</v>
      </c>
      <c r="DI546" t="s">
        <v>1252</v>
      </c>
      <c r="DJ546" t="s">
        <v>181</v>
      </c>
      <c r="DK546">
        <v>42900000</v>
      </c>
    </row>
    <row r="547" spans="1:115" x14ac:dyDescent="0.25">
      <c r="A547" t="s">
        <v>2248</v>
      </c>
      <c r="B547" t="s">
        <v>2249</v>
      </c>
      <c r="F547" t="s">
        <v>526</v>
      </c>
      <c r="N547" t="s">
        <v>2250</v>
      </c>
      <c r="U547" t="s">
        <v>176</v>
      </c>
      <c r="Z547" s="14">
        <v>43976</v>
      </c>
      <c r="AA547" s="14">
        <v>44188</v>
      </c>
      <c r="AD547" s="14">
        <v>46203</v>
      </c>
      <c r="AL547" t="s">
        <v>122</v>
      </c>
      <c r="AN547">
        <v>16923690600</v>
      </c>
      <c r="AR547">
        <v>0</v>
      </c>
      <c r="AS547">
        <v>16923690600</v>
      </c>
      <c r="BA547" t="s">
        <v>178</v>
      </c>
      <c r="BB547" t="s">
        <v>179</v>
      </c>
      <c r="BC547" t="s">
        <v>125</v>
      </c>
      <c r="DF547" s="15" t="s">
        <v>9308</v>
      </c>
      <c r="DG547" t="s">
        <v>126</v>
      </c>
      <c r="DH547" t="s">
        <v>127</v>
      </c>
      <c r="DI547" t="s">
        <v>150</v>
      </c>
      <c r="DJ547" t="s">
        <v>181</v>
      </c>
      <c r="DK547">
        <v>25800000</v>
      </c>
    </row>
    <row r="548" spans="1:115" x14ac:dyDescent="0.25">
      <c r="A548" t="s">
        <v>2251</v>
      </c>
      <c r="B548" t="s">
        <v>2252</v>
      </c>
      <c r="F548" t="s">
        <v>216</v>
      </c>
      <c r="I548" t="s">
        <v>1688</v>
      </c>
      <c r="N548" t="s">
        <v>2253</v>
      </c>
      <c r="U548" t="s">
        <v>185</v>
      </c>
      <c r="V548" t="s">
        <v>224</v>
      </c>
      <c r="W548" t="s">
        <v>2254</v>
      </c>
      <c r="Z548" s="14">
        <v>43852</v>
      </c>
      <c r="AA548" s="14">
        <v>43901</v>
      </c>
      <c r="AD548" s="14">
        <v>46022</v>
      </c>
      <c r="AL548" t="s">
        <v>122</v>
      </c>
      <c r="AN548">
        <v>114992461891</v>
      </c>
      <c r="AR548">
        <v>0</v>
      </c>
      <c r="AS548">
        <v>114992461891</v>
      </c>
      <c r="AY548" t="s">
        <v>1043</v>
      </c>
      <c r="AZ548" t="s">
        <v>558</v>
      </c>
      <c r="BA548" t="s">
        <v>2169</v>
      </c>
      <c r="BB548" t="s">
        <v>2170</v>
      </c>
      <c r="BC548" t="s">
        <v>442</v>
      </c>
      <c r="BK548" t="s">
        <v>860</v>
      </c>
      <c r="BM548" t="s">
        <v>560</v>
      </c>
      <c r="BN548" t="s">
        <v>561</v>
      </c>
      <c r="BO548" t="s">
        <v>989</v>
      </c>
      <c r="BP548">
        <v>3.8</v>
      </c>
      <c r="BQ548" t="s">
        <v>902</v>
      </c>
      <c r="DF548" s="15" t="s">
        <v>9457</v>
      </c>
      <c r="DG548" t="s">
        <v>126</v>
      </c>
      <c r="DH548" t="s">
        <v>127</v>
      </c>
      <c r="DI548" t="s">
        <v>443</v>
      </c>
      <c r="DJ548" t="s">
        <v>172</v>
      </c>
      <c r="DK548">
        <v>175304878.05000001</v>
      </c>
    </row>
    <row r="549" spans="1:115" x14ac:dyDescent="0.25">
      <c r="A549" t="s">
        <v>2255</v>
      </c>
      <c r="B549" t="s">
        <v>2256</v>
      </c>
      <c r="F549" t="s">
        <v>216</v>
      </c>
      <c r="I549" t="s">
        <v>992</v>
      </c>
      <c r="N549" t="s">
        <v>2257</v>
      </c>
      <c r="U549" t="s">
        <v>176</v>
      </c>
      <c r="Z549" s="14">
        <v>43948</v>
      </c>
      <c r="AA549" s="14">
        <v>43973</v>
      </c>
      <c r="AD549" s="14">
        <v>44926</v>
      </c>
      <c r="AL549" t="s">
        <v>136</v>
      </c>
      <c r="AN549">
        <v>12240000000</v>
      </c>
      <c r="AR549">
        <v>0</v>
      </c>
      <c r="AS549">
        <v>12240000000</v>
      </c>
      <c r="AY549" t="s">
        <v>557</v>
      </c>
      <c r="AZ549" t="s">
        <v>558</v>
      </c>
      <c r="BA549" t="s">
        <v>168</v>
      </c>
      <c r="BB549" t="s">
        <v>169</v>
      </c>
      <c r="BC549" t="s">
        <v>125</v>
      </c>
      <c r="BK549" t="s">
        <v>559</v>
      </c>
      <c r="BM549" t="s">
        <v>560</v>
      </c>
      <c r="BN549" t="s">
        <v>561</v>
      </c>
      <c r="BO549" t="s">
        <v>989</v>
      </c>
      <c r="BP549">
        <v>3.8</v>
      </c>
      <c r="BQ549" t="s">
        <v>902</v>
      </c>
      <c r="DF549" s="15" t="s">
        <v>9308</v>
      </c>
      <c r="DG549" t="s">
        <v>126</v>
      </c>
      <c r="DH549" t="s">
        <v>127</v>
      </c>
      <c r="DI549" t="s">
        <v>150</v>
      </c>
      <c r="DJ549" t="s">
        <v>151</v>
      </c>
      <c r="DK549">
        <v>12240000000</v>
      </c>
    </row>
    <row r="550" spans="1:115" x14ac:dyDescent="0.25">
      <c r="A550" t="s">
        <v>2258</v>
      </c>
      <c r="B550" t="s">
        <v>2259</v>
      </c>
      <c r="F550" t="s">
        <v>118</v>
      </c>
      <c r="I550" t="s">
        <v>1171</v>
      </c>
      <c r="N550" t="s">
        <v>2260</v>
      </c>
      <c r="U550" t="s">
        <v>176</v>
      </c>
      <c r="Z550" s="14">
        <v>43901</v>
      </c>
      <c r="AA550" s="14">
        <v>43985</v>
      </c>
      <c r="AD550" s="14">
        <v>46387</v>
      </c>
      <c r="AL550" t="s">
        <v>122</v>
      </c>
      <c r="AN550">
        <v>13119999999</v>
      </c>
      <c r="AR550">
        <v>13119999999</v>
      </c>
      <c r="AS550">
        <v>0</v>
      </c>
      <c r="AY550" t="s">
        <v>557</v>
      </c>
      <c r="AZ550" t="s">
        <v>880</v>
      </c>
      <c r="BA550" t="s">
        <v>574</v>
      </c>
      <c r="BB550" t="s">
        <v>575</v>
      </c>
      <c r="BC550" t="s">
        <v>125</v>
      </c>
      <c r="BK550" t="s">
        <v>860</v>
      </c>
      <c r="BM550" t="s">
        <v>861</v>
      </c>
      <c r="BN550" t="s">
        <v>862</v>
      </c>
      <c r="BO550" t="s">
        <v>1173</v>
      </c>
      <c r="BP550">
        <v>7.1</v>
      </c>
      <c r="BQ550" t="s">
        <v>864</v>
      </c>
      <c r="DF550" s="15" t="s">
        <v>9308</v>
      </c>
      <c r="DG550" t="s">
        <v>126</v>
      </c>
      <c r="DH550" t="s">
        <v>159</v>
      </c>
      <c r="DI550" t="s">
        <v>159</v>
      </c>
      <c r="DJ550" t="s">
        <v>129</v>
      </c>
      <c r="DK550">
        <v>20001311.059999999</v>
      </c>
    </row>
    <row r="551" spans="1:115" x14ac:dyDescent="0.25">
      <c r="A551" t="s">
        <v>2261</v>
      </c>
      <c r="B551" t="s">
        <v>2262</v>
      </c>
      <c r="F551" t="s">
        <v>1039</v>
      </c>
      <c r="I551" t="s">
        <v>1040</v>
      </c>
      <c r="N551" t="s">
        <v>2263</v>
      </c>
      <c r="U551" t="s">
        <v>176</v>
      </c>
      <c r="Z551" s="14">
        <v>44007</v>
      </c>
      <c r="AA551" s="14">
        <v>44090</v>
      </c>
      <c r="AD551" t="s">
        <v>2264</v>
      </c>
      <c r="AL551" t="s">
        <v>624</v>
      </c>
      <c r="AN551">
        <v>229580000001</v>
      </c>
      <c r="AR551">
        <v>0</v>
      </c>
      <c r="AS551">
        <v>229580000001</v>
      </c>
      <c r="AY551" t="s">
        <v>557</v>
      </c>
      <c r="AZ551" t="s">
        <v>558</v>
      </c>
      <c r="BA551" t="s">
        <v>277</v>
      </c>
      <c r="BB551" t="s">
        <v>278</v>
      </c>
      <c r="BC551" t="s">
        <v>125</v>
      </c>
      <c r="BK551" t="s">
        <v>860</v>
      </c>
      <c r="BM551" t="s">
        <v>861</v>
      </c>
      <c r="BN551" t="s">
        <v>1046</v>
      </c>
      <c r="BO551" t="s">
        <v>1047</v>
      </c>
      <c r="BP551">
        <v>17.170000000000002</v>
      </c>
      <c r="BQ551" t="s">
        <v>864</v>
      </c>
      <c r="DF551" s="15" t="s">
        <v>9308</v>
      </c>
      <c r="DG551" t="s">
        <v>1048</v>
      </c>
      <c r="DH551" t="s">
        <v>127</v>
      </c>
      <c r="DI551" t="s">
        <v>2265</v>
      </c>
      <c r="DJ551" t="s">
        <v>151</v>
      </c>
      <c r="DK551">
        <v>417418181.81999999</v>
      </c>
    </row>
    <row r="552" spans="1:115" x14ac:dyDescent="0.25">
      <c r="A552" t="s">
        <v>2266</v>
      </c>
      <c r="B552" t="s">
        <v>2267</v>
      </c>
      <c r="F552" t="s">
        <v>190</v>
      </c>
      <c r="I552" t="s">
        <v>1453</v>
      </c>
      <c r="N552" t="s">
        <v>2268</v>
      </c>
      <c r="U552" t="s">
        <v>503</v>
      </c>
      <c r="V552" t="s">
        <v>504</v>
      </c>
      <c r="Z552" s="14">
        <v>43895</v>
      </c>
      <c r="AA552" s="14">
        <v>44006</v>
      </c>
      <c r="AD552" s="14">
        <v>46387</v>
      </c>
      <c r="AL552" t="s">
        <v>136</v>
      </c>
      <c r="AN552">
        <v>28000000000</v>
      </c>
      <c r="AR552">
        <v>0</v>
      </c>
      <c r="AS552">
        <v>28000000000</v>
      </c>
      <c r="AY552" t="s">
        <v>1043</v>
      </c>
      <c r="AZ552" t="s">
        <v>558</v>
      </c>
      <c r="BA552" t="s">
        <v>137</v>
      </c>
      <c r="BB552" t="s">
        <v>138</v>
      </c>
      <c r="BC552" t="s">
        <v>125</v>
      </c>
      <c r="BK552" t="s">
        <v>860</v>
      </c>
      <c r="BM552" t="s">
        <v>861</v>
      </c>
      <c r="BN552" t="s">
        <v>862</v>
      </c>
      <c r="BO552" t="s">
        <v>863</v>
      </c>
      <c r="BP552">
        <v>2.2999999999999998</v>
      </c>
      <c r="BQ552" t="s">
        <v>864</v>
      </c>
      <c r="DF552" s="15" t="s">
        <v>9348</v>
      </c>
      <c r="DG552" t="s">
        <v>126</v>
      </c>
      <c r="DH552" t="s">
        <v>127</v>
      </c>
      <c r="DI552" t="s">
        <v>128</v>
      </c>
      <c r="DJ552" t="s">
        <v>139</v>
      </c>
      <c r="DK552">
        <v>28000000000</v>
      </c>
    </row>
    <row r="553" spans="1:115" x14ac:dyDescent="0.25">
      <c r="A553" t="s">
        <v>2269</v>
      </c>
      <c r="B553" t="s">
        <v>2000</v>
      </c>
      <c r="F553" t="s">
        <v>315</v>
      </c>
      <c r="I553" t="s">
        <v>1108</v>
      </c>
      <c r="N553" t="s">
        <v>2270</v>
      </c>
      <c r="U553" t="s">
        <v>176</v>
      </c>
      <c r="Z553" s="14">
        <v>44139</v>
      </c>
      <c r="AA553" s="14">
        <v>44179</v>
      </c>
      <c r="AD553" s="14">
        <v>45657</v>
      </c>
      <c r="AL553" t="s">
        <v>122</v>
      </c>
      <c r="AN553">
        <v>3522489090</v>
      </c>
      <c r="AR553">
        <v>3522489090</v>
      </c>
      <c r="AS553">
        <v>0</v>
      </c>
      <c r="AY553" t="s">
        <v>557</v>
      </c>
      <c r="AZ553" t="s">
        <v>880</v>
      </c>
      <c r="BA553" t="s">
        <v>267</v>
      </c>
      <c r="BB553" t="s">
        <v>267</v>
      </c>
      <c r="BC553" t="s">
        <v>242</v>
      </c>
      <c r="BK553" t="s">
        <v>860</v>
      </c>
      <c r="BM553" t="s">
        <v>861</v>
      </c>
      <c r="BN553" t="s">
        <v>900</v>
      </c>
      <c r="BO553" t="s">
        <v>901</v>
      </c>
      <c r="BP553">
        <v>4.0999999999999996</v>
      </c>
      <c r="BQ553" t="s">
        <v>902</v>
      </c>
      <c r="DF553" s="15" t="s">
        <v>9308</v>
      </c>
      <c r="DG553" t="s">
        <v>126</v>
      </c>
      <c r="DH553" t="s">
        <v>159</v>
      </c>
      <c r="DI553" t="s">
        <v>159</v>
      </c>
      <c r="DJ553" t="s">
        <v>326</v>
      </c>
      <c r="DK553">
        <v>5370000</v>
      </c>
    </row>
    <row r="554" spans="1:115" x14ac:dyDescent="0.25">
      <c r="A554" t="s">
        <v>2271</v>
      </c>
      <c r="B554" t="s">
        <v>1716</v>
      </c>
      <c r="F554" t="s">
        <v>190</v>
      </c>
      <c r="I554" t="s">
        <v>1176</v>
      </c>
      <c r="N554" t="s">
        <v>2272</v>
      </c>
      <c r="U554" t="s">
        <v>1718</v>
      </c>
      <c r="V554" t="s">
        <v>1719</v>
      </c>
      <c r="Z554" s="14">
        <v>43901</v>
      </c>
      <c r="AA554" s="14">
        <v>43949</v>
      </c>
      <c r="AD554" s="14">
        <v>45291</v>
      </c>
      <c r="AL554" t="s">
        <v>136</v>
      </c>
      <c r="AN554">
        <v>4166000000</v>
      </c>
      <c r="AR554">
        <v>4166000000</v>
      </c>
      <c r="AS554">
        <v>0</v>
      </c>
      <c r="AY554" t="s">
        <v>557</v>
      </c>
      <c r="AZ554" t="s">
        <v>880</v>
      </c>
      <c r="BA554" t="s">
        <v>1272</v>
      </c>
      <c r="BB554" t="s">
        <v>1272</v>
      </c>
      <c r="BC554" t="s">
        <v>242</v>
      </c>
      <c r="BK554" t="s">
        <v>860</v>
      </c>
      <c r="BM554" t="s">
        <v>861</v>
      </c>
      <c r="BN554" t="s">
        <v>862</v>
      </c>
      <c r="BO554" t="s">
        <v>863</v>
      </c>
      <c r="BP554">
        <v>2.2999999999999998</v>
      </c>
      <c r="BQ554" t="s">
        <v>864</v>
      </c>
      <c r="DF554" s="15" t="s">
        <v>9437</v>
      </c>
      <c r="DG554" t="s">
        <v>126</v>
      </c>
      <c r="DH554" t="s">
        <v>159</v>
      </c>
      <c r="DI554" t="s">
        <v>159</v>
      </c>
      <c r="DJ554" t="s">
        <v>172</v>
      </c>
      <c r="DK554">
        <v>4166000000</v>
      </c>
    </row>
    <row r="555" spans="1:115" x14ac:dyDescent="0.25">
      <c r="A555" t="s">
        <v>2273</v>
      </c>
      <c r="B555" t="s">
        <v>1067</v>
      </c>
      <c r="F555" t="s">
        <v>205</v>
      </c>
      <c r="I555" t="s">
        <v>1068</v>
      </c>
      <c r="N555" t="s">
        <v>2274</v>
      </c>
      <c r="U555" t="s">
        <v>133</v>
      </c>
      <c r="Z555" s="14">
        <v>43901</v>
      </c>
      <c r="AA555" s="14">
        <v>44022</v>
      </c>
      <c r="AD555" s="14">
        <v>45291</v>
      </c>
      <c r="AL555" t="s">
        <v>122</v>
      </c>
      <c r="AN555">
        <v>938018510</v>
      </c>
      <c r="AR555">
        <v>938018510</v>
      </c>
      <c r="AS555">
        <v>0</v>
      </c>
      <c r="AY555" t="s">
        <v>557</v>
      </c>
      <c r="AZ555" t="s">
        <v>880</v>
      </c>
      <c r="BA555" t="s">
        <v>267</v>
      </c>
      <c r="BB555" t="s">
        <v>267</v>
      </c>
      <c r="BC555" t="s">
        <v>242</v>
      </c>
      <c r="BK555" t="s">
        <v>860</v>
      </c>
      <c r="BM555" t="s">
        <v>560</v>
      </c>
      <c r="BN555" t="s">
        <v>1012</v>
      </c>
      <c r="BO555" t="s">
        <v>939</v>
      </c>
      <c r="BP555">
        <v>11.3</v>
      </c>
      <c r="BQ555" t="s">
        <v>563</v>
      </c>
      <c r="DF555" s="15" t="s">
        <v>9394</v>
      </c>
      <c r="DG555" t="s">
        <v>126</v>
      </c>
      <c r="DH555" t="s">
        <v>159</v>
      </c>
      <c r="DI555" t="s">
        <v>159</v>
      </c>
      <c r="DJ555" t="s">
        <v>326</v>
      </c>
      <c r="DK555">
        <v>1430000</v>
      </c>
    </row>
    <row r="556" spans="1:115" x14ac:dyDescent="0.25">
      <c r="A556" t="s">
        <v>2275</v>
      </c>
      <c r="B556" t="s">
        <v>2276</v>
      </c>
      <c r="F556" t="s">
        <v>263</v>
      </c>
      <c r="I556" t="s">
        <v>555</v>
      </c>
      <c r="N556" t="s">
        <v>2277</v>
      </c>
      <c r="U556" t="s">
        <v>176</v>
      </c>
      <c r="Z556" s="14">
        <v>43901</v>
      </c>
      <c r="AA556" s="14">
        <v>44000</v>
      </c>
      <c r="AD556" s="14">
        <v>45291</v>
      </c>
      <c r="AL556" t="s">
        <v>122</v>
      </c>
      <c r="AN556">
        <v>2148000000</v>
      </c>
      <c r="AR556">
        <v>2148000000</v>
      </c>
      <c r="AS556">
        <v>0</v>
      </c>
      <c r="AY556" t="s">
        <v>557</v>
      </c>
      <c r="AZ556" t="s">
        <v>880</v>
      </c>
      <c r="BA556" t="s">
        <v>267</v>
      </c>
      <c r="BB556" t="s">
        <v>267</v>
      </c>
      <c r="BC556" t="s">
        <v>242</v>
      </c>
      <c r="BK556" t="s">
        <v>860</v>
      </c>
      <c r="BM556" t="s">
        <v>560</v>
      </c>
      <c r="BN556" t="s">
        <v>561</v>
      </c>
      <c r="BO556" t="s">
        <v>562</v>
      </c>
      <c r="BP556">
        <v>6.1</v>
      </c>
      <c r="BQ556" t="s">
        <v>563</v>
      </c>
      <c r="DF556" s="15" t="s">
        <v>9308</v>
      </c>
      <c r="DG556" t="s">
        <v>317</v>
      </c>
      <c r="DH556" t="s">
        <v>159</v>
      </c>
      <c r="DI556" t="s">
        <v>159</v>
      </c>
      <c r="DJ556" t="s">
        <v>326</v>
      </c>
      <c r="DK556">
        <v>3274604.89</v>
      </c>
    </row>
    <row r="557" spans="1:115" x14ac:dyDescent="0.25">
      <c r="A557" t="s">
        <v>2278</v>
      </c>
      <c r="B557" t="s">
        <v>2279</v>
      </c>
      <c r="F557" t="s">
        <v>190</v>
      </c>
      <c r="I557" t="s">
        <v>1176</v>
      </c>
      <c r="N557" t="s">
        <v>2280</v>
      </c>
      <c r="U557" t="s">
        <v>265</v>
      </c>
      <c r="Z557" s="14">
        <v>43901</v>
      </c>
      <c r="AA557" s="14">
        <v>44053</v>
      </c>
      <c r="AD557" s="14">
        <v>45291</v>
      </c>
      <c r="AL557" t="s">
        <v>122</v>
      </c>
      <c r="AN557">
        <v>1084296921</v>
      </c>
      <c r="AR557">
        <v>1084296921</v>
      </c>
      <c r="AS557">
        <v>0</v>
      </c>
      <c r="AY557" t="s">
        <v>557</v>
      </c>
      <c r="AZ557" t="s">
        <v>880</v>
      </c>
      <c r="BA557" t="s">
        <v>1439</v>
      </c>
      <c r="BB557" t="s">
        <v>1439</v>
      </c>
      <c r="BC557" t="s">
        <v>242</v>
      </c>
      <c r="BK557" t="s">
        <v>860</v>
      </c>
      <c r="BM557" t="s">
        <v>861</v>
      </c>
      <c r="BN557" t="s">
        <v>862</v>
      </c>
      <c r="BO557" t="s">
        <v>863</v>
      </c>
      <c r="BP557">
        <v>2.2999999999999998</v>
      </c>
      <c r="BQ557" t="s">
        <v>864</v>
      </c>
      <c r="DF557" s="15" t="s">
        <v>9450</v>
      </c>
      <c r="DG557" t="s">
        <v>317</v>
      </c>
      <c r="DH557" t="s">
        <v>159</v>
      </c>
      <c r="DI557" t="s">
        <v>159</v>
      </c>
      <c r="DJ557" t="s">
        <v>326</v>
      </c>
      <c r="DK557">
        <v>1653000</v>
      </c>
    </row>
    <row r="558" spans="1:115" x14ac:dyDescent="0.25">
      <c r="A558" t="s">
        <v>2281</v>
      </c>
      <c r="B558" t="s">
        <v>2282</v>
      </c>
      <c r="F558" t="s">
        <v>190</v>
      </c>
      <c r="I558" t="s">
        <v>1176</v>
      </c>
      <c r="N558" t="s">
        <v>2283</v>
      </c>
      <c r="U558" t="s">
        <v>1446</v>
      </c>
      <c r="Z558" s="14">
        <v>43901</v>
      </c>
      <c r="AA558" s="14">
        <v>43921</v>
      </c>
      <c r="AD558" s="14">
        <v>45291</v>
      </c>
      <c r="AL558" t="s">
        <v>122</v>
      </c>
      <c r="AN558">
        <v>16264453815</v>
      </c>
      <c r="AR558">
        <v>16264453815</v>
      </c>
      <c r="AS558">
        <v>0</v>
      </c>
      <c r="AY558" t="s">
        <v>557</v>
      </c>
      <c r="AZ558" t="s">
        <v>880</v>
      </c>
      <c r="BA558" t="s">
        <v>1439</v>
      </c>
      <c r="BB558" t="s">
        <v>1439</v>
      </c>
      <c r="BC558" t="s">
        <v>242</v>
      </c>
      <c r="BK558" t="s">
        <v>860</v>
      </c>
      <c r="BM558" t="s">
        <v>861</v>
      </c>
      <c r="BN558" t="s">
        <v>862</v>
      </c>
      <c r="BO558" t="s">
        <v>863</v>
      </c>
      <c r="BP558">
        <v>2.2999999999999998</v>
      </c>
      <c r="BQ558" t="s">
        <v>864</v>
      </c>
      <c r="DF558" s="15" t="s">
        <v>9421</v>
      </c>
      <c r="DG558" t="s">
        <v>317</v>
      </c>
      <c r="DH558" t="s">
        <v>159</v>
      </c>
      <c r="DI558" t="s">
        <v>159</v>
      </c>
      <c r="DJ558" t="s">
        <v>326</v>
      </c>
      <c r="DK558">
        <v>24795000</v>
      </c>
    </row>
    <row r="559" spans="1:115" x14ac:dyDescent="0.25">
      <c r="A559" t="s">
        <v>2284</v>
      </c>
      <c r="B559" t="s">
        <v>2285</v>
      </c>
      <c r="F559" t="s">
        <v>163</v>
      </c>
      <c r="I559" t="s">
        <v>1033</v>
      </c>
      <c r="N559" t="s">
        <v>2286</v>
      </c>
      <c r="U559" t="s">
        <v>165</v>
      </c>
      <c r="V559" t="s">
        <v>166</v>
      </c>
      <c r="Z559" s="14">
        <v>43901</v>
      </c>
      <c r="AA559" s="14">
        <v>43965</v>
      </c>
      <c r="AD559" s="14">
        <v>45291</v>
      </c>
      <c r="AL559" t="s">
        <v>1127</v>
      </c>
      <c r="AN559">
        <v>2155000000</v>
      </c>
      <c r="AR559">
        <v>2155000000</v>
      </c>
      <c r="AS559">
        <v>0</v>
      </c>
      <c r="AY559" t="s">
        <v>557</v>
      </c>
      <c r="AZ559" t="s">
        <v>880</v>
      </c>
      <c r="BA559" t="s">
        <v>1128</v>
      </c>
      <c r="BB559" t="s">
        <v>1128</v>
      </c>
      <c r="BC559" t="s">
        <v>242</v>
      </c>
      <c r="BK559" t="s">
        <v>860</v>
      </c>
      <c r="BM559" t="s">
        <v>861</v>
      </c>
      <c r="BN559" t="s">
        <v>1046</v>
      </c>
      <c r="BO559" t="s">
        <v>1036</v>
      </c>
      <c r="BP559">
        <v>16.600000000000001</v>
      </c>
      <c r="BQ559" t="s">
        <v>902</v>
      </c>
      <c r="DF559" s="15" t="s">
        <v>9307</v>
      </c>
      <c r="DG559" t="s">
        <v>126</v>
      </c>
      <c r="DH559" t="s">
        <v>159</v>
      </c>
      <c r="DI559" t="s">
        <v>159</v>
      </c>
      <c r="DJ559" t="s">
        <v>326</v>
      </c>
      <c r="DK559">
        <v>5000000</v>
      </c>
    </row>
    <row r="560" spans="1:115" x14ac:dyDescent="0.25">
      <c r="A560" t="s">
        <v>2287</v>
      </c>
      <c r="B560" t="s">
        <v>1731</v>
      </c>
      <c r="F560" t="s">
        <v>216</v>
      </c>
      <c r="I560" t="s">
        <v>1091</v>
      </c>
      <c r="N560" t="s">
        <v>2288</v>
      </c>
      <c r="U560" t="s">
        <v>176</v>
      </c>
      <c r="Z560" s="14">
        <v>43901</v>
      </c>
      <c r="AA560" s="14">
        <v>44179</v>
      </c>
      <c r="AD560" s="14">
        <v>45291</v>
      </c>
      <c r="AL560" t="s">
        <v>1127</v>
      </c>
      <c r="AN560">
        <v>3667280000</v>
      </c>
      <c r="AR560">
        <v>3667280000</v>
      </c>
      <c r="AS560">
        <v>0</v>
      </c>
      <c r="AY560" t="s">
        <v>557</v>
      </c>
      <c r="AZ560" t="s">
        <v>880</v>
      </c>
      <c r="BA560" t="s">
        <v>1128</v>
      </c>
      <c r="BB560" t="s">
        <v>1128</v>
      </c>
      <c r="BC560" t="s">
        <v>242</v>
      </c>
      <c r="BK560" t="s">
        <v>860</v>
      </c>
      <c r="BM560" t="s">
        <v>560</v>
      </c>
      <c r="BN560" t="s">
        <v>561</v>
      </c>
      <c r="BO560" t="s">
        <v>989</v>
      </c>
      <c r="BP560">
        <v>3.8</v>
      </c>
      <c r="BQ560" t="s">
        <v>902</v>
      </c>
      <c r="DF560" s="15" t="s">
        <v>9308</v>
      </c>
      <c r="DG560" t="s">
        <v>126</v>
      </c>
      <c r="DH560" t="s">
        <v>159</v>
      </c>
      <c r="DI560" t="s">
        <v>159</v>
      </c>
      <c r="DJ560" t="s">
        <v>326</v>
      </c>
      <c r="DK560">
        <v>8000000</v>
      </c>
    </row>
    <row r="561" spans="1:115" x14ac:dyDescent="0.25">
      <c r="A561" t="s">
        <v>2289</v>
      </c>
      <c r="B561" t="s">
        <v>2290</v>
      </c>
      <c r="F561" t="s">
        <v>190</v>
      </c>
      <c r="I561" t="s">
        <v>856</v>
      </c>
      <c r="N561" t="s">
        <v>2291</v>
      </c>
      <c r="U561" t="s">
        <v>165</v>
      </c>
      <c r="V561" t="s">
        <v>166</v>
      </c>
      <c r="Z561" s="14">
        <v>43901</v>
      </c>
      <c r="AA561" s="14">
        <v>43984</v>
      </c>
      <c r="AD561" s="14">
        <v>45291</v>
      </c>
      <c r="AL561" t="s">
        <v>1127</v>
      </c>
      <c r="AN561">
        <v>1237707000</v>
      </c>
      <c r="AR561">
        <v>1237707000</v>
      </c>
      <c r="AS561">
        <v>0</v>
      </c>
      <c r="AY561" t="s">
        <v>557</v>
      </c>
      <c r="AZ561" t="s">
        <v>880</v>
      </c>
      <c r="BA561" t="s">
        <v>1128</v>
      </c>
      <c r="BB561" t="s">
        <v>1128</v>
      </c>
      <c r="BC561" t="s">
        <v>242</v>
      </c>
      <c r="BK561" t="s">
        <v>860</v>
      </c>
      <c r="BM561" t="s">
        <v>861</v>
      </c>
      <c r="BN561" t="s">
        <v>862</v>
      </c>
      <c r="BO561" t="s">
        <v>863</v>
      </c>
      <c r="BP561">
        <v>2.2999999999999998</v>
      </c>
      <c r="BQ561" t="s">
        <v>864</v>
      </c>
      <c r="DF561" s="15" t="s">
        <v>9307</v>
      </c>
      <c r="DG561" t="s">
        <v>126</v>
      </c>
      <c r="DH561" t="s">
        <v>159</v>
      </c>
      <c r="DI561" t="s">
        <v>159</v>
      </c>
      <c r="DJ561" t="s">
        <v>326</v>
      </c>
      <c r="DK561">
        <v>2700000</v>
      </c>
    </row>
    <row r="562" spans="1:115" x14ac:dyDescent="0.25">
      <c r="A562" t="s">
        <v>2292</v>
      </c>
      <c r="B562" t="s">
        <v>2293</v>
      </c>
      <c r="F562" t="s">
        <v>190</v>
      </c>
      <c r="I562" t="s">
        <v>974</v>
      </c>
      <c r="N562" t="s">
        <v>2294</v>
      </c>
      <c r="U562" t="s">
        <v>176</v>
      </c>
      <c r="Z562" s="14">
        <v>43901</v>
      </c>
      <c r="AA562" s="14">
        <v>43915</v>
      </c>
      <c r="AD562" s="14">
        <v>44926</v>
      </c>
      <c r="AL562" t="s">
        <v>136</v>
      </c>
      <c r="AN562">
        <v>1600000000</v>
      </c>
      <c r="AR562">
        <v>1600000000</v>
      </c>
      <c r="AS562">
        <v>0</v>
      </c>
      <c r="AY562" t="s">
        <v>557</v>
      </c>
      <c r="AZ562" t="s">
        <v>880</v>
      </c>
      <c r="BA562" t="s">
        <v>1148</v>
      </c>
      <c r="BB562" t="s">
        <v>1148</v>
      </c>
      <c r="BC562" t="s">
        <v>242</v>
      </c>
      <c r="BK562" t="s">
        <v>860</v>
      </c>
      <c r="BM562" t="s">
        <v>861</v>
      </c>
      <c r="BN562" t="s">
        <v>862</v>
      </c>
      <c r="BO562" t="s">
        <v>863</v>
      </c>
      <c r="BP562">
        <v>2.2999999999999998</v>
      </c>
      <c r="BQ562" t="s">
        <v>864</v>
      </c>
      <c r="DF562" s="15" t="s">
        <v>9308</v>
      </c>
      <c r="DG562" t="s">
        <v>126</v>
      </c>
      <c r="DH562" t="s">
        <v>159</v>
      </c>
      <c r="DI562" t="s">
        <v>159</v>
      </c>
      <c r="DJ562" t="s">
        <v>172</v>
      </c>
      <c r="DK562">
        <v>1600000000</v>
      </c>
    </row>
    <row r="563" spans="1:115" x14ac:dyDescent="0.25">
      <c r="A563" t="s">
        <v>2295</v>
      </c>
      <c r="B563" t="s">
        <v>2296</v>
      </c>
      <c r="F563" t="s">
        <v>315</v>
      </c>
      <c r="I563" t="s">
        <v>1146</v>
      </c>
      <c r="N563" t="s">
        <v>2297</v>
      </c>
      <c r="U563" t="s">
        <v>185</v>
      </c>
      <c r="V563" t="s">
        <v>1152</v>
      </c>
      <c r="W563" t="s">
        <v>1153</v>
      </c>
      <c r="Z563" s="14">
        <v>43901</v>
      </c>
      <c r="AA563" s="14">
        <v>43952</v>
      </c>
      <c r="AD563" s="14">
        <v>44561</v>
      </c>
      <c r="AL563" t="s">
        <v>136</v>
      </c>
      <c r="AN563">
        <v>50972450</v>
      </c>
      <c r="AR563">
        <v>50972450</v>
      </c>
      <c r="AS563">
        <v>0</v>
      </c>
      <c r="AY563" t="s">
        <v>557</v>
      </c>
      <c r="AZ563" t="s">
        <v>880</v>
      </c>
      <c r="BA563" t="s">
        <v>1148</v>
      </c>
      <c r="BB563" t="s">
        <v>1148</v>
      </c>
      <c r="BC563" t="s">
        <v>242</v>
      </c>
      <c r="BK563" t="s">
        <v>860</v>
      </c>
      <c r="BM563" t="s">
        <v>861</v>
      </c>
      <c r="BN563" t="s">
        <v>900</v>
      </c>
      <c r="BO563" t="s">
        <v>901</v>
      </c>
      <c r="BP563">
        <v>4.0999999999999996</v>
      </c>
      <c r="BQ563" t="s">
        <v>902</v>
      </c>
      <c r="DF563" s="15" t="s">
        <v>9398</v>
      </c>
      <c r="DG563" t="s">
        <v>126</v>
      </c>
      <c r="DH563" t="s">
        <v>159</v>
      </c>
      <c r="DI563" t="s">
        <v>159</v>
      </c>
      <c r="DJ563" t="s">
        <v>172</v>
      </c>
      <c r="DK563">
        <v>50972450</v>
      </c>
    </row>
    <row r="564" spans="1:115" x14ac:dyDescent="0.25">
      <c r="A564" t="s">
        <v>2298</v>
      </c>
      <c r="B564" t="s">
        <v>1734</v>
      </c>
      <c r="F564" t="s">
        <v>526</v>
      </c>
      <c r="I564" t="s">
        <v>962</v>
      </c>
      <c r="N564" t="s">
        <v>2299</v>
      </c>
      <c r="U564" t="s">
        <v>165</v>
      </c>
      <c r="V564" t="s">
        <v>166</v>
      </c>
      <c r="Z564" s="14">
        <v>43901</v>
      </c>
      <c r="AA564" s="14">
        <v>44117</v>
      </c>
      <c r="AD564" s="14">
        <v>45291</v>
      </c>
      <c r="AL564" t="s">
        <v>624</v>
      </c>
      <c r="AN564">
        <v>465381824</v>
      </c>
      <c r="AR564">
        <v>465381824</v>
      </c>
      <c r="AS564">
        <v>0</v>
      </c>
      <c r="AY564" t="s">
        <v>557</v>
      </c>
      <c r="AZ564" t="s">
        <v>880</v>
      </c>
      <c r="BA564" t="s">
        <v>1010</v>
      </c>
      <c r="BB564" t="s">
        <v>1011</v>
      </c>
      <c r="BC564" t="s">
        <v>125</v>
      </c>
      <c r="BK564" t="s">
        <v>860</v>
      </c>
      <c r="BM564" t="s">
        <v>560</v>
      </c>
      <c r="BN564" t="s">
        <v>561</v>
      </c>
      <c r="BO564" t="s">
        <v>1022</v>
      </c>
      <c r="BP564">
        <v>1.3</v>
      </c>
      <c r="BQ564" t="s">
        <v>902</v>
      </c>
      <c r="DF564" s="15" t="s">
        <v>9307</v>
      </c>
      <c r="DG564" t="s">
        <v>317</v>
      </c>
      <c r="DH564" t="s">
        <v>159</v>
      </c>
      <c r="DI564" t="s">
        <v>159</v>
      </c>
      <c r="DJ564" t="s">
        <v>172</v>
      </c>
      <c r="DK564">
        <v>846148.77</v>
      </c>
    </row>
    <row r="565" spans="1:115" x14ac:dyDescent="0.25">
      <c r="A565" t="s">
        <v>2300</v>
      </c>
      <c r="B565" t="s">
        <v>2301</v>
      </c>
      <c r="F565" t="s">
        <v>245</v>
      </c>
      <c r="I565" t="s">
        <v>1410</v>
      </c>
      <c r="N565" t="s">
        <v>2302</v>
      </c>
      <c r="U565" t="s">
        <v>176</v>
      </c>
      <c r="Z565" s="14">
        <v>43901</v>
      </c>
      <c r="AA565" s="14">
        <v>43979</v>
      </c>
      <c r="AD565" s="14">
        <v>45291</v>
      </c>
      <c r="AL565" t="s">
        <v>624</v>
      </c>
      <c r="AN565">
        <v>29384658</v>
      </c>
      <c r="AR565">
        <v>29384658</v>
      </c>
      <c r="AS565">
        <v>0</v>
      </c>
      <c r="AY565" t="s">
        <v>557</v>
      </c>
      <c r="AZ565" t="s">
        <v>880</v>
      </c>
      <c r="BA565" t="s">
        <v>1010</v>
      </c>
      <c r="BB565" t="s">
        <v>1011</v>
      </c>
      <c r="BC565" t="s">
        <v>125</v>
      </c>
      <c r="BK565" t="s">
        <v>860</v>
      </c>
      <c r="BM565" t="s">
        <v>861</v>
      </c>
      <c r="BN565" t="s">
        <v>862</v>
      </c>
      <c r="BO565" t="s">
        <v>971</v>
      </c>
      <c r="BP565">
        <v>9.1</v>
      </c>
      <c r="BQ565" t="s">
        <v>864</v>
      </c>
      <c r="DF565" s="15" t="s">
        <v>9308</v>
      </c>
      <c r="DG565" t="s">
        <v>170</v>
      </c>
      <c r="DH565" t="s">
        <v>159</v>
      </c>
      <c r="DI565" t="s">
        <v>171</v>
      </c>
      <c r="DJ565" t="s">
        <v>172</v>
      </c>
      <c r="DK565">
        <v>53426.65</v>
      </c>
    </row>
    <row r="566" spans="1:115" x14ac:dyDescent="0.25">
      <c r="A566" t="s">
        <v>2303</v>
      </c>
      <c r="B566" t="s">
        <v>1071</v>
      </c>
      <c r="F566" t="s">
        <v>216</v>
      </c>
      <c r="I566" t="s">
        <v>1072</v>
      </c>
      <c r="N566" t="s">
        <v>2304</v>
      </c>
      <c r="U566" t="s">
        <v>165</v>
      </c>
      <c r="V566" t="s">
        <v>166</v>
      </c>
      <c r="Z566" s="14">
        <v>43892</v>
      </c>
      <c r="AA566" s="14">
        <v>43901</v>
      </c>
      <c r="AD566" s="14">
        <v>45565</v>
      </c>
      <c r="AL566" t="s">
        <v>624</v>
      </c>
      <c r="AN566">
        <v>61338750</v>
      </c>
      <c r="AR566">
        <v>61338750</v>
      </c>
      <c r="AS566">
        <v>0</v>
      </c>
      <c r="AY566" t="s">
        <v>557</v>
      </c>
      <c r="AZ566" t="s">
        <v>880</v>
      </c>
      <c r="BA566" t="s">
        <v>1020</v>
      </c>
      <c r="BB566" t="s">
        <v>1021</v>
      </c>
      <c r="BC566" t="s">
        <v>242</v>
      </c>
      <c r="BK566" t="s">
        <v>860</v>
      </c>
      <c r="BM566" t="s">
        <v>560</v>
      </c>
      <c r="BN566" t="s">
        <v>561</v>
      </c>
      <c r="BO566" t="s">
        <v>989</v>
      </c>
      <c r="BP566">
        <v>3.8</v>
      </c>
      <c r="BQ566" t="s">
        <v>902</v>
      </c>
      <c r="DF566" s="15" t="s">
        <v>9307</v>
      </c>
      <c r="DG566" t="s">
        <v>126</v>
      </c>
      <c r="DH566" t="s">
        <v>159</v>
      </c>
      <c r="DI566" t="s">
        <v>159</v>
      </c>
      <c r="DJ566" t="s">
        <v>172</v>
      </c>
      <c r="DK566">
        <v>111525</v>
      </c>
    </row>
    <row r="567" spans="1:115" x14ac:dyDescent="0.25">
      <c r="A567" t="s">
        <v>2305</v>
      </c>
      <c r="B567" t="s">
        <v>1075</v>
      </c>
      <c r="F567" t="s">
        <v>163</v>
      </c>
      <c r="I567" t="s">
        <v>1076</v>
      </c>
      <c r="N567" t="s">
        <v>2306</v>
      </c>
      <c r="U567" t="s">
        <v>165</v>
      </c>
      <c r="V567" t="s">
        <v>166</v>
      </c>
      <c r="Z567" s="14">
        <v>43901</v>
      </c>
      <c r="AA567" s="14">
        <v>43980</v>
      </c>
      <c r="AD567" s="14">
        <v>45565</v>
      </c>
      <c r="AL567" t="s">
        <v>624</v>
      </c>
      <c r="AN567">
        <v>96697150</v>
      </c>
      <c r="AR567">
        <v>96697150</v>
      </c>
      <c r="AS567">
        <v>0</v>
      </c>
      <c r="AY567" t="s">
        <v>557</v>
      </c>
      <c r="AZ567" t="s">
        <v>880</v>
      </c>
      <c r="BA567" t="s">
        <v>1020</v>
      </c>
      <c r="BB567" t="s">
        <v>1021</v>
      </c>
      <c r="BC567" t="s">
        <v>242</v>
      </c>
      <c r="BK567" t="s">
        <v>860</v>
      </c>
      <c r="BM567" t="s">
        <v>964</v>
      </c>
      <c r="BN567" t="s">
        <v>965</v>
      </c>
      <c r="BO567" t="s">
        <v>1036</v>
      </c>
      <c r="BP567">
        <v>16.600000000000001</v>
      </c>
      <c r="BQ567" t="s">
        <v>902</v>
      </c>
      <c r="DF567" s="15" t="s">
        <v>9307</v>
      </c>
      <c r="DG567" t="s">
        <v>126</v>
      </c>
      <c r="DH567" t="s">
        <v>159</v>
      </c>
      <c r="DI567" t="s">
        <v>159</v>
      </c>
      <c r="DJ567" t="s">
        <v>172</v>
      </c>
      <c r="DK567">
        <v>175813</v>
      </c>
    </row>
    <row r="568" spans="1:115" x14ac:dyDescent="0.25">
      <c r="A568" t="s">
        <v>2307</v>
      </c>
      <c r="B568" t="s">
        <v>2308</v>
      </c>
      <c r="F568" t="s">
        <v>163</v>
      </c>
      <c r="I568" t="s">
        <v>2309</v>
      </c>
      <c r="N568" t="s">
        <v>2310</v>
      </c>
      <c r="U568" t="s">
        <v>165</v>
      </c>
      <c r="V568" t="s">
        <v>166</v>
      </c>
      <c r="Z568" s="14">
        <v>43892</v>
      </c>
      <c r="AA568" s="14">
        <v>43901</v>
      </c>
      <c r="AD568" s="14">
        <v>45657</v>
      </c>
      <c r="AL568" t="s">
        <v>624</v>
      </c>
      <c r="AN568">
        <v>1093936250</v>
      </c>
      <c r="AR568">
        <v>1093936250</v>
      </c>
      <c r="AS568">
        <v>0</v>
      </c>
      <c r="AY568" t="s">
        <v>557</v>
      </c>
      <c r="AZ568" t="s">
        <v>880</v>
      </c>
      <c r="BA568" t="s">
        <v>1020</v>
      </c>
      <c r="BB568" t="s">
        <v>1021</v>
      </c>
      <c r="BC568" t="s">
        <v>242</v>
      </c>
      <c r="BK568" t="s">
        <v>860</v>
      </c>
      <c r="BM568" t="s">
        <v>964</v>
      </c>
      <c r="BN568" t="s">
        <v>965</v>
      </c>
      <c r="BO568" t="s">
        <v>1036</v>
      </c>
      <c r="BP568">
        <v>16.600000000000001</v>
      </c>
      <c r="BQ568" t="s">
        <v>902</v>
      </c>
      <c r="DF568" s="15" t="s">
        <v>9307</v>
      </c>
      <c r="DG568" t="s">
        <v>126</v>
      </c>
      <c r="DH568" t="s">
        <v>159</v>
      </c>
      <c r="DI568" t="s">
        <v>159</v>
      </c>
      <c r="DJ568" t="s">
        <v>172</v>
      </c>
      <c r="DK568">
        <v>1988975</v>
      </c>
    </row>
    <row r="569" spans="1:115" x14ac:dyDescent="0.25">
      <c r="A569" t="s">
        <v>2311</v>
      </c>
      <c r="B569" t="s">
        <v>1879</v>
      </c>
      <c r="F569" t="s">
        <v>1039</v>
      </c>
      <c r="I569" t="s">
        <v>1040</v>
      </c>
      <c r="N569" t="s">
        <v>2312</v>
      </c>
      <c r="U569" t="s">
        <v>176</v>
      </c>
      <c r="Z569" s="14">
        <v>44210</v>
      </c>
      <c r="AA569" s="14">
        <v>44215</v>
      </c>
      <c r="AD569" t="s">
        <v>2313</v>
      </c>
      <c r="AL569" t="s">
        <v>122</v>
      </c>
      <c r="AN569">
        <v>655957000000</v>
      </c>
      <c r="AR569">
        <v>0</v>
      </c>
      <c r="AS569">
        <v>655957000000</v>
      </c>
      <c r="AY569" t="s">
        <v>1043</v>
      </c>
      <c r="AZ569" t="s">
        <v>558</v>
      </c>
      <c r="BA569" t="s">
        <v>2314</v>
      </c>
      <c r="BB569" t="s">
        <v>2315</v>
      </c>
      <c r="BC569" t="s">
        <v>125</v>
      </c>
      <c r="BK569" t="s">
        <v>860</v>
      </c>
      <c r="BM569" t="s">
        <v>861</v>
      </c>
      <c r="BN569" t="s">
        <v>1046</v>
      </c>
      <c r="BO569" t="s">
        <v>1047</v>
      </c>
      <c r="BP569">
        <v>17.170000000000002</v>
      </c>
      <c r="BQ569" t="s">
        <v>864</v>
      </c>
      <c r="DF569" s="15" t="s">
        <v>9308</v>
      </c>
      <c r="DG569" t="s">
        <v>1048</v>
      </c>
      <c r="DH569" t="s">
        <v>127</v>
      </c>
      <c r="DI569" t="s">
        <v>1883</v>
      </c>
      <c r="DJ569" t="s">
        <v>172</v>
      </c>
      <c r="DK569">
        <v>1000000000</v>
      </c>
    </row>
    <row r="570" spans="1:115" x14ac:dyDescent="0.25">
      <c r="A570" t="s">
        <v>2316</v>
      </c>
      <c r="B570" t="s">
        <v>2317</v>
      </c>
      <c r="F570" t="s">
        <v>190</v>
      </c>
      <c r="N570" t="s">
        <v>2318</v>
      </c>
      <c r="U570" t="s">
        <v>176</v>
      </c>
      <c r="Z570" s="14">
        <v>44210</v>
      </c>
      <c r="AA570" s="14">
        <v>44222</v>
      </c>
      <c r="AD570" s="14">
        <v>46387</v>
      </c>
      <c r="AL570" t="s">
        <v>609</v>
      </c>
      <c r="AN570">
        <v>8939830000</v>
      </c>
      <c r="AR570">
        <v>0</v>
      </c>
      <c r="AS570">
        <v>8939830000</v>
      </c>
      <c r="BA570" t="s">
        <v>240</v>
      </c>
      <c r="BB570" t="s">
        <v>241</v>
      </c>
      <c r="BC570" t="s">
        <v>242</v>
      </c>
      <c r="DF570" s="15" t="s">
        <v>9308</v>
      </c>
      <c r="DG570" t="s">
        <v>126</v>
      </c>
      <c r="DH570" t="s">
        <v>127</v>
      </c>
      <c r="DI570" t="s">
        <v>150</v>
      </c>
      <c r="DJ570" t="s">
        <v>129</v>
      </c>
      <c r="DK570">
        <v>5000000</v>
      </c>
    </row>
    <row r="571" spans="1:115" x14ac:dyDescent="0.25">
      <c r="A571" t="s">
        <v>2319</v>
      </c>
      <c r="B571" t="s">
        <v>2320</v>
      </c>
      <c r="F571" t="s">
        <v>118</v>
      </c>
      <c r="N571" t="s">
        <v>2321</v>
      </c>
      <c r="U571" t="s">
        <v>2322</v>
      </c>
      <c r="V571" t="s">
        <v>2323</v>
      </c>
      <c r="Z571" s="14">
        <v>44266</v>
      </c>
      <c r="AA571" s="14">
        <v>44281</v>
      </c>
      <c r="AD571" t="s">
        <v>2324</v>
      </c>
      <c r="AL571" t="s">
        <v>122</v>
      </c>
      <c r="AN571">
        <v>213841982000</v>
      </c>
      <c r="AR571">
        <v>0</v>
      </c>
      <c r="AS571">
        <v>213841982000</v>
      </c>
      <c r="BA571" t="s">
        <v>2200</v>
      </c>
      <c r="BB571" t="s">
        <v>2200</v>
      </c>
      <c r="BC571" t="s">
        <v>442</v>
      </c>
      <c r="DF571" s="15" t="s">
        <v>9458</v>
      </c>
      <c r="DG571" t="s">
        <v>126</v>
      </c>
      <c r="DH571" t="s">
        <v>127</v>
      </c>
      <c r="DI571" t="s">
        <v>443</v>
      </c>
      <c r="DJ571" t="s">
        <v>172</v>
      </c>
      <c r="DK571">
        <v>326000000</v>
      </c>
    </row>
    <row r="572" spans="1:115" x14ac:dyDescent="0.25">
      <c r="A572" t="s">
        <v>2325</v>
      </c>
      <c r="B572" t="s">
        <v>2326</v>
      </c>
      <c r="F572" t="s">
        <v>873</v>
      </c>
      <c r="N572" t="s">
        <v>2327</v>
      </c>
      <c r="U572" t="s">
        <v>1157</v>
      </c>
      <c r="V572" t="s">
        <v>2328</v>
      </c>
      <c r="Z572" s="14">
        <v>44252</v>
      </c>
      <c r="AA572" s="14">
        <v>44295</v>
      </c>
      <c r="AD572" t="s">
        <v>2329</v>
      </c>
      <c r="AL572" t="s">
        <v>122</v>
      </c>
      <c r="AN572">
        <v>22958495000</v>
      </c>
      <c r="AR572">
        <v>6559570000</v>
      </c>
      <c r="AS572">
        <v>16398925000</v>
      </c>
      <c r="BA572" t="s">
        <v>337</v>
      </c>
      <c r="BB572" t="s">
        <v>338</v>
      </c>
      <c r="BC572" t="s">
        <v>242</v>
      </c>
      <c r="DF572" s="15" t="s">
        <v>9459</v>
      </c>
      <c r="DG572" t="s">
        <v>126</v>
      </c>
      <c r="DH572" t="s">
        <v>201</v>
      </c>
      <c r="DI572" t="s">
        <v>279</v>
      </c>
      <c r="DJ572" t="s">
        <v>129</v>
      </c>
      <c r="DK572">
        <v>35000000</v>
      </c>
    </row>
    <row r="573" spans="1:115" x14ac:dyDescent="0.25">
      <c r="A573" t="s">
        <v>2330</v>
      </c>
      <c r="B573" t="s">
        <v>2331</v>
      </c>
      <c r="F573" t="s">
        <v>205</v>
      </c>
      <c r="I573" t="s">
        <v>968</v>
      </c>
      <c r="N573" t="s">
        <v>2332</v>
      </c>
      <c r="U573" t="s">
        <v>2333</v>
      </c>
      <c r="V573" t="s">
        <v>2334</v>
      </c>
      <c r="W573" t="s">
        <v>2335</v>
      </c>
      <c r="Z573" s="14">
        <v>44266</v>
      </c>
      <c r="AA573" s="14">
        <v>44295</v>
      </c>
      <c r="AD573" s="14">
        <v>46387</v>
      </c>
      <c r="AL573" t="s">
        <v>122</v>
      </c>
      <c r="AN573">
        <v>89306024156.245102</v>
      </c>
      <c r="AR573">
        <v>0</v>
      </c>
      <c r="AS573">
        <v>89306024156.245102</v>
      </c>
      <c r="AY573" t="s">
        <v>557</v>
      </c>
      <c r="AZ573" t="s">
        <v>558</v>
      </c>
      <c r="BA573" t="s">
        <v>267</v>
      </c>
      <c r="BB573" t="s">
        <v>267</v>
      </c>
      <c r="BC573" t="s">
        <v>242</v>
      </c>
      <c r="BK573" t="s">
        <v>860</v>
      </c>
      <c r="BM573" t="s">
        <v>861</v>
      </c>
      <c r="BN573" t="s">
        <v>862</v>
      </c>
      <c r="BO573" t="s">
        <v>971</v>
      </c>
      <c r="BP573">
        <v>9.1</v>
      </c>
      <c r="BQ573" t="s">
        <v>864</v>
      </c>
      <c r="DF573" s="15" t="s">
        <v>9460</v>
      </c>
      <c r="DG573" t="s">
        <v>126</v>
      </c>
      <c r="DH573" t="s">
        <v>127</v>
      </c>
      <c r="DI573" t="s">
        <v>443</v>
      </c>
      <c r="DJ573" t="s">
        <v>129</v>
      </c>
      <c r="DK573">
        <v>136146156.16</v>
      </c>
    </row>
    <row r="574" spans="1:115" x14ac:dyDescent="0.25">
      <c r="A574" t="s">
        <v>2336</v>
      </c>
      <c r="B574" t="s">
        <v>2337</v>
      </c>
      <c r="F574" t="s">
        <v>205</v>
      </c>
      <c r="N574" t="s">
        <v>2338</v>
      </c>
      <c r="U574" t="s">
        <v>2339</v>
      </c>
      <c r="V574" t="s">
        <v>2340</v>
      </c>
      <c r="Z574" s="14">
        <v>44259</v>
      </c>
      <c r="AA574" s="14">
        <v>44266</v>
      </c>
      <c r="AD574" s="14">
        <v>46752</v>
      </c>
      <c r="AL574" t="s">
        <v>122</v>
      </c>
      <c r="AN574">
        <v>72155270000</v>
      </c>
      <c r="AR574">
        <v>0</v>
      </c>
      <c r="AS574">
        <v>72155270000</v>
      </c>
      <c r="BA574" t="s">
        <v>689</v>
      </c>
      <c r="BB574" t="s">
        <v>690</v>
      </c>
      <c r="BC574" t="s">
        <v>125</v>
      </c>
      <c r="DF574" s="15" t="s">
        <v>9461</v>
      </c>
      <c r="DG574" t="s">
        <v>126</v>
      </c>
      <c r="DH574" t="s">
        <v>127</v>
      </c>
      <c r="DI574" t="s">
        <v>127</v>
      </c>
      <c r="DJ574" t="s">
        <v>129</v>
      </c>
      <c r="DK574">
        <v>110000000</v>
      </c>
    </row>
    <row r="575" spans="1:115" x14ac:dyDescent="0.25">
      <c r="A575" t="s">
        <v>2341</v>
      </c>
      <c r="B575" t="s">
        <v>2342</v>
      </c>
      <c r="F575" t="s">
        <v>873</v>
      </c>
      <c r="N575" t="s">
        <v>2343</v>
      </c>
      <c r="U575" t="s">
        <v>875</v>
      </c>
      <c r="V575" t="s">
        <v>876</v>
      </c>
      <c r="Z575" s="14">
        <v>44342</v>
      </c>
      <c r="AA575" s="14">
        <v>44362</v>
      </c>
      <c r="AD575" s="14">
        <v>45657</v>
      </c>
      <c r="AL575" t="s">
        <v>200</v>
      </c>
      <c r="AN575">
        <v>14006818893</v>
      </c>
      <c r="AR575">
        <v>6988078993</v>
      </c>
      <c r="AS575">
        <v>7018739900</v>
      </c>
      <c r="BA575" t="s">
        <v>178</v>
      </c>
      <c r="BB575" t="s">
        <v>179</v>
      </c>
      <c r="BC575" t="s">
        <v>125</v>
      </c>
      <c r="DF575" s="15" t="s">
        <v>9378</v>
      </c>
      <c r="DG575" t="s">
        <v>126</v>
      </c>
      <c r="DH575" t="s">
        <v>201</v>
      </c>
      <c r="DI575" t="s">
        <v>279</v>
      </c>
      <c r="DJ575" t="s">
        <v>181</v>
      </c>
      <c r="DK575">
        <v>19600000</v>
      </c>
    </row>
    <row r="576" spans="1:115" x14ac:dyDescent="0.25">
      <c r="A576" t="s">
        <v>2344</v>
      </c>
      <c r="B576" t="s">
        <v>2345</v>
      </c>
      <c r="F576" t="s">
        <v>118</v>
      </c>
      <c r="N576" t="s">
        <v>2346</v>
      </c>
      <c r="U576" t="s">
        <v>176</v>
      </c>
      <c r="Z576" s="14">
        <v>44336</v>
      </c>
      <c r="AA576" s="14">
        <v>44376</v>
      </c>
      <c r="AD576" s="14">
        <v>46387</v>
      </c>
      <c r="AL576" t="s">
        <v>122</v>
      </c>
      <c r="AN576">
        <v>108626479200</v>
      </c>
      <c r="AR576">
        <v>0</v>
      </c>
      <c r="AS576">
        <v>108626479200</v>
      </c>
      <c r="BA576" t="s">
        <v>178</v>
      </c>
      <c r="BB576" t="s">
        <v>179</v>
      </c>
      <c r="BC576" t="s">
        <v>125</v>
      </c>
      <c r="DF576" s="15" t="s">
        <v>9308</v>
      </c>
      <c r="DG576" t="s">
        <v>126</v>
      </c>
      <c r="DH576" t="s">
        <v>127</v>
      </c>
      <c r="DI576" t="s">
        <v>150</v>
      </c>
      <c r="DJ576" t="s">
        <v>181</v>
      </c>
      <c r="DK576">
        <v>165600000</v>
      </c>
    </row>
    <row r="577" spans="1:115" x14ac:dyDescent="0.25">
      <c r="A577" t="s">
        <v>2347</v>
      </c>
      <c r="B577" t="s">
        <v>2348</v>
      </c>
      <c r="F577" t="s">
        <v>205</v>
      </c>
      <c r="I577" t="s">
        <v>952</v>
      </c>
      <c r="N577" t="s">
        <v>2349</v>
      </c>
      <c r="U577" t="s">
        <v>165</v>
      </c>
      <c r="V577" t="s">
        <v>166</v>
      </c>
      <c r="Z577" s="14">
        <v>44266</v>
      </c>
      <c r="AA577" s="14">
        <v>44440</v>
      </c>
      <c r="AD577" s="14">
        <v>46387</v>
      </c>
      <c r="AL577" t="s">
        <v>122</v>
      </c>
      <c r="AN577">
        <v>58268004353</v>
      </c>
      <c r="AR577">
        <v>0</v>
      </c>
      <c r="AS577">
        <v>58268004353</v>
      </c>
      <c r="AY577" t="s">
        <v>557</v>
      </c>
      <c r="AZ577" t="s">
        <v>558</v>
      </c>
      <c r="BA577" t="s">
        <v>168</v>
      </c>
      <c r="BB577" t="s">
        <v>169</v>
      </c>
      <c r="BC577" t="s">
        <v>125</v>
      </c>
      <c r="BK577" t="s">
        <v>860</v>
      </c>
      <c r="BM577" t="s">
        <v>560</v>
      </c>
      <c r="BN577" t="s">
        <v>561</v>
      </c>
      <c r="BO577" t="s">
        <v>562</v>
      </c>
      <c r="BP577">
        <v>6.1</v>
      </c>
      <c r="BQ577" t="s">
        <v>563</v>
      </c>
      <c r="DF577" s="15" t="s">
        <v>9307</v>
      </c>
      <c r="DG577" t="s">
        <v>126</v>
      </c>
      <c r="DH577" t="s">
        <v>127</v>
      </c>
      <c r="DI577" t="s">
        <v>150</v>
      </c>
      <c r="DJ577" t="s">
        <v>151</v>
      </c>
      <c r="DK577">
        <v>88829000</v>
      </c>
    </row>
    <row r="578" spans="1:115" x14ac:dyDescent="0.25">
      <c r="A578" t="s">
        <v>2350</v>
      </c>
      <c r="B578" t="s">
        <v>2351</v>
      </c>
      <c r="F578" t="s">
        <v>216</v>
      </c>
      <c r="I578" t="s">
        <v>1064</v>
      </c>
      <c r="N578" t="s">
        <v>2352</v>
      </c>
      <c r="U578" t="s">
        <v>176</v>
      </c>
      <c r="Z578" s="14">
        <v>44266</v>
      </c>
      <c r="AA578" s="14">
        <v>44440</v>
      </c>
      <c r="AD578" s="14">
        <v>46387</v>
      </c>
      <c r="AL578" t="s">
        <v>624</v>
      </c>
      <c r="AN578">
        <v>27500000000</v>
      </c>
      <c r="AR578">
        <v>0</v>
      </c>
      <c r="AS578">
        <v>27500000000</v>
      </c>
      <c r="AY578" t="s">
        <v>557</v>
      </c>
      <c r="AZ578" t="s">
        <v>558</v>
      </c>
      <c r="BA578" t="s">
        <v>168</v>
      </c>
      <c r="BB578" t="s">
        <v>169</v>
      </c>
      <c r="BC578" t="s">
        <v>125</v>
      </c>
      <c r="BK578" t="s">
        <v>860</v>
      </c>
      <c r="BM578" t="s">
        <v>560</v>
      </c>
      <c r="BN578" t="s">
        <v>561</v>
      </c>
      <c r="BO578" t="s">
        <v>989</v>
      </c>
      <c r="BP578">
        <v>3.8</v>
      </c>
      <c r="BQ578" t="s">
        <v>902</v>
      </c>
      <c r="DF578" s="15" t="s">
        <v>9308</v>
      </c>
      <c r="DG578" t="s">
        <v>126</v>
      </c>
      <c r="DH578" t="s">
        <v>127</v>
      </c>
      <c r="DI578" t="s">
        <v>150</v>
      </c>
      <c r="DJ578" t="s">
        <v>151</v>
      </c>
      <c r="DK578">
        <v>50000000</v>
      </c>
    </row>
    <row r="579" spans="1:115" x14ac:dyDescent="0.25">
      <c r="A579" t="s">
        <v>2353</v>
      </c>
      <c r="B579" t="s">
        <v>2354</v>
      </c>
      <c r="F579" t="s">
        <v>205</v>
      </c>
      <c r="N579" t="s">
        <v>2355</v>
      </c>
      <c r="U579" t="s">
        <v>2356</v>
      </c>
      <c r="V579" t="s">
        <v>2357</v>
      </c>
      <c r="W579" t="s">
        <v>1293</v>
      </c>
      <c r="Z579" s="14">
        <v>44266</v>
      </c>
      <c r="AA579" s="14">
        <v>44383</v>
      </c>
      <c r="AD579" t="s">
        <v>2358</v>
      </c>
      <c r="AL579" t="s">
        <v>624</v>
      </c>
      <c r="AN579">
        <v>27500000000</v>
      </c>
      <c r="AR579">
        <v>0</v>
      </c>
      <c r="AS579">
        <v>27500000000</v>
      </c>
      <c r="BA579" t="s">
        <v>305</v>
      </c>
      <c r="BB579" t="s">
        <v>306</v>
      </c>
      <c r="BC579" t="s">
        <v>125</v>
      </c>
      <c r="DF579" s="15" t="s">
        <v>9462</v>
      </c>
      <c r="DG579" t="s">
        <v>126</v>
      </c>
      <c r="DH579" t="s">
        <v>127</v>
      </c>
      <c r="DI579" t="s">
        <v>150</v>
      </c>
      <c r="DJ579" t="s">
        <v>151</v>
      </c>
      <c r="DK579">
        <v>50000000</v>
      </c>
    </row>
    <row r="580" spans="1:115" x14ac:dyDescent="0.25">
      <c r="A580" t="s">
        <v>2359</v>
      </c>
      <c r="B580" t="s">
        <v>2360</v>
      </c>
      <c r="F580" t="s">
        <v>190</v>
      </c>
      <c r="I580" t="s">
        <v>856</v>
      </c>
      <c r="N580" t="s">
        <v>2361</v>
      </c>
      <c r="U580" t="s">
        <v>2362</v>
      </c>
      <c r="Z580" s="14">
        <v>44326</v>
      </c>
      <c r="AA580" s="14">
        <v>44476</v>
      </c>
      <c r="AD580" s="14">
        <v>46752</v>
      </c>
      <c r="AL580" t="s">
        <v>122</v>
      </c>
      <c r="AN580">
        <v>16822017265</v>
      </c>
      <c r="AR580">
        <v>4542502225</v>
      </c>
      <c r="AS580">
        <v>12279515040</v>
      </c>
      <c r="AY580" t="s">
        <v>557</v>
      </c>
      <c r="AZ580" t="s">
        <v>859</v>
      </c>
      <c r="BA580" t="s">
        <v>448</v>
      </c>
      <c r="BB580" t="s">
        <v>449</v>
      </c>
      <c r="BC580" t="s">
        <v>125</v>
      </c>
      <c r="BK580" t="s">
        <v>860</v>
      </c>
      <c r="BM580" t="s">
        <v>861</v>
      </c>
      <c r="BN580" t="s">
        <v>862</v>
      </c>
      <c r="BO580" t="s">
        <v>863</v>
      </c>
      <c r="BP580">
        <v>2.2999999999999998</v>
      </c>
      <c r="BQ580" t="s">
        <v>864</v>
      </c>
      <c r="DF580" s="15" t="s">
        <v>9463</v>
      </c>
      <c r="DG580" t="s">
        <v>317</v>
      </c>
      <c r="DH580" t="s">
        <v>201</v>
      </c>
      <c r="DI580" t="s">
        <v>279</v>
      </c>
      <c r="DJ580" t="s">
        <v>129</v>
      </c>
      <c r="DK580">
        <v>25645000</v>
      </c>
    </row>
    <row r="581" spans="1:115" x14ac:dyDescent="0.25">
      <c r="A581" t="s">
        <v>2363</v>
      </c>
      <c r="B581" t="s">
        <v>2364</v>
      </c>
      <c r="F581" t="s">
        <v>190</v>
      </c>
      <c r="I581" t="s">
        <v>856</v>
      </c>
      <c r="N581" t="s">
        <v>2365</v>
      </c>
      <c r="U581" t="s">
        <v>2362</v>
      </c>
      <c r="Z581" s="14">
        <v>44266</v>
      </c>
      <c r="AA581" s="14">
        <v>44453</v>
      </c>
      <c r="AD581" s="14">
        <v>46752</v>
      </c>
      <c r="AL581" t="s">
        <v>624</v>
      </c>
      <c r="AN581">
        <v>8250000000</v>
      </c>
      <c r="AR581">
        <v>0</v>
      </c>
      <c r="AS581">
        <v>8250000000</v>
      </c>
      <c r="AY581" t="s">
        <v>557</v>
      </c>
      <c r="AZ581" t="s">
        <v>859</v>
      </c>
      <c r="BA581" t="s">
        <v>148</v>
      </c>
      <c r="BB581" t="s">
        <v>149</v>
      </c>
      <c r="BC581" t="s">
        <v>125</v>
      </c>
      <c r="BK581" t="s">
        <v>860</v>
      </c>
      <c r="BM581" t="s">
        <v>861</v>
      </c>
      <c r="BN581" t="s">
        <v>862</v>
      </c>
      <c r="BO581" t="s">
        <v>863</v>
      </c>
      <c r="BP581">
        <v>2.2999999999999998</v>
      </c>
      <c r="BQ581" t="s">
        <v>864</v>
      </c>
      <c r="DF581" s="15" t="s">
        <v>9463</v>
      </c>
      <c r="DG581" t="s">
        <v>317</v>
      </c>
      <c r="DH581" t="s">
        <v>127</v>
      </c>
      <c r="DI581" t="s">
        <v>150</v>
      </c>
      <c r="DJ581" t="s">
        <v>151</v>
      </c>
      <c r="DK581">
        <v>15000000</v>
      </c>
    </row>
    <row r="582" spans="1:115" x14ac:dyDescent="0.25">
      <c r="A582" t="s">
        <v>2366</v>
      </c>
      <c r="B582" t="s">
        <v>2367</v>
      </c>
      <c r="F582" t="s">
        <v>190</v>
      </c>
      <c r="N582" t="s">
        <v>2368</v>
      </c>
      <c r="U582" t="s">
        <v>176</v>
      </c>
      <c r="Z582" s="14">
        <v>44252</v>
      </c>
      <c r="AA582" s="14">
        <v>44453</v>
      </c>
      <c r="AD582" s="14">
        <v>45930</v>
      </c>
      <c r="AL582" t="s">
        <v>624</v>
      </c>
      <c r="AN582">
        <v>1138097400</v>
      </c>
      <c r="AR582">
        <v>1138097400</v>
      </c>
      <c r="AS582">
        <v>0</v>
      </c>
      <c r="BA582" t="s">
        <v>448</v>
      </c>
      <c r="BB582" t="s">
        <v>449</v>
      </c>
      <c r="BC582" t="s">
        <v>125</v>
      </c>
      <c r="DF582" s="15" t="s">
        <v>9308</v>
      </c>
      <c r="DG582" t="s">
        <v>126</v>
      </c>
      <c r="DH582" t="s">
        <v>159</v>
      </c>
      <c r="DI582" t="s">
        <v>159</v>
      </c>
      <c r="DJ582" t="s">
        <v>129</v>
      </c>
      <c r="DK582">
        <v>1896829</v>
      </c>
    </row>
    <row r="583" spans="1:115" x14ac:dyDescent="0.25">
      <c r="A583" t="s">
        <v>2369</v>
      </c>
      <c r="B583" t="s">
        <v>2370</v>
      </c>
      <c r="F583" t="s">
        <v>205</v>
      </c>
      <c r="N583" t="s">
        <v>2371</v>
      </c>
      <c r="U583" t="s">
        <v>165</v>
      </c>
      <c r="V583" t="s">
        <v>166</v>
      </c>
      <c r="Z583" s="14">
        <v>44266</v>
      </c>
      <c r="AA583" s="14">
        <v>44519</v>
      </c>
      <c r="AD583" s="14">
        <v>46022</v>
      </c>
      <c r="AL583" t="s">
        <v>122</v>
      </c>
      <c r="AN583">
        <v>115664897810</v>
      </c>
      <c r="AR583">
        <v>0</v>
      </c>
      <c r="AS583">
        <v>115664897810</v>
      </c>
      <c r="BA583" t="s">
        <v>1148</v>
      </c>
      <c r="BB583" t="s">
        <v>1148</v>
      </c>
      <c r="BC583" t="s">
        <v>242</v>
      </c>
      <c r="DF583" s="15" t="s">
        <v>9307</v>
      </c>
      <c r="DG583" t="s">
        <v>126</v>
      </c>
      <c r="DH583" t="s">
        <v>127</v>
      </c>
      <c r="DI583" t="s">
        <v>824</v>
      </c>
      <c r="DJ583" t="s">
        <v>172</v>
      </c>
      <c r="DK583">
        <v>176330000</v>
      </c>
    </row>
    <row r="584" spans="1:115" x14ac:dyDescent="0.25">
      <c r="A584" t="s">
        <v>2372</v>
      </c>
      <c r="B584" t="s">
        <v>2373</v>
      </c>
      <c r="F584" t="s">
        <v>205</v>
      </c>
      <c r="N584" t="s">
        <v>2374</v>
      </c>
      <c r="U584" t="s">
        <v>1797</v>
      </c>
      <c r="V584" t="s">
        <v>1798</v>
      </c>
      <c r="W584" t="s">
        <v>1799</v>
      </c>
      <c r="Z584" s="14">
        <v>44266</v>
      </c>
      <c r="AA584" s="14">
        <v>44511</v>
      </c>
      <c r="AD584" s="14">
        <v>46022</v>
      </c>
      <c r="AL584" t="s">
        <v>122</v>
      </c>
      <c r="AN584">
        <v>8002675400</v>
      </c>
      <c r="AR584">
        <v>0</v>
      </c>
      <c r="AS584">
        <v>8002675400</v>
      </c>
      <c r="BA584" t="s">
        <v>1800</v>
      </c>
      <c r="BB584" t="s">
        <v>1800</v>
      </c>
      <c r="BC584" t="s">
        <v>242</v>
      </c>
      <c r="DF584" s="15" t="s">
        <v>9442</v>
      </c>
      <c r="DG584" t="s">
        <v>126</v>
      </c>
      <c r="DH584" t="s">
        <v>127</v>
      </c>
      <c r="DI584" t="s">
        <v>824</v>
      </c>
      <c r="DJ584" t="s">
        <v>172</v>
      </c>
      <c r="DK584">
        <v>12200000</v>
      </c>
    </row>
    <row r="585" spans="1:115" x14ac:dyDescent="0.25">
      <c r="A585" t="s">
        <v>2375</v>
      </c>
      <c r="B585" t="s">
        <v>2376</v>
      </c>
      <c r="F585" t="s">
        <v>216</v>
      </c>
      <c r="N585" t="s">
        <v>2377</v>
      </c>
      <c r="U585" t="s">
        <v>176</v>
      </c>
      <c r="Z585" s="14">
        <v>44302</v>
      </c>
      <c r="AA585" s="14">
        <v>44391</v>
      </c>
      <c r="AD585" s="14">
        <v>45657</v>
      </c>
      <c r="AL585" t="s">
        <v>200</v>
      </c>
      <c r="AN585">
        <v>16383866800</v>
      </c>
      <c r="AR585">
        <v>8250000000</v>
      </c>
      <c r="AS585">
        <v>8133866800</v>
      </c>
      <c r="BA585" t="s">
        <v>178</v>
      </c>
      <c r="BB585" t="s">
        <v>179</v>
      </c>
      <c r="BC585" t="s">
        <v>125</v>
      </c>
      <c r="DF585" s="15" t="s">
        <v>9308</v>
      </c>
      <c r="DG585" t="s">
        <v>126</v>
      </c>
      <c r="DH585" t="s">
        <v>201</v>
      </c>
      <c r="DI585" t="s">
        <v>279</v>
      </c>
      <c r="DJ585" t="s">
        <v>181</v>
      </c>
      <c r="DK585">
        <v>22800000</v>
      </c>
    </row>
    <row r="586" spans="1:115" x14ac:dyDescent="0.25">
      <c r="A586" t="s">
        <v>2378</v>
      </c>
      <c r="B586" t="s">
        <v>2379</v>
      </c>
      <c r="F586" t="s">
        <v>190</v>
      </c>
      <c r="N586" t="s">
        <v>2380</v>
      </c>
      <c r="U586" t="s">
        <v>176</v>
      </c>
      <c r="Z586" s="14">
        <v>44252</v>
      </c>
      <c r="AA586" s="14">
        <v>44552</v>
      </c>
      <c r="AD586" s="14">
        <v>46193</v>
      </c>
      <c r="AL586" t="s">
        <v>122</v>
      </c>
      <c r="AN586">
        <v>13119140000</v>
      </c>
      <c r="AR586">
        <v>3279785000</v>
      </c>
      <c r="AS586">
        <v>9839355000</v>
      </c>
      <c r="BA586" t="s">
        <v>337</v>
      </c>
      <c r="BB586" t="s">
        <v>338</v>
      </c>
      <c r="BC586" t="s">
        <v>242</v>
      </c>
      <c r="DF586" s="15" t="s">
        <v>9308</v>
      </c>
      <c r="DG586" t="s">
        <v>126</v>
      </c>
      <c r="DH586" t="s">
        <v>201</v>
      </c>
      <c r="DI586" t="s">
        <v>279</v>
      </c>
      <c r="DJ586" t="s">
        <v>129</v>
      </c>
      <c r="DK586">
        <v>20000000</v>
      </c>
    </row>
    <row r="587" spans="1:115" x14ac:dyDescent="0.25">
      <c r="A587" t="s">
        <v>2381</v>
      </c>
      <c r="B587" t="s">
        <v>2382</v>
      </c>
      <c r="F587" t="s">
        <v>205</v>
      </c>
      <c r="N587" t="s">
        <v>2383</v>
      </c>
      <c r="U587" t="s">
        <v>1284</v>
      </c>
      <c r="V587" t="s">
        <v>1285</v>
      </c>
      <c r="Z587" s="14">
        <v>44328</v>
      </c>
      <c r="AA587" s="14">
        <v>44458</v>
      </c>
      <c r="AD587" s="14">
        <v>46022</v>
      </c>
      <c r="AL587" t="s">
        <v>2384</v>
      </c>
      <c r="AN587">
        <v>13159570000</v>
      </c>
      <c r="AR587">
        <v>6600000000</v>
      </c>
      <c r="AS587">
        <v>6559570000</v>
      </c>
      <c r="BA587" t="s">
        <v>178</v>
      </c>
      <c r="BB587" t="s">
        <v>179</v>
      </c>
      <c r="BC587" t="s">
        <v>125</v>
      </c>
      <c r="DF587" s="15" t="s">
        <v>9410</v>
      </c>
      <c r="DG587" t="s">
        <v>126</v>
      </c>
      <c r="DH587" t="s">
        <v>201</v>
      </c>
      <c r="DI587" t="s">
        <v>279</v>
      </c>
      <c r="DJ587" t="s">
        <v>181</v>
      </c>
      <c r="DK587">
        <v>22000000</v>
      </c>
    </row>
    <row r="588" spans="1:115" x14ac:dyDescent="0.25">
      <c r="A588" t="s">
        <v>2385</v>
      </c>
      <c r="B588" t="s">
        <v>2386</v>
      </c>
      <c r="F588" t="s">
        <v>118</v>
      </c>
      <c r="N588" t="s">
        <v>2387</v>
      </c>
      <c r="U588" t="s">
        <v>176</v>
      </c>
      <c r="Z588" s="14">
        <v>44266</v>
      </c>
      <c r="AA588" s="14">
        <v>44561</v>
      </c>
      <c r="AD588" s="14">
        <v>46387</v>
      </c>
      <c r="AL588" t="s">
        <v>122</v>
      </c>
      <c r="AN588">
        <v>36077635000</v>
      </c>
      <c r="AR588">
        <v>13119140000</v>
      </c>
      <c r="AS588">
        <v>22958495000</v>
      </c>
      <c r="BA588" t="s">
        <v>337</v>
      </c>
      <c r="BB588" t="s">
        <v>338</v>
      </c>
      <c r="BC588" t="s">
        <v>242</v>
      </c>
      <c r="DF588" s="15" t="s">
        <v>9308</v>
      </c>
      <c r="DG588" t="s">
        <v>126</v>
      </c>
      <c r="DH588" t="s">
        <v>201</v>
      </c>
      <c r="DI588" t="s">
        <v>279</v>
      </c>
      <c r="DJ588" t="s">
        <v>129</v>
      </c>
      <c r="DK588">
        <v>55000000</v>
      </c>
    </row>
    <row r="589" spans="1:115" x14ac:dyDescent="0.25">
      <c r="A589" t="s">
        <v>2388</v>
      </c>
      <c r="B589" t="s">
        <v>2389</v>
      </c>
      <c r="F589" t="s">
        <v>526</v>
      </c>
      <c r="N589" t="s">
        <v>2390</v>
      </c>
      <c r="U589" t="s">
        <v>176</v>
      </c>
      <c r="Z589" s="14">
        <v>44362</v>
      </c>
      <c r="AA589" s="14">
        <v>44561</v>
      </c>
      <c r="AD589" s="14">
        <v>46752</v>
      </c>
      <c r="AL589" t="s">
        <v>122</v>
      </c>
      <c r="AN589">
        <v>132306526900</v>
      </c>
      <c r="AR589">
        <v>0</v>
      </c>
      <c r="AS589">
        <v>132306526900</v>
      </c>
      <c r="BA589" t="s">
        <v>178</v>
      </c>
      <c r="BB589" t="s">
        <v>179</v>
      </c>
      <c r="BC589" t="s">
        <v>125</v>
      </c>
      <c r="DF589" s="15" t="s">
        <v>9308</v>
      </c>
      <c r="DG589" t="s">
        <v>126</v>
      </c>
      <c r="DH589" t="s">
        <v>127</v>
      </c>
      <c r="DI589" t="s">
        <v>150</v>
      </c>
      <c r="DJ589" t="s">
        <v>372</v>
      </c>
      <c r="DK589">
        <v>201700000</v>
      </c>
    </row>
    <row r="590" spans="1:115" x14ac:dyDescent="0.25">
      <c r="A590" t="s">
        <v>2391</v>
      </c>
      <c r="B590" t="s">
        <v>2392</v>
      </c>
      <c r="F590" t="s">
        <v>205</v>
      </c>
      <c r="N590" t="s">
        <v>2393</v>
      </c>
      <c r="U590" t="s">
        <v>165</v>
      </c>
      <c r="V590" t="s">
        <v>166</v>
      </c>
      <c r="Z590" s="14">
        <v>44266</v>
      </c>
      <c r="AA590" s="14">
        <v>44547</v>
      </c>
      <c r="AD590" s="14">
        <v>46387</v>
      </c>
      <c r="AL590" t="s">
        <v>122</v>
      </c>
      <c r="AN590">
        <v>17710839000</v>
      </c>
      <c r="AR590">
        <v>0</v>
      </c>
      <c r="AS590">
        <v>17710839000</v>
      </c>
      <c r="BA590" t="s">
        <v>689</v>
      </c>
      <c r="BB590" t="s">
        <v>690</v>
      </c>
      <c r="BC590" t="s">
        <v>125</v>
      </c>
      <c r="DF590" s="15" t="s">
        <v>9307</v>
      </c>
      <c r="DG590" t="s">
        <v>126</v>
      </c>
      <c r="DH590" t="s">
        <v>127</v>
      </c>
      <c r="DI590" t="s">
        <v>127</v>
      </c>
      <c r="DJ590" t="s">
        <v>326</v>
      </c>
      <c r="DK590">
        <v>27000000</v>
      </c>
    </row>
    <row r="591" spans="1:115" x14ac:dyDescent="0.25">
      <c r="A591" t="s">
        <v>2394</v>
      </c>
      <c r="B591" t="s">
        <v>2395</v>
      </c>
      <c r="F591" t="s">
        <v>205</v>
      </c>
      <c r="N591" t="s">
        <v>2396</v>
      </c>
      <c r="U591" t="s">
        <v>2339</v>
      </c>
      <c r="V591" t="s">
        <v>2340</v>
      </c>
      <c r="Z591" s="14">
        <v>44266</v>
      </c>
      <c r="AA591" s="14">
        <v>44536</v>
      </c>
      <c r="AD591" s="14">
        <v>46387</v>
      </c>
      <c r="AL591" t="s">
        <v>122</v>
      </c>
      <c r="AN591">
        <v>9799997580</v>
      </c>
      <c r="AR591">
        <v>0</v>
      </c>
      <c r="AS591">
        <v>9799997580</v>
      </c>
      <c r="BA591" t="s">
        <v>689</v>
      </c>
      <c r="BB591" t="s">
        <v>690</v>
      </c>
      <c r="BC591" t="s">
        <v>125</v>
      </c>
      <c r="DF591" s="15" t="s">
        <v>9461</v>
      </c>
      <c r="DG591" t="s">
        <v>126</v>
      </c>
      <c r="DH591" t="s">
        <v>127</v>
      </c>
      <c r="DI591" t="s">
        <v>127</v>
      </c>
      <c r="DJ591" t="s">
        <v>326</v>
      </c>
      <c r="DK591">
        <v>14940000</v>
      </c>
    </row>
    <row r="592" spans="1:115" x14ac:dyDescent="0.25">
      <c r="A592" t="s">
        <v>2397</v>
      </c>
      <c r="B592" t="s">
        <v>2398</v>
      </c>
      <c r="F592" t="s">
        <v>216</v>
      </c>
      <c r="I592" t="s">
        <v>1131</v>
      </c>
      <c r="N592" t="s">
        <v>2399</v>
      </c>
      <c r="U592" t="s">
        <v>176</v>
      </c>
      <c r="Z592" s="14">
        <v>44266</v>
      </c>
      <c r="AA592" s="14">
        <v>44547</v>
      </c>
      <c r="AD592" s="14">
        <v>45657</v>
      </c>
      <c r="AL592" t="s">
        <v>122</v>
      </c>
      <c r="AN592">
        <v>29518065000</v>
      </c>
      <c r="AR592">
        <v>0</v>
      </c>
      <c r="AS592">
        <v>29518065000</v>
      </c>
      <c r="AY592" t="s">
        <v>557</v>
      </c>
      <c r="AZ592" t="s">
        <v>558</v>
      </c>
      <c r="BA592" t="s">
        <v>689</v>
      </c>
      <c r="BB592" t="s">
        <v>690</v>
      </c>
      <c r="BC592" t="s">
        <v>125</v>
      </c>
      <c r="BK592" t="s">
        <v>860</v>
      </c>
      <c r="BM592" t="s">
        <v>560</v>
      </c>
      <c r="BN592" t="s">
        <v>561</v>
      </c>
      <c r="BO592" t="s">
        <v>1022</v>
      </c>
      <c r="BP592">
        <v>1.3</v>
      </c>
      <c r="BQ592" t="s">
        <v>902</v>
      </c>
      <c r="DF592" s="15" t="s">
        <v>9308</v>
      </c>
      <c r="DG592" t="s">
        <v>126</v>
      </c>
      <c r="DH592" t="s">
        <v>127</v>
      </c>
      <c r="DI592" t="s">
        <v>127</v>
      </c>
      <c r="DJ592" t="s">
        <v>326</v>
      </c>
      <c r="DK592">
        <v>45000000</v>
      </c>
    </row>
    <row r="593" spans="1:115" x14ac:dyDescent="0.25">
      <c r="A593" t="s">
        <v>2400</v>
      </c>
      <c r="B593" t="s">
        <v>2401</v>
      </c>
      <c r="F593" t="s">
        <v>163</v>
      </c>
      <c r="I593" t="s">
        <v>1033</v>
      </c>
      <c r="N593" t="s">
        <v>2402</v>
      </c>
      <c r="U593" t="s">
        <v>176</v>
      </c>
      <c r="Z593" s="14">
        <v>44197</v>
      </c>
      <c r="AA593" s="14">
        <v>44547</v>
      </c>
      <c r="AD593" s="14">
        <v>44926</v>
      </c>
      <c r="AL593" t="s">
        <v>122</v>
      </c>
      <c r="AN593">
        <v>28206151000</v>
      </c>
      <c r="AR593">
        <v>0</v>
      </c>
      <c r="AS593">
        <v>28206151000</v>
      </c>
      <c r="AY593" t="s">
        <v>557</v>
      </c>
      <c r="AZ593" t="s">
        <v>558</v>
      </c>
      <c r="BA593" t="s">
        <v>178</v>
      </c>
      <c r="BB593" t="s">
        <v>179</v>
      </c>
      <c r="BC593" t="s">
        <v>125</v>
      </c>
      <c r="BK593" t="s">
        <v>860</v>
      </c>
      <c r="BM593" t="s">
        <v>861</v>
      </c>
      <c r="BN593" t="s">
        <v>1046</v>
      </c>
      <c r="BO593" t="s">
        <v>1036</v>
      </c>
      <c r="BP593">
        <v>16.600000000000001</v>
      </c>
      <c r="BQ593" t="s">
        <v>902</v>
      </c>
      <c r="DF593" s="15" t="s">
        <v>9308</v>
      </c>
      <c r="DG593" t="s">
        <v>1335</v>
      </c>
      <c r="DH593" t="s">
        <v>127</v>
      </c>
      <c r="DI593" t="s">
        <v>1252</v>
      </c>
      <c r="DJ593" t="s">
        <v>372</v>
      </c>
      <c r="DK593">
        <v>43000000</v>
      </c>
    </row>
    <row r="594" spans="1:115" x14ac:dyDescent="0.25">
      <c r="A594" t="s">
        <v>2403</v>
      </c>
      <c r="B594" t="s">
        <v>2404</v>
      </c>
      <c r="F594" t="s">
        <v>216</v>
      </c>
      <c r="N594" t="s">
        <v>2405</v>
      </c>
      <c r="U594" t="s">
        <v>176</v>
      </c>
      <c r="Z594" s="14">
        <v>44253</v>
      </c>
      <c r="AA594" s="14">
        <v>44344</v>
      </c>
      <c r="AD594" s="14">
        <v>45107</v>
      </c>
      <c r="AL594" t="s">
        <v>624</v>
      </c>
      <c r="AN594">
        <v>518571350</v>
      </c>
      <c r="AR594">
        <v>518571350</v>
      </c>
      <c r="AS594">
        <v>0</v>
      </c>
      <c r="BA594" t="s">
        <v>178</v>
      </c>
      <c r="BB594" t="s">
        <v>179</v>
      </c>
      <c r="BC594" t="s">
        <v>125</v>
      </c>
      <c r="DF594" s="15" t="s">
        <v>9308</v>
      </c>
      <c r="DG594" t="s">
        <v>625</v>
      </c>
      <c r="DH594" t="s">
        <v>159</v>
      </c>
      <c r="DI594" t="s">
        <v>159</v>
      </c>
      <c r="DJ594" t="s">
        <v>372</v>
      </c>
      <c r="DK594">
        <v>942857</v>
      </c>
    </row>
    <row r="595" spans="1:115" x14ac:dyDescent="0.25">
      <c r="A595" t="s">
        <v>2406</v>
      </c>
      <c r="B595" t="s">
        <v>2407</v>
      </c>
      <c r="F595" t="s">
        <v>526</v>
      </c>
      <c r="N595" t="s">
        <v>2408</v>
      </c>
      <c r="U595" t="s">
        <v>176</v>
      </c>
      <c r="Z595" s="14">
        <v>44362</v>
      </c>
      <c r="AA595" s="14">
        <v>44364</v>
      </c>
      <c r="AD595" s="14">
        <v>46752</v>
      </c>
      <c r="AL595" t="s">
        <v>177</v>
      </c>
      <c r="AN595">
        <v>36602400600</v>
      </c>
      <c r="AR595">
        <v>36602400600</v>
      </c>
      <c r="AS595">
        <v>0</v>
      </c>
      <c r="BA595" t="s">
        <v>178</v>
      </c>
      <c r="BB595" t="s">
        <v>179</v>
      </c>
      <c r="BC595" t="s">
        <v>125</v>
      </c>
      <c r="DF595" s="15" t="s">
        <v>9308</v>
      </c>
      <c r="DG595" t="s">
        <v>126</v>
      </c>
      <c r="DH595" t="s">
        <v>159</v>
      </c>
      <c r="DI595" t="s">
        <v>159</v>
      </c>
      <c r="DJ595" t="s">
        <v>372</v>
      </c>
      <c r="DK595">
        <v>46000000</v>
      </c>
    </row>
    <row r="596" spans="1:115" x14ac:dyDescent="0.25">
      <c r="A596" t="s">
        <v>2409</v>
      </c>
      <c r="B596" t="s">
        <v>2410</v>
      </c>
      <c r="F596" t="s">
        <v>142</v>
      </c>
      <c r="I596" t="s">
        <v>968</v>
      </c>
      <c r="N596" t="s">
        <v>2411</v>
      </c>
      <c r="U596" t="s">
        <v>165</v>
      </c>
      <c r="V596" t="s">
        <v>166</v>
      </c>
      <c r="W596" t="s">
        <v>1793</v>
      </c>
      <c r="Z596" s="14">
        <v>44222</v>
      </c>
      <c r="AA596" s="14">
        <v>44279</v>
      </c>
      <c r="AD596" s="14">
        <v>46022</v>
      </c>
      <c r="AL596" t="s">
        <v>2412</v>
      </c>
      <c r="AN596">
        <v>18413400000</v>
      </c>
      <c r="AR596">
        <v>18413400000</v>
      </c>
      <c r="AS596">
        <v>0</v>
      </c>
      <c r="AY596" t="s">
        <v>557</v>
      </c>
      <c r="AZ596" t="s">
        <v>880</v>
      </c>
      <c r="BA596" t="s">
        <v>892</v>
      </c>
      <c r="BB596" t="s">
        <v>893</v>
      </c>
      <c r="BC596" t="s">
        <v>242</v>
      </c>
      <c r="BK596" t="s">
        <v>860</v>
      </c>
      <c r="BM596" t="s">
        <v>861</v>
      </c>
      <c r="BN596" t="s">
        <v>862</v>
      </c>
      <c r="BO596" t="s">
        <v>971</v>
      </c>
      <c r="BP596">
        <v>9.1</v>
      </c>
      <c r="BQ596" t="s">
        <v>864</v>
      </c>
      <c r="DF596" s="15" t="s">
        <v>9441</v>
      </c>
      <c r="DG596" t="s">
        <v>126</v>
      </c>
      <c r="DH596" t="s">
        <v>159</v>
      </c>
      <c r="DI596" t="s">
        <v>159</v>
      </c>
      <c r="DJ596" t="s">
        <v>172</v>
      </c>
      <c r="DK596">
        <v>3552000000</v>
      </c>
    </row>
    <row r="597" spans="1:115" x14ac:dyDescent="0.25">
      <c r="A597" t="s">
        <v>2413</v>
      </c>
      <c r="B597" t="s">
        <v>2414</v>
      </c>
      <c r="F597" t="s">
        <v>263</v>
      </c>
      <c r="N597" t="s">
        <v>2415</v>
      </c>
      <c r="U597" t="s">
        <v>2416</v>
      </c>
      <c r="V597" t="s">
        <v>2417</v>
      </c>
      <c r="Z597" s="14">
        <v>44222</v>
      </c>
      <c r="AA597" s="14">
        <v>44266</v>
      </c>
      <c r="AD597" s="14">
        <v>46022</v>
      </c>
      <c r="AL597" t="s">
        <v>2412</v>
      </c>
      <c r="AN597">
        <v>668731000</v>
      </c>
      <c r="AR597">
        <v>668731000</v>
      </c>
      <c r="AS597">
        <v>0</v>
      </c>
      <c r="BA597" t="s">
        <v>892</v>
      </c>
      <c r="BB597" t="s">
        <v>893</v>
      </c>
      <c r="BC597" t="s">
        <v>242</v>
      </c>
      <c r="DF597" s="15" t="s">
        <v>9464</v>
      </c>
      <c r="DG597" t="s">
        <v>126</v>
      </c>
      <c r="DH597" t="s">
        <v>159</v>
      </c>
      <c r="DI597" t="s">
        <v>159</v>
      </c>
      <c r="DJ597" t="s">
        <v>326</v>
      </c>
      <c r="DK597">
        <v>129000000</v>
      </c>
    </row>
    <row r="598" spans="1:115" x14ac:dyDescent="0.25">
      <c r="A598" t="s">
        <v>2418</v>
      </c>
      <c r="B598" t="s">
        <v>2419</v>
      </c>
      <c r="F598" t="s">
        <v>263</v>
      </c>
      <c r="N598" t="s">
        <v>2420</v>
      </c>
      <c r="U598" t="s">
        <v>2416</v>
      </c>
      <c r="V598" t="s">
        <v>2417</v>
      </c>
      <c r="Z598" s="14">
        <v>44266</v>
      </c>
      <c r="AA598" s="14">
        <v>44516</v>
      </c>
      <c r="AD598" s="14">
        <v>46752</v>
      </c>
      <c r="AL598" t="s">
        <v>2412</v>
      </c>
      <c r="AN598">
        <v>16345800000</v>
      </c>
      <c r="AR598">
        <v>16345800000</v>
      </c>
      <c r="AS598">
        <v>0</v>
      </c>
      <c r="BA598" t="s">
        <v>892</v>
      </c>
      <c r="BB598" t="s">
        <v>893</v>
      </c>
      <c r="BC598" t="s">
        <v>242</v>
      </c>
      <c r="DF598" s="15" t="s">
        <v>9464</v>
      </c>
      <c r="DG598" t="s">
        <v>126</v>
      </c>
      <c r="DH598" t="s">
        <v>159</v>
      </c>
      <c r="DI598" t="s">
        <v>159</v>
      </c>
      <c r="DJ598" t="s">
        <v>326</v>
      </c>
      <c r="DK598">
        <v>3218000000</v>
      </c>
    </row>
    <row r="599" spans="1:115" x14ac:dyDescent="0.25">
      <c r="A599" t="s">
        <v>2421</v>
      </c>
      <c r="B599" t="s">
        <v>2422</v>
      </c>
      <c r="F599" t="s">
        <v>190</v>
      </c>
      <c r="I599" t="s">
        <v>856</v>
      </c>
      <c r="N599" t="s">
        <v>2423</v>
      </c>
      <c r="U599" t="s">
        <v>176</v>
      </c>
      <c r="Z599" s="14">
        <v>44210</v>
      </c>
      <c r="AA599" s="14">
        <v>44539</v>
      </c>
      <c r="AD599" s="14">
        <v>46387</v>
      </c>
      <c r="AL599" t="s">
        <v>122</v>
      </c>
      <c r="AN599">
        <v>2961418237.921</v>
      </c>
      <c r="AR599">
        <v>2961418237.921</v>
      </c>
      <c r="AS599">
        <v>0</v>
      </c>
      <c r="AY599" t="s">
        <v>557</v>
      </c>
      <c r="AZ599" t="s">
        <v>880</v>
      </c>
      <c r="BA599" t="s">
        <v>240</v>
      </c>
      <c r="BB599" t="s">
        <v>241</v>
      </c>
      <c r="BC599" t="s">
        <v>242</v>
      </c>
      <c r="BK599" t="s">
        <v>860</v>
      </c>
      <c r="BM599" t="s">
        <v>861</v>
      </c>
      <c r="BN599" t="s">
        <v>862</v>
      </c>
      <c r="BO599" t="s">
        <v>863</v>
      </c>
      <c r="BP599">
        <v>2.2999999999999998</v>
      </c>
      <c r="BQ599" t="s">
        <v>864</v>
      </c>
      <c r="DF599" s="15" t="s">
        <v>9308</v>
      </c>
      <c r="DG599" t="s">
        <v>126</v>
      </c>
      <c r="DH599" t="s">
        <v>159</v>
      </c>
      <c r="DI599" t="s">
        <v>159</v>
      </c>
      <c r="DJ599" t="s">
        <v>326</v>
      </c>
      <c r="DK599">
        <v>4514653</v>
      </c>
    </row>
    <row r="600" spans="1:115" x14ac:dyDescent="0.25">
      <c r="A600" t="s">
        <v>2424</v>
      </c>
      <c r="B600" t="s">
        <v>1333</v>
      </c>
      <c r="F600" t="s">
        <v>163</v>
      </c>
      <c r="I600" t="s">
        <v>1033</v>
      </c>
      <c r="N600" t="s">
        <v>2425</v>
      </c>
      <c r="U600" t="s">
        <v>176</v>
      </c>
      <c r="Z600" s="14">
        <v>44210</v>
      </c>
      <c r="AA600" s="14">
        <v>44211</v>
      </c>
      <c r="AD600" s="14">
        <v>44926</v>
      </c>
      <c r="AL600" t="s">
        <v>122</v>
      </c>
      <c r="AN600">
        <v>13447118500</v>
      </c>
      <c r="AR600">
        <v>13447118500</v>
      </c>
      <c r="AS600">
        <v>0</v>
      </c>
      <c r="AY600" t="s">
        <v>557</v>
      </c>
      <c r="AZ600" t="s">
        <v>880</v>
      </c>
      <c r="BA600" t="s">
        <v>574</v>
      </c>
      <c r="BB600" t="s">
        <v>575</v>
      </c>
      <c r="BC600" t="s">
        <v>125</v>
      </c>
      <c r="BK600" t="s">
        <v>860</v>
      </c>
      <c r="BM600" t="s">
        <v>861</v>
      </c>
      <c r="BN600" t="s">
        <v>1046</v>
      </c>
      <c r="BO600" t="s">
        <v>1036</v>
      </c>
      <c r="BP600">
        <v>16.600000000000001</v>
      </c>
      <c r="BQ600" t="s">
        <v>902</v>
      </c>
      <c r="DF600" s="15" t="s">
        <v>9308</v>
      </c>
      <c r="DG600" t="s">
        <v>1335</v>
      </c>
      <c r="DH600" t="s">
        <v>159</v>
      </c>
      <c r="DI600" t="s">
        <v>1252</v>
      </c>
      <c r="DJ600" t="s">
        <v>129</v>
      </c>
      <c r="DK600">
        <v>20500000</v>
      </c>
    </row>
    <row r="601" spans="1:115" x14ac:dyDescent="0.25">
      <c r="A601" t="s">
        <v>2426</v>
      </c>
      <c r="B601" t="s">
        <v>2427</v>
      </c>
      <c r="F601" t="s">
        <v>190</v>
      </c>
      <c r="I601" t="s">
        <v>974</v>
      </c>
      <c r="N601" t="s">
        <v>2428</v>
      </c>
      <c r="U601" t="s">
        <v>176</v>
      </c>
      <c r="Z601" s="14">
        <v>44210</v>
      </c>
      <c r="AA601" s="14">
        <v>44211</v>
      </c>
      <c r="AD601" s="14">
        <v>44926</v>
      </c>
      <c r="AL601" t="s">
        <v>357</v>
      </c>
      <c r="AN601">
        <v>2508300000</v>
      </c>
      <c r="AR601">
        <v>2508300000</v>
      </c>
      <c r="AS601">
        <v>0</v>
      </c>
      <c r="AY601" t="s">
        <v>557</v>
      </c>
      <c r="AZ601" t="s">
        <v>880</v>
      </c>
      <c r="BA601" t="s">
        <v>358</v>
      </c>
      <c r="BB601" t="s">
        <v>358</v>
      </c>
      <c r="BC601" t="s">
        <v>242</v>
      </c>
      <c r="BK601" t="s">
        <v>860</v>
      </c>
      <c r="BM601" t="s">
        <v>861</v>
      </c>
      <c r="BN601" t="s">
        <v>862</v>
      </c>
      <c r="BO601" t="s">
        <v>863</v>
      </c>
      <c r="BP601">
        <v>2.2999999999999998</v>
      </c>
      <c r="BQ601" t="s">
        <v>864</v>
      </c>
      <c r="DF601" s="15" t="s">
        <v>9308</v>
      </c>
      <c r="DG601" t="s">
        <v>126</v>
      </c>
      <c r="DH601" t="s">
        <v>159</v>
      </c>
      <c r="DI601" t="s">
        <v>159</v>
      </c>
      <c r="DJ601" t="s">
        <v>172</v>
      </c>
      <c r="DK601">
        <v>30000000</v>
      </c>
    </row>
    <row r="602" spans="1:115" x14ac:dyDescent="0.25">
      <c r="A602" t="s">
        <v>2429</v>
      </c>
      <c r="B602" t="s">
        <v>2430</v>
      </c>
      <c r="F602" t="s">
        <v>190</v>
      </c>
      <c r="I602" t="s">
        <v>2431</v>
      </c>
      <c r="N602" t="s">
        <v>2432</v>
      </c>
      <c r="U602" t="s">
        <v>176</v>
      </c>
      <c r="Z602" s="14">
        <v>44210</v>
      </c>
      <c r="AA602" s="14">
        <v>44211</v>
      </c>
      <c r="AD602" s="14">
        <v>46387</v>
      </c>
      <c r="AL602" t="s">
        <v>122</v>
      </c>
      <c r="AN602">
        <v>8527441000</v>
      </c>
      <c r="AR602">
        <v>8527441000</v>
      </c>
      <c r="AS602">
        <v>0</v>
      </c>
      <c r="AY602" t="s">
        <v>557</v>
      </c>
      <c r="AZ602" t="s">
        <v>880</v>
      </c>
      <c r="BA602" t="s">
        <v>574</v>
      </c>
      <c r="BB602" t="s">
        <v>575</v>
      </c>
      <c r="BC602" t="s">
        <v>125</v>
      </c>
      <c r="BK602" t="s">
        <v>860</v>
      </c>
      <c r="BM602" t="s">
        <v>861</v>
      </c>
      <c r="BN602" t="s">
        <v>862</v>
      </c>
      <c r="BO602" t="s">
        <v>863</v>
      </c>
      <c r="BP602">
        <v>2.2999999999999998</v>
      </c>
      <c r="BQ602" t="s">
        <v>864</v>
      </c>
      <c r="DF602" s="15" t="s">
        <v>9308</v>
      </c>
      <c r="DG602" t="s">
        <v>317</v>
      </c>
      <c r="DH602" t="s">
        <v>159</v>
      </c>
      <c r="DI602" t="s">
        <v>159</v>
      </c>
      <c r="DJ602" t="s">
        <v>129</v>
      </c>
      <c r="DK602">
        <v>13000000</v>
      </c>
    </row>
    <row r="603" spans="1:115" x14ac:dyDescent="0.25">
      <c r="A603" t="s">
        <v>2433</v>
      </c>
      <c r="B603" t="s">
        <v>2434</v>
      </c>
      <c r="F603" t="s">
        <v>369</v>
      </c>
      <c r="I603" t="s">
        <v>2435</v>
      </c>
      <c r="N603" t="s">
        <v>2436</v>
      </c>
      <c r="U603" t="s">
        <v>176</v>
      </c>
      <c r="Z603" s="14">
        <v>44210</v>
      </c>
      <c r="AA603" s="14">
        <v>44552</v>
      </c>
      <c r="AD603" s="14">
        <v>44926</v>
      </c>
      <c r="AL603" t="s">
        <v>357</v>
      </c>
      <c r="AN603">
        <v>1481234000</v>
      </c>
      <c r="AR603">
        <v>1481234000</v>
      </c>
      <c r="AS603">
        <v>0</v>
      </c>
      <c r="AY603" t="s">
        <v>557</v>
      </c>
      <c r="AZ603" t="s">
        <v>880</v>
      </c>
      <c r="BA603" t="s">
        <v>358</v>
      </c>
      <c r="BB603" t="s">
        <v>358</v>
      </c>
      <c r="BC603" t="s">
        <v>242</v>
      </c>
      <c r="BK603" t="s">
        <v>860</v>
      </c>
      <c r="BM603" t="s">
        <v>861</v>
      </c>
      <c r="BN603" t="s">
        <v>862</v>
      </c>
      <c r="BO603" t="s">
        <v>971</v>
      </c>
      <c r="BP603">
        <v>9.1</v>
      </c>
      <c r="BQ603" t="s">
        <v>864</v>
      </c>
      <c r="DF603" s="15" t="s">
        <v>9308</v>
      </c>
      <c r="DG603" t="s">
        <v>126</v>
      </c>
      <c r="DH603" t="s">
        <v>159</v>
      </c>
      <c r="DI603" t="s">
        <v>159</v>
      </c>
      <c r="DJ603" t="s">
        <v>172</v>
      </c>
      <c r="DK603">
        <v>17950000</v>
      </c>
    </row>
    <row r="604" spans="1:115" x14ac:dyDescent="0.25">
      <c r="A604" t="s">
        <v>2437</v>
      </c>
      <c r="B604" t="s">
        <v>2438</v>
      </c>
      <c r="F604" t="s">
        <v>190</v>
      </c>
      <c r="I604" t="s">
        <v>1311</v>
      </c>
      <c r="N604" t="s">
        <v>2439</v>
      </c>
      <c r="U604" t="s">
        <v>176</v>
      </c>
      <c r="Z604" s="14">
        <v>44210</v>
      </c>
      <c r="AA604" s="14">
        <v>44544</v>
      </c>
      <c r="AD604" s="14">
        <v>46752</v>
      </c>
      <c r="AL604" t="s">
        <v>136</v>
      </c>
      <c r="AN604">
        <v>27500000000</v>
      </c>
      <c r="AR604">
        <v>0</v>
      </c>
      <c r="AS604">
        <v>27500000000</v>
      </c>
      <c r="AY604" t="s">
        <v>1043</v>
      </c>
      <c r="AZ604" t="s">
        <v>558</v>
      </c>
      <c r="BA604" t="s">
        <v>137</v>
      </c>
      <c r="BB604" t="s">
        <v>138</v>
      </c>
      <c r="BC604" t="s">
        <v>125</v>
      </c>
      <c r="BK604" t="s">
        <v>860</v>
      </c>
      <c r="BM604" t="s">
        <v>861</v>
      </c>
      <c r="BN604" t="s">
        <v>862</v>
      </c>
      <c r="BO604" t="s">
        <v>863</v>
      </c>
      <c r="BP604">
        <v>2.2999999999999998</v>
      </c>
      <c r="BQ604" t="s">
        <v>864</v>
      </c>
      <c r="DF604" s="15" t="s">
        <v>9308</v>
      </c>
      <c r="DG604" t="s">
        <v>126</v>
      </c>
      <c r="DH604" t="s">
        <v>127</v>
      </c>
      <c r="DI604" t="s">
        <v>128</v>
      </c>
      <c r="DJ604" t="s">
        <v>139</v>
      </c>
      <c r="DK604">
        <v>27500000000</v>
      </c>
    </row>
    <row r="605" spans="1:115" x14ac:dyDescent="0.25">
      <c r="A605" t="s">
        <v>2440</v>
      </c>
      <c r="B605" t="s">
        <v>2441</v>
      </c>
      <c r="F605" t="s">
        <v>205</v>
      </c>
      <c r="I605" t="s">
        <v>1052</v>
      </c>
      <c r="N605" t="s">
        <v>2442</v>
      </c>
      <c r="U605" t="s">
        <v>176</v>
      </c>
      <c r="Z605" s="14">
        <v>44253</v>
      </c>
      <c r="AA605" s="14">
        <v>44266</v>
      </c>
      <c r="AD605" s="14">
        <v>46022</v>
      </c>
      <c r="AL605" t="s">
        <v>122</v>
      </c>
      <c r="AN605">
        <v>3139999999</v>
      </c>
      <c r="AR605">
        <v>0</v>
      </c>
      <c r="AS605">
        <v>3139999999</v>
      </c>
      <c r="AY605" t="s">
        <v>557</v>
      </c>
      <c r="AZ605" t="s">
        <v>558</v>
      </c>
      <c r="BA605" t="s">
        <v>484</v>
      </c>
      <c r="BB605" t="s">
        <v>484</v>
      </c>
      <c r="BC605" t="s">
        <v>242</v>
      </c>
      <c r="BK605" t="s">
        <v>860</v>
      </c>
      <c r="BM605" t="s">
        <v>560</v>
      </c>
      <c r="BN605" t="s">
        <v>1012</v>
      </c>
      <c r="BO605" t="s">
        <v>939</v>
      </c>
      <c r="BP605">
        <v>11.3</v>
      </c>
      <c r="BQ605" t="s">
        <v>563</v>
      </c>
      <c r="DF605" s="15" t="s">
        <v>9308</v>
      </c>
      <c r="DG605" t="s">
        <v>126</v>
      </c>
      <c r="DH605" t="s">
        <v>127</v>
      </c>
      <c r="DI605" t="s">
        <v>127</v>
      </c>
      <c r="DJ605" t="s">
        <v>129</v>
      </c>
      <c r="DK605">
        <v>4786899.1399999997</v>
      </c>
    </row>
    <row r="606" spans="1:115" x14ac:dyDescent="0.25">
      <c r="A606" t="s">
        <v>2443</v>
      </c>
      <c r="B606" t="s">
        <v>2444</v>
      </c>
      <c r="F606" t="s">
        <v>315</v>
      </c>
      <c r="I606" t="s">
        <v>1519</v>
      </c>
      <c r="N606" t="s">
        <v>2445</v>
      </c>
      <c r="U606" t="s">
        <v>176</v>
      </c>
      <c r="Z606" s="14">
        <v>44222</v>
      </c>
      <c r="AA606" s="14">
        <v>44266</v>
      </c>
      <c r="AD606" s="14">
        <v>45657</v>
      </c>
      <c r="AL606" t="s">
        <v>122</v>
      </c>
      <c r="AN606">
        <v>4225000001</v>
      </c>
      <c r="AR606">
        <v>0</v>
      </c>
      <c r="AS606">
        <v>4225000001</v>
      </c>
      <c r="AY606" t="s">
        <v>557</v>
      </c>
      <c r="AZ606" t="s">
        <v>558</v>
      </c>
      <c r="BA606" t="s">
        <v>484</v>
      </c>
      <c r="BB606" t="s">
        <v>484</v>
      </c>
      <c r="BC606" t="s">
        <v>242</v>
      </c>
      <c r="BK606" t="s">
        <v>860</v>
      </c>
      <c r="BM606" t="s">
        <v>861</v>
      </c>
      <c r="BN606" t="s">
        <v>900</v>
      </c>
      <c r="BO606" t="s">
        <v>901</v>
      </c>
      <c r="BP606">
        <v>4.0999999999999996</v>
      </c>
      <c r="BQ606" t="s">
        <v>902</v>
      </c>
      <c r="DF606" s="15" t="s">
        <v>9308</v>
      </c>
      <c r="DG606" t="s">
        <v>317</v>
      </c>
      <c r="DH606" t="s">
        <v>127</v>
      </c>
      <c r="DI606" t="s">
        <v>127</v>
      </c>
      <c r="DJ606" t="s">
        <v>129</v>
      </c>
      <c r="DK606">
        <v>6440970.9800000004</v>
      </c>
    </row>
    <row r="607" spans="1:115" x14ac:dyDescent="0.25">
      <c r="A607" t="s">
        <v>2446</v>
      </c>
      <c r="B607" t="s">
        <v>2447</v>
      </c>
      <c r="F607" t="s">
        <v>315</v>
      </c>
      <c r="I607" t="s">
        <v>1519</v>
      </c>
      <c r="N607" t="s">
        <v>2448</v>
      </c>
      <c r="U607" t="s">
        <v>176</v>
      </c>
      <c r="Z607" s="14">
        <v>44210</v>
      </c>
      <c r="AA607" s="14">
        <v>44211</v>
      </c>
      <c r="AD607" s="14">
        <v>46387</v>
      </c>
      <c r="AL607" t="s">
        <v>624</v>
      </c>
      <c r="AN607">
        <v>13119140001</v>
      </c>
      <c r="AR607">
        <v>0</v>
      </c>
      <c r="AS607">
        <v>13119140001</v>
      </c>
      <c r="AY607" t="s">
        <v>557</v>
      </c>
      <c r="AZ607" t="s">
        <v>558</v>
      </c>
      <c r="BA607" t="s">
        <v>267</v>
      </c>
      <c r="BB607" t="s">
        <v>267</v>
      </c>
      <c r="BC607" t="s">
        <v>242</v>
      </c>
      <c r="BK607" t="s">
        <v>860</v>
      </c>
      <c r="BM607" t="s">
        <v>861</v>
      </c>
      <c r="BN607" t="s">
        <v>900</v>
      </c>
      <c r="BO607" t="s">
        <v>901</v>
      </c>
      <c r="BP607">
        <v>4.0999999999999996</v>
      </c>
      <c r="BQ607" t="s">
        <v>902</v>
      </c>
      <c r="DF607" s="15" t="s">
        <v>9308</v>
      </c>
      <c r="DG607" t="s">
        <v>126</v>
      </c>
      <c r="DH607" t="s">
        <v>127</v>
      </c>
      <c r="DI607" t="s">
        <v>150</v>
      </c>
      <c r="DJ607" t="s">
        <v>129</v>
      </c>
      <c r="DK607">
        <v>23852981.82</v>
      </c>
    </row>
    <row r="608" spans="1:115" x14ac:dyDescent="0.25">
      <c r="A608" t="s">
        <v>2449</v>
      </c>
      <c r="B608" t="s">
        <v>2450</v>
      </c>
      <c r="F608" t="s">
        <v>190</v>
      </c>
      <c r="I608" t="s">
        <v>856</v>
      </c>
      <c r="N608" t="s">
        <v>2451</v>
      </c>
      <c r="U608" t="s">
        <v>176</v>
      </c>
      <c r="Z608" s="14">
        <v>44210</v>
      </c>
      <c r="AA608" s="14">
        <v>44451</v>
      </c>
      <c r="AD608" s="14">
        <v>45657</v>
      </c>
      <c r="AL608" t="s">
        <v>122</v>
      </c>
      <c r="AN608">
        <v>3935742000</v>
      </c>
      <c r="AR608">
        <v>3935742000</v>
      </c>
      <c r="AS608">
        <v>0</v>
      </c>
      <c r="AY608" t="s">
        <v>557</v>
      </c>
      <c r="AZ608" t="s">
        <v>880</v>
      </c>
      <c r="BA608" t="s">
        <v>267</v>
      </c>
      <c r="BB608" t="s">
        <v>267</v>
      </c>
      <c r="BC608" t="s">
        <v>242</v>
      </c>
      <c r="BK608" t="s">
        <v>860</v>
      </c>
      <c r="BM608" t="s">
        <v>861</v>
      </c>
      <c r="BN608" t="s">
        <v>862</v>
      </c>
      <c r="BO608" t="s">
        <v>863</v>
      </c>
      <c r="BP608">
        <v>2.2999999999999998</v>
      </c>
      <c r="BQ608" t="s">
        <v>864</v>
      </c>
      <c r="DF608" s="15" t="s">
        <v>9308</v>
      </c>
      <c r="DG608" t="s">
        <v>126</v>
      </c>
      <c r="DH608" t="s">
        <v>159</v>
      </c>
      <c r="DI608" t="s">
        <v>159</v>
      </c>
      <c r="DJ608" t="s">
        <v>129</v>
      </c>
      <c r="DK608">
        <v>6000000</v>
      </c>
    </row>
    <row r="609" spans="1:115" x14ac:dyDescent="0.25">
      <c r="A609" t="s">
        <v>2452</v>
      </c>
      <c r="B609" t="s">
        <v>1376</v>
      </c>
      <c r="F609" t="s">
        <v>216</v>
      </c>
      <c r="I609" t="s">
        <v>992</v>
      </c>
      <c r="N609" t="s">
        <v>2453</v>
      </c>
      <c r="U609" t="s">
        <v>321</v>
      </c>
      <c r="Z609" s="14">
        <v>44266</v>
      </c>
      <c r="AA609" s="14">
        <v>44453</v>
      </c>
      <c r="AD609" s="14">
        <v>45930</v>
      </c>
      <c r="AL609" t="s">
        <v>624</v>
      </c>
      <c r="AN609">
        <v>1428038700</v>
      </c>
      <c r="AR609">
        <v>1428038700</v>
      </c>
      <c r="AS609">
        <v>0</v>
      </c>
      <c r="AY609" t="s">
        <v>557</v>
      </c>
      <c r="AZ609" t="s">
        <v>880</v>
      </c>
      <c r="BA609" t="s">
        <v>1020</v>
      </c>
      <c r="BB609" t="s">
        <v>1021</v>
      </c>
      <c r="BC609" t="s">
        <v>242</v>
      </c>
      <c r="BK609" t="s">
        <v>860</v>
      </c>
      <c r="BM609" t="s">
        <v>560</v>
      </c>
      <c r="BN609" t="s">
        <v>561</v>
      </c>
      <c r="BO609" t="s">
        <v>989</v>
      </c>
      <c r="BP609">
        <v>3.8</v>
      </c>
      <c r="BQ609" t="s">
        <v>902</v>
      </c>
      <c r="DF609" s="15" t="s">
        <v>9324</v>
      </c>
      <c r="DG609" t="s">
        <v>126</v>
      </c>
      <c r="DH609" t="s">
        <v>159</v>
      </c>
      <c r="DI609" t="s">
        <v>159</v>
      </c>
      <c r="DJ609" t="s">
        <v>172</v>
      </c>
      <c r="DK609">
        <v>2596434</v>
      </c>
    </row>
    <row r="610" spans="1:115" x14ac:dyDescent="0.25">
      <c r="A610" t="s">
        <v>2454</v>
      </c>
      <c r="B610" t="s">
        <v>1032</v>
      </c>
      <c r="F610" t="s">
        <v>163</v>
      </c>
      <c r="I610" t="s">
        <v>1033</v>
      </c>
      <c r="N610" t="s">
        <v>2455</v>
      </c>
      <c r="U610" t="s">
        <v>165</v>
      </c>
      <c r="V610" t="s">
        <v>166</v>
      </c>
      <c r="Z610" s="14">
        <v>44210</v>
      </c>
      <c r="AA610" s="14">
        <v>44511</v>
      </c>
      <c r="AD610" s="14">
        <v>45657</v>
      </c>
      <c r="AL610" t="s">
        <v>122</v>
      </c>
      <c r="AN610">
        <v>2623828000</v>
      </c>
      <c r="AR610">
        <v>2623828000</v>
      </c>
      <c r="AS610">
        <v>0</v>
      </c>
      <c r="AY610" t="s">
        <v>557</v>
      </c>
      <c r="AZ610" t="s">
        <v>880</v>
      </c>
      <c r="BA610" t="s">
        <v>267</v>
      </c>
      <c r="BB610" t="s">
        <v>267</v>
      </c>
      <c r="BC610" t="s">
        <v>242</v>
      </c>
      <c r="BK610" t="s">
        <v>860</v>
      </c>
      <c r="BM610" t="s">
        <v>964</v>
      </c>
      <c r="BN610" t="s">
        <v>1035</v>
      </c>
      <c r="BO610" t="s">
        <v>1036</v>
      </c>
      <c r="BP610">
        <v>16.600000000000001</v>
      </c>
      <c r="BQ610" t="s">
        <v>902</v>
      </c>
      <c r="DF610" s="15" t="s">
        <v>9307</v>
      </c>
      <c r="DG610" t="s">
        <v>126</v>
      </c>
      <c r="DH610" t="s">
        <v>159</v>
      </c>
      <c r="DI610" t="s">
        <v>159</v>
      </c>
      <c r="DJ610" t="s">
        <v>326</v>
      </c>
      <c r="DK610">
        <v>4000000</v>
      </c>
    </row>
    <row r="611" spans="1:115" x14ac:dyDescent="0.25">
      <c r="A611" t="s">
        <v>2456</v>
      </c>
      <c r="B611" t="s">
        <v>1709</v>
      </c>
      <c r="F611" t="s">
        <v>190</v>
      </c>
      <c r="I611" t="s">
        <v>1710</v>
      </c>
      <c r="N611" t="s">
        <v>2457</v>
      </c>
      <c r="U611" t="s">
        <v>752</v>
      </c>
      <c r="Z611" s="14">
        <v>44210</v>
      </c>
      <c r="AA611" s="14">
        <v>44211</v>
      </c>
      <c r="AD611" s="14">
        <v>45657</v>
      </c>
      <c r="AL611" t="s">
        <v>122</v>
      </c>
      <c r="AN611">
        <v>2230253800</v>
      </c>
      <c r="AR611">
        <v>2230253800</v>
      </c>
      <c r="AS611">
        <v>0</v>
      </c>
      <c r="AY611" t="s">
        <v>557</v>
      </c>
      <c r="AZ611" t="s">
        <v>880</v>
      </c>
      <c r="BA611" t="s">
        <v>267</v>
      </c>
      <c r="BB611" t="s">
        <v>267</v>
      </c>
      <c r="BC611" t="s">
        <v>242</v>
      </c>
      <c r="BK611" t="s">
        <v>860</v>
      </c>
      <c r="BM611" t="s">
        <v>861</v>
      </c>
      <c r="BN611" t="s">
        <v>862</v>
      </c>
      <c r="BO611" t="s">
        <v>863</v>
      </c>
      <c r="BP611">
        <v>2.2999999999999998</v>
      </c>
      <c r="BQ611" t="s">
        <v>864</v>
      </c>
      <c r="DF611" s="15" t="s">
        <v>9422</v>
      </c>
      <c r="DG611" t="s">
        <v>126</v>
      </c>
      <c r="DH611" t="s">
        <v>159</v>
      </c>
      <c r="DI611" t="s">
        <v>159</v>
      </c>
      <c r="DJ611" t="s">
        <v>326</v>
      </c>
      <c r="DK611">
        <v>3400000</v>
      </c>
    </row>
    <row r="612" spans="1:115" x14ac:dyDescent="0.25">
      <c r="A612" t="s">
        <v>2458</v>
      </c>
      <c r="B612" t="s">
        <v>2459</v>
      </c>
      <c r="F612" t="s">
        <v>205</v>
      </c>
      <c r="I612" t="s">
        <v>2185</v>
      </c>
      <c r="N612" t="s">
        <v>2460</v>
      </c>
      <c r="U612" t="s">
        <v>218</v>
      </c>
      <c r="V612" t="s">
        <v>371</v>
      </c>
      <c r="Z612" s="14">
        <v>44210</v>
      </c>
      <c r="AA612" s="14">
        <v>44281</v>
      </c>
      <c r="AD612" s="14">
        <v>45657</v>
      </c>
      <c r="AL612" t="s">
        <v>122</v>
      </c>
      <c r="AN612">
        <v>2282730360</v>
      </c>
      <c r="AR612">
        <v>2282730360</v>
      </c>
      <c r="AS612">
        <v>0</v>
      </c>
      <c r="AY612" t="s">
        <v>557</v>
      </c>
      <c r="AZ612" t="s">
        <v>880</v>
      </c>
      <c r="BA612" t="s">
        <v>267</v>
      </c>
      <c r="BB612" t="s">
        <v>267</v>
      </c>
      <c r="BC612" t="s">
        <v>242</v>
      </c>
      <c r="BK612" t="s">
        <v>860</v>
      </c>
      <c r="BM612" t="s">
        <v>560</v>
      </c>
      <c r="BN612" t="s">
        <v>1012</v>
      </c>
      <c r="BO612" t="s">
        <v>939</v>
      </c>
      <c r="BP612">
        <v>11.3</v>
      </c>
      <c r="BQ612" t="s">
        <v>563</v>
      </c>
      <c r="DF612" s="15" t="s">
        <v>9331</v>
      </c>
      <c r="DG612" t="s">
        <v>126</v>
      </c>
      <c r="DH612" t="s">
        <v>159</v>
      </c>
      <c r="DI612" t="s">
        <v>159</v>
      </c>
      <c r="DJ612" t="s">
        <v>326</v>
      </c>
      <c r="DK612">
        <v>3480000</v>
      </c>
    </row>
    <row r="613" spans="1:115" x14ac:dyDescent="0.25">
      <c r="A613" t="s">
        <v>2461</v>
      </c>
      <c r="B613" t="s">
        <v>2462</v>
      </c>
      <c r="F613" t="s">
        <v>163</v>
      </c>
      <c r="I613" t="s">
        <v>2463</v>
      </c>
      <c r="N613" t="s">
        <v>2464</v>
      </c>
      <c r="U613" t="s">
        <v>165</v>
      </c>
      <c r="V613" t="s">
        <v>166</v>
      </c>
      <c r="Z613" s="14">
        <v>44210</v>
      </c>
      <c r="AA613" s="14">
        <v>44295</v>
      </c>
      <c r="AD613" s="14">
        <v>45657</v>
      </c>
      <c r="AL613" t="s">
        <v>122</v>
      </c>
      <c r="AN613">
        <v>8199462500</v>
      </c>
      <c r="AR613">
        <v>8199462500</v>
      </c>
      <c r="AS613">
        <v>0</v>
      </c>
      <c r="AY613" t="s">
        <v>557</v>
      </c>
      <c r="AZ613" t="s">
        <v>880</v>
      </c>
      <c r="BA613" t="s">
        <v>267</v>
      </c>
      <c r="BB613" t="s">
        <v>267</v>
      </c>
      <c r="BC613" t="s">
        <v>242</v>
      </c>
      <c r="BK613" t="s">
        <v>860</v>
      </c>
      <c r="BM613" t="s">
        <v>861</v>
      </c>
      <c r="BN613" t="s">
        <v>1046</v>
      </c>
      <c r="BO613" t="s">
        <v>1036</v>
      </c>
      <c r="BP613">
        <v>16.600000000000001</v>
      </c>
      <c r="BQ613" t="s">
        <v>902</v>
      </c>
      <c r="DF613" s="15" t="s">
        <v>9307</v>
      </c>
      <c r="DG613" t="s">
        <v>126</v>
      </c>
      <c r="DH613" t="s">
        <v>159</v>
      </c>
      <c r="DI613" t="s">
        <v>159</v>
      </c>
      <c r="DJ613" t="s">
        <v>326</v>
      </c>
      <c r="DK613">
        <v>12500000</v>
      </c>
    </row>
    <row r="614" spans="1:115" x14ac:dyDescent="0.25">
      <c r="A614" t="s">
        <v>2465</v>
      </c>
      <c r="B614" t="s">
        <v>2466</v>
      </c>
      <c r="F614" t="s">
        <v>118</v>
      </c>
      <c r="I614" t="s">
        <v>1171</v>
      </c>
      <c r="N614" t="s">
        <v>2467</v>
      </c>
      <c r="U614" t="s">
        <v>176</v>
      </c>
      <c r="Z614" s="14">
        <v>44210</v>
      </c>
      <c r="AA614" s="14">
        <v>44383</v>
      </c>
      <c r="AD614" s="14">
        <v>45657</v>
      </c>
      <c r="AL614" t="s">
        <v>122</v>
      </c>
      <c r="AN614">
        <v>2623828000</v>
      </c>
      <c r="AR614">
        <v>2623828000</v>
      </c>
      <c r="AS614">
        <v>0</v>
      </c>
      <c r="AY614" t="s">
        <v>557</v>
      </c>
      <c r="AZ614" t="s">
        <v>880</v>
      </c>
      <c r="BA614" t="s">
        <v>267</v>
      </c>
      <c r="BB614" t="s">
        <v>267</v>
      </c>
      <c r="BC614" t="s">
        <v>242</v>
      </c>
      <c r="BK614" t="s">
        <v>860</v>
      </c>
      <c r="BM614" t="s">
        <v>861</v>
      </c>
      <c r="BN614" t="s">
        <v>862</v>
      </c>
      <c r="BO614" t="s">
        <v>1173</v>
      </c>
      <c r="BP614">
        <v>7.1</v>
      </c>
      <c r="BQ614" t="s">
        <v>864</v>
      </c>
      <c r="DF614" s="15" t="s">
        <v>9308</v>
      </c>
      <c r="DG614" t="s">
        <v>126</v>
      </c>
      <c r="DH614" t="s">
        <v>159</v>
      </c>
      <c r="DI614" t="s">
        <v>159</v>
      </c>
      <c r="DJ614" t="s">
        <v>326</v>
      </c>
      <c r="DK614">
        <v>4000000</v>
      </c>
    </row>
    <row r="615" spans="1:115" x14ac:dyDescent="0.25">
      <c r="A615" t="s">
        <v>2468</v>
      </c>
      <c r="B615" t="s">
        <v>1713</v>
      </c>
      <c r="F615" t="s">
        <v>163</v>
      </c>
      <c r="I615" t="s">
        <v>962</v>
      </c>
      <c r="N615" t="s">
        <v>2469</v>
      </c>
      <c r="U615" t="s">
        <v>165</v>
      </c>
      <c r="V615" t="s">
        <v>166</v>
      </c>
      <c r="Z615" s="14">
        <v>44210</v>
      </c>
      <c r="AA615" s="14">
        <v>44211</v>
      </c>
      <c r="AD615" s="14">
        <v>45657</v>
      </c>
      <c r="AL615" t="s">
        <v>122</v>
      </c>
      <c r="AN615">
        <v>6100400100</v>
      </c>
      <c r="AR615">
        <v>6100400100</v>
      </c>
      <c r="AS615">
        <v>0</v>
      </c>
      <c r="AY615" t="s">
        <v>557</v>
      </c>
      <c r="AZ615" t="s">
        <v>880</v>
      </c>
      <c r="BA615" t="s">
        <v>267</v>
      </c>
      <c r="BB615" t="s">
        <v>267</v>
      </c>
      <c r="BC615" t="s">
        <v>242</v>
      </c>
      <c r="BK615" t="s">
        <v>860</v>
      </c>
      <c r="BM615" t="s">
        <v>964</v>
      </c>
      <c r="BN615" t="s">
        <v>1035</v>
      </c>
      <c r="BO615" t="s">
        <v>1036</v>
      </c>
      <c r="BP615">
        <v>16.600000000000001</v>
      </c>
      <c r="BQ615" t="s">
        <v>902</v>
      </c>
      <c r="DF615" s="15" t="s">
        <v>9307</v>
      </c>
      <c r="DG615" t="s">
        <v>317</v>
      </c>
      <c r="DH615" t="s">
        <v>159</v>
      </c>
      <c r="DI615" t="s">
        <v>159</v>
      </c>
      <c r="DJ615" t="s">
        <v>326</v>
      </c>
      <c r="DK615">
        <v>9300000</v>
      </c>
    </row>
    <row r="616" spans="1:115" x14ac:dyDescent="0.25">
      <c r="A616" t="s">
        <v>2470</v>
      </c>
      <c r="B616" t="s">
        <v>2471</v>
      </c>
      <c r="F616" t="s">
        <v>163</v>
      </c>
      <c r="I616" t="s">
        <v>1087</v>
      </c>
      <c r="N616" t="s">
        <v>2472</v>
      </c>
      <c r="U616" t="s">
        <v>176</v>
      </c>
      <c r="Z616" s="14">
        <v>44210</v>
      </c>
      <c r="AA616" s="14">
        <v>44409</v>
      </c>
      <c r="AD616" s="14">
        <v>45657</v>
      </c>
      <c r="AL616" t="s">
        <v>122</v>
      </c>
      <c r="AN616">
        <v>655957000</v>
      </c>
      <c r="AR616">
        <v>655957000</v>
      </c>
      <c r="AS616">
        <v>0</v>
      </c>
      <c r="AY616" t="s">
        <v>557</v>
      </c>
      <c r="AZ616" t="s">
        <v>880</v>
      </c>
      <c r="BA616" t="s">
        <v>1439</v>
      </c>
      <c r="BB616" t="s">
        <v>1439</v>
      </c>
      <c r="BC616" t="s">
        <v>242</v>
      </c>
      <c r="BK616" t="s">
        <v>860</v>
      </c>
      <c r="BM616" t="s">
        <v>964</v>
      </c>
      <c r="BN616" t="s">
        <v>1035</v>
      </c>
      <c r="BO616" t="s">
        <v>1036</v>
      </c>
      <c r="BP616">
        <v>16.600000000000001</v>
      </c>
      <c r="BQ616" t="s">
        <v>902</v>
      </c>
      <c r="DF616" s="15" t="s">
        <v>9308</v>
      </c>
      <c r="DG616" t="s">
        <v>170</v>
      </c>
      <c r="DH616" t="s">
        <v>159</v>
      </c>
      <c r="DI616" t="s">
        <v>159</v>
      </c>
      <c r="DJ616" t="s">
        <v>326</v>
      </c>
      <c r="DK616">
        <v>1000000</v>
      </c>
    </row>
    <row r="617" spans="1:115" x14ac:dyDescent="0.25">
      <c r="A617" t="s">
        <v>2473</v>
      </c>
      <c r="B617" t="s">
        <v>2474</v>
      </c>
      <c r="F617" t="s">
        <v>216</v>
      </c>
      <c r="I617" t="s">
        <v>2475</v>
      </c>
      <c r="N617" t="s">
        <v>2476</v>
      </c>
      <c r="U617" t="s">
        <v>176</v>
      </c>
      <c r="Z617" s="14">
        <v>44210</v>
      </c>
      <c r="AA617" s="14">
        <v>44453</v>
      </c>
      <c r="AD617" s="14">
        <v>45657</v>
      </c>
      <c r="AL617" t="s">
        <v>122</v>
      </c>
      <c r="AN617">
        <v>1113591961</v>
      </c>
      <c r="AR617">
        <v>1113591961</v>
      </c>
      <c r="AS617">
        <v>0</v>
      </c>
      <c r="AY617" t="s">
        <v>557</v>
      </c>
      <c r="AZ617" t="s">
        <v>880</v>
      </c>
      <c r="BA617" t="s">
        <v>1439</v>
      </c>
      <c r="BB617" t="s">
        <v>1439</v>
      </c>
      <c r="BC617" t="s">
        <v>242</v>
      </c>
      <c r="BK617" t="s">
        <v>860</v>
      </c>
      <c r="BM617" t="s">
        <v>560</v>
      </c>
      <c r="BN617" t="s">
        <v>561</v>
      </c>
      <c r="BO617" t="s">
        <v>989</v>
      </c>
      <c r="BP617">
        <v>3.8</v>
      </c>
      <c r="BQ617" t="s">
        <v>902</v>
      </c>
      <c r="DF617" s="15" t="s">
        <v>9308</v>
      </c>
      <c r="DG617" t="s">
        <v>126</v>
      </c>
      <c r="DH617" t="s">
        <v>159</v>
      </c>
      <c r="DI617" t="s">
        <v>159</v>
      </c>
      <c r="DJ617" t="s">
        <v>326</v>
      </c>
      <c r="DK617">
        <v>1697660</v>
      </c>
    </row>
    <row r="618" spans="1:115" x14ac:dyDescent="0.25">
      <c r="A618" t="s">
        <v>2477</v>
      </c>
      <c r="B618" t="s">
        <v>2478</v>
      </c>
      <c r="F618" t="s">
        <v>190</v>
      </c>
      <c r="I618" t="s">
        <v>974</v>
      </c>
      <c r="N618" t="s">
        <v>2479</v>
      </c>
      <c r="U618" t="s">
        <v>265</v>
      </c>
      <c r="Z618" s="14">
        <v>44210</v>
      </c>
      <c r="AA618" s="14">
        <v>44211</v>
      </c>
      <c r="AD618" s="14">
        <v>45657</v>
      </c>
      <c r="AL618" t="s">
        <v>122</v>
      </c>
      <c r="AN618">
        <v>10495312000</v>
      </c>
      <c r="AR618">
        <v>10495312000</v>
      </c>
      <c r="AS618">
        <v>0</v>
      </c>
      <c r="AY618" t="s">
        <v>557</v>
      </c>
      <c r="AZ618" t="s">
        <v>880</v>
      </c>
      <c r="BA618" t="s">
        <v>1439</v>
      </c>
      <c r="BB618" t="s">
        <v>1439</v>
      </c>
      <c r="BC618" t="s">
        <v>242</v>
      </c>
      <c r="BK618" t="s">
        <v>860</v>
      </c>
      <c r="BM618" t="s">
        <v>861</v>
      </c>
      <c r="BN618" t="s">
        <v>862</v>
      </c>
      <c r="BO618" t="s">
        <v>863</v>
      </c>
      <c r="BP618">
        <v>2.2999999999999998</v>
      </c>
      <c r="BQ618" t="s">
        <v>864</v>
      </c>
      <c r="DF618" s="15" t="s">
        <v>9450</v>
      </c>
      <c r="DG618" t="s">
        <v>126</v>
      </c>
      <c r="DH618" t="s">
        <v>159</v>
      </c>
      <c r="DI618" t="s">
        <v>159</v>
      </c>
      <c r="DJ618" t="s">
        <v>326</v>
      </c>
      <c r="DK618">
        <v>16000000</v>
      </c>
    </row>
    <row r="619" spans="1:115" x14ac:dyDescent="0.25">
      <c r="A619" t="s">
        <v>2480</v>
      </c>
      <c r="B619" t="s">
        <v>1716</v>
      </c>
      <c r="F619" t="s">
        <v>190</v>
      </c>
      <c r="I619" t="s">
        <v>1176</v>
      </c>
      <c r="N619" t="s">
        <v>2481</v>
      </c>
      <c r="U619" t="s">
        <v>1718</v>
      </c>
      <c r="V619" t="s">
        <v>1719</v>
      </c>
      <c r="Z619" s="14">
        <v>44210</v>
      </c>
      <c r="AA619" s="14">
        <v>44211</v>
      </c>
      <c r="AD619" s="14">
        <v>45657</v>
      </c>
      <c r="AL619" t="s">
        <v>136</v>
      </c>
      <c r="AN619">
        <v>50000000</v>
      </c>
      <c r="AR619">
        <v>50000000</v>
      </c>
      <c r="AS619">
        <v>0</v>
      </c>
      <c r="AY619" t="s">
        <v>557</v>
      </c>
      <c r="AZ619" t="s">
        <v>880</v>
      </c>
      <c r="BA619" t="s">
        <v>1272</v>
      </c>
      <c r="BB619" t="s">
        <v>1272</v>
      </c>
      <c r="BC619" t="s">
        <v>242</v>
      </c>
      <c r="BK619" t="s">
        <v>860</v>
      </c>
      <c r="BM619" t="s">
        <v>861</v>
      </c>
      <c r="BN619" t="s">
        <v>862</v>
      </c>
      <c r="BO619" t="s">
        <v>863</v>
      </c>
      <c r="BP619">
        <v>2.2999999999999998</v>
      </c>
      <c r="BQ619" t="s">
        <v>864</v>
      </c>
      <c r="DF619" s="15" t="s">
        <v>9437</v>
      </c>
      <c r="DG619" t="s">
        <v>126</v>
      </c>
      <c r="DH619" t="s">
        <v>159</v>
      </c>
      <c r="DI619" t="s">
        <v>159</v>
      </c>
      <c r="DJ619" t="s">
        <v>172</v>
      </c>
      <c r="DK619">
        <v>50000000</v>
      </c>
    </row>
    <row r="620" spans="1:115" x14ac:dyDescent="0.25">
      <c r="A620" t="s">
        <v>2482</v>
      </c>
      <c r="B620" t="s">
        <v>2483</v>
      </c>
      <c r="F620" t="s">
        <v>526</v>
      </c>
      <c r="I620" t="s">
        <v>1131</v>
      </c>
      <c r="N620" t="s">
        <v>2484</v>
      </c>
      <c r="U620" t="s">
        <v>176</v>
      </c>
      <c r="Z620" s="14">
        <v>44210</v>
      </c>
      <c r="AA620" s="14">
        <v>44250</v>
      </c>
      <c r="AD620" s="14">
        <v>45657</v>
      </c>
      <c r="AL620" t="s">
        <v>1127</v>
      </c>
      <c r="AN620">
        <v>560300000</v>
      </c>
      <c r="AR620">
        <v>560300000</v>
      </c>
      <c r="AS620">
        <v>0</v>
      </c>
      <c r="AY620" t="s">
        <v>557</v>
      </c>
      <c r="AZ620" t="s">
        <v>880</v>
      </c>
      <c r="BA620" t="s">
        <v>1128</v>
      </c>
      <c r="BB620" t="s">
        <v>1128</v>
      </c>
      <c r="BC620" t="s">
        <v>242</v>
      </c>
      <c r="BK620" t="s">
        <v>860</v>
      </c>
      <c r="BM620" t="s">
        <v>560</v>
      </c>
      <c r="BN620" t="s">
        <v>561</v>
      </c>
      <c r="BO620" t="s">
        <v>1022</v>
      </c>
      <c r="BP620">
        <v>1.3</v>
      </c>
      <c r="BQ620" t="s">
        <v>902</v>
      </c>
      <c r="DF620" s="15" t="s">
        <v>9308</v>
      </c>
      <c r="DG620" t="s">
        <v>126</v>
      </c>
      <c r="DH620" t="s">
        <v>159</v>
      </c>
      <c r="DI620" t="s">
        <v>159</v>
      </c>
      <c r="DJ620" t="s">
        <v>326</v>
      </c>
      <c r="DK620">
        <v>1300000</v>
      </c>
    </row>
    <row r="621" spans="1:115" x14ac:dyDescent="0.25">
      <c r="A621" t="s">
        <v>2485</v>
      </c>
      <c r="B621" t="s">
        <v>2486</v>
      </c>
      <c r="F621" t="s">
        <v>216</v>
      </c>
      <c r="I621" t="s">
        <v>1091</v>
      </c>
      <c r="N621" t="s">
        <v>2487</v>
      </c>
      <c r="U621" t="s">
        <v>321</v>
      </c>
      <c r="Z621" s="14">
        <v>44210</v>
      </c>
      <c r="AA621" s="14">
        <v>44342</v>
      </c>
      <c r="AD621" s="14">
        <v>45657</v>
      </c>
      <c r="AL621" t="s">
        <v>1127</v>
      </c>
      <c r="AN621">
        <v>1254210000</v>
      </c>
      <c r="AR621">
        <v>1254210000</v>
      </c>
      <c r="AS621">
        <v>0</v>
      </c>
      <c r="AY621" t="s">
        <v>557</v>
      </c>
      <c r="AZ621" t="s">
        <v>880</v>
      </c>
      <c r="BA621" t="s">
        <v>1128</v>
      </c>
      <c r="BB621" t="s">
        <v>1128</v>
      </c>
      <c r="BC621" t="s">
        <v>242</v>
      </c>
      <c r="BK621" t="s">
        <v>860</v>
      </c>
      <c r="BM621" t="s">
        <v>560</v>
      </c>
      <c r="BN621" t="s">
        <v>561</v>
      </c>
      <c r="BO621" t="s">
        <v>989</v>
      </c>
      <c r="BP621">
        <v>3.8</v>
      </c>
      <c r="BQ621" t="s">
        <v>902</v>
      </c>
      <c r="DF621" s="15" t="s">
        <v>9324</v>
      </c>
      <c r="DG621" t="s">
        <v>126</v>
      </c>
      <c r="DH621" t="s">
        <v>159</v>
      </c>
      <c r="DI621" t="s">
        <v>159</v>
      </c>
      <c r="DJ621" t="s">
        <v>2488</v>
      </c>
      <c r="DK621">
        <v>2910000</v>
      </c>
    </row>
    <row r="622" spans="1:115" x14ac:dyDescent="0.25">
      <c r="A622" t="s">
        <v>2489</v>
      </c>
      <c r="B622" t="s">
        <v>1721</v>
      </c>
      <c r="F622" t="s">
        <v>526</v>
      </c>
      <c r="I622" t="s">
        <v>1095</v>
      </c>
      <c r="N622" t="s">
        <v>2490</v>
      </c>
      <c r="U622" t="s">
        <v>176</v>
      </c>
      <c r="Z622" s="14">
        <v>44210</v>
      </c>
      <c r="AA622" s="14">
        <v>44458</v>
      </c>
      <c r="AD622" s="14">
        <v>44561</v>
      </c>
      <c r="AL622" t="s">
        <v>1127</v>
      </c>
      <c r="AN622">
        <v>32088700</v>
      </c>
      <c r="AR622">
        <v>32088700</v>
      </c>
      <c r="AS622">
        <v>0</v>
      </c>
      <c r="AY622" t="s">
        <v>557</v>
      </c>
      <c r="AZ622" t="s">
        <v>880</v>
      </c>
      <c r="BA622" t="s">
        <v>1128</v>
      </c>
      <c r="BB622" t="s">
        <v>1128</v>
      </c>
      <c r="BC622" t="s">
        <v>242</v>
      </c>
      <c r="BK622" t="s">
        <v>860</v>
      </c>
      <c r="BM622" t="s">
        <v>560</v>
      </c>
      <c r="BN622" t="s">
        <v>561</v>
      </c>
      <c r="BO622" t="s">
        <v>1022</v>
      </c>
      <c r="BP622">
        <v>1.3</v>
      </c>
      <c r="BQ622" t="s">
        <v>902</v>
      </c>
      <c r="DF622" s="15" t="s">
        <v>9308</v>
      </c>
      <c r="DG622" t="s">
        <v>126</v>
      </c>
      <c r="DH622" t="s">
        <v>159</v>
      </c>
      <c r="DI622" t="s">
        <v>159</v>
      </c>
      <c r="DJ622" t="s">
        <v>326</v>
      </c>
      <c r="DK622">
        <v>70000</v>
      </c>
    </row>
    <row r="623" spans="1:115" x14ac:dyDescent="0.25">
      <c r="A623" t="s">
        <v>2491</v>
      </c>
      <c r="B623" t="s">
        <v>2492</v>
      </c>
      <c r="F623" t="s">
        <v>526</v>
      </c>
      <c r="I623" t="s">
        <v>2493</v>
      </c>
      <c r="N623" t="s">
        <v>2494</v>
      </c>
      <c r="U623" t="s">
        <v>233</v>
      </c>
      <c r="Z623" s="14">
        <v>44210</v>
      </c>
      <c r="AA623" s="14">
        <v>44211</v>
      </c>
      <c r="AD623" s="14">
        <v>45657</v>
      </c>
      <c r="AL623" t="s">
        <v>1110</v>
      </c>
      <c r="AN623">
        <v>2228000000</v>
      </c>
      <c r="AR623">
        <v>2228000000</v>
      </c>
      <c r="AS623">
        <v>0</v>
      </c>
      <c r="AY623" t="s">
        <v>557</v>
      </c>
      <c r="AZ623" t="s">
        <v>880</v>
      </c>
      <c r="BA623" t="s">
        <v>822</v>
      </c>
      <c r="BB623" t="s">
        <v>823</v>
      </c>
      <c r="BC623" t="s">
        <v>242</v>
      </c>
      <c r="BK623" t="s">
        <v>860</v>
      </c>
      <c r="BM623" t="s">
        <v>560</v>
      </c>
      <c r="BN623" t="s">
        <v>561</v>
      </c>
      <c r="BO623" t="s">
        <v>1022</v>
      </c>
      <c r="BP623">
        <v>1.3</v>
      </c>
      <c r="BQ623" t="s">
        <v>902</v>
      </c>
      <c r="DF623" s="15" t="s">
        <v>9396</v>
      </c>
      <c r="DG623" t="s">
        <v>126</v>
      </c>
      <c r="DH623" t="s">
        <v>159</v>
      </c>
      <c r="DI623" t="s">
        <v>159</v>
      </c>
      <c r="DJ623" t="s">
        <v>326</v>
      </c>
      <c r="DK623">
        <v>4000000</v>
      </c>
    </row>
    <row r="624" spans="1:115" x14ac:dyDescent="0.25">
      <c r="A624" t="s">
        <v>2495</v>
      </c>
      <c r="B624" t="s">
        <v>2496</v>
      </c>
      <c r="F624" t="s">
        <v>315</v>
      </c>
      <c r="I624" t="s">
        <v>1108</v>
      </c>
      <c r="N624" t="s">
        <v>2497</v>
      </c>
      <c r="U624" t="s">
        <v>321</v>
      </c>
      <c r="Z624" s="14">
        <v>44210</v>
      </c>
      <c r="AA624" s="14">
        <v>44211</v>
      </c>
      <c r="AD624" s="14">
        <v>45657</v>
      </c>
      <c r="AL624" t="s">
        <v>1110</v>
      </c>
      <c r="AN624">
        <v>5370000000</v>
      </c>
      <c r="AR624">
        <v>5370000000</v>
      </c>
      <c r="AS624">
        <v>0</v>
      </c>
      <c r="AY624" t="s">
        <v>557</v>
      </c>
      <c r="AZ624" t="s">
        <v>880</v>
      </c>
      <c r="BA624" t="s">
        <v>822</v>
      </c>
      <c r="BB624" t="s">
        <v>823</v>
      </c>
      <c r="BC624" t="s">
        <v>242</v>
      </c>
      <c r="BK624" t="s">
        <v>860</v>
      </c>
      <c r="BM624" t="s">
        <v>861</v>
      </c>
      <c r="BN624" t="s">
        <v>900</v>
      </c>
      <c r="BO624" t="s">
        <v>901</v>
      </c>
      <c r="BP624">
        <v>4.0999999999999996</v>
      </c>
      <c r="BQ624" t="s">
        <v>902</v>
      </c>
      <c r="DF624" s="15" t="s">
        <v>9324</v>
      </c>
      <c r="DG624" t="s">
        <v>126</v>
      </c>
      <c r="DH624" t="s">
        <v>159</v>
      </c>
      <c r="DI624" t="s">
        <v>159</v>
      </c>
      <c r="DJ624" t="s">
        <v>326</v>
      </c>
      <c r="DK624">
        <v>8950000</v>
      </c>
    </row>
    <row r="625" spans="1:115" x14ac:dyDescent="0.25">
      <c r="A625" t="s">
        <v>2498</v>
      </c>
      <c r="B625" t="s">
        <v>2499</v>
      </c>
      <c r="F625" t="s">
        <v>315</v>
      </c>
      <c r="I625" t="s">
        <v>1108</v>
      </c>
      <c r="N625" t="s">
        <v>2500</v>
      </c>
      <c r="U625" t="s">
        <v>176</v>
      </c>
      <c r="Z625" s="14">
        <v>44210</v>
      </c>
      <c r="AA625" s="14">
        <v>44391</v>
      </c>
      <c r="AD625" s="14">
        <v>46387</v>
      </c>
      <c r="AL625" t="s">
        <v>122</v>
      </c>
      <c r="AN625">
        <v>14037479800</v>
      </c>
      <c r="AR625">
        <v>0</v>
      </c>
      <c r="AS625">
        <v>14037479800</v>
      </c>
      <c r="AY625" t="s">
        <v>1043</v>
      </c>
      <c r="AZ625" t="s">
        <v>558</v>
      </c>
      <c r="BA625" t="s">
        <v>2501</v>
      </c>
      <c r="BB625" t="s">
        <v>2502</v>
      </c>
      <c r="BC625" t="s">
        <v>125</v>
      </c>
      <c r="BM625" t="s">
        <v>861</v>
      </c>
      <c r="BN625" t="s">
        <v>900</v>
      </c>
      <c r="BO625" t="s">
        <v>901</v>
      </c>
      <c r="BP625">
        <v>4.0999999999999996</v>
      </c>
      <c r="BQ625" t="s">
        <v>902</v>
      </c>
      <c r="DF625" s="15" t="s">
        <v>9308</v>
      </c>
      <c r="DG625" t="s">
        <v>317</v>
      </c>
      <c r="DH625" t="s">
        <v>127</v>
      </c>
      <c r="DI625" t="s">
        <v>1883</v>
      </c>
      <c r="DJ625" t="s">
        <v>172</v>
      </c>
      <c r="DK625">
        <v>21400000</v>
      </c>
    </row>
    <row r="626" spans="1:115" x14ac:dyDescent="0.25">
      <c r="A626" t="s">
        <v>2503</v>
      </c>
      <c r="B626" t="s">
        <v>2504</v>
      </c>
      <c r="F626" t="s">
        <v>315</v>
      </c>
      <c r="I626" t="s">
        <v>1108</v>
      </c>
      <c r="N626" t="s">
        <v>2505</v>
      </c>
      <c r="U626" t="s">
        <v>176</v>
      </c>
      <c r="Z626" s="14">
        <v>44210</v>
      </c>
      <c r="AA626" s="14">
        <v>44547</v>
      </c>
      <c r="AD626" s="14">
        <v>44561</v>
      </c>
      <c r="AL626" t="s">
        <v>122</v>
      </c>
      <c r="AN626">
        <v>33453807000</v>
      </c>
      <c r="AR626">
        <v>0</v>
      </c>
      <c r="AS626">
        <v>33453807000</v>
      </c>
      <c r="AY626" t="s">
        <v>1043</v>
      </c>
      <c r="AZ626" t="s">
        <v>558</v>
      </c>
      <c r="BA626" t="s">
        <v>2501</v>
      </c>
      <c r="BB626" t="s">
        <v>2502</v>
      </c>
      <c r="BC626" t="s">
        <v>125</v>
      </c>
      <c r="BM626" t="s">
        <v>861</v>
      </c>
      <c r="BN626" t="s">
        <v>900</v>
      </c>
      <c r="BO626" t="s">
        <v>901</v>
      </c>
      <c r="BP626">
        <v>4.0999999999999996</v>
      </c>
      <c r="BQ626" t="s">
        <v>902</v>
      </c>
      <c r="DF626" s="15" t="s">
        <v>9308</v>
      </c>
      <c r="DG626" t="s">
        <v>317</v>
      </c>
      <c r="DH626" t="s">
        <v>127</v>
      </c>
      <c r="DI626" t="s">
        <v>1883</v>
      </c>
      <c r="DJ626" t="s">
        <v>172</v>
      </c>
      <c r="DK626">
        <v>51000000</v>
      </c>
    </row>
    <row r="627" spans="1:115" x14ac:dyDescent="0.25">
      <c r="A627" t="s">
        <v>2506</v>
      </c>
      <c r="B627" t="s">
        <v>2507</v>
      </c>
      <c r="F627" t="s">
        <v>190</v>
      </c>
      <c r="I627" t="s">
        <v>974</v>
      </c>
      <c r="N627" t="s">
        <v>2508</v>
      </c>
      <c r="U627" t="s">
        <v>176</v>
      </c>
      <c r="Z627" s="14">
        <v>44210</v>
      </c>
      <c r="AA627" s="14">
        <v>44211</v>
      </c>
      <c r="AD627" s="14">
        <v>44926</v>
      </c>
      <c r="AL627" t="s">
        <v>136</v>
      </c>
      <c r="AN627">
        <v>1500000000</v>
      </c>
      <c r="AR627">
        <v>1500000000</v>
      </c>
      <c r="AS627">
        <v>0</v>
      </c>
      <c r="AY627" t="s">
        <v>557</v>
      </c>
      <c r="AZ627" t="s">
        <v>880</v>
      </c>
      <c r="BA627" t="s">
        <v>1148</v>
      </c>
      <c r="BB627" t="s">
        <v>1148</v>
      </c>
      <c r="BC627" t="s">
        <v>242</v>
      </c>
      <c r="BK627" t="s">
        <v>860</v>
      </c>
      <c r="BM627" t="s">
        <v>861</v>
      </c>
      <c r="BN627" t="s">
        <v>862</v>
      </c>
      <c r="BO627" t="s">
        <v>863</v>
      </c>
      <c r="BP627">
        <v>2.2999999999999998</v>
      </c>
      <c r="BQ627" t="s">
        <v>864</v>
      </c>
      <c r="DF627" s="15" t="s">
        <v>9308</v>
      </c>
      <c r="DG627" t="s">
        <v>126</v>
      </c>
      <c r="DH627" t="s">
        <v>159</v>
      </c>
      <c r="DI627" t="s">
        <v>159</v>
      </c>
      <c r="DJ627" t="s">
        <v>172</v>
      </c>
      <c r="DK627">
        <v>1500000000</v>
      </c>
    </row>
    <row r="628" spans="1:115" x14ac:dyDescent="0.25">
      <c r="A628" t="s">
        <v>2509</v>
      </c>
      <c r="B628" t="s">
        <v>2510</v>
      </c>
      <c r="F628" t="s">
        <v>1344</v>
      </c>
      <c r="I628" t="s">
        <v>1855</v>
      </c>
      <c r="N628" t="s">
        <v>2511</v>
      </c>
      <c r="U628" t="s">
        <v>165</v>
      </c>
      <c r="V628" t="s">
        <v>166</v>
      </c>
      <c r="Z628" s="14">
        <v>44210</v>
      </c>
      <c r="AA628" s="14">
        <v>44211</v>
      </c>
      <c r="AD628" s="14">
        <v>44926</v>
      </c>
      <c r="AL628" t="s">
        <v>624</v>
      </c>
      <c r="AN628">
        <v>550000000</v>
      </c>
      <c r="AR628">
        <v>550000000</v>
      </c>
      <c r="AS628">
        <v>0</v>
      </c>
      <c r="AY628" t="s">
        <v>557</v>
      </c>
      <c r="AZ628" t="s">
        <v>880</v>
      </c>
      <c r="BA628" t="s">
        <v>1148</v>
      </c>
      <c r="BB628" t="s">
        <v>1148</v>
      </c>
      <c r="BC628" t="s">
        <v>242</v>
      </c>
      <c r="BK628" t="s">
        <v>860</v>
      </c>
      <c r="BM628" t="s">
        <v>964</v>
      </c>
      <c r="BN628" t="s">
        <v>965</v>
      </c>
      <c r="BO628" t="s">
        <v>1036</v>
      </c>
      <c r="BP628">
        <v>16.600000000000001</v>
      </c>
      <c r="BQ628" t="s">
        <v>902</v>
      </c>
      <c r="DF628" s="15" t="s">
        <v>9307</v>
      </c>
      <c r="DG628" t="s">
        <v>126</v>
      </c>
      <c r="DH628" t="s">
        <v>159</v>
      </c>
      <c r="DI628" t="s">
        <v>159</v>
      </c>
      <c r="DJ628" t="s">
        <v>172</v>
      </c>
      <c r="DK628">
        <v>1000000</v>
      </c>
    </row>
    <row r="629" spans="1:115" x14ac:dyDescent="0.25">
      <c r="A629" t="s">
        <v>2512</v>
      </c>
      <c r="B629" t="s">
        <v>2513</v>
      </c>
      <c r="F629" t="s">
        <v>315</v>
      </c>
      <c r="I629" t="s">
        <v>1146</v>
      </c>
      <c r="N629" t="s">
        <v>2514</v>
      </c>
      <c r="U629" t="s">
        <v>185</v>
      </c>
      <c r="V629" t="s">
        <v>224</v>
      </c>
      <c r="W629" t="s">
        <v>2515</v>
      </c>
      <c r="Z629" s="14">
        <v>44210</v>
      </c>
      <c r="AA629" s="14">
        <v>44211</v>
      </c>
      <c r="AD629" s="14">
        <v>44926</v>
      </c>
      <c r="AL629" t="s">
        <v>136</v>
      </c>
      <c r="AN629">
        <v>92472226</v>
      </c>
      <c r="AR629">
        <v>92472226</v>
      </c>
      <c r="AS629">
        <v>0</v>
      </c>
      <c r="AY629" t="s">
        <v>557</v>
      </c>
      <c r="AZ629" t="s">
        <v>880</v>
      </c>
      <c r="BA629" t="s">
        <v>1148</v>
      </c>
      <c r="BB629" t="s">
        <v>1148</v>
      </c>
      <c r="BC629" t="s">
        <v>242</v>
      </c>
      <c r="BK629" t="s">
        <v>860</v>
      </c>
      <c r="BM629" t="s">
        <v>861</v>
      </c>
      <c r="BN629" t="s">
        <v>900</v>
      </c>
      <c r="BO629" t="s">
        <v>901</v>
      </c>
      <c r="BP629">
        <v>4.0999999999999996</v>
      </c>
      <c r="BQ629" t="s">
        <v>902</v>
      </c>
      <c r="DF629" s="15" t="s">
        <v>9465</v>
      </c>
      <c r="DG629" t="s">
        <v>126</v>
      </c>
      <c r="DH629" t="s">
        <v>159</v>
      </c>
      <c r="DI629" t="s">
        <v>159</v>
      </c>
      <c r="DJ629" t="s">
        <v>172</v>
      </c>
      <c r="DK629">
        <v>92472226</v>
      </c>
    </row>
    <row r="630" spans="1:115" x14ac:dyDescent="0.25">
      <c r="A630" t="s">
        <v>2516</v>
      </c>
      <c r="B630" t="s">
        <v>2517</v>
      </c>
      <c r="F630" t="s">
        <v>315</v>
      </c>
      <c r="I630" t="s">
        <v>1108</v>
      </c>
      <c r="N630" t="s">
        <v>2518</v>
      </c>
      <c r="U630" t="s">
        <v>176</v>
      </c>
      <c r="Z630" s="14">
        <v>44210</v>
      </c>
      <c r="AA630" s="14">
        <v>44211</v>
      </c>
      <c r="AD630" s="14">
        <v>44926</v>
      </c>
      <c r="AL630" t="s">
        <v>136</v>
      </c>
      <c r="AN630">
        <v>31572522</v>
      </c>
      <c r="AR630">
        <v>31572522</v>
      </c>
      <c r="AS630">
        <v>0</v>
      </c>
      <c r="AY630" t="s">
        <v>557</v>
      </c>
      <c r="AZ630" t="s">
        <v>880</v>
      </c>
      <c r="BA630" t="s">
        <v>1148</v>
      </c>
      <c r="BB630" t="s">
        <v>1148</v>
      </c>
      <c r="BC630" t="s">
        <v>242</v>
      </c>
      <c r="BK630" t="s">
        <v>860</v>
      </c>
      <c r="BM630" t="s">
        <v>861</v>
      </c>
      <c r="BN630" t="s">
        <v>900</v>
      </c>
      <c r="BO630" t="s">
        <v>901</v>
      </c>
      <c r="BP630">
        <v>4.0999999999999996</v>
      </c>
      <c r="BQ630" t="s">
        <v>902</v>
      </c>
      <c r="DF630" s="15" t="s">
        <v>9308</v>
      </c>
      <c r="DG630" t="s">
        <v>126</v>
      </c>
      <c r="DH630" t="s">
        <v>159</v>
      </c>
      <c r="DI630" t="s">
        <v>159</v>
      </c>
      <c r="DJ630" t="s">
        <v>172</v>
      </c>
      <c r="DK630">
        <v>31572522</v>
      </c>
    </row>
    <row r="631" spans="1:115" x14ac:dyDescent="0.25">
      <c r="A631" t="s">
        <v>2519</v>
      </c>
      <c r="B631" t="s">
        <v>2520</v>
      </c>
      <c r="F631" t="s">
        <v>216</v>
      </c>
      <c r="I631" t="s">
        <v>1688</v>
      </c>
      <c r="N631" t="s">
        <v>2521</v>
      </c>
      <c r="U631" t="s">
        <v>1167</v>
      </c>
      <c r="V631" t="s">
        <v>2522</v>
      </c>
      <c r="Z631" s="14">
        <v>44210</v>
      </c>
      <c r="AA631" s="14">
        <v>44211</v>
      </c>
      <c r="AD631" s="14">
        <v>44926</v>
      </c>
      <c r="AL631" t="s">
        <v>136</v>
      </c>
      <c r="AN631">
        <v>40438437</v>
      </c>
      <c r="AR631">
        <v>40438437</v>
      </c>
      <c r="AS631">
        <v>0</v>
      </c>
      <c r="AY631" t="s">
        <v>557</v>
      </c>
      <c r="AZ631" t="s">
        <v>880</v>
      </c>
      <c r="BA631" t="s">
        <v>1148</v>
      </c>
      <c r="BB631" t="s">
        <v>1148</v>
      </c>
      <c r="BC631" t="s">
        <v>242</v>
      </c>
      <c r="BK631" t="s">
        <v>860</v>
      </c>
      <c r="BM631" t="s">
        <v>560</v>
      </c>
      <c r="BN631" t="s">
        <v>561</v>
      </c>
      <c r="BO631" t="s">
        <v>989</v>
      </c>
      <c r="BP631">
        <v>3.8</v>
      </c>
      <c r="BQ631" t="s">
        <v>902</v>
      </c>
      <c r="DF631" s="15" t="s">
        <v>9466</v>
      </c>
      <c r="DG631" t="s">
        <v>126</v>
      </c>
      <c r="DH631" t="s">
        <v>159</v>
      </c>
      <c r="DI631" t="s">
        <v>159</v>
      </c>
      <c r="DJ631" t="s">
        <v>172</v>
      </c>
      <c r="DK631">
        <v>40438437</v>
      </c>
    </row>
    <row r="632" spans="1:115" x14ac:dyDescent="0.25">
      <c r="A632" t="s">
        <v>2523</v>
      </c>
      <c r="B632" t="s">
        <v>2524</v>
      </c>
      <c r="F632" t="s">
        <v>1344</v>
      </c>
      <c r="I632" t="s">
        <v>2525</v>
      </c>
      <c r="N632" t="s">
        <v>2526</v>
      </c>
      <c r="U632" t="s">
        <v>176</v>
      </c>
      <c r="Z632" s="14">
        <v>44210</v>
      </c>
      <c r="AA632" s="14">
        <v>44211</v>
      </c>
      <c r="AD632" s="14">
        <v>44926</v>
      </c>
      <c r="AL632" t="s">
        <v>136</v>
      </c>
      <c r="AN632">
        <v>87452187</v>
      </c>
      <c r="AR632">
        <v>87452187</v>
      </c>
      <c r="AS632">
        <v>0</v>
      </c>
      <c r="AY632" t="s">
        <v>557</v>
      </c>
      <c r="AZ632" t="s">
        <v>880</v>
      </c>
      <c r="BA632" t="s">
        <v>1148</v>
      </c>
      <c r="BB632" t="s">
        <v>1148</v>
      </c>
      <c r="BC632" t="s">
        <v>242</v>
      </c>
      <c r="BK632" t="s">
        <v>860</v>
      </c>
      <c r="BM632" t="s">
        <v>964</v>
      </c>
      <c r="BN632" t="s">
        <v>965</v>
      </c>
      <c r="BO632" t="s">
        <v>1036</v>
      </c>
      <c r="BP632">
        <v>16.600000000000001</v>
      </c>
      <c r="BQ632" t="s">
        <v>902</v>
      </c>
      <c r="DF632" s="15" t="s">
        <v>9308</v>
      </c>
      <c r="DG632" t="s">
        <v>126</v>
      </c>
      <c r="DH632" t="s">
        <v>159</v>
      </c>
      <c r="DI632" t="s">
        <v>159</v>
      </c>
      <c r="DJ632" t="s">
        <v>172</v>
      </c>
      <c r="DK632">
        <v>87452187</v>
      </c>
    </row>
    <row r="633" spans="1:115" x14ac:dyDescent="0.25">
      <c r="A633" t="s">
        <v>2527</v>
      </c>
      <c r="B633" t="s">
        <v>2528</v>
      </c>
      <c r="F633" t="s">
        <v>263</v>
      </c>
      <c r="I633" t="s">
        <v>555</v>
      </c>
      <c r="N633" t="s">
        <v>2529</v>
      </c>
      <c r="U633" t="s">
        <v>176</v>
      </c>
      <c r="Z633" s="14">
        <v>44210</v>
      </c>
      <c r="AA633" s="14">
        <v>44211</v>
      </c>
      <c r="AD633" s="14">
        <v>45291</v>
      </c>
      <c r="AL633" t="s">
        <v>2412</v>
      </c>
      <c r="AN633">
        <v>14000000000</v>
      </c>
      <c r="AR633">
        <v>14000000000</v>
      </c>
      <c r="AS633">
        <v>0</v>
      </c>
      <c r="AY633" t="s">
        <v>557</v>
      </c>
      <c r="AZ633" t="s">
        <v>880</v>
      </c>
      <c r="BA633" t="s">
        <v>1148</v>
      </c>
      <c r="BB633" t="s">
        <v>1148</v>
      </c>
      <c r="BC633" t="s">
        <v>242</v>
      </c>
      <c r="BK633" t="s">
        <v>860</v>
      </c>
      <c r="BM633" t="s">
        <v>560</v>
      </c>
      <c r="BN633" t="s">
        <v>561</v>
      </c>
      <c r="BO633" t="s">
        <v>562</v>
      </c>
      <c r="BP633">
        <v>6.1</v>
      </c>
      <c r="BQ633" t="s">
        <v>563</v>
      </c>
      <c r="DF633" s="15" t="s">
        <v>9308</v>
      </c>
      <c r="DG633" t="s">
        <v>126</v>
      </c>
      <c r="DH633" t="s">
        <v>159</v>
      </c>
      <c r="DI633" t="s">
        <v>159</v>
      </c>
      <c r="DJ633" t="s">
        <v>172</v>
      </c>
      <c r="DK633">
        <v>3180000000</v>
      </c>
    </row>
    <row r="634" spans="1:115" x14ac:dyDescent="0.25">
      <c r="A634" t="s">
        <v>2530</v>
      </c>
      <c r="B634" t="s">
        <v>1038</v>
      </c>
      <c r="F634" t="s">
        <v>1039</v>
      </c>
      <c r="I634" t="s">
        <v>1040</v>
      </c>
      <c r="N634" t="s">
        <v>2531</v>
      </c>
      <c r="U634" t="s">
        <v>176</v>
      </c>
      <c r="Z634" s="14">
        <v>44210</v>
      </c>
      <c r="AA634" s="14">
        <v>44211</v>
      </c>
      <c r="AD634" t="s">
        <v>2532</v>
      </c>
      <c r="AL634" t="s">
        <v>136</v>
      </c>
      <c r="AN634">
        <v>442816910000</v>
      </c>
      <c r="AR634">
        <v>0</v>
      </c>
      <c r="AS634">
        <v>442816910000</v>
      </c>
      <c r="AY634" t="s">
        <v>1043</v>
      </c>
      <c r="AZ634" t="s">
        <v>1038</v>
      </c>
      <c r="BA634" t="s">
        <v>1044</v>
      </c>
      <c r="BB634" t="s">
        <v>1045</v>
      </c>
      <c r="BC634" t="s">
        <v>1044</v>
      </c>
      <c r="BK634" t="s">
        <v>860</v>
      </c>
      <c r="BM634" t="s">
        <v>861</v>
      </c>
      <c r="BN634" t="s">
        <v>1046</v>
      </c>
      <c r="BO634" t="s">
        <v>1047</v>
      </c>
      <c r="BP634">
        <v>17.170000000000002</v>
      </c>
      <c r="BQ634" t="s">
        <v>864</v>
      </c>
      <c r="DF634" s="15" t="s">
        <v>9308</v>
      </c>
      <c r="DG634" t="s">
        <v>1048</v>
      </c>
      <c r="DH634" t="s">
        <v>127</v>
      </c>
      <c r="DI634" t="s">
        <v>1049</v>
      </c>
      <c r="DJ634" t="s">
        <v>172</v>
      </c>
      <c r="DK634">
        <v>442816910000</v>
      </c>
    </row>
    <row r="635" spans="1:115" x14ac:dyDescent="0.25">
      <c r="A635" t="s">
        <v>2533</v>
      </c>
      <c r="B635" t="s">
        <v>2008</v>
      </c>
      <c r="F635" t="s">
        <v>163</v>
      </c>
      <c r="I635" t="s">
        <v>962</v>
      </c>
      <c r="N635" t="s">
        <v>2534</v>
      </c>
      <c r="U635" t="s">
        <v>165</v>
      </c>
      <c r="V635" t="s">
        <v>166</v>
      </c>
      <c r="Z635" s="14">
        <v>44210</v>
      </c>
      <c r="AA635" s="14">
        <v>44390</v>
      </c>
      <c r="AD635" s="14">
        <v>45291</v>
      </c>
      <c r="AL635" t="s">
        <v>624</v>
      </c>
      <c r="AN635">
        <v>1358118844</v>
      </c>
      <c r="AR635">
        <v>1358118844</v>
      </c>
      <c r="AS635">
        <v>0</v>
      </c>
      <c r="AY635" t="s">
        <v>557</v>
      </c>
      <c r="AZ635" t="s">
        <v>880</v>
      </c>
      <c r="BA635" t="s">
        <v>1010</v>
      </c>
      <c r="BB635" t="s">
        <v>1011</v>
      </c>
      <c r="BC635" t="s">
        <v>125</v>
      </c>
      <c r="BK635" t="s">
        <v>860</v>
      </c>
      <c r="BM635" t="s">
        <v>964</v>
      </c>
      <c r="BN635" t="s">
        <v>1035</v>
      </c>
      <c r="BO635" t="s">
        <v>1036</v>
      </c>
      <c r="BP635">
        <v>16.600000000000001</v>
      </c>
      <c r="BQ635" t="s">
        <v>902</v>
      </c>
      <c r="DF635" s="15" t="s">
        <v>9307</v>
      </c>
      <c r="DG635" t="s">
        <v>126</v>
      </c>
      <c r="DH635" t="s">
        <v>159</v>
      </c>
      <c r="DI635" t="s">
        <v>159</v>
      </c>
      <c r="DJ635" t="s">
        <v>172</v>
      </c>
      <c r="DK635">
        <v>2469306.9900000002</v>
      </c>
    </row>
    <row r="636" spans="1:115" x14ac:dyDescent="0.25">
      <c r="A636" t="s">
        <v>2535</v>
      </c>
      <c r="B636" t="s">
        <v>2536</v>
      </c>
      <c r="F636" t="s">
        <v>118</v>
      </c>
      <c r="I636" t="s">
        <v>2537</v>
      </c>
      <c r="N636" t="s">
        <v>2538</v>
      </c>
      <c r="U636" t="s">
        <v>176</v>
      </c>
      <c r="Z636" s="14">
        <v>44210</v>
      </c>
      <c r="AA636" s="14">
        <v>44222</v>
      </c>
      <c r="AD636" s="14">
        <v>45657</v>
      </c>
      <c r="AL636" t="s">
        <v>624</v>
      </c>
      <c r="AN636">
        <v>6413796488</v>
      </c>
      <c r="AR636">
        <v>6413796488</v>
      </c>
      <c r="AS636">
        <v>0</v>
      </c>
      <c r="AY636" t="s">
        <v>557</v>
      </c>
      <c r="AZ636" t="s">
        <v>880</v>
      </c>
      <c r="BA636" t="s">
        <v>1010</v>
      </c>
      <c r="BB636" t="s">
        <v>1011</v>
      </c>
      <c r="BC636" t="s">
        <v>125</v>
      </c>
      <c r="BK636" t="s">
        <v>860</v>
      </c>
      <c r="BM636" t="s">
        <v>861</v>
      </c>
      <c r="BN636" t="s">
        <v>862</v>
      </c>
      <c r="BO636" t="s">
        <v>1173</v>
      </c>
      <c r="BP636">
        <v>7.1</v>
      </c>
      <c r="BQ636" t="s">
        <v>864</v>
      </c>
      <c r="DF636" s="15" t="s">
        <v>9308</v>
      </c>
      <c r="DG636" t="s">
        <v>126</v>
      </c>
      <c r="DH636" t="s">
        <v>159</v>
      </c>
      <c r="DI636" t="s">
        <v>159</v>
      </c>
      <c r="DJ636" t="s">
        <v>172</v>
      </c>
      <c r="DK636">
        <v>11661448.16</v>
      </c>
    </row>
    <row r="637" spans="1:115" x14ac:dyDescent="0.25">
      <c r="A637" t="s">
        <v>2539</v>
      </c>
      <c r="B637" t="s">
        <v>1389</v>
      </c>
      <c r="F637" t="s">
        <v>205</v>
      </c>
      <c r="I637" t="s">
        <v>1006</v>
      </c>
      <c r="N637" t="s">
        <v>2540</v>
      </c>
      <c r="U637" t="s">
        <v>176</v>
      </c>
      <c r="Z637" s="14">
        <v>44267</v>
      </c>
      <c r="AA637" s="14">
        <v>44306</v>
      </c>
      <c r="AD637" s="14">
        <v>46022</v>
      </c>
      <c r="AL637" t="s">
        <v>624</v>
      </c>
      <c r="AN637">
        <v>117843000</v>
      </c>
      <c r="AR637">
        <v>117843000</v>
      </c>
      <c r="AS637">
        <v>0</v>
      </c>
      <c r="AY637" t="s">
        <v>557</v>
      </c>
      <c r="AZ637" t="s">
        <v>880</v>
      </c>
      <c r="BA637" t="s">
        <v>1010</v>
      </c>
      <c r="BB637" t="s">
        <v>1011</v>
      </c>
      <c r="BC637" t="s">
        <v>125</v>
      </c>
      <c r="BK637" t="s">
        <v>860</v>
      </c>
      <c r="BM637" t="s">
        <v>560</v>
      </c>
      <c r="BN637" t="s">
        <v>1012</v>
      </c>
      <c r="BO637" t="s">
        <v>939</v>
      </c>
      <c r="BP637">
        <v>11.3</v>
      </c>
      <c r="BQ637" t="s">
        <v>563</v>
      </c>
      <c r="DF637" s="15" t="s">
        <v>9308</v>
      </c>
      <c r="DG637" t="s">
        <v>126</v>
      </c>
      <c r="DH637" t="s">
        <v>159</v>
      </c>
      <c r="DI637" t="s">
        <v>159</v>
      </c>
      <c r="DJ637" t="s">
        <v>172</v>
      </c>
      <c r="DK637">
        <v>214260</v>
      </c>
    </row>
    <row r="638" spans="1:115" x14ac:dyDescent="0.25">
      <c r="A638" t="s">
        <v>2541</v>
      </c>
      <c r="B638" t="s">
        <v>2542</v>
      </c>
      <c r="F638" t="s">
        <v>369</v>
      </c>
      <c r="I638" t="s">
        <v>1838</v>
      </c>
      <c r="N638" t="s">
        <v>2543</v>
      </c>
      <c r="U638" t="s">
        <v>176</v>
      </c>
      <c r="Z638" s="14">
        <v>44267</v>
      </c>
      <c r="AA638" s="14">
        <v>44306</v>
      </c>
      <c r="AD638" s="14">
        <v>45657</v>
      </c>
      <c r="AL638" t="s">
        <v>136</v>
      </c>
      <c r="AN638">
        <v>57088958</v>
      </c>
      <c r="AR638">
        <v>57088958</v>
      </c>
      <c r="AS638">
        <v>0</v>
      </c>
      <c r="AY638" t="s">
        <v>557</v>
      </c>
      <c r="AZ638" t="s">
        <v>880</v>
      </c>
      <c r="BA638" t="s">
        <v>1010</v>
      </c>
      <c r="BB638" t="s">
        <v>1011</v>
      </c>
      <c r="BC638" t="s">
        <v>125</v>
      </c>
      <c r="BK638" t="s">
        <v>860</v>
      </c>
      <c r="BM638" t="s">
        <v>861</v>
      </c>
      <c r="BN638" t="s">
        <v>862</v>
      </c>
      <c r="BO638" t="s">
        <v>971</v>
      </c>
      <c r="BP638">
        <v>9.1</v>
      </c>
      <c r="BQ638" t="s">
        <v>864</v>
      </c>
      <c r="DF638" s="15" t="s">
        <v>9308</v>
      </c>
      <c r="DG638" t="s">
        <v>170</v>
      </c>
      <c r="DH638" t="s">
        <v>159</v>
      </c>
      <c r="DI638" t="s">
        <v>171</v>
      </c>
      <c r="DJ638" t="s">
        <v>172</v>
      </c>
      <c r="DK638">
        <v>57088958</v>
      </c>
    </row>
    <row r="639" spans="1:115" x14ac:dyDescent="0.25">
      <c r="A639" t="s">
        <v>2544</v>
      </c>
      <c r="B639" t="s">
        <v>2545</v>
      </c>
      <c r="F639" t="s">
        <v>282</v>
      </c>
      <c r="I639" t="s">
        <v>1029</v>
      </c>
      <c r="N639" t="s">
        <v>2546</v>
      </c>
      <c r="U639" t="s">
        <v>176</v>
      </c>
      <c r="Z639" s="14">
        <v>44210</v>
      </c>
      <c r="AA639" s="14">
        <v>44211</v>
      </c>
      <c r="AD639" s="14">
        <v>45291</v>
      </c>
      <c r="AL639" t="s">
        <v>136</v>
      </c>
      <c r="AN639">
        <v>9124535</v>
      </c>
      <c r="AR639">
        <v>9124535</v>
      </c>
      <c r="AS639">
        <v>0</v>
      </c>
      <c r="AY639" t="s">
        <v>557</v>
      </c>
      <c r="AZ639" t="s">
        <v>880</v>
      </c>
      <c r="BA639" t="s">
        <v>1010</v>
      </c>
      <c r="BB639" t="s">
        <v>1011</v>
      </c>
      <c r="BC639" t="s">
        <v>125</v>
      </c>
      <c r="BK639" t="s">
        <v>860</v>
      </c>
      <c r="BM639" t="s">
        <v>964</v>
      </c>
      <c r="BN639" t="s">
        <v>965</v>
      </c>
      <c r="BO639" t="s">
        <v>939</v>
      </c>
      <c r="BP639">
        <v>11.3</v>
      </c>
      <c r="BQ639" t="s">
        <v>902</v>
      </c>
      <c r="DF639" s="15" t="s">
        <v>9308</v>
      </c>
      <c r="DG639" t="s">
        <v>126</v>
      </c>
      <c r="DH639" t="s">
        <v>159</v>
      </c>
      <c r="DI639" t="s">
        <v>159</v>
      </c>
      <c r="DJ639" t="s">
        <v>326</v>
      </c>
      <c r="DK639">
        <v>9124535</v>
      </c>
    </row>
    <row r="640" spans="1:115" x14ac:dyDescent="0.25">
      <c r="A640" t="s">
        <v>2547</v>
      </c>
      <c r="B640" t="s">
        <v>1392</v>
      </c>
      <c r="F640" t="s">
        <v>1039</v>
      </c>
      <c r="I640" t="s">
        <v>1040</v>
      </c>
      <c r="N640" t="s">
        <v>2548</v>
      </c>
      <c r="U640" t="s">
        <v>176</v>
      </c>
      <c r="Z640" s="14">
        <v>44210</v>
      </c>
      <c r="AA640" s="14">
        <v>44211</v>
      </c>
      <c r="AD640" s="14">
        <v>45291</v>
      </c>
      <c r="AL640" t="s">
        <v>624</v>
      </c>
      <c r="AN640">
        <v>428406000</v>
      </c>
      <c r="AR640">
        <v>428406000</v>
      </c>
      <c r="AS640">
        <v>0</v>
      </c>
      <c r="AY640" t="s">
        <v>557</v>
      </c>
      <c r="AZ640" t="s">
        <v>880</v>
      </c>
      <c r="BA640" t="s">
        <v>1010</v>
      </c>
      <c r="BB640" t="s">
        <v>1011</v>
      </c>
      <c r="BC640" t="s">
        <v>125</v>
      </c>
      <c r="BK640" t="s">
        <v>860</v>
      </c>
      <c r="BM640" t="s">
        <v>861</v>
      </c>
      <c r="BN640" t="s">
        <v>1046</v>
      </c>
      <c r="BO640" t="s">
        <v>1047</v>
      </c>
      <c r="BP640">
        <v>17.170000000000002</v>
      </c>
      <c r="BQ640" t="s">
        <v>864</v>
      </c>
      <c r="DF640" s="15" t="s">
        <v>9308</v>
      </c>
      <c r="DG640" t="s">
        <v>126</v>
      </c>
      <c r="DH640" t="s">
        <v>159</v>
      </c>
      <c r="DI640" t="s">
        <v>159</v>
      </c>
      <c r="DJ640" t="s">
        <v>172</v>
      </c>
      <c r="DK640">
        <v>778920</v>
      </c>
    </row>
    <row r="641" spans="1:115" x14ac:dyDescent="0.25">
      <c r="A641" t="s">
        <v>2549</v>
      </c>
      <c r="B641" t="s">
        <v>2550</v>
      </c>
      <c r="F641" t="s">
        <v>245</v>
      </c>
      <c r="I641" t="s">
        <v>1410</v>
      </c>
      <c r="N641" t="s">
        <v>2551</v>
      </c>
      <c r="U641" t="s">
        <v>176</v>
      </c>
      <c r="Z641" s="14">
        <v>44210</v>
      </c>
      <c r="AA641" s="14">
        <v>44211</v>
      </c>
      <c r="AD641" s="14">
        <v>45657</v>
      </c>
      <c r="AL641" t="s">
        <v>136</v>
      </c>
      <c r="AN641">
        <v>5429660</v>
      </c>
      <c r="AR641">
        <v>5429660</v>
      </c>
      <c r="AS641">
        <v>0</v>
      </c>
      <c r="AY641" t="s">
        <v>557</v>
      </c>
      <c r="AZ641" t="s">
        <v>880</v>
      </c>
      <c r="BA641" t="s">
        <v>1010</v>
      </c>
      <c r="BB641" t="s">
        <v>1011</v>
      </c>
      <c r="BC641" t="s">
        <v>125</v>
      </c>
      <c r="BK641" t="s">
        <v>860</v>
      </c>
      <c r="BM641" t="s">
        <v>861</v>
      </c>
      <c r="BN641" t="s">
        <v>862</v>
      </c>
      <c r="BO641" t="s">
        <v>971</v>
      </c>
      <c r="BP641">
        <v>9.1</v>
      </c>
      <c r="BQ641" t="s">
        <v>864</v>
      </c>
      <c r="DF641" s="15" t="s">
        <v>9308</v>
      </c>
      <c r="DG641" t="s">
        <v>170</v>
      </c>
      <c r="DH641" t="s">
        <v>159</v>
      </c>
      <c r="DI641" t="s">
        <v>171</v>
      </c>
      <c r="DJ641" t="s">
        <v>172</v>
      </c>
      <c r="DK641">
        <v>5429660</v>
      </c>
    </row>
    <row r="642" spans="1:115" x14ac:dyDescent="0.25">
      <c r="A642" t="s">
        <v>2552</v>
      </c>
      <c r="B642" t="s">
        <v>2553</v>
      </c>
      <c r="F642" t="s">
        <v>245</v>
      </c>
      <c r="I642" t="s">
        <v>1410</v>
      </c>
      <c r="N642" t="s">
        <v>2554</v>
      </c>
      <c r="U642" t="s">
        <v>176</v>
      </c>
      <c r="Z642" s="14">
        <v>44210</v>
      </c>
      <c r="AA642" s="14">
        <v>44211</v>
      </c>
      <c r="AD642" s="14">
        <v>45657</v>
      </c>
      <c r="AL642" t="s">
        <v>136</v>
      </c>
      <c r="AN642">
        <v>39759919.200000003</v>
      </c>
      <c r="AR642">
        <v>39759919.200000003</v>
      </c>
      <c r="AS642">
        <v>0</v>
      </c>
      <c r="AY642" t="s">
        <v>557</v>
      </c>
      <c r="AZ642" t="s">
        <v>880</v>
      </c>
      <c r="BA642" t="s">
        <v>1010</v>
      </c>
      <c r="BB642" t="s">
        <v>1011</v>
      </c>
      <c r="BC642" t="s">
        <v>125</v>
      </c>
      <c r="BK642" t="s">
        <v>860</v>
      </c>
      <c r="BM642" t="s">
        <v>861</v>
      </c>
      <c r="BN642" t="s">
        <v>862</v>
      </c>
      <c r="BO642" t="s">
        <v>971</v>
      </c>
      <c r="BP642">
        <v>9.1</v>
      </c>
      <c r="BQ642" t="s">
        <v>864</v>
      </c>
      <c r="DF642" s="15" t="s">
        <v>9308</v>
      </c>
      <c r="DG642" t="s">
        <v>126</v>
      </c>
      <c r="DH642" t="s">
        <v>159</v>
      </c>
      <c r="DI642" t="s">
        <v>159</v>
      </c>
      <c r="DJ642" t="s">
        <v>172</v>
      </c>
      <c r="DK642">
        <v>39759919.200000003</v>
      </c>
    </row>
    <row r="643" spans="1:115" x14ac:dyDescent="0.25">
      <c r="A643" t="s">
        <v>2555</v>
      </c>
      <c r="B643" t="s">
        <v>1051</v>
      </c>
      <c r="F643" t="s">
        <v>205</v>
      </c>
      <c r="I643" t="s">
        <v>1052</v>
      </c>
      <c r="N643" t="s">
        <v>2556</v>
      </c>
      <c r="U643" t="s">
        <v>176</v>
      </c>
      <c r="Z643" s="14">
        <v>44210</v>
      </c>
      <c r="AA643" s="14">
        <v>44211</v>
      </c>
      <c r="AD643" s="14">
        <v>45657</v>
      </c>
      <c r="AL643" t="s">
        <v>624</v>
      </c>
      <c r="AN643">
        <v>18766550</v>
      </c>
      <c r="AR643">
        <v>18766550</v>
      </c>
      <c r="AS643">
        <v>0</v>
      </c>
      <c r="AY643" t="s">
        <v>557</v>
      </c>
      <c r="AZ643" t="s">
        <v>880</v>
      </c>
      <c r="BA643" t="s">
        <v>1010</v>
      </c>
      <c r="BB643" t="s">
        <v>1011</v>
      </c>
      <c r="BC643" t="s">
        <v>125</v>
      </c>
      <c r="BK643" t="s">
        <v>860</v>
      </c>
      <c r="BM643" t="s">
        <v>560</v>
      </c>
      <c r="BN643" t="s">
        <v>1012</v>
      </c>
      <c r="BO643" t="s">
        <v>939</v>
      </c>
      <c r="BP643">
        <v>11.3</v>
      </c>
      <c r="BQ643" t="s">
        <v>563</v>
      </c>
      <c r="DF643" s="15" t="s">
        <v>9308</v>
      </c>
      <c r="DG643" t="s">
        <v>317</v>
      </c>
      <c r="DH643" t="s">
        <v>159</v>
      </c>
      <c r="DI643" t="s">
        <v>159</v>
      </c>
      <c r="DJ643" t="s">
        <v>172</v>
      </c>
      <c r="DK643">
        <v>34121</v>
      </c>
    </row>
    <row r="644" spans="1:115" x14ac:dyDescent="0.25">
      <c r="A644" t="s">
        <v>2557</v>
      </c>
      <c r="B644" t="s">
        <v>2558</v>
      </c>
      <c r="F644" t="s">
        <v>526</v>
      </c>
      <c r="I644" t="s">
        <v>1131</v>
      </c>
      <c r="N644" t="s">
        <v>2559</v>
      </c>
      <c r="U644" t="s">
        <v>176</v>
      </c>
      <c r="Z644" s="14">
        <v>44210</v>
      </c>
      <c r="AA644" s="14">
        <v>44211</v>
      </c>
      <c r="AD644" s="14">
        <v>45657</v>
      </c>
      <c r="AL644" t="s">
        <v>624</v>
      </c>
      <c r="AN644">
        <v>245176894</v>
      </c>
      <c r="AR644">
        <v>245176894</v>
      </c>
      <c r="AS644">
        <v>0</v>
      </c>
      <c r="AY644" t="s">
        <v>557</v>
      </c>
      <c r="AZ644" t="s">
        <v>880</v>
      </c>
      <c r="BA644" t="s">
        <v>1010</v>
      </c>
      <c r="BB644" t="s">
        <v>1011</v>
      </c>
      <c r="BC644" t="s">
        <v>125</v>
      </c>
      <c r="BK644" t="s">
        <v>860</v>
      </c>
      <c r="BM644" t="s">
        <v>560</v>
      </c>
      <c r="BN644" t="s">
        <v>561</v>
      </c>
      <c r="BO644" t="s">
        <v>1022</v>
      </c>
      <c r="BP644">
        <v>1.3</v>
      </c>
      <c r="BQ644" t="s">
        <v>902</v>
      </c>
      <c r="DF644" s="15" t="s">
        <v>9308</v>
      </c>
      <c r="DG644" t="s">
        <v>126</v>
      </c>
      <c r="DH644" t="s">
        <v>159</v>
      </c>
      <c r="DI644" t="s">
        <v>159</v>
      </c>
      <c r="DJ644" t="s">
        <v>172</v>
      </c>
      <c r="DK644">
        <v>445776.17</v>
      </c>
    </row>
    <row r="645" spans="1:115" x14ac:dyDescent="0.25">
      <c r="A645" t="s">
        <v>2560</v>
      </c>
      <c r="B645" t="s">
        <v>1397</v>
      </c>
      <c r="F645" t="s">
        <v>205</v>
      </c>
      <c r="I645" t="s">
        <v>1006</v>
      </c>
      <c r="N645" t="s">
        <v>2561</v>
      </c>
      <c r="U645" t="s">
        <v>1399</v>
      </c>
      <c r="Z645" s="14">
        <v>44210</v>
      </c>
      <c r="AA645" s="14">
        <v>44211</v>
      </c>
      <c r="AD645" s="14">
        <v>45657</v>
      </c>
      <c r="AL645" t="s">
        <v>136</v>
      </c>
      <c r="AN645">
        <v>56214824.689999998</v>
      </c>
      <c r="AR645">
        <v>56214824.689999998</v>
      </c>
      <c r="AS645">
        <v>0</v>
      </c>
      <c r="AY645" t="s">
        <v>557</v>
      </c>
      <c r="AZ645" t="s">
        <v>880</v>
      </c>
      <c r="BA645" t="s">
        <v>1010</v>
      </c>
      <c r="BB645" t="s">
        <v>1011</v>
      </c>
      <c r="BC645" t="s">
        <v>125</v>
      </c>
      <c r="BK645" t="s">
        <v>860</v>
      </c>
      <c r="BM645" t="s">
        <v>560</v>
      </c>
      <c r="BN645" t="s">
        <v>1012</v>
      </c>
      <c r="BO645" t="s">
        <v>939</v>
      </c>
      <c r="BP645">
        <v>11.3</v>
      </c>
      <c r="BQ645" t="s">
        <v>563</v>
      </c>
      <c r="DF645" s="15" t="s">
        <v>9420</v>
      </c>
      <c r="DG645" t="s">
        <v>126</v>
      </c>
      <c r="DH645" t="s">
        <v>159</v>
      </c>
      <c r="DI645" t="s">
        <v>159</v>
      </c>
      <c r="DJ645" t="s">
        <v>172</v>
      </c>
      <c r="DK645">
        <v>56214824.689999998</v>
      </c>
    </row>
    <row r="646" spans="1:115" x14ac:dyDescent="0.25">
      <c r="A646" t="s">
        <v>2562</v>
      </c>
      <c r="B646" t="s">
        <v>2563</v>
      </c>
      <c r="F646" t="s">
        <v>216</v>
      </c>
      <c r="I646" t="s">
        <v>1688</v>
      </c>
      <c r="N646" t="s">
        <v>2564</v>
      </c>
      <c r="U646" t="s">
        <v>409</v>
      </c>
      <c r="V646" t="s">
        <v>410</v>
      </c>
      <c r="Z646" s="14">
        <v>44211</v>
      </c>
      <c r="AA646" s="14">
        <v>44266</v>
      </c>
      <c r="AD646" s="14">
        <v>45291</v>
      </c>
      <c r="AL646" t="s">
        <v>624</v>
      </c>
      <c r="AN646">
        <v>810896900</v>
      </c>
      <c r="AR646">
        <v>810896900</v>
      </c>
      <c r="AS646">
        <v>0</v>
      </c>
      <c r="AY646" t="s">
        <v>557</v>
      </c>
      <c r="AZ646" t="s">
        <v>880</v>
      </c>
      <c r="BA646" t="s">
        <v>1184</v>
      </c>
      <c r="BB646" t="s">
        <v>1184</v>
      </c>
      <c r="BC646" t="s">
        <v>242</v>
      </c>
      <c r="BK646" t="s">
        <v>860</v>
      </c>
      <c r="BM646" t="s">
        <v>560</v>
      </c>
      <c r="BN646" t="s">
        <v>561</v>
      </c>
      <c r="BO646" t="s">
        <v>989</v>
      </c>
      <c r="BP646">
        <v>3.8</v>
      </c>
      <c r="BQ646" t="s">
        <v>902</v>
      </c>
      <c r="DF646" s="15" t="s">
        <v>9337</v>
      </c>
      <c r="DG646" t="s">
        <v>126</v>
      </c>
      <c r="DH646" t="s">
        <v>159</v>
      </c>
      <c r="DI646" t="s">
        <v>159</v>
      </c>
      <c r="DJ646" t="s">
        <v>172</v>
      </c>
      <c r="DK646">
        <v>1474358</v>
      </c>
    </row>
    <row r="647" spans="1:115" x14ac:dyDescent="0.25">
      <c r="A647" t="s">
        <v>2565</v>
      </c>
      <c r="B647" t="s">
        <v>2566</v>
      </c>
      <c r="F647" t="s">
        <v>216</v>
      </c>
      <c r="I647" t="s">
        <v>1688</v>
      </c>
      <c r="N647" t="s">
        <v>2567</v>
      </c>
      <c r="U647" t="s">
        <v>409</v>
      </c>
      <c r="V647" t="s">
        <v>410</v>
      </c>
      <c r="Z647" s="14">
        <v>44211</v>
      </c>
      <c r="AA647" s="14">
        <v>44266</v>
      </c>
      <c r="AD647" s="14">
        <v>45291</v>
      </c>
      <c r="AL647" t="s">
        <v>624</v>
      </c>
      <c r="AN647">
        <v>259751250</v>
      </c>
      <c r="AR647">
        <v>259751250</v>
      </c>
      <c r="AS647">
        <v>0</v>
      </c>
      <c r="AY647" t="s">
        <v>557</v>
      </c>
      <c r="AZ647" t="s">
        <v>880</v>
      </c>
      <c r="BA647" t="s">
        <v>1184</v>
      </c>
      <c r="BB647" t="s">
        <v>1184</v>
      </c>
      <c r="BC647" t="s">
        <v>242</v>
      </c>
      <c r="BK647" t="s">
        <v>860</v>
      </c>
      <c r="BM647" t="s">
        <v>560</v>
      </c>
      <c r="BN647" t="s">
        <v>561</v>
      </c>
      <c r="BO647" t="s">
        <v>989</v>
      </c>
      <c r="BP647">
        <v>3.8</v>
      </c>
      <c r="BQ647" t="s">
        <v>902</v>
      </c>
      <c r="DF647" s="15" t="s">
        <v>9337</v>
      </c>
      <c r="DG647" t="s">
        <v>126</v>
      </c>
      <c r="DH647" t="s">
        <v>159</v>
      </c>
      <c r="DI647" t="s">
        <v>159</v>
      </c>
      <c r="DJ647" t="s">
        <v>172</v>
      </c>
      <c r="DK647">
        <v>472275</v>
      </c>
    </row>
    <row r="648" spans="1:115" x14ac:dyDescent="0.25">
      <c r="A648" t="s">
        <v>2568</v>
      </c>
      <c r="B648" t="s">
        <v>1728</v>
      </c>
      <c r="F648" t="s">
        <v>216</v>
      </c>
      <c r="I648" t="s">
        <v>1103</v>
      </c>
      <c r="N648" t="s">
        <v>2569</v>
      </c>
      <c r="U648" t="s">
        <v>176</v>
      </c>
      <c r="Z648" s="14">
        <v>44211</v>
      </c>
      <c r="AA648" s="14">
        <v>44266</v>
      </c>
      <c r="AD648" s="14">
        <v>45930</v>
      </c>
      <c r="AL648" t="s">
        <v>624</v>
      </c>
      <c r="AN648">
        <v>742431800</v>
      </c>
      <c r="AR648">
        <v>742431800</v>
      </c>
      <c r="AS648">
        <v>0</v>
      </c>
      <c r="AY648" t="s">
        <v>557</v>
      </c>
      <c r="AZ648" t="s">
        <v>880</v>
      </c>
      <c r="BA648" t="s">
        <v>1020</v>
      </c>
      <c r="BB648" t="s">
        <v>1021</v>
      </c>
      <c r="BC648" t="s">
        <v>242</v>
      </c>
      <c r="BK648" t="s">
        <v>860</v>
      </c>
      <c r="BM648" t="s">
        <v>560</v>
      </c>
      <c r="BN648" t="s">
        <v>561</v>
      </c>
      <c r="BO648" t="s">
        <v>989</v>
      </c>
      <c r="BP648">
        <v>3.8</v>
      </c>
      <c r="BQ648" t="s">
        <v>902</v>
      </c>
      <c r="DF648" s="15" t="s">
        <v>9308</v>
      </c>
      <c r="DG648" t="s">
        <v>126</v>
      </c>
      <c r="DH648" t="s">
        <v>159</v>
      </c>
      <c r="DI648" t="s">
        <v>159</v>
      </c>
      <c r="DJ648" t="s">
        <v>172</v>
      </c>
      <c r="DK648">
        <v>1349876</v>
      </c>
    </row>
    <row r="649" spans="1:115" x14ac:dyDescent="0.25">
      <c r="A649" t="s">
        <v>2570</v>
      </c>
      <c r="B649" t="s">
        <v>2571</v>
      </c>
      <c r="F649" t="s">
        <v>216</v>
      </c>
      <c r="I649" t="s">
        <v>1025</v>
      </c>
      <c r="N649" t="s">
        <v>2572</v>
      </c>
      <c r="U649" t="s">
        <v>176</v>
      </c>
      <c r="Z649" s="14">
        <v>44266</v>
      </c>
      <c r="AA649" s="14">
        <v>44476</v>
      </c>
      <c r="AD649" s="14">
        <v>45930</v>
      </c>
      <c r="AL649" t="s">
        <v>624</v>
      </c>
      <c r="AN649">
        <v>137500000</v>
      </c>
      <c r="AR649">
        <v>137500000</v>
      </c>
      <c r="AS649">
        <v>0</v>
      </c>
      <c r="AY649" t="s">
        <v>557</v>
      </c>
      <c r="AZ649" t="s">
        <v>880</v>
      </c>
      <c r="BA649" t="s">
        <v>1020</v>
      </c>
      <c r="BB649" t="s">
        <v>1021</v>
      </c>
      <c r="BC649" t="s">
        <v>242</v>
      </c>
      <c r="BK649" t="s">
        <v>860</v>
      </c>
      <c r="BM649" t="s">
        <v>560</v>
      </c>
      <c r="BN649" t="s">
        <v>561</v>
      </c>
      <c r="BO649" t="s">
        <v>989</v>
      </c>
      <c r="BP649">
        <v>3.8</v>
      </c>
      <c r="BQ649" t="s">
        <v>902</v>
      </c>
      <c r="DF649" s="15" t="s">
        <v>9308</v>
      </c>
      <c r="DG649" t="s">
        <v>126</v>
      </c>
      <c r="DH649" t="s">
        <v>159</v>
      </c>
      <c r="DI649" t="s">
        <v>159</v>
      </c>
      <c r="DJ649" t="s">
        <v>172</v>
      </c>
      <c r="DK649">
        <v>250000</v>
      </c>
    </row>
    <row r="650" spans="1:115" x14ac:dyDescent="0.25">
      <c r="A650" t="s">
        <v>2573</v>
      </c>
      <c r="B650" t="s">
        <v>1055</v>
      </c>
      <c r="F650" t="s">
        <v>142</v>
      </c>
      <c r="I650" t="s">
        <v>968</v>
      </c>
      <c r="N650" t="s">
        <v>2574</v>
      </c>
      <c r="U650" t="s">
        <v>218</v>
      </c>
      <c r="V650" t="s">
        <v>1057</v>
      </c>
      <c r="Z650" s="14">
        <v>44211</v>
      </c>
      <c r="AA650" s="14">
        <v>44266</v>
      </c>
      <c r="AD650" s="14">
        <v>45930</v>
      </c>
      <c r="AL650" t="s">
        <v>624</v>
      </c>
      <c r="AN650">
        <v>373238800</v>
      </c>
      <c r="AR650">
        <v>373238800</v>
      </c>
      <c r="AS650">
        <v>0</v>
      </c>
      <c r="AY650" t="s">
        <v>557</v>
      </c>
      <c r="AZ650" t="s">
        <v>880</v>
      </c>
      <c r="BA650" t="s">
        <v>1020</v>
      </c>
      <c r="BB650" t="s">
        <v>1021</v>
      </c>
      <c r="BC650" t="s">
        <v>242</v>
      </c>
      <c r="BK650" t="s">
        <v>860</v>
      </c>
      <c r="BM650" t="s">
        <v>861</v>
      </c>
      <c r="BN650" t="s">
        <v>862</v>
      </c>
      <c r="BO650" t="s">
        <v>971</v>
      </c>
      <c r="BP650">
        <v>9.1</v>
      </c>
      <c r="BQ650" t="s">
        <v>864</v>
      </c>
      <c r="DF650" s="15" t="s">
        <v>9393</v>
      </c>
      <c r="DG650" t="s">
        <v>126</v>
      </c>
      <c r="DH650" t="s">
        <v>159</v>
      </c>
      <c r="DI650" t="s">
        <v>159</v>
      </c>
      <c r="DJ650" t="s">
        <v>172</v>
      </c>
      <c r="DK650">
        <v>678616</v>
      </c>
    </row>
    <row r="651" spans="1:115" x14ac:dyDescent="0.25">
      <c r="A651" t="s">
        <v>2575</v>
      </c>
      <c r="B651" t="s">
        <v>1059</v>
      </c>
      <c r="F651" t="s">
        <v>216</v>
      </c>
      <c r="I651" t="s">
        <v>1060</v>
      </c>
      <c r="N651" t="s">
        <v>2576</v>
      </c>
      <c r="U651" t="s">
        <v>176</v>
      </c>
      <c r="Z651" s="14">
        <v>44211</v>
      </c>
      <c r="AA651" s="14">
        <v>44266</v>
      </c>
      <c r="AD651" s="14">
        <v>45930</v>
      </c>
      <c r="AL651" t="s">
        <v>624</v>
      </c>
      <c r="AN651">
        <v>71500000</v>
      </c>
      <c r="AR651">
        <v>71500000</v>
      </c>
      <c r="AS651">
        <v>0</v>
      </c>
      <c r="AY651" t="s">
        <v>557</v>
      </c>
      <c r="AZ651" t="s">
        <v>880</v>
      </c>
      <c r="BA651" t="s">
        <v>1020</v>
      </c>
      <c r="BB651" t="s">
        <v>1021</v>
      </c>
      <c r="BC651" t="s">
        <v>242</v>
      </c>
      <c r="BK651" t="s">
        <v>860</v>
      </c>
      <c r="BM651" t="s">
        <v>560</v>
      </c>
      <c r="BN651" t="s">
        <v>561</v>
      </c>
      <c r="BO651" t="s">
        <v>989</v>
      </c>
      <c r="BP651">
        <v>3.8</v>
      </c>
      <c r="BQ651" t="s">
        <v>902</v>
      </c>
      <c r="DF651" s="15" t="s">
        <v>9308</v>
      </c>
      <c r="DG651" t="s">
        <v>126</v>
      </c>
      <c r="DH651" t="s">
        <v>159</v>
      </c>
      <c r="DI651" t="s">
        <v>159</v>
      </c>
      <c r="DJ651" t="s">
        <v>172</v>
      </c>
      <c r="DK651">
        <v>130000</v>
      </c>
    </row>
    <row r="652" spans="1:115" x14ac:dyDescent="0.25">
      <c r="A652" t="s">
        <v>2577</v>
      </c>
      <c r="B652" t="s">
        <v>1063</v>
      </c>
      <c r="F652" t="s">
        <v>216</v>
      </c>
      <c r="I652" t="s">
        <v>1064</v>
      </c>
      <c r="N652" t="s">
        <v>2578</v>
      </c>
      <c r="U652" t="s">
        <v>176</v>
      </c>
      <c r="Z652" s="14">
        <v>44211</v>
      </c>
      <c r="AA652" s="14">
        <v>44266</v>
      </c>
      <c r="AD652" s="14">
        <v>45930</v>
      </c>
      <c r="AL652" t="s">
        <v>624</v>
      </c>
      <c r="AN652">
        <v>358349200</v>
      </c>
      <c r="AR652">
        <v>358349200</v>
      </c>
      <c r="AS652">
        <v>0</v>
      </c>
      <c r="AY652" t="s">
        <v>557</v>
      </c>
      <c r="AZ652" t="s">
        <v>880</v>
      </c>
      <c r="BA652" t="s">
        <v>1020</v>
      </c>
      <c r="BB652" t="s">
        <v>1021</v>
      </c>
      <c r="BC652" t="s">
        <v>242</v>
      </c>
      <c r="BK652" t="s">
        <v>860</v>
      </c>
      <c r="BM652" t="s">
        <v>560</v>
      </c>
      <c r="BN652" t="s">
        <v>561</v>
      </c>
      <c r="BO652" t="s">
        <v>989</v>
      </c>
      <c r="BP652">
        <v>3.8</v>
      </c>
      <c r="BQ652" t="s">
        <v>902</v>
      </c>
      <c r="DF652" s="15" t="s">
        <v>9308</v>
      </c>
      <c r="DG652" t="s">
        <v>126</v>
      </c>
      <c r="DH652" t="s">
        <v>159</v>
      </c>
      <c r="DI652" t="s">
        <v>159</v>
      </c>
      <c r="DJ652" t="s">
        <v>172</v>
      </c>
      <c r="DK652">
        <v>651544</v>
      </c>
    </row>
    <row r="653" spans="1:115" x14ac:dyDescent="0.25">
      <c r="A653" t="s">
        <v>2579</v>
      </c>
      <c r="B653" t="s">
        <v>2580</v>
      </c>
      <c r="F653" t="s">
        <v>526</v>
      </c>
      <c r="I653" t="s">
        <v>1018</v>
      </c>
      <c r="N653" t="s">
        <v>2581</v>
      </c>
      <c r="U653" t="s">
        <v>321</v>
      </c>
      <c r="Z653" s="14">
        <v>44211</v>
      </c>
      <c r="AA653" s="14">
        <v>44266</v>
      </c>
      <c r="AD653" s="14">
        <v>45930</v>
      </c>
      <c r="AL653" t="s">
        <v>624</v>
      </c>
      <c r="AN653">
        <v>226837050</v>
      </c>
      <c r="AR653">
        <v>226837050</v>
      </c>
      <c r="AS653">
        <v>0</v>
      </c>
      <c r="AY653" t="s">
        <v>557</v>
      </c>
      <c r="AZ653" t="s">
        <v>880</v>
      </c>
      <c r="BA653" t="s">
        <v>1020</v>
      </c>
      <c r="BB653" t="s">
        <v>1021</v>
      </c>
      <c r="BC653" t="s">
        <v>242</v>
      </c>
      <c r="BK653" t="s">
        <v>860</v>
      </c>
      <c r="BM653" t="s">
        <v>560</v>
      </c>
      <c r="BN653" t="s">
        <v>561</v>
      </c>
      <c r="BO653" t="s">
        <v>1022</v>
      </c>
      <c r="BP653">
        <v>1.3</v>
      </c>
      <c r="BQ653" t="s">
        <v>902</v>
      </c>
      <c r="DF653" s="15" t="s">
        <v>9324</v>
      </c>
      <c r="DG653" t="s">
        <v>126</v>
      </c>
      <c r="DH653" t="s">
        <v>159</v>
      </c>
      <c r="DI653" t="s">
        <v>159</v>
      </c>
      <c r="DJ653" t="s">
        <v>172</v>
      </c>
      <c r="DK653">
        <v>412431</v>
      </c>
    </row>
    <row r="654" spans="1:115" x14ac:dyDescent="0.25">
      <c r="A654" t="s">
        <v>2582</v>
      </c>
      <c r="B654" t="s">
        <v>2583</v>
      </c>
      <c r="F654" t="s">
        <v>216</v>
      </c>
      <c r="I654" t="s">
        <v>1103</v>
      </c>
      <c r="N654" t="s">
        <v>2584</v>
      </c>
      <c r="U654" t="s">
        <v>176</v>
      </c>
      <c r="Z654" s="14">
        <v>44211</v>
      </c>
      <c r="AA654" s="14">
        <v>44266</v>
      </c>
      <c r="AD654" s="14">
        <v>45930</v>
      </c>
      <c r="AL654" t="s">
        <v>624</v>
      </c>
      <c r="AN654">
        <v>51549850</v>
      </c>
      <c r="AR654">
        <v>51549850</v>
      </c>
      <c r="AS654">
        <v>0</v>
      </c>
      <c r="AY654" t="s">
        <v>557</v>
      </c>
      <c r="AZ654" t="s">
        <v>880</v>
      </c>
      <c r="BA654" t="s">
        <v>1020</v>
      </c>
      <c r="BB654" t="s">
        <v>1021</v>
      </c>
      <c r="BC654" t="s">
        <v>242</v>
      </c>
      <c r="BK654" t="s">
        <v>860</v>
      </c>
      <c r="BM654" t="s">
        <v>560</v>
      </c>
      <c r="BN654" t="s">
        <v>561</v>
      </c>
      <c r="BO654" t="s">
        <v>989</v>
      </c>
      <c r="BP654">
        <v>3.8</v>
      </c>
      <c r="BQ654" t="s">
        <v>902</v>
      </c>
      <c r="DF654" s="15" t="s">
        <v>9308</v>
      </c>
      <c r="DG654" t="s">
        <v>126</v>
      </c>
      <c r="DH654" t="s">
        <v>159</v>
      </c>
      <c r="DI654" t="s">
        <v>159</v>
      </c>
      <c r="DJ654" t="s">
        <v>172</v>
      </c>
      <c r="DK654">
        <v>93727</v>
      </c>
    </row>
    <row r="655" spans="1:115" x14ac:dyDescent="0.25">
      <c r="A655" t="s">
        <v>2585</v>
      </c>
      <c r="B655" t="s">
        <v>2586</v>
      </c>
      <c r="F655" t="s">
        <v>118</v>
      </c>
      <c r="I655" t="s">
        <v>1275</v>
      </c>
      <c r="N655" t="s">
        <v>2587</v>
      </c>
      <c r="U655" t="s">
        <v>176</v>
      </c>
      <c r="Z655" s="14">
        <v>44259</v>
      </c>
      <c r="AA655" s="14">
        <v>44266</v>
      </c>
      <c r="AD655" s="14">
        <v>45099</v>
      </c>
      <c r="AL655" t="s">
        <v>624</v>
      </c>
      <c r="AN655">
        <v>4166878650</v>
      </c>
      <c r="AR655">
        <v>4166878650</v>
      </c>
      <c r="AS655">
        <v>0</v>
      </c>
      <c r="AY655" t="s">
        <v>557</v>
      </c>
      <c r="AZ655" t="s">
        <v>880</v>
      </c>
      <c r="BA655" t="s">
        <v>1020</v>
      </c>
      <c r="BB655" t="s">
        <v>1021</v>
      </c>
      <c r="BC655" t="s">
        <v>242</v>
      </c>
      <c r="BK655" t="s">
        <v>860</v>
      </c>
      <c r="BM655" t="s">
        <v>861</v>
      </c>
      <c r="BN655" t="s">
        <v>862</v>
      </c>
      <c r="BO655" t="s">
        <v>1173</v>
      </c>
      <c r="BP655">
        <v>7.1</v>
      </c>
      <c r="BQ655" t="s">
        <v>864</v>
      </c>
      <c r="DF655" s="15" t="s">
        <v>9308</v>
      </c>
      <c r="DG655" t="s">
        <v>126</v>
      </c>
      <c r="DH655" t="s">
        <v>159</v>
      </c>
      <c r="DI655" t="s">
        <v>159</v>
      </c>
      <c r="DJ655" t="s">
        <v>172</v>
      </c>
      <c r="DK655">
        <v>7576143</v>
      </c>
    </row>
    <row r="656" spans="1:115" x14ac:dyDescent="0.25">
      <c r="A656" t="s">
        <v>2588</v>
      </c>
      <c r="B656" t="s">
        <v>2589</v>
      </c>
      <c r="F656" t="s">
        <v>216</v>
      </c>
      <c r="I656" t="s">
        <v>1064</v>
      </c>
      <c r="N656" t="s">
        <v>2590</v>
      </c>
      <c r="U656" t="s">
        <v>176</v>
      </c>
      <c r="Z656" s="14">
        <v>44266</v>
      </c>
      <c r="AA656" s="14">
        <v>44536</v>
      </c>
      <c r="AD656" t="s">
        <v>2591</v>
      </c>
      <c r="AL656" t="s">
        <v>624</v>
      </c>
      <c r="AN656">
        <v>1341633150</v>
      </c>
      <c r="AR656">
        <v>1341633150</v>
      </c>
      <c r="AS656">
        <v>0</v>
      </c>
      <c r="AY656" t="s">
        <v>557</v>
      </c>
      <c r="AZ656" t="s">
        <v>880</v>
      </c>
      <c r="BA656" t="s">
        <v>1020</v>
      </c>
      <c r="BB656" t="s">
        <v>1021</v>
      </c>
      <c r="BC656" t="s">
        <v>242</v>
      </c>
      <c r="BK656" t="s">
        <v>860</v>
      </c>
      <c r="BM656" t="s">
        <v>560</v>
      </c>
      <c r="BN656" t="s">
        <v>561</v>
      </c>
      <c r="BO656" t="s">
        <v>989</v>
      </c>
      <c r="BP656">
        <v>3.8</v>
      </c>
      <c r="BQ656" t="s">
        <v>902</v>
      </c>
      <c r="DF656" s="15" t="s">
        <v>9308</v>
      </c>
      <c r="DG656" t="s">
        <v>126</v>
      </c>
      <c r="DH656" t="s">
        <v>159</v>
      </c>
      <c r="DI656" t="s">
        <v>159</v>
      </c>
      <c r="DJ656" t="s">
        <v>172</v>
      </c>
      <c r="DK656">
        <v>2439333</v>
      </c>
    </row>
    <row r="657" spans="1:115" x14ac:dyDescent="0.25">
      <c r="A657" t="s">
        <v>2592</v>
      </c>
      <c r="B657" t="s">
        <v>2593</v>
      </c>
      <c r="F657" t="s">
        <v>190</v>
      </c>
      <c r="I657" t="s">
        <v>2594</v>
      </c>
      <c r="N657" t="s">
        <v>2595</v>
      </c>
      <c r="U657" t="s">
        <v>176</v>
      </c>
      <c r="Z657" s="14">
        <v>44266</v>
      </c>
      <c r="AA657" s="14">
        <v>44376</v>
      </c>
      <c r="AD657" s="14">
        <v>45930</v>
      </c>
      <c r="AL657" t="s">
        <v>624</v>
      </c>
      <c r="AN657">
        <v>9161353850</v>
      </c>
      <c r="AR657">
        <v>9161353850</v>
      </c>
      <c r="AS657">
        <v>0</v>
      </c>
      <c r="AY657" t="s">
        <v>557</v>
      </c>
      <c r="AZ657" t="s">
        <v>880</v>
      </c>
      <c r="BA657" t="s">
        <v>1020</v>
      </c>
      <c r="BB657" t="s">
        <v>1021</v>
      </c>
      <c r="BC657" t="s">
        <v>242</v>
      </c>
      <c r="BK657" t="s">
        <v>860</v>
      </c>
      <c r="BM657" t="s">
        <v>861</v>
      </c>
      <c r="BN657" t="s">
        <v>862</v>
      </c>
      <c r="BO657" t="s">
        <v>863</v>
      </c>
      <c r="BP657">
        <v>2.2999999999999998</v>
      </c>
      <c r="BQ657" t="s">
        <v>864</v>
      </c>
      <c r="DF657" s="15" t="s">
        <v>9308</v>
      </c>
      <c r="DG657" t="s">
        <v>126</v>
      </c>
      <c r="DH657" t="s">
        <v>159</v>
      </c>
      <c r="DI657" t="s">
        <v>159</v>
      </c>
      <c r="DJ657" t="s">
        <v>172</v>
      </c>
      <c r="DK657">
        <v>16657007</v>
      </c>
    </row>
    <row r="658" spans="1:115" x14ac:dyDescent="0.25">
      <c r="A658" t="s">
        <v>2596</v>
      </c>
      <c r="B658" t="s">
        <v>2597</v>
      </c>
      <c r="F658" t="s">
        <v>263</v>
      </c>
      <c r="I658" t="s">
        <v>2598</v>
      </c>
      <c r="N658" t="s">
        <v>2599</v>
      </c>
      <c r="U658" t="s">
        <v>176</v>
      </c>
      <c r="Z658" s="14">
        <v>44210</v>
      </c>
      <c r="AA658" s="14">
        <v>44391</v>
      </c>
      <c r="AD658" s="14">
        <v>46387</v>
      </c>
      <c r="AL658" t="s">
        <v>122</v>
      </c>
      <c r="AN658">
        <v>15021415300</v>
      </c>
      <c r="AR658">
        <v>0</v>
      </c>
      <c r="AS658">
        <v>15021415300</v>
      </c>
      <c r="AY658" t="s">
        <v>1043</v>
      </c>
      <c r="AZ658" t="s">
        <v>558</v>
      </c>
      <c r="BA658" t="s">
        <v>2501</v>
      </c>
      <c r="BB658" t="s">
        <v>2502</v>
      </c>
      <c r="BC658" t="s">
        <v>125</v>
      </c>
      <c r="BM658" t="s">
        <v>560</v>
      </c>
      <c r="BN658" t="s">
        <v>561</v>
      </c>
      <c r="BO658" t="s">
        <v>562</v>
      </c>
      <c r="BP658">
        <v>6.1</v>
      </c>
      <c r="BQ658" t="s">
        <v>563</v>
      </c>
      <c r="DF658" s="15" t="s">
        <v>9308</v>
      </c>
      <c r="DG658" t="s">
        <v>126</v>
      </c>
      <c r="DH658" t="s">
        <v>127</v>
      </c>
      <c r="DI658" t="s">
        <v>1883</v>
      </c>
      <c r="DJ658" t="s">
        <v>172</v>
      </c>
      <c r="DK658">
        <v>22900000</v>
      </c>
    </row>
    <row r="659" spans="1:115" x14ac:dyDescent="0.25">
      <c r="A659" t="s">
        <v>2600</v>
      </c>
      <c r="B659" t="s">
        <v>2601</v>
      </c>
      <c r="F659" t="s">
        <v>190</v>
      </c>
      <c r="I659" t="s">
        <v>2602</v>
      </c>
      <c r="N659" t="s">
        <v>2603</v>
      </c>
      <c r="U659" t="s">
        <v>176</v>
      </c>
      <c r="Z659" s="14">
        <v>44210</v>
      </c>
      <c r="AA659" s="14">
        <v>44391</v>
      </c>
      <c r="AD659" s="14">
        <v>46387</v>
      </c>
      <c r="AL659" t="s">
        <v>122</v>
      </c>
      <c r="AN659">
        <v>4198124800</v>
      </c>
      <c r="AR659">
        <v>0</v>
      </c>
      <c r="AS659">
        <v>4198124800</v>
      </c>
      <c r="AY659" t="s">
        <v>1043</v>
      </c>
      <c r="AZ659" t="s">
        <v>558</v>
      </c>
      <c r="BA659" t="s">
        <v>2501</v>
      </c>
      <c r="BB659" t="s">
        <v>2502</v>
      </c>
      <c r="BC659" t="s">
        <v>125</v>
      </c>
      <c r="BM659" t="s">
        <v>861</v>
      </c>
      <c r="BN659" t="s">
        <v>862</v>
      </c>
      <c r="BO659" t="s">
        <v>863</v>
      </c>
      <c r="BP659">
        <v>2.2999999999999998</v>
      </c>
      <c r="BQ659" t="s">
        <v>864</v>
      </c>
      <c r="DF659" s="15" t="s">
        <v>9308</v>
      </c>
      <c r="DG659" t="s">
        <v>317</v>
      </c>
      <c r="DH659" t="s">
        <v>127</v>
      </c>
      <c r="DI659" t="s">
        <v>1883</v>
      </c>
      <c r="DJ659" t="s">
        <v>172</v>
      </c>
      <c r="DK659">
        <v>6400000</v>
      </c>
    </row>
    <row r="660" spans="1:115" x14ac:dyDescent="0.25">
      <c r="A660" t="s">
        <v>2604</v>
      </c>
      <c r="B660" t="s">
        <v>2605</v>
      </c>
      <c r="F660" t="s">
        <v>263</v>
      </c>
      <c r="I660" t="s">
        <v>2606</v>
      </c>
      <c r="N660" t="s">
        <v>2607</v>
      </c>
      <c r="U660" t="s">
        <v>176</v>
      </c>
      <c r="Z660" s="14">
        <v>44210</v>
      </c>
      <c r="AA660" s="14">
        <v>44391</v>
      </c>
      <c r="AD660" s="14">
        <v>46387</v>
      </c>
      <c r="AL660" t="s">
        <v>122</v>
      </c>
      <c r="AN660">
        <v>524765600</v>
      </c>
      <c r="AR660">
        <v>0</v>
      </c>
      <c r="AS660">
        <v>524765600</v>
      </c>
      <c r="AY660" t="s">
        <v>1043</v>
      </c>
      <c r="AZ660" t="s">
        <v>558</v>
      </c>
      <c r="BA660" t="s">
        <v>2501</v>
      </c>
      <c r="BB660" t="s">
        <v>2502</v>
      </c>
      <c r="BC660" t="s">
        <v>125</v>
      </c>
      <c r="BM660" t="s">
        <v>560</v>
      </c>
      <c r="BN660" t="s">
        <v>561</v>
      </c>
      <c r="BO660" t="s">
        <v>562</v>
      </c>
      <c r="BP660">
        <v>6.1</v>
      </c>
      <c r="BQ660" t="s">
        <v>563</v>
      </c>
      <c r="DF660" s="15" t="s">
        <v>9308</v>
      </c>
      <c r="DG660" t="s">
        <v>126</v>
      </c>
      <c r="DH660" t="s">
        <v>127</v>
      </c>
      <c r="DI660" t="s">
        <v>1883</v>
      </c>
      <c r="DJ660" t="s">
        <v>172</v>
      </c>
      <c r="DK660">
        <v>800000</v>
      </c>
    </row>
    <row r="661" spans="1:115" x14ac:dyDescent="0.25">
      <c r="A661" t="s">
        <v>2608</v>
      </c>
      <c r="B661" t="s">
        <v>2609</v>
      </c>
      <c r="F661" t="s">
        <v>216</v>
      </c>
      <c r="I661" t="s">
        <v>992</v>
      </c>
      <c r="N661" t="s">
        <v>2610</v>
      </c>
      <c r="U661" t="s">
        <v>176</v>
      </c>
      <c r="Z661" s="14">
        <v>44210</v>
      </c>
      <c r="AA661" s="14">
        <v>44391</v>
      </c>
      <c r="AD661" s="14">
        <v>46387</v>
      </c>
      <c r="AL661" t="s">
        <v>122</v>
      </c>
      <c r="AN661">
        <v>3476572100</v>
      </c>
      <c r="AR661">
        <v>0</v>
      </c>
      <c r="AS661">
        <v>3476572100</v>
      </c>
      <c r="AY661" t="s">
        <v>1043</v>
      </c>
      <c r="AZ661" t="s">
        <v>558</v>
      </c>
      <c r="BA661" t="s">
        <v>2501</v>
      </c>
      <c r="BB661" t="s">
        <v>2502</v>
      </c>
      <c r="BC661" t="s">
        <v>125</v>
      </c>
      <c r="BM661" t="s">
        <v>560</v>
      </c>
      <c r="BN661" t="s">
        <v>561</v>
      </c>
      <c r="BO661" t="s">
        <v>989</v>
      </c>
      <c r="BP661">
        <v>3.8</v>
      </c>
      <c r="BQ661" t="s">
        <v>902</v>
      </c>
      <c r="DF661" s="15" t="s">
        <v>9308</v>
      </c>
      <c r="DG661" t="s">
        <v>317</v>
      </c>
      <c r="DH661" t="s">
        <v>127</v>
      </c>
      <c r="DI661" t="s">
        <v>1883</v>
      </c>
      <c r="DJ661" t="s">
        <v>172</v>
      </c>
      <c r="DK661">
        <v>5300000</v>
      </c>
    </row>
    <row r="662" spans="1:115" x14ac:dyDescent="0.25">
      <c r="A662" t="s">
        <v>2611</v>
      </c>
      <c r="B662" t="s">
        <v>2612</v>
      </c>
      <c r="F662" t="s">
        <v>216</v>
      </c>
      <c r="I662" t="s">
        <v>1025</v>
      </c>
      <c r="N662" t="s">
        <v>2613</v>
      </c>
      <c r="U662" t="s">
        <v>176</v>
      </c>
      <c r="Z662" s="14">
        <v>44210</v>
      </c>
      <c r="AA662" s="14">
        <v>44391</v>
      </c>
      <c r="AD662" s="14">
        <v>46387</v>
      </c>
      <c r="AL662" t="s">
        <v>122</v>
      </c>
      <c r="AN662">
        <v>1115126900</v>
      </c>
      <c r="AR662">
        <v>0</v>
      </c>
      <c r="AS662">
        <v>1115126900</v>
      </c>
      <c r="AY662" t="s">
        <v>1043</v>
      </c>
      <c r="AZ662" t="s">
        <v>558</v>
      </c>
      <c r="BA662" t="s">
        <v>2501</v>
      </c>
      <c r="BB662" t="s">
        <v>2502</v>
      </c>
      <c r="BC662" t="s">
        <v>125</v>
      </c>
      <c r="BM662" t="s">
        <v>560</v>
      </c>
      <c r="BN662" t="s">
        <v>561</v>
      </c>
      <c r="BO662" t="s">
        <v>989</v>
      </c>
      <c r="BP662">
        <v>3.8</v>
      </c>
      <c r="BQ662" t="s">
        <v>902</v>
      </c>
      <c r="DF662" s="15" t="s">
        <v>9308</v>
      </c>
      <c r="DG662" t="s">
        <v>317</v>
      </c>
      <c r="DH662" t="s">
        <v>127</v>
      </c>
      <c r="DI662" t="s">
        <v>1883</v>
      </c>
      <c r="DJ662" t="s">
        <v>172</v>
      </c>
      <c r="DK662">
        <v>1700000</v>
      </c>
    </row>
    <row r="663" spans="1:115" x14ac:dyDescent="0.25">
      <c r="A663" t="s">
        <v>2614</v>
      </c>
      <c r="B663" t="s">
        <v>2615</v>
      </c>
      <c r="F663" t="s">
        <v>526</v>
      </c>
      <c r="I663" t="s">
        <v>1131</v>
      </c>
      <c r="N663" t="s">
        <v>2616</v>
      </c>
      <c r="U663" t="s">
        <v>176</v>
      </c>
      <c r="Z663" s="14">
        <v>44210</v>
      </c>
      <c r="AA663" s="14">
        <v>44391</v>
      </c>
      <c r="AD663" s="14">
        <v>46387</v>
      </c>
      <c r="AL663" t="s">
        <v>122</v>
      </c>
      <c r="AN663">
        <v>4788486100</v>
      </c>
      <c r="AR663">
        <v>0</v>
      </c>
      <c r="AS663">
        <v>4788486100</v>
      </c>
      <c r="AY663" t="s">
        <v>1043</v>
      </c>
      <c r="AZ663" t="s">
        <v>558</v>
      </c>
      <c r="BA663" t="s">
        <v>2501</v>
      </c>
      <c r="BB663" t="s">
        <v>2502</v>
      </c>
      <c r="BC663" t="s">
        <v>125</v>
      </c>
      <c r="BM663" t="s">
        <v>560</v>
      </c>
      <c r="BN663" t="s">
        <v>561</v>
      </c>
      <c r="BO663" t="s">
        <v>1022</v>
      </c>
      <c r="BP663">
        <v>1.3</v>
      </c>
      <c r="BQ663" t="s">
        <v>902</v>
      </c>
      <c r="DF663" s="15" t="s">
        <v>9308</v>
      </c>
      <c r="DG663" t="s">
        <v>317</v>
      </c>
      <c r="DH663" t="s">
        <v>127</v>
      </c>
      <c r="DI663" t="s">
        <v>1883</v>
      </c>
      <c r="DJ663" t="s">
        <v>172</v>
      </c>
      <c r="DK663">
        <v>7300000</v>
      </c>
    </row>
    <row r="664" spans="1:115" x14ac:dyDescent="0.25">
      <c r="A664" t="s">
        <v>2617</v>
      </c>
      <c r="B664" t="s">
        <v>2618</v>
      </c>
      <c r="F664" t="s">
        <v>315</v>
      </c>
      <c r="I664" t="s">
        <v>1146</v>
      </c>
      <c r="N664" t="s">
        <v>2619</v>
      </c>
      <c r="U664" t="s">
        <v>176</v>
      </c>
      <c r="Z664" s="14">
        <v>44210</v>
      </c>
      <c r="AA664" s="14">
        <v>44391</v>
      </c>
      <c r="AD664" s="14">
        <v>46387</v>
      </c>
      <c r="AL664" t="s">
        <v>122</v>
      </c>
      <c r="AN664">
        <v>4329316200</v>
      </c>
      <c r="AR664">
        <v>0</v>
      </c>
      <c r="AS664">
        <v>4329316200</v>
      </c>
      <c r="AY664" t="s">
        <v>1043</v>
      </c>
      <c r="AZ664" t="s">
        <v>558</v>
      </c>
      <c r="BA664" t="s">
        <v>2501</v>
      </c>
      <c r="BB664" t="s">
        <v>2502</v>
      </c>
      <c r="BC664" t="s">
        <v>125</v>
      </c>
      <c r="BM664" t="s">
        <v>861</v>
      </c>
      <c r="BN664" t="s">
        <v>900</v>
      </c>
      <c r="BO664" t="s">
        <v>901</v>
      </c>
      <c r="BP664">
        <v>4.0999999999999996</v>
      </c>
      <c r="BQ664" t="s">
        <v>902</v>
      </c>
      <c r="DF664" s="15" t="s">
        <v>9308</v>
      </c>
      <c r="DG664" t="s">
        <v>170</v>
      </c>
      <c r="DH664" t="s">
        <v>127</v>
      </c>
      <c r="DI664" t="s">
        <v>1883</v>
      </c>
      <c r="DJ664" t="s">
        <v>172</v>
      </c>
      <c r="DK664">
        <v>6600000</v>
      </c>
    </row>
    <row r="665" spans="1:115" x14ac:dyDescent="0.25">
      <c r="A665" t="s">
        <v>2620</v>
      </c>
      <c r="B665" t="s">
        <v>2621</v>
      </c>
      <c r="F665" t="s">
        <v>315</v>
      </c>
      <c r="I665" t="s">
        <v>1108</v>
      </c>
      <c r="N665" t="s">
        <v>2622</v>
      </c>
      <c r="U665" t="s">
        <v>176</v>
      </c>
      <c r="Z665" s="14">
        <v>44210</v>
      </c>
      <c r="AA665" s="14">
        <v>44391</v>
      </c>
      <c r="AD665" s="14">
        <v>46387</v>
      </c>
      <c r="AL665" t="s">
        <v>122</v>
      </c>
      <c r="AN665">
        <v>10823290500</v>
      </c>
      <c r="AR665">
        <v>0</v>
      </c>
      <c r="AS665">
        <v>10823290500</v>
      </c>
      <c r="AY665" t="s">
        <v>1043</v>
      </c>
      <c r="AZ665" t="s">
        <v>558</v>
      </c>
      <c r="BA665" t="s">
        <v>2501</v>
      </c>
      <c r="BB665" t="s">
        <v>2502</v>
      </c>
      <c r="BC665" t="s">
        <v>125</v>
      </c>
      <c r="BM665" t="s">
        <v>861</v>
      </c>
      <c r="BN665" t="s">
        <v>900</v>
      </c>
      <c r="BO665" t="s">
        <v>901</v>
      </c>
      <c r="BP665">
        <v>4.0999999999999996</v>
      </c>
      <c r="BQ665" t="s">
        <v>902</v>
      </c>
      <c r="DF665" s="15" t="s">
        <v>9308</v>
      </c>
      <c r="DG665" t="s">
        <v>317</v>
      </c>
      <c r="DH665" t="s">
        <v>127</v>
      </c>
      <c r="DI665" t="s">
        <v>1883</v>
      </c>
      <c r="DJ665" t="s">
        <v>172</v>
      </c>
      <c r="DK665">
        <v>16500000</v>
      </c>
    </row>
    <row r="666" spans="1:115" x14ac:dyDescent="0.25">
      <c r="A666" t="s">
        <v>2623</v>
      </c>
      <c r="B666" t="s">
        <v>2624</v>
      </c>
      <c r="F666" t="s">
        <v>315</v>
      </c>
      <c r="I666" t="s">
        <v>1108</v>
      </c>
      <c r="N666" t="s">
        <v>2625</v>
      </c>
      <c r="U666" t="s">
        <v>165</v>
      </c>
      <c r="V666" t="s">
        <v>166</v>
      </c>
      <c r="Z666" s="14">
        <v>44210</v>
      </c>
      <c r="AA666" s="14">
        <v>44391</v>
      </c>
      <c r="AD666" s="14">
        <v>46387</v>
      </c>
      <c r="AL666" t="s">
        <v>122</v>
      </c>
      <c r="AN666">
        <v>721552700</v>
      </c>
      <c r="AR666">
        <v>0</v>
      </c>
      <c r="AS666">
        <v>721552700</v>
      </c>
      <c r="AY666" t="s">
        <v>1043</v>
      </c>
      <c r="AZ666" t="s">
        <v>558</v>
      </c>
      <c r="BA666" t="s">
        <v>2501</v>
      </c>
      <c r="BB666" t="s">
        <v>2502</v>
      </c>
      <c r="BC666" t="s">
        <v>125</v>
      </c>
      <c r="BM666" t="s">
        <v>861</v>
      </c>
      <c r="BN666" t="s">
        <v>900</v>
      </c>
      <c r="BO666" t="s">
        <v>901</v>
      </c>
      <c r="BP666">
        <v>4.0999999999999996</v>
      </c>
      <c r="BQ666" t="s">
        <v>902</v>
      </c>
      <c r="DF666" s="15" t="s">
        <v>9307</v>
      </c>
      <c r="DG666" t="s">
        <v>170</v>
      </c>
      <c r="DH666" t="s">
        <v>127</v>
      </c>
      <c r="DI666" t="s">
        <v>1883</v>
      </c>
      <c r="DJ666" t="s">
        <v>172</v>
      </c>
      <c r="DK666">
        <v>1100000</v>
      </c>
    </row>
    <row r="667" spans="1:115" x14ac:dyDescent="0.25">
      <c r="A667" t="s">
        <v>2626</v>
      </c>
      <c r="B667" t="s">
        <v>2627</v>
      </c>
      <c r="F667" t="s">
        <v>118</v>
      </c>
      <c r="I667" t="s">
        <v>1171</v>
      </c>
      <c r="N667" t="s">
        <v>2628</v>
      </c>
      <c r="U667" t="s">
        <v>155</v>
      </c>
      <c r="V667" t="s">
        <v>1749</v>
      </c>
      <c r="Z667" s="14">
        <v>44210</v>
      </c>
      <c r="AA667" s="14">
        <v>44391</v>
      </c>
      <c r="AD667" s="14">
        <v>46387</v>
      </c>
      <c r="AL667" t="s">
        <v>122</v>
      </c>
      <c r="AN667">
        <v>2558232300</v>
      </c>
      <c r="AR667">
        <v>0</v>
      </c>
      <c r="AS667">
        <v>2558232300</v>
      </c>
      <c r="AY667" t="s">
        <v>1043</v>
      </c>
      <c r="AZ667" t="s">
        <v>558</v>
      </c>
      <c r="BA667" t="s">
        <v>2501</v>
      </c>
      <c r="BB667" t="s">
        <v>2502</v>
      </c>
      <c r="BC667" t="s">
        <v>125</v>
      </c>
      <c r="BM667" t="s">
        <v>861</v>
      </c>
      <c r="BN667" t="s">
        <v>862</v>
      </c>
      <c r="BO667" t="s">
        <v>1173</v>
      </c>
      <c r="BP667">
        <v>7.1</v>
      </c>
      <c r="BQ667" t="s">
        <v>864</v>
      </c>
      <c r="DF667" s="15" t="s">
        <v>9439</v>
      </c>
      <c r="DG667" t="s">
        <v>126</v>
      </c>
      <c r="DH667" t="s">
        <v>127</v>
      </c>
      <c r="DI667" t="s">
        <v>1883</v>
      </c>
      <c r="DJ667" t="s">
        <v>172</v>
      </c>
      <c r="DK667">
        <v>3900000</v>
      </c>
    </row>
    <row r="668" spans="1:115" x14ac:dyDescent="0.25">
      <c r="A668" t="s">
        <v>2629</v>
      </c>
      <c r="B668" t="s">
        <v>2630</v>
      </c>
      <c r="F668" t="s">
        <v>190</v>
      </c>
      <c r="I668" t="s">
        <v>974</v>
      </c>
      <c r="N668" t="s">
        <v>2631</v>
      </c>
      <c r="U668" t="s">
        <v>725</v>
      </c>
      <c r="V668" t="s">
        <v>726</v>
      </c>
      <c r="Z668" s="14">
        <v>44210</v>
      </c>
      <c r="AA668" s="14">
        <v>44391</v>
      </c>
      <c r="AD668" s="14">
        <v>46387</v>
      </c>
      <c r="AL668" t="s">
        <v>122</v>
      </c>
      <c r="AN668">
        <v>1180722600</v>
      </c>
      <c r="AR668">
        <v>0</v>
      </c>
      <c r="AS668">
        <v>1180722600</v>
      </c>
      <c r="AY668" t="s">
        <v>1043</v>
      </c>
      <c r="AZ668" t="s">
        <v>558</v>
      </c>
      <c r="BA668" t="s">
        <v>2501</v>
      </c>
      <c r="BB668" t="s">
        <v>2502</v>
      </c>
      <c r="BC668" t="s">
        <v>125</v>
      </c>
      <c r="BM668" t="s">
        <v>861</v>
      </c>
      <c r="BN668" t="s">
        <v>862</v>
      </c>
      <c r="BO668" t="s">
        <v>863</v>
      </c>
      <c r="BP668">
        <v>2.2999999999999998</v>
      </c>
      <c r="BQ668" t="s">
        <v>864</v>
      </c>
      <c r="DF668" s="15" t="s">
        <v>9367</v>
      </c>
      <c r="DG668" t="s">
        <v>126</v>
      </c>
      <c r="DH668" t="s">
        <v>127</v>
      </c>
      <c r="DI668" t="s">
        <v>1883</v>
      </c>
      <c r="DJ668" t="s">
        <v>172</v>
      </c>
      <c r="DK668">
        <v>1800000</v>
      </c>
    </row>
    <row r="669" spans="1:115" x14ac:dyDescent="0.25">
      <c r="A669" t="s">
        <v>2632</v>
      </c>
      <c r="B669" t="s">
        <v>2633</v>
      </c>
      <c r="F669" t="s">
        <v>142</v>
      </c>
      <c r="I669" t="s">
        <v>1693</v>
      </c>
      <c r="N669" t="s">
        <v>2634</v>
      </c>
      <c r="U669" t="s">
        <v>2635</v>
      </c>
      <c r="V669" t="s">
        <v>2636</v>
      </c>
      <c r="Z669" s="14">
        <v>44210</v>
      </c>
      <c r="AA669" s="14">
        <v>44391</v>
      </c>
      <c r="AD669" s="14">
        <v>46387</v>
      </c>
      <c r="AL669" t="s">
        <v>122</v>
      </c>
      <c r="AN669">
        <v>3476572100</v>
      </c>
      <c r="AR669">
        <v>0</v>
      </c>
      <c r="AS669">
        <v>3476572100</v>
      </c>
      <c r="AY669" t="s">
        <v>1043</v>
      </c>
      <c r="AZ669" t="s">
        <v>558</v>
      </c>
      <c r="BA669" t="s">
        <v>2501</v>
      </c>
      <c r="BB669" t="s">
        <v>2502</v>
      </c>
      <c r="BC669" t="s">
        <v>125</v>
      </c>
      <c r="BM669" t="s">
        <v>861</v>
      </c>
      <c r="BN669" t="s">
        <v>862</v>
      </c>
      <c r="BO669" t="s">
        <v>971</v>
      </c>
      <c r="BP669">
        <v>9.1</v>
      </c>
      <c r="BQ669" t="s">
        <v>864</v>
      </c>
      <c r="DF669" s="15" t="s">
        <v>9467</v>
      </c>
      <c r="DG669" t="s">
        <v>317</v>
      </c>
      <c r="DH669" t="s">
        <v>127</v>
      </c>
      <c r="DI669" t="s">
        <v>1883</v>
      </c>
      <c r="DJ669" t="s">
        <v>172</v>
      </c>
      <c r="DK669">
        <v>5300000</v>
      </c>
    </row>
    <row r="670" spans="1:115" x14ac:dyDescent="0.25">
      <c r="A670" t="s">
        <v>2637</v>
      </c>
      <c r="B670" t="s">
        <v>2638</v>
      </c>
      <c r="F670" t="s">
        <v>142</v>
      </c>
      <c r="I670" t="s">
        <v>968</v>
      </c>
      <c r="N670" t="s">
        <v>2639</v>
      </c>
      <c r="U670" t="s">
        <v>176</v>
      </c>
      <c r="Z670" s="14">
        <v>44210</v>
      </c>
      <c r="AA670" s="14">
        <v>44391</v>
      </c>
      <c r="AD670" s="14">
        <v>46387</v>
      </c>
      <c r="AL670" t="s">
        <v>122</v>
      </c>
      <c r="AN670">
        <v>7609101200</v>
      </c>
      <c r="AR670">
        <v>0</v>
      </c>
      <c r="AS670">
        <v>7609101200</v>
      </c>
      <c r="AY670" t="s">
        <v>1043</v>
      </c>
      <c r="AZ670" t="s">
        <v>558</v>
      </c>
      <c r="BA670" t="s">
        <v>2501</v>
      </c>
      <c r="BB670" t="s">
        <v>2502</v>
      </c>
      <c r="BC670" t="s">
        <v>125</v>
      </c>
      <c r="BM670" t="s">
        <v>861</v>
      </c>
      <c r="BN670" t="s">
        <v>862</v>
      </c>
      <c r="BO670" t="s">
        <v>971</v>
      </c>
      <c r="BP670">
        <v>9.1</v>
      </c>
      <c r="BQ670" t="s">
        <v>864</v>
      </c>
      <c r="DF670" s="15" t="s">
        <v>9308</v>
      </c>
      <c r="DG670" t="s">
        <v>317</v>
      </c>
      <c r="DH670" t="s">
        <v>127</v>
      </c>
      <c r="DI670" t="s">
        <v>1883</v>
      </c>
      <c r="DJ670" t="s">
        <v>172</v>
      </c>
      <c r="DK670">
        <v>11600000</v>
      </c>
    </row>
    <row r="671" spans="1:115" x14ac:dyDescent="0.25">
      <c r="A671" t="s">
        <v>2640</v>
      </c>
      <c r="B671" t="s">
        <v>2641</v>
      </c>
      <c r="F671" t="s">
        <v>142</v>
      </c>
      <c r="I671" t="s">
        <v>2642</v>
      </c>
      <c r="N671" t="s">
        <v>2643</v>
      </c>
      <c r="U671" t="s">
        <v>176</v>
      </c>
      <c r="Z671" s="14">
        <v>44210</v>
      </c>
      <c r="AA671" s="14">
        <v>44391</v>
      </c>
      <c r="AD671" s="14">
        <v>46387</v>
      </c>
      <c r="AL671" t="s">
        <v>122</v>
      </c>
      <c r="AN671">
        <v>983935500</v>
      </c>
      <c r="AR671">
        <v>0</v>
      </c>
      <c r="AS671">
        <v>983935500</v>
      </c>
      <c r="AY671" t="s">
        <v>1043</v>
      </c>
      <c r="AZ671" t="s">
        <v>558</v>
      </c>
      <c r="BA671" t="s">
        <v>2501</v>
      </c>
      <c r="BB671" t="s">
        <v>2502</v>
      </c>
      <c r="BC671" t="s">
        <v>125</v>
      </c>
      <c r="BM671" t="s">
        <v>861</v>
      </c>
      <c r="BN671" t="s">
        <v>862</v>
      </c>
      <c r="BO671" t="s">
        <v>971</v>
      </c>
      <c r="BP671">
        <v>9.1</v>
      </c>
      <c r="BQ671" t="s">
        <v>864</v>
      </c>
      <c r="DF671" s="15" t="s">
        <v>9308</v>
      </c>
      <c r="DG671" t="s">
        <v>317</v>
      </c>
      <c r="DH671" t="s">
        <v>127</v>
      </c>
      <c r="DI671" t="s">
        <v>1883</v>
      </c>
      <c r="DJ671" t="s">
        <v>172</v>
      </c>
      <c r="DK671">
        <v>1500000</v>
      </c>
    </row>
    <row r="672" spans="1:115" x14ac:dyDescent="0.25">
      <c r="A672" t="s">
        <v>2644</v>
      </c>
      <c r="B672" t="s">
        <v>2645</v>
      </c>
      <c r="F672" t="s">
        <v>205</v>
      </c>
      <c r="I672" t="s">
        <v>1258</v>
      </c>
      <c r="N672" t="s">
        <v>2646</v>
      </c>
      <c r="U672" t="s">
        <v>1284</v>
      </c>
      <c r="V672" t="s">
        <v>1285</v>
      </c>
      <c r="Z672" s="14">
        <v>44210</v>
      </c>
      <c r="AA672" s="14">
        <v>44391</v>
      </c>
      <c r="AD672" s="14">
        <v>46387</v>
      </c>
      <c r="AL672" t="s">
        <v>122</v>
      </c>
      <c r="AN672">
        <v>2623828000</v>
      </c>
      <c r="AR672">
        <v>0</v>
      </c>
      <c r="AS672">
        <v>2623828000</v>
      </c>
      <c r="AY672" t="s">
        <v>1043</v>
      </c>
      <c r="AZ672" t="s">
        <v>558</v>
      </c>
      <c r="BA672" t="s">
        <v>2501</v>
      </c>
      <c r="BB672" t="s">
        <v>2502</v>
      </c>
      <c r="BC672" t="s">
        <v>125</v>
      </c>
      <c r="BM672" t="s">
        <v>560</v>
      </c>
      <c r="BN672" t="s">
        <v>1012</v>
      </c>
      <c r="BO672" t="s">
        <v>939</v>
      </c>
      <c r="BP672">
        <v>11.3</v>
      </c>
      <c r="BQ672" t="s">
        <v>563</v>
      </c>
      <c r="DF672" s="15" t="s">
        <v>9410</v>
      </c>
      <c r="DG672" t="s">
        <v>317</v>
      </c>
      <c r="DH672" t="s">
        <v>127</v>
      </c>
      <c r="DI672" t="s">
        <v>1883</v>
      </c>
      <c r="DJ672" t="s">
        <v>172</v>
      </c>
      <c r="DK672">
        <v>4000000</v>
      </c>
    </row>
    <row r="673" spans="1:115" x14ac:dyDescent="0.25">
      <c r="A673" t="s">
        <v>2647</v>
      </c>
      <c r="B673" t="s">
        <v>2648</v>
      </c>
      <c r="F673" t="s">
        <v>205</v>
      </c>
      <c r="I673" t="s">
        <v>2649</v>
      </c>
      <c r="N673" t="s">
        <v>2650</v>
      </c>
      <c r="U673" t="s">
        <v>419</v>
      </c>
      <c r="V673" t="s">
        <v>420</v>
      </c>
      <c r="Z673" s="14">
        <v>44210</v>
      </c>
      <c r="AA673" s="14">
        <v>44391</v>
      </c>
      <c r="AD673" s="14">
        <v>46387</v>
      </c>
      <c r="AL673" t="s">
        <v>122</v>
      </c>
      <c r="AN673">
        <v>983935500</v>
      </c>
      <c r="AR673">
        <v>0</v>
      </c>
      <c r="AS673">
        <v>983935500</v>
      </c>
      <c r="AY673" t="s">
        <v>1043</v>
      </c>
      <c r="AZ673" t="s">
        <v>558</v>
      </c>
      <c r="BA673" t="s">
        <v>2501</v>
      </c>
      <c r="BB673" t="s">
        <v>2502</v>
      </c>
      <c r="BC673" t="s">
        <v>125</v>
      </c>
      <c r="BM673" t="s">
        <v>560</v>
      </c>
      <c r="BN673" t="s">
        <v>1012</v>
      </c>
      <c r="BO673" t="s">
        <v>939</v>
      </c>
      <c r="BP673">
        <v>11.3</v>
      </c>
      <c r="BQ673" t="s">
        <v>563</v>
      </c>
      <c r="DF673" s="15" t="s">
        <v>9339</v>
      </c>
      <c r="DG673" t="s">
        <v>126</v>
      </c>
      <c r="DH673" t="s">
        <v>127</v>
      </c>
      <c r="DI673" t="s">
        <v>1883</v>
      </c>
      <c r="DJ673" t="s">
        <v>172</v>
      </c>
      <c r="DK673">
        <v>1500000</v>
      </c>
    </row>
    <row r="674" spans="1:115" x14ac:dyDescent="0.25">
      <c r="A674" t="s">
        <v>2651</v>
      </c>
      <c r="B674" t="s">
        <v>2652</v>
      </c>
      <c r="F674" t="s">
        <v>190</v>
      </c>
      <c r="I674" t="s">
        <v>974</v>
      </c>
      <c r="N674" t="s">
        <v>2653</v>
      </c>
      <c r="U674" t="s">
        <v>176</v>
      </c>
      <c r="Z674" s="14">
        <v>44210</v>
      </c>
      <c r="AA674" s="14">
        <v>44391</v>
      </c>
      <c r="AD674" s="14">
        <v>46387</v>
      </c>
      <c r="AL674" t="s">
        <v>122</v>
      </c>
      <c r="AN674">
        <v>2558232300</v>
      </c>
      <c r="AR674">
        <v>0</v>
      </c>
      <c r="AS674">
        <v>2558232300</v>
      </c>
      <c r="AY674" t="s">
        <v>1043</v>
      </c>
      <c r="AZ674" t="s">
        <v>558</v>
      </c>
      <c r="BA674" t="s">
        <v>2501</v>
      </c>
      <c r="BB674" t="s">
        <v>2502</v>
      </c>
      <c r="BC674" t="s">
        <v>125</v>
      </c>
      <c r="BM674" t="s">
        <v>861</v>
      </c>
      <c r="BN674" t="s">
        <v>862</v>
      </c>
      <c r="BO674" t="s">
        <v>863</v>
      </c>
      <c r="BP674">
        <v>2.2999999999999998</v>
      </c>
      <c r="BQ674" t="s">
        <v>864</v>
      </c>
      <c r="DF674" s="15" t="s">
        <v>9308</v>
      </c>
      <c r="DG674" t="s">
        <v>317</v>
      </c>
      <c r="DH674" t="s">
        <v>127</v>
      </c>
      <c r="DI674" t="s">
        <v>1883</v>
      </c>
      <c r="DJ674" t="s">
        <v>172</v>
      </c>
      <c r="DK674">
        <v>3900000</v>
      </c>
    </row>
    <row r="675" spans="1:115" x14ac:dyDescent="0.25">
      <c r="A675" t="s">
        <v>2654</v>
      </c>
      <c r="B675" t="s">
        <v>2655</v>
      </c>
      <c r="F675" t="s">
        <v>190</v>
      </c>
      <c r="I675" t="s">
        <v>2656</v>
      </c>
      <c r="N675" t="s">
        <v>2657</v>
      </c>
      <c r="U675" t="s">
        <v>176</v>
      </c>
      <c r="Z675" s="14">
        <v>44210</v>
      </c>
      <c r="AA675" s="14">
        <v>44391</v>
      </c>
      <c r="AD675" s="14">
        <v>46387</v>
      </c>
      <c r="AL675" t="s">
        <v>122</v>
      </c>
      <c r="AN675">
        <v>1705488200</v>
      </c>
      <c r="AR675">
        <v>0</v>
      </c>
      <c r="AS675">
        <v>1705488200</v>
      </c>
      <c r="AY675" t="s">
        <v>1043</v>
      </c>
      <c r="AZ675" t="s">
        <v>558</v>
      </c>
      <c r="BA675" t="s">
        <v>2501</v>
      </c>
      <c r="BB675" t="s">
        <v>2502</v>
      </c>
      <c r="BC675" t="s">
        <v>125</v>
      </c>
      <c r="BM675" t="s">
        <v>861</v>
      </c>
      <c r="BN675" t="s">
        <v>862</v>
      </c>
      <c r="BO675" t="s">
        <v>863</v>
      </c>
      <c r="BP675">
        <v>2.2999999999999998</v>
      </c>
      <c r="BQ675" t="s">
        <v>864</v>
      </c>
      <c r="DF675" s="15" t="s">
        <v>9308</v>
      </c>
      <c r="DG675" t="s">
        <v>317</v>
      </c>
      <c r="DH675" t="s">
        <v>127</v>
      </c>
      <c r="DI675" t="s">
        <v>1883</v>
      </c>
      <c r="DJ675" t="s">
        <v>172</v>
      </c>
      <c r="DK675">
        <v>2600000</v>
      </c>
    </row>
    <row r="676" spans="1:115" x14ac:dyDescent="0.25">
      <c r="A676" t="s">
        <v>2658</v>
      </c>
      <c r="B676" t="s">
        <v>2659</v>
      </c>
      <c r="F676" t="s">
        <v>263</v>
      </c>
      <c r="I676" t="s">
        <v>2606</v>
      </c>
      <c r="N676" t="s">
        <v>2660</v>
      </c>
      <c r="U676" t="s">
        <v>176</v>
      </c>
      <c r="Z676" s="14">
        <v>44210</v>
      </c>
      <c r="AA676" s="14">
        <v>44391</v>
      </c>
      <c r="AD676" s="14">
        <v>46387</v>
      </c>
      <c r="AL676" t="s">
        <v>122</v>
      </c>
      <c r="AN676">
        <v>10232929200</v>
      </c>
      <c r="AR676">
        <v>0</v>
      </c>
      <c r="AS676">
        <v>10232929200</v>
      </c>
      <c r="AY676" t="s">
        <v>1043</v>
      </c>
      <c r="AZ676" t="s">
        <v>558</v>
      </c>
      <c r="BA676" t="s">
        <v>2501</v>
      </c>
      <c r="BB676" t="s">
        <v>2502</v>
      </c>
      <c r="BC676" t="s">
        <v>125</v>
      </c>
      <c r="BM676" t="s">
        <v>560</v>
      </c>
      <c r="BN676" t="s">
        <v>561</v>
      </c>
      <c r="BO676" t="s">
        <v>562</v>
      </c>
      <c r="BP676">
        <v>6.1</v>
      </c>
      <c r="BQ676" t="s">
        <v>563</v>
      </c>
      <c r="DF676" s="15" t="s">
        <v>9308</v>
      </c>
      <c r="DG676" t="s">
        <v>126</v>
      </c>
      <c r="DH676" t="s">
        <v>127</v>
      </c>
      <c r="DI676" t="s">
        <v>1883</v>
      </c>
      <c r="DJ676" t="s">
        <v>172</v>
      </c>
      <c r="DK676">
        <v>15600000</v>
      </c>
    </row>
    <row r="677" spans="1:115" x14ac:dyDescent="0.25">
      <c r="A677" t="s">
        <v>2661</v>
      </c>
      <c r="B677" t="s">
        <v>2662</v>
      </c>
      <c r="F677" t="s">
        <v>216</v>
      </c>
      <c r="I677" t="s">
        <v>1688</v>
      </c>
      <c r="N677" t="s">
        <v>2663</v>
      </c>
      <c r="U677" t="s">
        <v>176</v>
      </c>
      <c r="Z677" s="14">
        <v>44210</v>
      </c>
      <c r="AA677" s="14">
        <v>44391</v>
      </c>
      <c r="AD677" s="14">
        <v>46387</v>
      </c>
      <c r="AL677" t="s">
        <v>122</v>
      </c>
      <c r="AN677">
        <v>196787100</v>
      </c>
      <c r="AR677">
        <v>0</v>
      </c>
      <c r="AS677">
        <v>196787100</v>
      </c>
      <c r="AY677" t="s">
        <v>1043</v>
      </c>
      <c r="AZ677" t="s">
        <v>558</v>
      </c>
      <c r="BA677" t="s">
        <v>2501</v>
      </c>
      <c r="BB677" t="s">
        <v>2502</v>
      </c>
      <c r="BC677" t="s">
        <v>125</v>
      </c>
      <c r="BM677" t="s">
        <v>560</v>
      </c>
      <c r="BN677" t="s">
        <v>561</v>
      </c>
      <c r="BO677" t="s">
        <v>989</v>
      </c>
      <c r="BP677">
        <v>3.8</v>
      </c>
      <c r="BQ677" t="s">
        <v>902</v>
      </c>
      <c r="DF677" s="15" t="s">
        <v>9308</v>
      </c>
      <c r="DG677" t="s">
        <v>126</v>
      </c>
      <c r="DH677" t="s">
        <v>127</v>
      </c>
      <c r="DI677" t="s">
        <v>1883</v>
      </c>
      <c r="DJ677" t="s">
        <v>172</v>
      </c>
      <c r="DK677">
        <v>300000</v>
      </c>
    </row>
    <row r="678" spans="1:115" x14ac:dyDescent="0.25">
      <c r="A678" t="s">
        <v>2664</v>
      </c>
      <c r="B678" t="s">
        <v>2665</v>
      </c>
      <c r="F678" t="s">
        <v>205</v>
      </c>
      <c r="I678" t="s">
        <v>2666</v>
      </c>
      <c r="N678" t="s">
        <v>2667</v>
      </c>
      <c r="U678" t="s">
        <v>409</v>
      </c>
      <c r="V678" t="s">
        <v>2668</v>
      </c>
      <c r="Z678" s="14">
        <v>44210</v>
      </c>
      <c r="AA678" s="14">
        <v>44391</v>
      </c>
      <c r="AD678" s="14">
        <v>46387</v>
      </c>
      <c r="AL678" t="s">
        <v>122</v>
      </c>
      <c r="AN678">
        <v>9970546400</v>
      </c>
      <c r="AR678">
        <v>0</v>
      </c>
      <c r="AS678">
        <v>9970546400</v>
      </c>
      <c r="AY678" t="s">
        <v>1043</v>
      </c>
      <c r="AZ678" t="s">
        <v>558</v>
      </c>
      <c r="BA678" t="s">
        <v>2501</v>
      </c>
      <c r="BB678" t="s">
        <v>2502</v>
      </c>
      <c r="BC678" t="s">
        <v>125</v>
      </c>
      <c r="BM678" t="s">
        <v>560</v>
      </c>
      <c r="BN678" t="s">
        <v>1012</v>
      </c>
      <c r="BO678" t="s">
        <v>939</v>
      </c>
      <c r="BP678">
        <v>11.3</v>
      </c>
      <c r="BQ678" t="s">
        <v>563</v>
      </c>
      <c r="DF678" s="15" t="s">
        <v>9468</v>
      </c>
      <c r="DG678" t="s">
        <v>126</v>
      </c>
      <c r="DH678" t="s">
        <v>127</v>
      </c>
      <c r="DI678" t="s">
        <v>1883</v>
      </c>
      <c r="DJ678" t="s">
        <v>172</v>
      </c>
      <c r="DK678">
        <v>15200000</v>
      </c>
    </row>
    <row r="679" spans="1:115" x14ac:dyDescent="0.25">
      <c r="A679" t="s">
        <v>2669</v>
      </c>
      <c r="B679" t="s">
        <v>2665</v>
      </c>
      <c r="F679" t="s">
        <v>205</v>
      </c>
      <c r="I679" t="s">
        <v>2666</v>
      </c>
      <c r="N679" t="s">
        <v>2670</v>
      </c>
      <c r="U679" t="s">
        <v>409</v>
      </c>
      <c r="V679" t="s">
        <v>2668</v>
      </c>
      <c r="Z679" s="14">
        <v>44210</v>
      </c>
      <c r="AA679" s="14">
        <v>44392</v>
      </c>
      <c r="AD679" s="14">
        <v>44926</v>
      </c>
      <c r="AL679" t="s">
        <v>122</v>
      </c>
      <c r="AN679">
        <v>9970546400</v>
      </c>
      <c r="AR679">
        <v>0</v>
      </c>
      <c r="AS679">
        <v>9970546400</v>
      </c>
      <c r="AY679" t="s">
        <v>1043</v>
      </c>
      <c r="AZ679" t="s">
        <v>558</v>
      </c>
      <c r="BA679" t="s">
        <v>2501</v>
      </c>
      <c r="BB679" t="s">
        <v>2502</v>
      </c>
      <c r="BC679" t="s">
        <v>125</v>
      </c>
      <c r="BM679" t="s">
        <v>560</v>
      </c>
      <c r="BN679" t="s">
        <v>1012</v>
      </c>
      <c r="BO679" t="s">
        <v>939</v>
      </c>
      <c r="BP679">
        <v>11.3</v>
      </c>
      <c r="BQ679" t="s">
        <v>563</v>
      </c>
      <c r="DF679" s="15" t="s">
        <v>9468</v>
      </c>
      <c r="DG679" t="s">
        <v>1048</v>
      </c>
      <c r="DH679" t="s">
        <v>127</v>
      </c>
      <c r="DI679" t="s">
        <v>1883</v>
      </c>
      <c r="DJ679" t="s">
        <v>172</v>
      </c>
      <c r="DK679">
        <v>15200000</v>
      </c>
    </row>
    <row r="680" spans="1:115" x14ac:dyDescent="0.25">
      <c r="A680" t="s">
        <v>2671</v>
      </c>
      <c r="B680" t="s">
        <v>2672</v>
      </c>
      <c r="F680" t="s">
        <v>315</v>
      </c>
      <c r="I680" t="s">
        <v>2673</v>
      </c>
      <c r="N680" t="s">
        <v>2674</v>
      </c>
      <c r="U680" t="s">
        <v>176</v>
      </c>
      <c r="Z680" s="14">
        <v>44210</v>
      </c>
      <c r="AA680" s="14">
        <v>44391</v>
      </c>
      <c r="AD680" s="14">
        <v>46387</v>
      </c>
      <c r="AL680" t="s">
        <v>122</v>
      </c>
      <c r="AN680">
        <v>33584998400</v>
      </c>
      <c r="AR680">
        <v>0</v>
      </c>
      <c r="AS680">
        <v>33584998400</v>
      </c>
      <c r="AY680" t="s">
        <v>1043</v>
      </c>
      <c r="AZ680" t="s">
        <v>558</v>
      </c>
      <c r="BA680" t="s">
        <v>2501</v>
      </c>
      <c r="BB680" t="s">
        <v>2502</v>
      </c>
      <c r="BC680" t="s">
        <v>125</v>
      </c>
      <c r="BM680" t="s">
        <v>861</v>
      </c>
      <c r="BN680" t="s">
        <v>900</v>
      </c>
      <c r="BO680" t="s">
        <v>901</v>
      </c>
      <c r="BP680">
        <v>4.0999999999999996</v>
      </c>
      <c r="BQ680" t="s">
        <v>902</v>
      </c>
      <c r="DF680" s="15" t="s">
        <v>9308</v>
      </c>
      <c r="DG680" t="s">
        <v>317</v>
      </c>
      <c r="DH680" t="s">
        <v>127</v>
      </c>
      <c r="DI680" t="s">
        <v>1883</v>
      </c>
      <c r="DJ680" t="s">
        <v>172</v>
      </c>
      <c r="DK680">
        <v>51200000</v>
      </c>
    </row>
    <row r="681" spans="1:115" x14ac:dyDescent="0.25">
      <c r="A681" t="s">
        <v>2675</v>
      </c>
      <c r="B681" t="s">
        <v>2676</v>
      </c>
      <c r="F681" t="s">
        <v>315</v>
      </c>
      <c r="I681" t="s">
        <v>1146</v>
      </c>
      <c r="N681" t="s">
        <v>2677</v>
      </c>
      <c r="U681" t="s">
        <v>176</v>
      </c>
      <c r="Z681" s="14">
        <v>44210</v>
      </c>
      <c r="AA681" s="14">
        <v>44391</v>
      </c>
      <c r="AD681" s="14">
        <v>46387</v>
      </c>
      <c r="AL681" t="s">
        <v>122</v>
      </c>
      <c r="AN681">
        <v>4198124800</v>
      </c>
      <c r="AR681">
        <v>0</v>
      </c>
      <c r="AS681">
        <v>4198124800</v>
      </c>
      <c r="AY681" t="s">
        <v>1043</v>
      </c>
      <c r="AZ681" t="s">
        <v>558</v>
      </c>
      <c r="BA681" t="s">
        <v>2501</v>
      </c>
      <c r="BB681" t="s">
        <v>2502</v>
      </c>
      <c r="BC681" t="s">
        <v>125</v>
      </c>
      <c r="BM681" t="s">
        <v>861</v>
      </c>
      <c r="BN681" t="s">
        <v>900</v>
      </c>
      <c r="BO681" t="s">
        <v>901</v>
      </c>
      <c r="BP681">
        <v>4.0999999999999996</v>
      </c>
      <c r="BQ681" t="s">
        <v>902</v>
      </c>
      <c r="DF681" s="15" t="s">
        <v>9308</v>
      </c>
      <c r="DG681" t="s">
        <v>126</v>
      </c>
      <c r="DH681" t="s">
        <v>127</v>
      </c>
      <c r="DI681" t="s">
        <v>1883</v>
      </c>
      <c r="DJ681" t="s">
        <v>172</v>
      </c>
      <c r="DK681">
        <v>6400000</v>
      </c>
    </row>
    <row r="682" spans="1:115" x14ac:dyDescent="0.25">
      <c r="A682" t="s">
        <v>2678</v>
      </c>
      <c r="B682" t="s">
        <v>2679</v>
      </c>
      <c r="F682" t="s">
        <v>118</v>
      </c>
      <c r="I682" t="s">
        <v>1275</v>
      </c>
      <c r="N682" t="s">
        <v>2680</v>
      </c>
      <c r="U682" t="s">
        <v>176</v>
      </c>
      <c r="Z682" s="14">
        <v>44210</v>
      </c>
      <c r="AA682" s="14">
        <v>44391</v>
      </c>
      <c r="AD682" s="14">
        <v>46387</v>
      </c>
      <c r="AL682" t="s">
        <v>122</v>
      </c>
      <c r="AN682">
        <v>3017402200</v>
      </c>
      <c r="AR682">
        <v>0</v>
      </c>
      <c r="AS682">
        <v>3017402200</v>
      </c>
      <c r="AY682" t="s">
        <v>1043</v>
      </c>
      <c r="AZ682" t="s">
        <v>558</v>
      </c>
      <c r="BA682" t="s">
        <v>2501</v>
      </c>
      <c r="BB682" t="s">
        <v>2502</v>
      </c>
      <c r="BC682" t="s">
        <v>125</v>
      </c>
      <c r="BM682" t="s">
        <v>861</v>
      </c>
      <c r="BN682" t="s">
        <v>862</v>
      </c>
      <c r="BO682" t="s">
        <v>1173</v>
      </c>
      <c r="BP682">
        <v>7.1</v>
      </c>
      <c r="BQ682" t="s">
        <v>864</v>
      </c>
      <c r="DF682" s="15" t="s">
        <v>9308</v>
      </c>
      <c r="DG682" t="s">
        <v>126</v>
      </c>
      <c r="DH682" t="s">
        <v>127</v>
      </c>
      <c r="DI682" t="s">
        <v>1883</v>
      </c>
      <c r="DJ682" t="s">
        <v>172</v>
      </c>
      <c r="DK682">
        <v>4600000</v>
      </c>
    </row>
    <row r="683" spans="1:115" x14ac:dyDescent="0.25">
      <c r="A683" t="s">
        <v>2681</v>
      </c>
      <c r="B683" t="s">
        <v>2682</v>
      </c>
      <c r="F683" t="s">
        <v>369</v>
      </c>
      <c r="I683" t="s">
        <v>2683</v>
      </c>
      <c r="N683" t="s">
        <v>2684</v>
      </c>
      <c r="U683" t="s">
        <v>176</v>
      </c>
      <c r="Z683" s="14">
        <v>44210</v>
      </c>
      <c r="AA683" s="14">
        <v>44391</v>
      </c>
      <c r="AD683" s="14">
        <v>46387</v>
      </c>
      <c r="AL683" t="s">
        <v>122</v>
      </c>
      <c r="AN683">
        <v>327978500</v>
      </c>
      <c r="AR683">
        <v>0</v>
      </c>
      <c r="AS683">
        <v>327978500</v>
      </c>
      <c r="AY683" t="s">
        <v>1043</v>
      </c>
      <c r="AZ683" t="s">
        <v>558</v>
      </c>
      <c r="BA683" t="s">
        <v>2501</v>
      </c>
      <c r="BB683" t="s">
        <v>2502</v>
      </c>
      <c r="BC683" t="s">
        <v>125</v>
      </c>
      <c r="BM683" t="s">
        <v>861</v>
      </c>
      <c r="BN683" t="s">
        <v>862</v>
      </c>
      <c r="BO683" t="s">
        <v>971</v>
      </c>
      <c r="BP683">
        <v>9.1</v>
      </c>
      <c r="BQ683" t="s">
        <v>864</v>
      </c>
      <c r="DF683" s="15" t="s">
        <v>9308</v>
      </c>
      <c r="DG683" t="s">
        <v>126</v>
      </c>
      <c r="DH683" t="s">
        <v>127</v>
      </c>
      <c r="DI683" t="s">
        <v>1883</v>
      </c>
      <c r="DJ683" t="s">
        <v>172</v>
      </c>
      <c r="DK683">
        <v>500000</v>
      </c>
    </row>
    <row r="684" spans="1:115" x14ac:dyDescent="0.25">
      <c r="A684" t="s">
        <v>2685</v>
      </c>
      <c r="B684" t="s">
        <v>2686</v>
      </c>
      <c r="F684" t="s">
        <v>190</v>
      </c>
      <c r="I684" t="s">
        <v>856</v>
      </c>
      <c r="N684" t="s">
        <v>2687</v>
      </c>
      <c r="U684" t="s">
        <v>176</v>
      </c>
      <c r="Z684" s="14">
        <v>44210</v>
      </c>
      <c r="AA684" s="14">
        <v>44391</v>
      </c>
      <c r="AD684" s="14">
        <v>46387</v>
      </c>
      <c r="AL684" t="s">
        <v>122</v>
      </c>
      <c r="AN684">
        <v>3673359200</v>
      </c>
      <c r="AR684">
        <v>0</v>
      </c>
      <c r="AS684">
        <v>3673359200</v>
      </c>
      <c r="AY684" t="s">
        <v>1043</v>
      </c>
      <c r="AZ684" t="s">
        <v>558</v>
      </c>
      <c r="BA684" t="s">
        <v>2501</v>
      </c>
      <c r="BB684" t="s">
        <v>2502</v>
      </c>
      <c r="BC684" t="s">
        <v>125</v>
      </c>
      <c r="BM684" t="s">
        <v>861</v>
      </c>
      <c r="BN684" t="s">
        <v>862</v>
      </c>
      <c r="BO684" t="s">
        <v>863</v>
      </c>
      <c r="BP684">
        <v>2.2999999999999998</v>
      </c>
      <c r="BQ684" t="s">
        <v>864</v>
      </c>
      <c r="DF684" s="15" t="s">
        <v>9308</v>
      </c>
      <c r="DG684" t="s">
        <v>317</v>
      </c>
      <c r="DH684" t="s">
        <v>127</v>
      </c>
      <c r="DI684" t="s">
        <v>1883</v>
      </c>
      <c r="DJ684" t="s">
        <v>172</v>
      </c>
      <c r="DK684">
        <v>5600000</v>
      </c>
    </row>
    <row r="685" spans="1:115" x14ac:dyDescent="0.25">
      <c r="A685" t="s">
        <v>2688</v>
      </c>
      <c r="B685" t="s">
        <v>2689</v>
      </c>
      <c r="F685" t="s">
        <v>263</v>
      </c>
      <c r="I685" t="s">
        <v>2598</v>
      </c>
      <c r="N685" t="s">
        <v>2690</v>
      </c>
      <c r="U685" t="s">
        <v>176</v>
      </c>
      <c r="Z685" s="14">
        <v>44210</v>
      </c>
      <c r="AA685" s="14">
        <v>44391</v>
      </c>
      <c r="AD685" s="14">
        <v>46387</v>
      </c>
      <c r="AL685" t="s">
        <v>122</v>
      </c>
      <c r="AN685">
        <v>15414989500</v>
      </c>
      <c r="AR685">
        <v>0</v>
      </c>
      <c r="AS685">
        <v>15414989500</v>
      </c>
      <c r="AY685" t="s">
        <v>1043</v>
      </c>
      <c r="AZ685" t="s">
        <v>558</v>
      </c>
      <c r="BA685" t="s">
        <v>2501</v>
      </c>
      <c r="BB685" t="s">
        <v>2502</v>
      </c>
      <c r="BC685" t="s">
        <v>125</v>
      </c>
      <c r="BM685" t="s">
        <v>560</v>
      </c>
      <c r="BN685" t="s">
        <v>561</v>
      </c>
      <c r="BO685" t="s">
        <v>562</v>
      </c>
      <c r="BP685">
        <v>6.1</v>
      </c>
      <c r="BQ685" t="s">
        <v>563</v>
      </c>
      <c r="DF685" s="15" t="s">
        <v>9308</v>
      </c>
      <c r="DG685" t="s">
        <v>126</v>
      </c>
      <c r="DH685" t="s">
        <v>127</v>
      </c>
      <c r="DI685" t="s">
        <v>1883</v>
      </c>
      <c r="DJ685" t="s">
        <v>172</v>
      </c>
      <c r="DK685">
        <v>23500000</v>
      </c>
    </row>
    <row r="686" spans="1:115" x14ac:dyDescent="0.25">
      <c r="A686" t="s">
        <v>2691</v>
      </c>
      <c r="B686" t="s">
        <v>2692</v>
      </c>
      <c r="F686" t="s">
        <v>263</v>
      </c>
      <c r="I686" t="s">
        <v>2606</v>
      </c>
      <c r="N686" t="s">
        <v>2693</v>
      </c>
      <c r="U686" t="s">
        <v>176</v>
      </c>
      <c r="Z686" s="14">
        <v>44210</v>
      </c>
      <c r="AA686" s="14">
        <v>44391</v>
      </c>
      <c r="AD686" s="14">
        <v>46387</v>
      </c>
      <c r="AL686" t="s">
        <v>122</v>
      </c>
      <c r="AN686">
        <v>10626503400</v>
      </c>
      <c r="AR686">
        <v>0</v>
      </c>
      <c r="AS686">
        <v>10626503400</v>
      </c>
      <c r="AY686" t="s">
        <v>1043</v>
      </c>
      <c r="AZ686" t="s">
        <v>558</v>
      </c>
      <c r="BA686" t="s">
        <v>2501</v>
      </c>
      <c r="BB686" t="s">
        <v>2502</v>
      </c>
      <c r="BC686" t="s">
        <v>125</v>
      </c>
      <c r="BM686" t="s">
        <v>560</v>
      </c>
      <c r="BN686" t="s">
        <v>561</v>
      </c>
      <c r="BO686" t="s">
        <v>562</v>
      </c>
      <c r="BP686">
        <v>6.1</v>
      </c>
      <c r="BQ686" t="s">
        <v>563</v>
      </c>
      <c r="DF686" s="15" t="s">
        <v>9308</v>
      </c>
      <c r="DG686" t="s">
        <v>126</v>
      </c>
      <c r="DH686" t="s">
        <v>127</v>
      </c>
      <c r="DI686" t="s">
        <v>1883</v>
      </c>
      <c r="DJ686" t="s">
        <v>172</v>
      </c>
      <c r="DK686">
        <v>16200000</v>
      </c>
    </row>
    <row r="687" spans="1:115" x14ac:dyDescent="0.25">
      <c r="A687" t="s">
        <v>2694</v>
      </c>
      <c r="B687" t="s">
        <v>2695</v>
      </c>
      <c r="F687" t="s">
        <v>216</v>
      </c>
      <c r="I687" t="s">
        <v>1064</v>
      </c>
      <c r="N687" t="s">
        <v>2696</v>
      </c>
      <c r="U687" t="s">
        <v>176</v>
      </c>
      <c r="Z687" s="14">
        <v>44210</v>
      </c>
      <c r="AA687" s="14">
        <v>44391</v>
      </c>
      <c r="AD687" s="14">
        <v>46387</v>
      </c>
      <c r="AL687" t="s">
        <v>122</v>
      </c>
      <c r="AN687">
        <v>4591699000</v>
      </c>
      <c r="AR687">
        <v>0</v>
      </c>
      <c r="AS687">
        <v>4591699000</v>
      </c>
      <c r="AY687" t="s">
        <v>1043</v>
      </c>
      <c r="AZ687" t="s">
        <v>558</v>
      </c>
      <c r="BA687" t="s">
        <v>2501</v>
      </c>
      <c r="BB687" t="s">
        <v>2502</v>
      </c>
      <c r="BC687" t="s">
        <v>125</v>
      </c>
      <c r="BM687" t="s">
        <v>560</v>
      </c>
      <c r="BN687" t="s">
        <v>561</v>
      </c>
      <c r="BO687" t="s">
        <v>989</v>
      </c>
      <c r="BP687">
        <v>3.8</v>
      </c>
      <c r="BQ687" t="s">
        <v>902</v>
      </c>
      <c r="DF687" s="15" t="s">
        <v>9308</v>
      </c>
      <c r="DG687" t="s">
        <v>317</v>
      </c>
      <c r="DH687" t="s">
        <v>127</v>
      </c>
      <c r="DI687" t="s">
        <v>1883</v>
      </c>
      <c r="DJ687" t="s">
        <v>172</v>
      </c>
      <c r="DK687">
        <v>7000000</v>
      </c>
    </row>
    <row r="688" spans="1:115" x14ac:dyDescent="0.25">
      <c r="A688" t="s">
        <v>2697</v>
      </c>
      <c r="B688" t="s">
        <v>2698</v>
      </c>
      <c r="F688" t="s">
        <v>216</v>
      </c>
      <c r="I688" t="s">
        <v>1064</v>
      </c>
      <c r="N688" t="s">
        <v>2699</v>
      </c>
      <c r="U688" t="s">
        <v>2700</v>
      </c>
      <c r="V688" t="s">
        <v>2701</v>
      </c>
      <c r="W688" t="s">
        <v>2702</v>
      </c>
      <c r="Z688" s="14">
        <v>44210</v>
      </c>
      <c r="AA688" s="14">
        <v>44391</v>
      </c>
      <c r="AD688" s="14">
        <v>46387</v>
      </c>
      <c r="AL688" t="s">
        <v>122</v>
      </c>
      <c r="AN688">
        <v>6034804400</v>
      </c>
      <c r="AR688">
        <v>0</v>
      </c>
      <c r="AS688">
        <v>6034804400</v>
      </c>
      <c r="AY688" t="s">
        <v>1043</v>
      </c>
      <c r="AZ688" t="s">
        <v>558</v>
      </c>
      <c r="BA688" t="s">
        <v>2501</v>
      </c>
      <c r="BB688" t="s">
        <v>2502</v>
      </c>
      <c r="BC688" t="s">
        <v>125</v>
      </c>
      <c r="BM688" t="s">
        <v>560</v>
      </c>
      <c r="BN688" t="s">
        <v>561</v>
      </c>
      <c r="BO688" t="s">
        <v>989</v>
      </c>
      <c r="BP688">
        <v>3.8</v>
      </c>
      <c r="BQ688" t="s">
        <v>902</v>
      </c>
      <c r="DF688" s="15" t="s">
        <v>9469</v>
      </c>
      <c r="DG688" t="s">
        <v>317</v>
      </c>
      <c r="DH688" t="s">
        <v>127</v>
      </c>
      <c r="DI688" t="s">
        <v>1883</v>
      </c>
      <c r="DJ688" t="s">
        <v>172</v>
      </c>
      <c r="DK688">
        <v>9200000</v>
      </c>
    </row>
    <row r="689" spans="1:115" x14ac:dyDescent="0.25">
      <c r="A689" t="s">
        <v>2703</v>
      </c>
      <c r="B689" t="s">
        <v>2704</v>
      </c>
      <c r="F689" t="s">
        <v>216</v>
      </c>
      <c r="I689" t="s">
        <v>1103</v>
      </c>
      <c r="N689" t="s">
        <v>2705</v>
      </c>
      <c r="U689" t="s">
        <v>176</v>
      </c>
      <c r="Z689" s="14">
        <v>44210</v>
      </c>
      <c r="AA689" s="14">
        <v>44391</v>
      </c>
      <c r="AD689" s="14">
        <v>46387</v>
      </c>
      <c r="AL689" t="s">
        <v>122</v>
      </c>
      <c r="AN689">
        <v>524765600</v>
      </c>
      <c r="AR689">
        <v>0</v>
      </c>
      <c r="AS689">
        <v>524765600</v>
      </c>
      <c r="AY689" t="s">
        <v>1043</v>
      </c>
      <c r="AZ689" t="s">
        <v>558</v>
      </c>
      <c r="BA689" t="s">
        <v>2501</v>
      </c>
      <c r="BB689" t="s">
        <v>2502</v>
      </c>
      <c r="BC689" t="s">
        <v>125</v>
      </c>
      <c r="BM689" t="s">
        <v>560</v>
      </c>
      <c r="BN689" t="s">
        <v>561</v>
      </c>
      <c r="BO689" t="s">
        <v>989</v>
      </c>
      <c r="BP689">
        <v>3.8</v>
      </c>
      <c r="BQ689" t="s">
        <v>902</v>
      </c>
      <c r="DF689" s="15" t="s">
        <v>9308</v>
      </c>
      <c r="DG689" t="s">
        <v>317</v>
      </c>
      <c r="DH689" t="s">
        <v>127</v>
      </c>
      <c r="DI689" t="s">
        <v>1883</v>
      </c>
      <c r="DJ689" t="s">
        <v>172</v>
      </c>
      <c r="DK689">
        <v>800000</v>
      </c>
    </row>
    <row r="690" spans="1:115" x14ac:dyDescent="0.25">
      <c r="A690" t="s">
        <v>2706</v>
      </c>
      <c r="B690" t="s">
        <v>2707</v>
      </c>
      <c r="F690" t="s">
        <v>216</v>
      </c>
      <c r="I690" t="s">
        <v>1060</v>
      </c>
      <c r="N690" t="s">
        <v>2708</v>
      </c>
      <c r="U690" t="s">
        <v>2709</v>
      </c>
      <c r="V690" t="s">
        <v>2710</v>
      </c>
      <c r="Z690" s="14">
        <v>44210</v>
      </c>
      <c r="AA690" s="14">
        <v>44391</v>
      </c>
      <c r="AD690" s="14">
        <v>46387</v>
      </c>
      <c r="AL690" t="s">
        <v>122</v>
      </c>
      <c r="AN690">
        <v>4066933400</v>
      </c>
      <c r="AR690">
        <v>0</v>
      </c>
      <c r="AS690">
        <v>4066933400</v>
      </c>
      <c r="AY690" t="s">
        <v>1043</v>
      </c>
      <c r="AZ690" t="s">
        <v>558</v>
      </c>
      <c r="BA690" t="s">
        <v>2501</v>
      </c>
      <c r="BB690" t="s">
        <v>2502</v>
      </c>
      <c r="BC690" t="s">
        <v>125</v>
      </c>
      <c r="BM690" t="s">
        <v>560</v>
      </c>
      <c r="BN690" t="s">
        <v>561</v>
      </c>
      <c r="BO690" t="s">
        <v>989</v>
      </c>
      <c r="BP690">
        <v>3.8</v>
      </c>
      <c r="BQ690" t="s">
        <v>902</v>
      </c>
      <c r="DF690" s="15" t="s">
        <v>9470</v>
      </c>
      <c r="DG690" t="s">
        <v>317</v>
      </c>
      <c r="DH690" t="s">
        <v>127</v>
      </c>
      <c r="DI690" t="s">
        <v>1883</v>
      </c>
      <c r="DJ690" t="s">
        <v>172</v>
      </c>
      <c r="DK690">
        <v>6200000</v>
      </c>
    </row>
    <row r="691" spans="1:115" x14ac:dyDescent="0.25">
      <c r="A691" t="s">
        <v>2711</v>
      </c>
      <c r="B691" t="s">
        <v>2712</v>
      </c>
      <c r="F691" t="s">
        <v>205</v>
      </c>
      <c r="I691" t="s">
        <v>2713</v>
      </c>
      <c r="N691" t="s">
        <v>2714</v>
      </c>
      <c r="U691" t="s">
        <v>185</v>
      </c>
      <c r="V691" t="s">
        <v>224</v>
      </c>
      <c r="W691" t="s">
        <v>1293</v>
      </c>
      <c r="Z691" s="14">
        <v>44210</v>
      </c>
      <c r="AA691" s="14">
        <v>44391</v>
      </c>
      <c r="AD691" s="14">
        <v>46387</v>
      </c>
      <c r="AL691" t="s">
        <v>122</v>
      </c>
      <c r="AN691">
        <v>7543505500</v>
      </c>
      <c r="AR691">
        <v>0</v>
      </c>
      <c r="AS691">
        <v>7543505500</v>
      </c>
      <c r="AY691" t="s">
        <v>1043</v>
      </c>
      <c r="AZ691" t="s">
        <v>558</v>
      </c>
      <c r="BA691" t="s">
        <v>2501</v>
      </c>
      <c r="BB691" t="s">
        <v>2502</v>
      </c>
      <c r="BC691" t="s">
        <v>125</v>
      </c>
      <c r="BM691" t="s">
        <v>560</v>
      </c>
      <c r="BN691" t="s">
        <v>1012</v>
      </c>
      <c r="BO691" t="s">
        <v>939</v>
      </c>
      <c r="BP691">
        <v>11.3</v>
      </c>
      <c r="BQ691" t="s">
        <v>563</v>
      </c>
      <c r="DF691" s="15" t="s">
        <v>9411</v>
      </c>
      <c r="DG691" t="s">
        <v>126</v>
      </c>
      <c r="DH691" t="s">
        <v>127</v>
      </c>
      <c r="DI691" t="s">
        <v>1883</v>
      </c>
      <c r="DJ691" t="s">
        <v>172</v>
      </c>
      <c r="DK691">
        <v>11500000</v>
      </c>
    </row>
    <row r="692" spans="1:115" x14ac:dyDescent="0.25">
      <c r="A692" t="s">
        <v>2715</v>
      </c>
      <c r="B692" t="s">
        <v>2716</v>
      </c>
      <c r="F692" t="s">
        <v>315</v>
      </c>
      <c r="I692" t="s">
        <v>998</v>
      </c>
      <c r="N692" t="s">
        <v>2717</v>
      </c>
      <c r="U692" t="s">
        <v>176</v>
      </c>
      <c r="Z692" s="14">
        <v>44210</v>
      </c>
      <c r="AA692" s="14">
        <v>44391</v>
      </c>
      <c r="AD692" s="14">
        <v>46387</v>
      </c>
      <c r="AL692" t="s">
        <v>122</v>
      </c>
      <c r="AN692">
        <v>10495312000</v>
      </c>
      <c r="AR692">
        <v>0</v>
      </c>
      <c r="AS692">
        <v>10495312000</v>
      </c>
      <c r="AY692" t="s">
        <v>1043</v>
      </c>
      <c r="AZ692" t="s">
        <v>558</v>
      </c>
      <c r="BA692" t="s">
        <v>2501</v>
      </c>
      <c r="BB692" t="s">
        <v>2502</v>
      </c>
      <c r="BC692" t="s">
        <v>125</v>
      </c>
      <c r="BM692" t="s">
        <v>861</v>
      </c>
      <c r="BN692" t="s">
        <v>900</v>
      </c>
      <c r="BO692" t="s">
        <v>901</v>
      </c>
      <c r="BP692">
        <v>4.0999999999999996</v>
      </c>
      <c r="BQ692" t="s">
        <v>902</v>
      </c>
      <c r="DF692" s="15" t="s">
        <v>9308</v>
      </c>
      <c r="DG692" t="s">
        <v>317</v>
      </c>
      <c r="DH692" t="s">
        <v>127</v>
      </c>
      <c r="DI692" t="s">
        <v>1883</v>
      </c>
      <c r="DJ692" t="s">
        <v>172</v>
      </c>
      <c r="DK692">
        <v>16000000</v>
      </c>
    </row>
    <row r="693" spans="1:115" x14ac:dyDescent="0.25">
      <c r="A693" t="s">
        <v>2718</v>
      </c>
      <c r="B693" t="s">
        <v>2719</v>
      </c>
      <c r="F693" t="s">
        <v>118</v>
      </c>
      <c r="I693" t="s">
        <v>2720</v>
      </c>
      <c r="N693" t="s">
        <v>2721</v>
      </c>
      <c r="U693" t="s">
        <v>176</v>
      </c>
      <c r="Z693" s="14">
        <v>44210</v>
      </c>
      <c r="AA693" s="14">
        <v>44391</v>
      </c>
      <c r="AD693" s="14">
        <v>46387</v>
      </c>
      <c r="AL693" t="s">
        <v>122</v>
      </c>
      <c r="AN693">
        <v>3148593600</v>
      </c>
      <c r="AR693">
        <v>0</v>
      </c>
      <c r="AS693">
        <v>3148593600</v>
      </c>
      <c r="AY693" t="s">
        <v>1043</v>
      </c>
      <c r="AZ693" t="s">
        <v>558</v>
      </c>
      <c r="BA693" t="s">
        <v>2501</v>
      </c>
      <c r="BB693" t="s">
        <v>2502</v>
      </c>
      <c r="BC693" t="s">
        <v>125</v>
      </c>
      <c r="BM693" t="s">
        <v>861</v>
      </c>
      <c r="BN693" t="s">
        <v>862</v>
      </c>
      <c r="BO693" t="s">
        <v>1173</v>
      </c>
      <c r="BP693">
        <v>7.1</v>
      </c>
      <c r="BQ693" t="s">
        <v>864</v>
      </c>
      <c r="DF693" s="15" t="s">
        <v>9308</v>
      </c>
      <c r="DG693" t="s">
        <v>126</v>
      </c>
      <c r="DH693" t="s">
        <v>127</v>
      </c>
      <c r="DI693" t="s">
        <v>1883</v>
      </c>
      <c r="DJ693" t="s">
        <v>172</v>
      </c>
      <c r="DK693">
        <v>4800000</v>
      </c>
    </row>
    <row r="694" spans="1:115" x14ac:dyDescent="0.25">
      <c r="A694" t="s">
        <v>2722</v>
      </c>
      <c r="B694" t="s">
        <v>2723</v>
      </c>
      <c r="F694" t="s">
        <v>369</v>
      </c>
      <c r="I694" t="s">
        <v>2435</v>
      </c>
      <c r="N694" t="s">
        <v>2724</v>
      </c>
      <c r="U694" t="s">
        <v>176</v>
      </c>
      <c r="Z694" s="14">
        <v>44210</v>
      </c>
      <c r="AA694" s="14">
        <v>44391</v>
      </c>
      <c r="AD694" s="14">
        <v>46387</v>
      </c>
      <c r="AL694" t="s">
        <v>122</v>
      </c>
      <c r="AN694">
        <v>1836679600</v>
      </c>
      <c r="AR694">
        <v>0</v>
      </c>
      <c r="AS694">
        <v>1836679600</v>
      </c>
      <c r="AY694" t="s">
        <v>1043</v>
      </c>
      <c r="AZ694" t="s">
        <v>558</v>
      </c>
      <c r="BA694" t="s">
        <v>2501</v>
      </c>
      <c r="BB694" t="s">
        <v>2502</v>
      </c>
      <c r="BC694" t="s">
        <v>125</v>
      </c>
      <c r="BM694" t="s">
        <v>861</v>
      </c>
      <c r="BN694" t="s">
        <v>862</v>
      </c>
      <c r="BO694" t="s">
        <v>971</v>
      </c>
      <c r="BP694">
        <v>9.1</v>
      </c>
      <c r="BQ694" t="s">
        <v>864</v>
      </c>
      <c r="DF694" s="15" t="s">
        <v>9308</v>
      </c>
      <c r="DG694" t="s">
        <v>126</v>
      </c>
      <c r="DH694" t="s">
        <v>127</v>
      </c>
      <c r="DI694" t="s">
        <v>1883</v>
      </c>
      <c r="DJ694" t="s">
        <v>172</v>
      </c>
      <c r="DK694">
        <v>2800000</v>
      </c>
    </row>
    <row r="695" spans="1:115" x14ac:dyDescent="0.25">
      <c r="A695" t="s">
        <v>2725</v>
      </c>
      <c r="B695" t="s">
        <v>2726</v>
      </c>
      <c r="F695" t="s">
        <v>369</v>
      </c>
      <c r="I695" t="s">
        <v>2727</v>
      </c>
      <c r="N695" t="s">
        <v>2728</v>
      </c>
      <c r="U695" t="s">
        <v>165</v>
      </c>
      <c r="V695" t="s">
        <v>166</v>
      </c>
      <c r="Z695" s="14">
        <v>44210</v>
      </c>
      <c r="AA695" s="14">
        <v>44391</v>
      </c>
      <c r="AD695" s="14">
        <v>46387</v>
      </c>
      <c r="AL695" t="s">
        <v>122</v>
      </c>
      <c r="AN695">
        <v>983935500</v>
      </c>
      <c r="AR695">
        <v>0</v>
      </c>
      <c r="AS695">
        <v>983935500</v>
      </c>
      <c r="AY695" t="s">
        <v>1043</v>
      </c>
      <c r="AZ695" t="s">
        <v>558</v>
      </c>
      <c r="BA695" t="s">
        <v>2501</v>
      </c>
      <c r="BB695" t="s">
        <v>2502</v>
      </c>
      <c r="BC695" t="s">
        <v>125</v>
      </c>
      <c r="BM695" t="s">
        <v>861</v>
      </c>
      <c r="BN695" t="s">
        <v>862</v>
      </c>
      <c r="BO695" t="s">
        <v>971</v>
      </c>
      <c r="BP695">
        <v>9.1</v>
      </c>
      <c r="BQ695" t="s">
        <v>864</v>
      </c>
      <c r="DF695" s="15" t="s">
        <v>9307</v>
      </c>
      <c r="DG695" t="s">
        <v>126</v>
      </c>
      <c r="DH695" t="s">
        <v>127</v>
      </c>
      <c r="DI695" t="s">
        <v>1883</v>
      </c>
      <c r="DJ695" t="s">
        <v>172</v>
      </c>
      <c r="DK695">
        <v>1500000</v>
      </c>
    </row>
    <row r="696" spans="1:115" x14ac:dyDescent="0.25">
      <c r="A696" t="s">
        <v>2729</v>
      </c>
      <c r="B696" t="s">
        <v>2730</v>
      </c>
      <c r="F696" t="s">
        <v>369</v>
      </c>
      <c r="I696" t="s">
        <v>2435</v>
      </c>
      <c r="N696" t="s">
        <v>2731</v>
      </c>
      <c r="U696" t="s">
        <v>176</v>
      </c>
      <c r="Z696" s="14">
        <v>44210</v>
      </c>
      <c r="AA696" s="14">
        <v>44391</v>
      </c>
      <c r="AD696" s="14">
        <v>46387</v>
      </c>
      <c r="AL696" t="s">
        <v>122</v>
      </c>
      <c r="AN696">
        <v>852744100</v>
      </c>
      <c r="AR696">
        <v>0</v>
      </c>
      <c r="AS696">
        <v>852744100</v>
      </c>
      <c r="AY696" t="s">
        <v>1043</v>
      </c>
      <c r="AZ696" t="s">
        <v>558</v>
      </c>
      <c r="BA696" t="s">
        <v>2501</v>
      </c>
      <c r="BB696" t="s">
        <v>2502</v>
      </c>
      <c r="BC696" t="s">
        <v>125</v>
      </c>
      <c r="BM696" t="s">
        <v>861</v>
      </c>
      <c r="BN696" t="s">
        <v>862</v>
      </c>
      <c r="BO696" t="s">
        <v>971</v>
      </c>
      <c r="BP696">
        <v>9.1</v>
      </c>
      <c r="BQ696" t="s">
        <v>864</v>
      </c>
      <c r="DF696" s="15" t="s">
        <v>9308</v>
      </c>
      <c r="DG696" t="s">
        <v>126</v>
      </c>
      <c r="DH696" t="s">
        <v>127</v>
      </c>
      <c r="DI696" t="s">
        <v>1883</v>
      </c>
      <c r="DJ696" t="s">
        <v>172</v>
      </c>
      <c r="DK696">
        <v>1300000</v>
      </c>
    </row>
    <row r="697" spans="1:115" x14ac:dyDescent="0.25">
      <c r="A697" t="s">
        <v>2732</v>
      </c>
      <c r="B697" t="s">
        <v>2733</v>
      </c>
      <c r="F697" t="s">
        <v>526</v>
      </c>
      <c r="I697" t="s">
        <v>2734</v>
      </c>
      <c r="N697" t="s">
        <v>2735</v>
      </c>
      <c r="U697" t="s">
        <v>176</v>
      </c>
      <c r="Z697" s="14">
        <v>44210</v>
      </c>
      <c r="AA697" s="14">
        <v>44391</v>
      </c>
      <c r="AD697" s="14">
        <v>46387</v>
      </c>
      <c r="AL697" t="s">
        <v>122</v>
      </c>
      <c r="AN697">
        <v>2361445200</v>
      </c>
      <c r="AR697">
        <v>0</v>
      </c>
      <c r="AS697">
        <v>2361445200</v>
      </c>
      <c r="AY697" t="s">
        <v>1043</v>
      </c>
      <c r="AZ697" t="s">
        <v>558</v>
      </c>
      <c r="BA697" t="s">
        <v>2501</v>
      </c>
      <c r="BB697" t="s">
        <v>2502</v>
      </c>
      <c r="BC697" t="s">
        <v>125</v>
      </c>
      <c r="BM697" t="s">
        <v>560</v>
      </c>
      <c r="BN697" t="s">
        <v>561</v>
      </c>
      <c r="BO697" t="s">
        <v>1022</v>
      </c>
      <c r="BP697">
        <v>1.3</v>
      </c>
      <c r="BQ697" t="s">
        <v>902</v>
      </c>
      <c r="DF697" s="15" t="s">
        <v>9308</v>
      </c>
      <c r="DG697" t="s">
        <v>317</v>
      </c>
      <c r="DH697" t="s">
        <v>127</v>
      </c>
      <c r="DI697" t="s">
        <v>1883</v>
      </c>
      <c r="DJ697" t="s">
        <v>172</v>
      </c>
      <c r="DK697">
        <v>3600000</v>
      </c>
    </row>
    <row r="698" spans="1:115" x14ac:dyDescent="0.25">
      <c r="A698" t="s">
        <v>2736</v>
      </c>
      <c r="B698" t="s">
        <v>2737</v>
      </c>
      <c r="F698" t="s">
        <v>263</v>
      </c>
      <c r="I698" t="s">
        <v>2602</v>
      </c>
      <c r="N698" t="s">
        <v>2738</v>
      </c>
      <c r="U698" t="s">
        <v>176</v>
      </c>
      <c r="Z698" s="14">
        <v>44210</v>
      </c>
      <c r="AA698" s="14">
        <v>44391</v>
      </c>
      <c r="AD698" s="14">
        <v>46387</v>
      </c>
      <c r="AL698" t="s">
        <v>122</v>
      </c>
      <c r="AN698">
        <v>3607763500</v>
      </c>
      <c r="AR698">
        <v>0</v>
      </c>
      <c r="AS698">
        <v>3607763500</v>
      </c>
      <c r="AY698" t="s">
        <v>1043</v>
      </c>
      <c r="AZ698" t="s">
        <v>558</v>
      </c>
      <c r="BA698" t="s">
        <v>2501</v>
      </c>
      <c r="BB698" t="s">
        <v>2502</v>
      </c>
      <c r="BC698" t="s">
        <v>125</v>
      </c>
      <c r="BM698" t="s">
        <v>560</v>
      </c>
      <c r="BN698" t="s">
        <v>561</v>
      </c>
      <c r="BO698" t="s">
        <v>562</v>
      </c>
      <c r="BP698">
        <v>6.1</v>
      </c>
      <c r="BQ698" t="s">
        <v>563</v>
      </c>
      <c r="DF698" s="15" t="s">
        <v>9308</v>
      </c>
      <c r="DG698" t="s">
        <v>126</v>
      </c>
      <c r="DH698" t="s">
        <v>127</v>
      </c>
      <c r="DI698" t="s">
        <v>1883</v>
      </c>
      <c r="DJ698" t="s">
        <v>172</v>
      </c>
      <c r="DK698">
        <v>5500000</v>
      </c>
    </row>
    <row r="699" spans="1:115" x14ac:dyDescent="0.25">
      <c r="A699" t="s">
        <v>2739</v>
      </c>
      <c r="B699" t="s">
        <v>2740</v>
      </c>
      <c r="F699" t="s">
        <v>263</v>
      </c>
      <c r="I699" t="s">
        <v>2606</v>
      </c>
      <c r="N699" t="s">
        <v>2741</v>
      </c>
      <c r="U699" t="s">
        <v>176</v>
      </c>
      <c r="Z699" s="14">
        <v>44210</v>
      </c>
      <c r="AA699" s="14">
        <v>44391</v>
      </c>
      <c r="AD699" s="14">
        <v>46387</v>
      </c>
      <c r="AL699" t="s">
        <v>122</v>
      </c>
      <c r="AN699">
        <v>393574200</v>
      </c>
      <c r="AR699">
        <v>0</v>
      </c>
      <c r="AS699">
        <v>393574200</v>
      </c>
      <c r="AY699" t="s">
        <v>1043</v>
      </c>
      <c r="AZ699" t="s">
        <v>558</v>
      </c>
      <c r="BA699" t="s">
        <v>2501</v>
      </c>
      <c r="BB699" t="s">
        <v>2502</v>
      </c>
      <c r="BC699" t="s">
        <v>125</v>
      </c>
      <c r="BM699" t="s">
        <v>560</v>
      </c>
      <c r="BN699" t="s">
        <v>561</v>
      </c>
      <c r="BO699" t="s">
        <v>562</v>
      </c>
      <c r="BP699">
        <v>6.1</v>
      </c>
      <c r="BQ699" t="s">
        <v>563</v>
      </c>
      <c r="DF699" s="15" t="s">
        <v>9308</v>
      </c>
      <c r="DG699" t="s">
        <v>126</v>
      </c>
      <c r="DH699" t="s">
        <v>127</v>
      </c>
      <c r="DI699" t="s">
        <v>1883</v>
      </c>
      <c r="DJ699" t="s">
        <v>172</v>
      </c>
      <c r="DK699">
        <v>600000</v>
      </c>
    </row>
    <row r="700" spans="1:115" x14ac:dyDescent="0.25">
      <c r="A700" t="s">
        <v>2742</v>
      </c>
      <c r="B700" t="s">
        <v>2743</v>
      </c>
      <c r="F700" t="s">
        <v>216</v>
      </c>
      <c r="I700" t="s">
        <v>1064</v>
      </c>
      <c r="N700" t="s">
        <v>2744</v>
      </c>
      <c r="U700" t="s">
        <v>176</v>
      </c>
      <c r="Z700" s="14">
        <v>44210</v>
      </c>
      <c r="AA700" s="14">
        <v>44391</v>
      </c>
      <c r="AD700" s="14">
        <v>46387</v>
      </c>
      <c r="AL700" t="s">
        <v>122</v>
      </c>
      <c r="AN700">
        <v>4329316200</v>
      </c>
      <c r="AR700">
        <v>0</v>
      </c>
      <c r="AS700">
        <v>4329316200</v>
      </c>
      <c r="AY700" t="s">
        <v>1043</v>
      </c>
      <c r="AZ700" t="s">
        <v>558</v>
      </c>
      <c r="BA700" t="s">
        <v>2501</v>
      </c>
      <c r="BB700" t="s">
        <v>2502</v>
      </c>
      <c r="BC700" t="s">
        <v>125</v>
      </c>
      <c r="BM700" t="s">
        <v>560</v>
      </c>
      <c r="BN700" t="s">
        <v>561</v>
      </c>
      <c r="BO700" t="s">
        <v>989</v>
      </c>
      <c r="BP700">
        <v>3.8</v>
      </c>
      <c r="BQ700" t="s">
        <v>902</v>
      </c>
      <c r="DF700" s="15" t="s">
        <v>9308</v>
      </c>
      <c r="DG700" t="s">
        <v>317</v>
      </c>
      <c r="DH700" t="s">
        <v>127</v>
      </c>
      <c r="DI700" t="s">
        <v>1883</v>
      </c>
      <c r="DJ700" t="s">
        <v>172</v>
      </c>
      <c r="DK700">
        <v>6600000</v>
      </c>
    </row>
    <row r="701" spans="1:115" x14ac:dyDescent="0.25">
      <c r="A701" t="s">
        <v>2745</v>
      </c>
      <c r="B701" t="s">
        <v>2746</v>
      </c>
      <c r="F701" t="s">
        <v>118</v>
      </c>
      <c r="I701" t="s">
        <v>1674</v>
      </c>
      <c r="N701" t="s">
        <v>2747</v>
      </c>
      <c r="U701" t="s">
        <v>176</v>
      </c>
      <c r="Z701" s="14">
        <v>44210</v>
      </c>
      <c r="AA701" s="14">
        <v>44391</v>
      </c>
      <c r="AD701" s="14">
        <v>46387</v>
      </c>
      <c r="AL701" t="s">
        <v>122</v>
      </c>
      <c r="AN701">
        <v>8789823800</v>
      </c>
      <c r="AR701">
        <v>0</v>
      </c>
      <c r="AS701">
        <v>8789823800</v>
      </c>
      <c r="AY701" t="s">
        <v>1043</v>
      </c>
      <c r="AZ701" t="s">
        <v>558</v>
      </c>
      <c r="BA701" t="s">
        <v>2501</v>
      </c>
      <c r="BB701" t="s">
        <v>2502</v>
      </c>
      <c r="BC701" t="s">
        <v>125</v>
      </c>
      <c r="BM701" t="s">
        <v>861</v>
      </c>
      <c r="BN701" t="s">
        <v>862</v>
      </c>
      <c r="BO701" t="s">
        <v>1173</v>
      </c>
      <c r="BP701">
        <v>7.1</v>
      </c>
      <c r="BQ701" t="s">
        <v>864</v>
      </c>
      <c r="DF701" s="15" t="s">
        <v>9308</v>
      </c>
      <c r="DG701" t="s">
        <v>317</v>
      </c>
      <c r="DH701" t="s">
        <v>127</v>
      </c>
      <c r="DI701" t="s">
        <v>1883</v>
      </c>
      <c r="DJ701" t="s">
        <v>172</v>
      </c>
      <c r="DK701">
        <v>13400000</v>
      </c>
    </row>
    <row r="702" spans="1:115" x14ac:dyDescent="0.25">
      <c r="A702" t="s">
        <v>2748</v>
      </c>
      <c r="B702" t="s">
        <v>2749</v>
      </c>
      <c r="F702" t="s">
        <v>118</v>
      </c>
      <c r="I702" t="s">
        <v>2720</v>
      </c>
      <c r="N702" t="s">
        <v>2750</v>
      </c>
      <c r="U702" t="s">
        <v>176</v>
      </c>
      <c r="Z702" s="14">
        <v>44210</v>
      </c>
      <c r="AA702" s="14">
        <v>44391</v>
      </c>
      <c r="AD702" s="14">
        <v>46387</v>
      </c>
      <c r="AL702" t="s">
        <v>122</v>
      </c>
      <c r="AN702">
        <v>1705488200</v>
      </c>
      <c r="AR702">
        <v>0</v>
      </c>
      <c r="AS702">
        <v>1705488200</v>
      </c>
      <c r="AY702" t="s">
        <v>1043</v>
      </c>
      <c r="AZ702" t="s">
        <v>558</v>
      </c>
      <c r="BA702" t="s">
        <v>2501</v>
      </c>
      <c r="BB702" t="s">
        <v>2502</v>
      </c>
      <c r="BC702" t="s">
        <v>125</v>
      </c>
      <c r="BM702" t="s">
        <v>861</v>
      </c>
      <c r="BN702" t="s">
        <v>862</v>
      </c>
      <c r="BO702" t="s">
        <v>1173</v>
      </c>
      <c r="BP702">
        <v>7.1</v>
      </c>
      <c r="BQ702" t="s">
        <v>864</v>
      </c>
      <c r="DF702" s="15" t="s">
        <v>9308</v>
      </c>
      <c r="DG702" t="s">
        <v>317</v>
      </c>
      <c r="DH702" t="s">
        <v>127</v>
      </c>
      <c r="DI702" t="s">
        <v>1883</v>
      </c>
      <c r="DJ702" t="s">
        <v>172</v>
      </c>
      <c r="DK702">
        <v>2600000</v>
      </c>
    </row>
    <row r="703" spans="1:115" x14ac:dyDescent="0.25">
      <c r="A703" t="s">
        <v>2751</v>
      </c>
      <c r="B703" t="s">
        <v>2752</v>
      </c>
      <c r="F703" t="s">
        <v>369</v>
      </c>
      <c r="I703" t="s">
        <v>1838</v>
      </c>
      <c r="N703" t="s">
        <v>2753</v>
      </c>
      <c r="U703" t="s">
        <v>176</v>
      </c>
      <c r="Z703" s="14">
        <v>44210</v>
      </c>
      <c r="AA703" s="14">
        <v>44391</v>
      </c>
      <c r="AD703" s="14">
        <v>46387</v>
      </c>
      <c r="AL703" t="s">
        <v>122</v>
      </c>
      <c r="AN703">
        <v>983935500</v>
      </c>
      <c r="AR703">
        <v>0</v>
      </c>
      <c r="AS703">
        <v>983935500</v>
      </c>
      <c r="AY703" t="s">
        <v>1043</v>
      </c>
      <c r="AZ703" t="s">
        <v>558</v>
      </c>
      <c r="BA703" t="s">
        <v>2501</v>
      </c>
      <c r="BB703" t="s">
        <v>2502</v>
      </c>
      <c r="BC703" t="s">
        <v>125</v>
      </c>
      <c r="BM703" t="s">
        <v>861</v>
      </c>
      <c r="BN703" t="s">
        <v>862</v>
      </c>
      <c r="BO703" t="s">
        <v>971</v>
      </c>
      <c r="BP703">
        <v>9.1</v>
      </c>
      <c r="BQ703" t="s">
        <v>864</v>
      </c>
      <c r="DF703" s="15" t="s">
        <v>9308</v>
      </c>
      <c r="DG703" t="s">
        <v>317</v>
      </c>
      <c r="DH703" t="s">
        <v>127</v>
      </c>
      <c r="DI703" t="s">
        <v>1883</v>
      </c>
      <c r="DJ703" t="s">
        <v>172</v>
      </c>
      <c r="DK703">
        <v>1500000</v>
      </c>
    </row>
    <row r="704" spans="1:115" x14ac:dyDescent="0.25">
      <c r="A704" t="s">
        <v>2754</v>
      </c>
      <c r="B704" t="s">
        <v>2755</v>
      </c>
      <c r="F704" t="s">
        <v>369</v>
      </c>
      <c r="I704" t="s">
        <v>2756</v>
      </c>
      <c r="N704" t="s">
        <v>2757</v>
      </c>
      <c r="U704" t="s">
        <v>176</v>
      </c>
      <c r="Z704" s="14">
        <v>44210</v>
      </c>
      <c r="AA704" s="14">
        <v>44391</v>
      </c>
      <c r="AD704" s="14">
        <v>46387</v>
      </c>
      <c r="AL704" t="s">
        <v>122</v>
      </c>
      <c r="AN704">
        <v>2230253800</v>
      </c>
      <c r="AR704">
        <v>0</v>
      </c>
      <c r="AS704">
        <v>2230253800</v>
      </c>
      <c r="AY704" t="s">
        <v>1043</v>
      </c>
      <c r="AZ704" t="s">
        <v>558</v>
      </c>
      <c r="BA704" t="s">
        <v>2501</v>
      </c>
      <c r="BB704" t="s">
        <v>2502</v>
      </c>
      <c r="BC704" t="s">
        <v>125</v>
      </c>
      <c r="BM704" t="s">
        <v>861</v>
      </c>
      <c r="BN704" t="s">
        <v>862</v>
      </c>
      <c r="BO704" t="s">
        <v>971</v>
      </c>
      <c r="BP704">
        <v>9.1</v>
      </c>
      <c r="BQ704" t="s">
        <v>864</v>
      </c>
      <c r="DF704" s="15" t="s">
        <v>9308</v>
      </c>
      <c r="DG704" t="s">
        <v>126</v>
      </c>
      <c r="DH704" t="s">
        <v>127</v>
      </c>
      <c r="DI704" t="s">
        <v>1883</v>
      </c>
      <c r="DJ704" t="s">
        <v>172</v>
      </c>
      <c r="DK704">
        <v>3400000</v>
      </c>
    </row>
    <row r="705" spans="1:115" x14ac:dyDescent="0.25">
      <c r="A705" t="s">
        <v>2758</v>
      </c>
      <c r="B705" t="s">
        <v>2759</v>
      </c>
      <c r="F705" t="s">
        <v>526</v>
      </c>
      <c r="I705" t="s">
        <v>2760</v>
      </c>
      <c r="N705" t="s">
        <v>2761</v>
      </c>
      <c r="U705" t="s">
        <v>176</v>
      </c>
      <c r="Z705" s="14">
        <v>44210</v>
      </c>
      <c r="AA705" s="14">
        <v>44391</v>
      </c>
      <c r="AD705" s="14">
        <v>46387</v>
      </c>
      <c r="AL705" t="s">
        <v>122</v>
      </c>
      <c r="AN705">
        <v>1836679600</v>
      </c>
      <c r="AR705">
        <v>0</v>
      </c>
      <c r="AS705">
        <v>1836679600</v>
      </c>
      <c r="AY705" t="s">
        <v>1043</v>
      </c>
      <c r="AZ705" t="s">
        <v>558</v>
      </c>
      <c r="BA705" t="s">
        <v>2501</v>
      </c>
      <c r="BB705" t="s">
        <v>2502</v>
      </c>
      <c r="BC705" t="s">
        <v>125</v>
      </c>
      <c r="BM705" t="s">
        <v>560</v>
      </c>
      <c r="BN705" t="s">
        <v>561</v>
      </c>
      <c r="BO705" t="s">
        <v>1022</v>
      </c>
      <c r="BP705">
        <v>1.3</v>
      </c>
      <c r="BQ705" t="s">
        <v>902</v>
      </c>
      <c r="DF705" s="15" t="s">
        <v>9308</v>
      </c>
      <c r="DG705" t="s">
        <v>317</v>
      </c>
      <c r="DH705" t="s">
        <v>127</v>
      </c>
      <c r="DI705" t="s">
        <v>1883</v>
      </c>
      <c r="DJ705" t="s">
        <v>172</v>
      </c>
      <c r="DK705">
        <v>2800000</v>
      </c>
    </row>
    <row r="706" spans="1:115" x14ac:dyDescent="0.25">
      <c r="A706" t="s">
        <v>2762</v>
      </c>
      <c r="B706" t="s">
        <v>2763</v>
      </c>
      <c r="F706" t="s">
        <v>205</v>
      </c>
      <c r="I706" t="s">
        <v>2764</v>
      </c>
      <c r="N706" t="s">
        <v>2765</v>
      </c>
      <c r="U706" t="s">
        <v>218</v>
      </c>
      <c r="V706" t="s">
        <v>219</v>
      </c>
      <c r="Z706" s="14">
        <v>44210</v>
      </c>
      <c r="AA706" s="14">
        <v>44391</v>
      </c>
      <c r="AD706" s="14">
        <v>46387</v>
      </c>
      <c r="AL706" t="s">
        <v>122</v>
      </c>
      <c r="AN706">
        <v>28206151000</v>
      </c>
      <c r="AR706">
        <v>0</v>
      </c>
      <c r="AS706">
        <v>28206151000</v>
      </c>
      <c r="AY706" t="s">
        <v>1043</v>
      </c>
      <c r="AZ706" t="s">
        <v>558</v>
      </c>
      <c r="BA706" t="s">
        <v>2501</v>
      </c>
      <c r="BB706" t="s">
        <v>2502</v>
      </c>
      <c r="BC706" t="s">
        <v>125</v>
      </c>
      <c r="BM706" t="s">
        <v>560</v>
      </c>
      <c r="BN706" t="s">
        <v>1012</v>
      </c>
      <c r="BO706" t="s">
        <v>939</v>
      </c>
      <c r="BP706">
        <v>11.3</v>
      </c>
      <c r="BQ706" t="s">
        <v>563</v>
      </c>
      <c r="DF706" s="15" t="s">
        <v>9340</v>
      </c>
      <c r="DG706" t="s">
        <v>126</v>
      </c>
      <c r="DH706" t="s">
        <v>127</v>
      </c>
      <c r="DI706" t="s">
        <v>1883</v>
      </c>
      <c r="DJ706" t="s">
        <v>172</v>
      </c>
      <c r="DK706">
        <v>43000000</v>
      </c>
    </row>
    <row r="707" spans="1:115" x14ac:dyDescent="0.25">
      <c r="A707" t="s">
        <v>2766</v>
      </c>
      <c r="B707" t="s">
        <v>2767</v>
      </c>
      <c r="F707" t="s">
        <v>205</v>
      </c>
      <c r="I707" t="s">
        <v>2768</v>
      </c>
      <c r="N707" t="s">
        <v>2769</v>
      </c>
      <c r="U707" t="s">
        <v>176</v>
      </c>
      <c r="Z707" s="14">
        <v>44210</v>
      </c>
      <c r="AA707" s="14">
        <v>44391</v>
      </c>
      <c r="AD707" s="14">
        <v>46387</v>
      </c>
      <c r="AL707" t="s">
        <v>122</v>
      </c>
      <c r="AN707">
        <v>983935500</v>
      </c>
      <c r="AR707">
        <v>0</v>
      </c>
      <c r="AS707">
        <v>983935500</v>
      </c>
      <c r="AY707" t="s">
        <v>1043</v>
      </c>
      <c r="AZ707" t="s">
        <v>558</v>
      </c>
      <c r="BA707" t="s">
        <v>2501</v>
      </c>
      <c r="BB707" t="s">
        <v>2502</v>
      </c>
      <c r="BC707" t="s">
        <v>125</v>
      </c>
      <c r="BM707" t="s">
        <v>560</v>
      </c>
      <c r="BN707" t="s">
        <v>1012</v>
      </c>
      <c r="BO707" t="s">
        <v>939</v>
      </c>
      <c r="BP707">
        <v>11.3</v>
      </c>
      <c r="BQ707" t="s">
        <v>563</v>
      </c>
      <c r="DF707" s="15" t="s">
        <v>9308</v>
      </c>
      <c r="DG707" t="s">
        <v>317</v>
      </c>
      <c r="DH707" t="s">
        <v>127</v>
      </c>
      <c r="DI707" t="s">
        <v>1883</v>
      </c>
      <c r="DJ707" t="s">
        <v>172</v>
      </c>
      <c r="DK707">
        <v>1500000</v>
      </c>
    </row>
    <row r="708" spans="1:115" x14ac:dyDescent="0.25">
      <c r="A708" t="s">
        <v>2770</v>
      </c>
      <c r="B708" t="s">
        <v>2771</v>
      </c>
      <c r="F708" t="s">
        <v>205</v>
      </c>
      <c r="I708" t="s">
        <v>1006</v>
      </c>
      <c r="N708" t="s">
        <v>2772</v>
      </c>
      <c r="U708" t="s">
        <v>176</v>
      </c>
      <c r="Z708" s="14">
        <v>44210</v>
      </c>
      <c r="AA708" s="14">
        <v>44391</v>
      </c>
      <c r="AD708" s="14">
        <v>46387</v>
      </c>
      <c r="AL708" t="s">
        <v>122</v>
      </c>
      <c r="AN708">
        <v>1443105400</v>
      </c>
      <c r="AR708">
        <v>0</v>
      </c>
      <c r="AS708">
        <v>1443105400</v>
      </c>
      <c r="AY708" t="s">
        <v>1043</v>
      </c>
      <c r="AZ708" t="s">
        <v>558</v>
      </c>
      <c r="BA708" t="s">
        <v>2501</v>
      </c>
      <c r="BB708" t="s">
        <v>2502</v>
      </c>
      <c r="BC708" t="s">
        <v>125</v>
      </c>
      <c r="BM708" t="s">
        <v>560</v>
      </c>
      <c r="BN708" t="s">
        <v>1012</v>
      </c>
      <c r="BO708" t="s">
        <v>939</v>
      </c>
      <c r="BP708">
        <v>11.3</v>
      </c>
      <c r="BQ708" t="s">
        <v>563</v>
      </c>
      <c r="DF708" s="15" t="s">
        <v>9308</v>
      </c>
      <c r="DG708" t="s">
        <v>317</v>
      </c>
      <c r="DH708" t="s">
        <v>127</v>
      </c>
      <c r="DI708" t="s">
        <v>1883</v>
      </c>
      <c r="DJ708" t="s">
        <v>172</v>
      </c>
      <c r="DK708">
        <v>2200000</v>
      </c>
    </row>
    <row r="709" spans="1:115" x14ac:dyDescent="0.25">
      <c r="A709" t="s">
        <v>2773</v>
      </c>
      <c r="B709" t="s">
        <v>2774</v>
      </c>
      <c r="F709" t="s">
        <v>190</v>
      </c>
      <c r="I709" t="s">
        <v>1311</v>
      </c>
      <c r="N709" t="s">
        <v>2775</v>
      </c>
      <c r="U709" t="s">
        <v>2776</v>
      </c>
      <c r="Z709" s="14">
        <v>44615</v>
      </c>
      <c r="AA709" s="14">
        <v>44909</v>
      </c>
      <c r="AD709" s="14">
        <v>47118</v>
      </c>
      <c r="AL709" t="s">
        <v>177</v>
      </c>
      <c r="AN709">
        <v>16366920000</v>
      </c>
      <c r="AR709">
        <v>7676085480</v>
      </c>
      <c r="AS709">
        <v>8690834520</v>
      </c>
      <c r="AY709" t="s">
        <v>557</v>
      </c>
      <c r="AZ709" t="s">
        <v>859</v>
      </c>
      <c r="BA709" t="s">
        <v>277</v>
      </c>
      <c r="BB709" t="s">
        <v>278</v>
      </c>
      <c r="BC709" t="s">
        <v>125</v>
      </c>
      <c r="BK709" t="s">
        <v>860</v>
      </c>
      <c r="BM709" t="s">
        <v>861</v>
      </c>
      <c r="BN709" t="s">
        <v>862</v>
      </c>
      <c r="BO709" t="s">
        <v>863</v>
      </c>
      <c r="BP709">
        <v>2.2999999999999998</v>
      </c>
      <c r="BQ709" t="s">
        <v>864</v>
      </c>
      <c r="DF709" s="15" t="s">
        <v>9471</v>
      </c>
      <c r="DG709" t="s">
        <v>126</v>
      </c>
      <c r="DH709" t="s">
        <v>201</v>
      </c>
      <c r="DI709" t="s">
        <v>279</v>
      </c>
      <c r="DJ709" t="s">
        <v>151</v>
      </c>
      <c r="DK709">
        <v>20000000</v>
      </c>
    </row>
    <row r="710" spans="1:115" x14ac:dyDescent="0.25">
      <c r="A710" t="s">
        <v>2777</v>
      </c>
      <c r="B710" t="s">
        <v>2778</v>
      </c>
      <c r="F710" t="s">
        <v>369</v>
      </c>
      <c r="I710" t="s">
        <v>2435</v>
      </c>
      <c r="N710" t="s">
        <v>2779</v>
      </c>
      <c r="U710" t="s">
        <v>176</v>
      </c>
      <c r="Z710" s="14">
        <v>44589</v>
      </c>
      <c r="AA710" s="14">
        <v>44666</v>
      </c>
      <c r="AD710" s="14">
        <v>46752</v>
      </c>
      <c r="AL710" t="s">
        <v>357</v>
      </c>
      <c r="AN710">
        <v>23330800000</v>
      </c>
      <c r="AR710">
        <v>0</v>
      </c>
      <c r="AS710">
        <v>23330800000</v>
      </c>
      <c r="AY710" t="s">
        <v>557</v>
      </c>
      <c r="AZ710" t="s">
        <v>558</v>
      </c>
      <c r="BA710" t="s">
        <v>471</v>
      </c>
      <c r="BB710" t="s">
        <v>472</v>
      </c>
      <c r="BC710" t="s">
        <v>242</v>
      </c>
      <c r="BK710" t="s">
        <v>860</v>
      </c>
      <c r="BM710" t="s">
        <v>861</v>
      </c>
      <c r="BN710" t="s">
        <v>862</v>
      </c>
      <c r="BO710" t="s">
        <v>971</v>
      </c>
      <c r="BP710">
        <v>9.1</v>
      </c>
      <c r="BQ710" t="s">
        <v>864</v>
      </c>
      <c r="DF710" s="15" t="s">
        <v>9308</v>
      </c>
      <c r="DG710" t="s">
        <v>126</v>
      </c>
      <c r="DH710" t="s">
        <v>127</v>
      </c>
      <c r="DI710" t="s">
        <v>150</v>
      </c>
      <c r="DJ710" t="s">
        <v>151</v>
      </c>
      <c r="DK710">
        <v>265000000</v>
      </c>
    </row>
    <row r="711" spans="1:115" x14ac:dyDescent="0.25">
      <c r="A711" t="s">
        <v>2780</v>
      </c>
      <c r="B711" t="s">
        <v>2781</v>
      </c>
      <c r="F711" t="s">
        <v>526</v>
      </c>
      <c r="I711" t="s">
        <v>1095</v>
      </c>
      <c r="N711" t="s">
        <v>2782</v>
      </c>
      <c r="U711" t="s">
        <v>321</v>
      </c>
      <c r="Z711" s="14">
        <v>44677</v>
      </c>
      <c r="AA711" s="14">
        <v>44680</v>
      </c>
      <c r="AD711" s="14">
        <v>46752</v>
      </c>
      <c r="AL711" t="s">
        <v>200</v>
      </c>
      <c r="AN711">
        <v>53961912800</v>
      </c>
      <c r="AR711">
        <v>27461250000</v>
      </c>
      <c r="AS711">
        <v>26500662800</v>
      </c>
      <c r="AY711" t="s">
        <v>557</v>
      </c>
      <c r="AZ711" t="s">
        <v>859</v>
      </c>
      <c r="BA711" t="s">
        <v>178</v>
      </c>
      <c r="BB711" t="s">
        <v>179</v>
      </c>
      <c r="BC711" t="s">
        <v>125</v>
      </c>
      <c r="BK711" t="s">
        <v>860</v>
      </c>
      <c r="BM711" t="s">
        <v>560</v>
      </c>
      <c r="BN711" t="s">
        <v>561</v>
      </c>
      <c r="BO711" t="s">
        <v>1022</v>
      </c>
      <c r="BP711">
        <v>1.3</v>
      </c>
      <c r="BQ711" t="s">
        <v>902</v>
      </c>
      <c r="DF711" s="15" t="s">
        <v>9324</v>
      </c>
      <c r="DG711" t="s">
        <v>126</v>
      </c>
      <c r="DH711" t="s">
        <v>201</v>
      </c>
      <c r="DI711" t="s">
        <v>279</v>
      </c>
      <c r="DJ711" t="s">
        <v>181</v>
      </c>
      <c r="DK711">
        <v>72800000</v>
      </c>
    </row>
    <row r="712" spans="1:115" x14ac:dyDescent="0.25">
      <c r="A712" t="s">
        <v>2783</v>
      </c>
      <c r="B712" t="s">
        <v>2784</v>
      </c>
      <c r="F712" t="s">
        <v>216</v>
      </c>
      <c r="N712" t="s">
        <v>2785</v>
      </c>
      <c r="U712" t="s">
        <v>176</v>
      </c>
      <c r="Z712" s="14">
        <v>44691</v>
      </c>
      <c r="AA712" s="14">
        <v>44728</v>
      </c>
      <c r="AD712" s="14">
        <v>46752</v>
      </c>
      <c r="AL712" t="s">
        <v>200</v>
      </c>
      <c r="AN712">
        <v>112508659500</v>
      </c>
      <c r="AR712">
        <v>57736250000</v>
      </c>
      <c r="AS712">
        <v>54772409500</v>
      </c>
      <c r="BA712" t="s">
        <v>178</v>
      </c>
      <c r="BB712" t="s">
        <v>179</v>
      </c>
      <c r="BC712" t="s">
        <v>125</v>
      </c>
      <c r="DF712" s="15" t="s">
        <v>9308</v>
      </c>
      <c r="DG712" t="s">
        <v>317</v>
      </c>
      <c r="DH712" t="s">
        <v>201</v>
      </c>
      <c r="DI712" t="s">
        <v>279</v>
      </c>
      <c r="DJ712" t="s">
        <v>181</v>
      </c>
      <c r="DK712">
        <v>150600000</v>
      </c>
    </row>
    <row r="713" spans="1:115" x14ac:dyDescent="0.25">
      <c r="A713" t="s">
        <v>2786</v>
      </c>
      <c r="B713" t="s">
        <v>2787</v>
      </c>
      <c r="F713" t="s">
        <v>216</v>
      </c>
      <c r="N713" t="s">
        <v>2788</v>
      </c>
      <c r="U713" t="s">
        <v>176</v>
      </c>
      <c r="Z713" s="14">
        <v>44691</v>
      </c>
      <c r="AA713" s="14">
        <v>44704</v>
      </c>
      <c r="AD713" s="14">
        <v>45473</v>
      </c>
      <c r="AL713" t="s">
        <v>200</v>
      </c>
      <c r="AN713">
        <v>6517814300</v>
      </c>
      <c r="AR713">
        <v>3303625000</v>
      </c>
      <c r="AS713">
        <v>3214189300</v>
      </c>
      <c r="BA713" t="s">
        <v>178</v>
      </c>
      <c r="BB713" t="s">
        <v>179</v>
      </c>
      <c r="BC713" t="s">
        <v>125</v>
      </c>
      <c r="DF713" s="15" t="s">
        <v>9308</v>
      </c>
      <c r="DG713" t="s">
        <v>625</v>
      </c>
      <c r="DH713" t="s">
        <v>201</v>
      </c>
      <c r="DI713" t="s">
        <v>279</v>
      </c>
      <c r="DJ713" t="s">
        <v>181</v>
      </c>
      <c r="DK713">
        <v>8800000</v>
      </c>
    </row>
    <row r="714" spans="1:115" x14ac:dyDescent="0.25">
      <c r="A714" t="s">
        <v>2789</v>
      </c>
      <c r="B714" t="s">
        <v>2790</v>
      </c>
      <c r="F714" t="s">
        <v>205</v>
      </c>
      <c r="I714" t="s">
        <v>1693</v>
      </c>
      <c r="N714" t="s">
        <v>2791</v>
      </c>
      <c r="U714" t="s">
        <v>185</v>
      </c>
      <c r="V714" t="s">
        <v>224</v>
      </c>
      <c r="W714" t="s">
        <v>2254</v>
      </c>
      <c r="X714" t="s">
        <v>2792</v>
      </c>
      <c r="Z714" s="14">
        <v>44631</v>
      </c>
      <c r="AA714" s="14">
        <v>44719</v>
      </c>
      <c r="AD714" s="14">
        <v>46387</v>
      </c>
      <c r="AL714" t="s">
        <v>122</v>
      </c>
      <c r="AN714">
        <v>43030779200</v>
      </c>
      <c r="AR714">
        <v>0</v>
      </c>
      <c r="AS714">
        <v>43030779200</v>
      </c>
      <c r="AY714" t="s">
        <v>1043</v>
      </c>
      <c r="AZ714" t="s">
        <v>558</v>
      </c>
      <c r="BA714" t="s">
        <v>2793</v>
      </c>
      <c r="BB714" t="s">
        <v>2793</v>
      </c>
      <c r="BC714" t="s">
        <v>442</v>
      </c>
      <c r="BK714" t="s">
        <v>860</v>
      </c>
      <c r="BM714" t="s">
        <v>861</v>
      </c>
      <c r="BN714" t="s">
        <v>862</v>
      </c>
      <c r="BO714" t="s">
        <v>971</v>
      </c>
      <c r="BP714">
        <v>9.1</v>
      </c>
      <c r="BQ714" t="s">
        <v>864</v>
      </c>
      <c r="DF714" s="15" t="s">
        <v>9472</v>
      </c>
      <c r="DG714" t="s">
        <v>126</v>
      </c>
      <c r="DH714" t="s">
        <v>127</v>
      </c>
      <c r="DI714" t="s">
        <v>443</v>
      </c>
      <c r="DJ714" t="s">
        <v>172</v>
      </c>
      <c r="DK714">
        <v>65600000</v>
      </c>
    </row>
    <row r="715" spans="1:115" x14ac:dyDescent="0.25">
      <c r="A715" t="s">
        <v>2794</v>
      </c>
      <c r="B715" t="s">
        <v>2795</v>
      </c>
      <c r="F715" t="s">
        <v>142</v>
      </c>
      <c r="I715" t="s">
        <v>968</v>
      </c>
      <c r="N715" t="s">
        <v>2796</v>
      </c>
      <c r="U715" t="s">
        <v>350</v>
      </c>
      <c r="V715" t="s">
        <v>2797</v>
      </c>
      <c r="W715" t="s">
        <v>2798</v>
      </c>
      <c r="Z715" s="14">
        <v>44631</v>
      </c>
      <c r="AA715" s="14">
        <v>44726</v>
      </c>
      <c r="AD715" s="14">
        <v>46752</v>
      </c>
      <c r="AL715" t="s">
        <v>122</v>
      </c>
      <c r="AN715">
        <v>94494888910</v>
      </c>
      <c r="AR715">
        <v>0</v>
      </c>
      <c r="AS715">
        <v>94494888910</v>
      </c>
      <c r="AY715" t="s">
        <v>1043</v>
      </c>
      <c r="AZ715" t="s">
        <v>558</v>
      </c>
      <c r="BA715" t="s">
        <v>2799</v>
      </c>
      <c r="BB715" t="s">
        <v>2799</v>
      </c>
      <c r="BC715" t="s">
        <v>442</v>
      </c>
      <c r="BK715" t="s">
        <v>860</v>
      </c>
      <c r="BM715" t="s">
        <v>861</v>
      </c>
      <c r="BN715" t="s">
        <v>862</v>
      </c>
      <c r="BO715" t="s">
        <v>971</v>
      </c>
      <c r="BP715">
        <v>9.1</v>
      </c>
      <c r="BQ715" t="s">
        <v>864</v>
      </c>
      <c r="DF715" s="15" t="s">
        <v>9473</v>
      </c>
      <c r="DG715" t="s">
        <v>126</v>
      </c>
      <c r="DH715" t="s">
        <v>127</v>
      </c>
      <c r="DI715" t="s">
        <v>443</v>
      </c>
      <c r="DJ715" t="s">
        <v>172</v>
      </c>
      <c r="DK715">
        <v>148630000</v>
      </c>
    </row>
    <row r="716" spans="1:115" x14ac:dyDescent="0.25">
      <c r="A716" t="s">
        <v>2800</v>
      </c>
      <c r="B716" t="s">
        <v>2801</v>
      </c>
      <c r="F716" t="s">
        <v>263</v>
      </c>
      <c r="N716" t="s">
        <v>2802</v>
      </c>
      <c r="U716" t="s">
        <v>176</v>
      </c>
      <c r="Z716" s="14">
        <v>44726</v>
      </c>
      <c r="AA716" s="14">
        <v>44909</v>
      </c>
      <c r="AD716" s="14">
        <v>46387</v>
      </c>
      <c r="AL716" t="s">
        <v>122</v>
      </c>
      <c r="AN716">
        <v>153362746600</v>
      </c>
      <c r="AR716">
        <v>0</v>
      </c>
      <c r="AS716">
        <v>153362746600</v>
      </c>
      <c r="BA716" t="s">
        <v>178</v>
      </c>
      <c r="BB716" t="s">
        <v>179</v>
      </c>
      <c r="BC716" t="s">
        <v>125</v>
      </c>
      <c r="DF716" s="15" t="s">
        <v>9308</v>
      </c>
      <c r="DG716" t="s">
        <v>126</v>
      </c>
      <c r="DH716" t="s">
        <v>127</v>
      </c>
      <c r="DI716" t="s">
        <v>150</v>
      </c>
      <c r="DJ716" t="s">
        <v>181</v>
      </c>
      <c r="DK716">
        <v>233800000</v>
      </c>
    </row>
    <row r="717" spans="1:115" x14ac:dyDescent="0.25">
      <c r="A717" t="s">
        <v>2803</v>
      </c>
      <c r="B717" t="s">
        <v>1252</v>
      </c>
      <c r="F717" t="s">
        <v>205</v>
      </c>
      <c r="I717" t="s">
        <v>1033</v>
      </c>
      <c r="N717" t="s">
        <v>2804</v>
      </c>
      <c r="U717" t="s">
        <v>176</v>
      </c>
      <c r="Z717" s="14">
        <v>44831</v>
      </c>
      <c r="AA717" s="14">
        <v>44902</v>
      </c>
      <c r="AD717" s="14">
        <v>45291</v>
      </c>
      <c r="AL717" t="s">
        <v>624</v>
      </c>
      <c r="AN717">
        <v>96097700500</v>
      </c>
      <c r="AR717">
        <v>0</v>
      </c>
      <c r="AS717">
        <v>96097700500</v>
      </c>
      <c r="AY717" t="s">
        <v>557</v>
      </c>
      <c r="AZ717" t="s">
        <v>558</v>
      </c>
      <c r="BA717" t="s">
        <v>178</v>
      </c>
      <c r="BB717" t="s">
        <v>179</v>
      </c>
      <c r="BC717" t="s">
        <v>125</v>
      </c>
      <c r="BK717" t="s">
        <v>860</v>
      </c>
      <c r="BM717" t="s">
        <v>861</v>
      </c>
      <c r="BN717" t="s">
        <v>1046</v>
      </c>
      <c r="BO717" t="s">
        <v>1036</v>
      </c>
      <c r="BP717">
        <v>16.600000000000001</v>
      </c>
      <c r="BQ717" t="s">
        <v>902</v>
      </c>
      <c r="DF717" s="15" t="s">
        <v>9308</v>
      </c>
      <c r="DG717" t="s">
        <v>1335</v>
      </c>
      <c r="DH717" t="s">
        <v>127</v>
      </c>
      <c r="DI717" t="s">
        <v>1252</v>
      </c>
      <c r="DJ717" t="s">
        <v>181</v>
      </c>
      <c r="DK717">
        <v>150000000</v>
      </c>
    </row>
    <row r="718" spans="1:115" x14ac:dyDescent="0.25">
      <c r="A718" t="s">
        <v>2805</v>
      </c>
      <c r="B718" t="s">
        <v>2806</v>
      </c>
      <c r="F718" t="s">
        <v>205</v>
      </c>
      <c r="N718" t="s">
        <v>2807</v>
      </c>
      <c r="U718" t="s">
        <v>2635</v>
      </c>
      <c r="V718" t="s">
        <v>2636</v>
      </c>
      <c r="Z718" s="14">
        <v>44728</v>
      </c>
      <c r="AA718" s="14">
        <v>44849</v>
      </c>
      <c r="AD718" s="14">
        <v>46934</v>
      </c>
      <c r="AL718" t="s">
        <v>624</v>
      </c>
      <c r="AN718">
        <v>130000000000</v>
      </c>
      <c r="AR718">
        <v>0</v>
      </c>
      <c r="AS718">
        <v>130000000000</v>
      </c>
      <c r="BA718" t="s">
        <v>178</v>
      </c>
      <c r="BB718" t="s">
        <v>179</v>
      </c>
      <c r="BC718" t="s">
        <v>125</v>
      </c>
      <c r="DF718" s="15" t="s">
        <v>9467</v>
      </c>
      <c r="DG718" t="s">
        <v>126</v>
      </c>
      <c r="DH718" t="s">
        <v>127</v>
      </c>
      <c r="DI718" t="s">
        <v>150</v>
      </c>
      <c r="DJ718" t="s">
        <v>181</v>
      </c>
      <c r="DK718">
        <v>200000000</v>
      </c>
    </row>
    <row r="719" spans="1:115" x14ac:dyDescent="0.25">
      <c r="A719" t="s">
        <v>2808</v>
      </c>
      <c r="B719" t="s">
        <v>2809</v>
      </c>
      <c r="F719" t="s">
        <v>190</v>
      </c>
      <c r="I719" t="s">
        <v>856</v>
      </c>
      <c r="N719" t="s">
        <v>2810</v>
      </c>
      <c r="U719" t="s">
        <v>176</v>
      </c>
      <c r="Z719" s="14">
        <v>44715</v>
      </c>
      <c r="AA719" s="14">
        <v>44849</v>
      </c>
      <c r="AD719" s="14">
        <v>47118</v>
      </c>
      <c r="AL719" t="s">
        <v>624</v>
      </c>
      <c r="AN719">
        <v>11320000000</v>
      </c>
      <c r="AR719">
        <v>3520000000</v>
      </c>
      <c r="AS719">
        <v>7800000000</v>
      </c>
      <c r="AY719" t="s">
        <v>557</v>
      </c>
      <c r="AZ719" t="s">
        <v>859</v>
      </c>
      <c r="BA719" t="s">
        <v>168</v>
      </c>
      <c r="BB719" t="s">
        <v>169</v>
      </c>
      <c r="BC719" t="s">
        <v>125</v>
      </c>
      <c r="BK719" t="s">
        <v>860</v>
      </c>
      <c r="BM719" t="s">
        <v>861</v>
      </c>
      <c r="BN719" t="s">
        <v>862</v>
      </c>
      <c r="BO719" t="s">
        <v>863</v>
      </c>
      <c r="BP719">
        <v>2.2999999999999998</v>
      </c>
      <c r="BQ719" t="s">
        <v>864</v>
      </c>
      <c r="DF719" s="15" t="s">
        <v>9308</v>
      </c>
      <c r="DG719" t="s">
        <v>126</v>
      </c>
      <c r="DH719" t="s">
        <v>201</v>
      </c>
      <c r="DI719" t="s">
        <v>279</v>
      </c>
      <c r="DJ719" t="s">
        <v>151</v>
      </c>
      <c r="DK719">
        <v>18400000</v>
      </c>
    </row>
    <row r="720" spans="1:115" x14ac:dyDescent="0.25">
      <c r="A720" t="s">
        <v>2811</v>
      </c>
      <c r="B720" t="s">
        <v>2812</v>
      </c>
      <c r="F720" t="s">
        <v>263</v>
      </c>
      <c r="I720" t="s">
        <v>555</v>
      </c>
      <c r="N720" t="s">
        <v>2813</v>
      </c>
      <c r="U720" t="s">
        <v>2814</v>
      </c>
      <c r="V720" t="s">
        <v>2815</v>
      </c>
      <c r="Z720" s="14">
        <v>44631</v>
      </c>
      <c r="AA720" s="14">
        <v>44849</v>
      </c>
      <c r="AD720" s="14">
        <v>46752</v>
      </c>
      <c r="AL720" t="s">
        <v>624</v>
      </c>
      <c r="AN720">
        <v>8617455000</v>
      </c>
      <c r="AR720">
        <v>0</v>
      </c>
      <c r="AS720">
        <v>8617455000</v>
      </c>
      <c r="AY720" t="s">
        <v>557</v>
      </c>
      <c r="AZ720" t="s">
        <v>558</v>
      </c>
      <c r="BA720" t="s">
        <v>240</v>
      </c>
      <c r="BB720" t="s">
        <v>241</v>
      </c>
      <c r="BC720" t="s">
        <v>242</v>
      </c>
      <c r="BK720" t="s">
        <v>860</v>
      </c>
      <c r="BM720" t="s">
        <v>560</v>
      </c>
      <c r="BN720" t="s">
        <v>561</v>
      </c>
      <c r="BO720" t="s">
        <v>562</v>
      </c>
      <c r="BP720">
        <v>6.1</v>
      </c>
      <c r="BQ720" t="s">
        <v>563</v>
      </c>
      <c r="DF720" s="15" t="s">
        <v>9474</v>
      </c>
      <c r="DG720" t="s">
        <v>126</v>
      </c>
      <c r="DH720" t="s">
        <v>127</v>
      </c>
      <c r="DI720" t="s">
        <v>150</v>
      </c>
      <c r="DJ720" t="s">
        <v>129</v>
      </c>
      <c r="DK720">
        <v>14850000</v>
      </c>
    </row>
    <row r="721" spans="1:115" x14ac:dyDescent="0.25">
      <c r="A721" t="s">
        <v>2816</v>
      </c>
      <c r="B721" t="s">
        <v>2817</v>
      </c>
      <c r="F721" t="s">
        <v>526</v>
      </c>
      <c r="I721" t="s">
        <v>2734</v>
      </c>
      <c r="N721" t="s">
        <v>2818</v>
      </c>
      <c r="U721" t="s">
        <v>176</v>
      </c>
      <c r="Z721" s="14">
        <v>44749</v>
      </c>
      <c r="AA721" s="14">
        <v>44861</v>
      </c>
      <c r="AD721" s="14">
        <v>46752</v>
      </c>
      <c r="AL721" t="s">
        <v>122</v>
      </c>
      <c r="AN721">
        <v>15087056000</v>
      </c>
      <c r="AR721">
        <v>5247656000</v>
      </c>
      <c r="AS721">
        <v>9839400000</v>
      </c>
      <c r="AY721" t="s">
        <v>557</v>
      </c>
      <c r="AZ721" t="s">
        <v>859</v>
      </c>
      <c r="BA721" t="s">
        <v>337</v>
      </c>
      <c r="BB721" t="s">
        <v>338</v>
      </c>
      <c r="BC721" t="s">
        <v>242</v>
      </c>
      <c r="BK721" t="s">
        <v>860</v>
      </c>
      <c r="BM721" t="s">
        <v>560</v>
      </c>
      <c r="BN721" t="s">
        <v>561</v>
      </c>
      <c r="BO721" t="s">
        <v>1022</v>
      </c>
      <c r="BP721">
        <v>1.3</v>
      </c>
      <c r="BQ721" t="s">
        <v>902</v>
      </c>
      <c r="DF721" s="15" t="s">
        <v>9308</v>
      </c>
      <c r="DG721" t="s">
        <v>126</v>
      </c>
      <c r="DH721" t="s">
        <v>201</v>
      </c>
      <c r="DI721" t="s">
        <v>279</v>
      </c>
      <c r="DJ721" t="s">
        <v>129</v>
      </c>
      <c r="DK721">
        <v>23000000</v>
      </c>
    </row>
    <row r="722" spans="1:115" x14ac:dyDescent="0.25">
      <c r="A722" t="s">
        <v>2819</v>
      </c>
      <c r="B722" t="s">
        <v>2820</v>
      </c>
      <c r="F722" t="s">
        <v>216</v>
      </c>
      <c r="I722" t="s">
        <v>1103</v>
      </c>
      <c r="N722" t="s">
        <v>2821</v>
      </c>
      <c r="U722" t="s">
        <v>176</v>
      </c>
      <c r="Z722" s="14">
        <v>44704</v>
      </c>
      <c r="AA722" s="14">
        <v>44922</v>
      </c>
      <c r="AD722" s="14">
        <v>45322</v>
      </c>
      <c r="AL722" t="s">
        <v>122</v>
      </c>
      <c r="AN722">
        <v>4066952000</v>
      </c>
      <c r="AR722">
        <v>0</v>
      </c>
      <c r="AS722">
        <v>4066952000</v>
      </c>
      <c r="AY722" t="s">
        <v>557</v>
      </c>
      <c r="AZ722" t="s">
        <v>558</v>
      </c>
      <c r="BA722" t="s">
        <v>178</v>
      </c>
      <c r="BB722" t="s">
        <v>179</v>
      </c>
      <c r="BC722" t="s">
        <v>125</v>
      </c>
      <c r="BK722" t="s">
        <v>860</v>
      </c>
      <c r="BM722" t="s">
        <v>560</v>
      </c>
      <c r="BN722" t="s">
        <v>561</v>
      </c>
      <c r="BO722" t="s">
        <v>989</v>
      </c>
      <c r="BP722">
        <v>3.8</v>
      </c>
      <c r="BQ722" t="s">
        <v>902</v>
      </c>
      <c r="DF722" s="15" t="s">
        <v>9308</v>
      </c>
      <c r="DG722" t="s">
        <v>126</v>
      </c>
      <c r="DH722" t="s">
        <v>127</v>
      </c>
      <c r="DI722" t="s">
        <v>150</v>
      </c>
      <c r="DJ722" t="s">
        <v>181</v>
      </c>
      <c r="DK722">
        <v>6200000</v>
      </c>
    </row>
    <row r="723" spans="1:115" x14ac:dyDescent="0.25">
      <c r="A723" t="s">
        <v>2822</v>
      </c>
      <c r="B723" t="s">
        <v>2823</v>
      </c>
      <c r="F723" t="s">
        <v>205</v>
      </c>
      <c r="I723" t="s">
        <v>1006</v>
      </c>
      <c r="N723" t="s">
        <v>2824</v>
      </c>
      <c r="U723" t="s">
        <v>211</v>
      </c>
      <c r="V723" t="s">
        <v>638</v>
      </c>
      <c r="Z723" s="14">
        <v>44631</v>
      </c>
      <c r="AA723" s="14">
        <v>44917</v>
      </c>
      <c r="AD723" s="14">
        <v>46752</v>
      </c>
      <c r="AL723" t="s">
        <v>122</v>
      </c>
      <c r="AN723">
        <v>6559570000</v>
      </c>
      <c r="AR723">
        <v>6559570000</v>
      </c>
      <c r="AS723">
        <v>0</v>
      </c>
      <c r="AY723" t="s">
        <v>557</v>
      </c>
      <c r="AZ723" t="s">
        <v>880</v>
      </c>
      <c r="BA723" t="s">
        <v>240</v>
      </c>
      <c r="BB723" t="s">
        <v>241</v>
      </c>
      <c r="BC723" t="s">
        <v>242</v>
      </c>
      <c r="BK723" t="s">
        <v>860</v>
      </c>
      <c r="BM723" t="s">
        <v>560</v>
      </c>
      <c r="BN723" t="s">
        <v>1012</v>
      </c>
      <c r="BO723" t="s">
        <v>939</v>
      </c>
      <c r="BP723">
        <v>11.3</v>
      </c>
      <c r="BQ723" t="s">
        <v>563</v>
      </c>
      <c r="DF723" s="15" t="s">
        <v>9358</v>
      </c>
      <c r="DG723" t="s">
        <v>126</v>
      </c>
      <c r="DH723" t="s">
        <v>159</v>
      </c>
      <c r="DI723" t="s">
        <v>159</v>
      </c>
      <c r="DJ723" t="s">
        <v>129</v>
      </c>
      <c r="DK723">
        <v>10000000</v>
      </c>
    </row>
    <row r="724" spans="1:115" x14ac:dyDescent="0.25">
      <c r="A724" t="s">
        <v>2825</v>
      </c>
      <c r="B724" t="s">
        <v>2826</v>
      </c>
      <c r="F724" t="s">
        <v>526</v>
      </c>
      <c r="I724" t="s">
        <v>1567</v>
      </c>
      <c r="N724" t="s">
        <v>2827</v>
      </c>
      <c r="U724" t="s">
        <v>176</v>
      </c>
      <c r="Z724" s="14">
        <v>44631</v>
      </c>
      <c r="AA724" s="14">
        <v>44918</v>
      </c>
      <c r="AD724" s="14">
        <v>46752</v>
      </c>
      <c r="AL724" t="s">
        <v>122</v>
      </c>
      <c r="AN724">
        <v>9839355000</v>
      </c>
      <c r="AR724">
        <v>9839355000</v>
      </c>
      <c r="AS724">
        <v>0</v>
      </c>
      <c r="AY724" t="s">
        <v>557</v>
      </c>
      <c r="AZ724" t="s">
        <v>880</v>
      </c>
      <c r="BA724" t="s">
        <v>240</v>
      </c>
      <c r="BB724" t="s">
        <v>241</v>
      </c>
      <c r="BC724" t="s">
        <v>242</v>
      </c>
      <c r="BK724" t="s">
        <v>860</v>
      </c>
      <c r="BM724" t="s">
        <v>861</v>
      </c>
      <c r="BN724" t="s">
        <v>862</v>
      </c>
      <c r="BO724" t="s">
        <v>971</v>
      </c>
      <c r="BP724">
        <v>9.1</v>
      </c>
      <c r="BQ724" t="s">
        <v>864</v>
      </c>
      <c r="DF724" s="15" t="s">
        <v>9308</v>
      </c>
      <c r="DG724" t="s">
        <v>126</v>
      </c>
      <c r="DH724" t="s">
        <v>159</v>
      </c>
      <c r="DI724" t="s">
        <v>159</v>
      </c>
      <c r="DJ724" t="s">
        <v>129</v>
      </c>
      <c r="DK724">
        <v>15000000</v>
      </c>
    </row>
    <row r="725" spans="1:115" x14ac:dyDescent="0.25">
      <c r="A725" t="s">
        <v>2828</v>
      </c>
      <c r="B725" t="s">
        <v>2829</v>
      </c>
      <c r="F725" t="s">
        <v>163</v>
      </c>
      <c r="I725" t="s">
        <v>1087</v>
      </c>
      <c r="N725" t="s">
        <v>2830</v>
      </c>
      <c r="U725" t="s">
        <v>165</v>
      </c>
      <c r="V725" t="s">
        <v>166</v>
      </c>
      <c r="Z725" s="14">
        <v>44589</v>
      </c>
      <c r="AA725" s="14">
        <v>44650</v>
      </c>
      <c r="AD725" s="14">
        <v>45291</v>
      </c>
      <c r="AL725" t="s">
        <v>357</v>
      </c>
      <c r="AN725">
        <v>1394588000</v>
      </c>
      <c r="AR725">
        <v>1394588000</v>
      </c>
      <c r="AS725">
        <v>0</v>
      </c>
      <c r="AY725" t="s">
        <v>557</v>
      </c>
      <c r="AZ725" t="s">
        <v>880</v>
      </c>
      <c r="BA725" t="s">
        <v>358</v>
      </c>
      <c r="BB725" t="s">
        <v>358</v>
      </c>
      <c r="BC725" t="s">
        <v>242</v>
      </c>
      <c r="BK725" t="s">
        <v>860</v>
      </c>
      <c r="BM725" t="s">
        <v>964</v>
      </c>
      <c r="BN725" t="s">
        <v>1035</v>
      </c>
      <c r="BO725" t="s">
        <v>1036</v>
      </c>
      <c r="BP725">
        <v>16.600000000000001</v>
      </c>
      <c r="BQ725" t="s">
        <v>902</v>
      </c>
      <c r="DF725" s="15" t="s">
        <v>9307</v>
      </c>
      <c r="DG725" t="s">
        <v>126</v>
      </c>
      <c r="DH725" t="s">
        <v>159</v>
      </c>
      <c r="DI725" t="s">
        <v>159</v>
      </c>
      <c r="DJ725" t="s">
        <v>172</v>
      </c>
      <c r="DK725">
        <v>16900000</v>
      </c>
    </row>
    <row r="726" spans="1:115" x14ac:dyDescent="0.25">
      <c r="A726" t="s">
        <v>2831</v>
      </c>
      <c r="B726" t="s">
        <v>2832</v>
      </c>
      <c r="F726" t="s">
        <v>190</v>
      </c>
      <c r="I726" t="s">
        <v>1176</v>
      </c>
      <c r="N726" t="s">
        <v>2833</v>
      </c>
      <c r="U726" t="s">
        <v>1718</v>
      </c>
      <c r="V726" t="s">
        <v>2834</v>
      </c>
      <c r="Z726" s="14">
        <v>44589</v>
      </c>
      <c r="AA726" s="14">
        <v>44896</v>
      </c>
      <c r="AD726" s="14">
        <v>45657</v>
      </c>
      <c r="AL726" t="s">
        <v>357</v>
      </c>
      <c r="AN726">
        <v>1695786000</v>
      </c>
      <c r="AR726">
        <v>1695786000</v>
      </c>
      <c r="AS726">
        <v>0</v>
      </c>
      <c r="AY726" t="s">
        <v>557</v>
      </c>
      <c r="AZ726" t="s">
        <v>880</v>
      </c>
      <c r="BA726" t="s">
        <v>358</v>
      </c>
      <c r="BB726" t="s">
        <v>358</v>
      </c>
      <c r="BC726" t="s">
        <v>242</v>
      </c>
      <c r="BK726" t="s">
        <v>860</v>
      </c>
      <c r="BM726" t="s">
        <v>861</v>
      </c>
      <c r="BN726" t="s">
        <v>862</v>
      </c>
      <c r="BO726" t="s">
        <v>863</v>
      </c>
      <c r="BP726">
        <v>2.2999999999999998</v>
      </c>
      <c r="BQ726" t="s">
        <v>864</v>
      </c>
      <c r="DF726" s="15" t="s">
        <v>9475</v>
      </c>
      <c r="DG726" t="s">
        <v>126</v>
      </c>
      <c r="DH726" t="s">
        <v>159</v>
      </c>
      <c r="DI726" t="s">
        <v>159</v>
      </c>
      <c r="DJ726" t="s">
        <v>172</v>
      </c>
      <c r="DK726">
        <v>20550000</v>
      </c>
    </row>
    <row r="727" spans="1:115" x14ac:dyDescent="0.25">
      <c r="A727" t="s">
        <v>2835</v>
      </c>
      <c r="B727" t="s">
        <v>2836</v>
      </c>
      <c r="F727" t="s">
        <v>142</v>
      </c>
      <c r="I727" t="s">
        <v>1693</v>
      </c>
      <c r="N727" t="s">
        <v>2837</v>
      </c>
      <c r="U727" t="s">
        <v>185</v>
      </c>
      <c r="V727" t="s">
        <v>224</v>
      </c>
      <c r="W727" t="s">
        <v>2838</v>
      </c>
      <c r="X727" t="s">
        <v>2839</v>
      </c>
      <c r="Z727" s="14">
        <v>44589</v>
      </c>
      <c r="AA727" s="14">
        <v>44849</v>
      </c>
      <c r="AD727" s="14">
        <v>46387</v>
      </c>
      <c r="AL727" t="s">
        <v>136</v>
      </c>
      <c r="AN727">
        <v>20000000000</v>
      </c>
      <c r="AR727">
        <v>0</v>
      </c>
      <c r="AS727">
        <v>20000000000</v>
      </c>
      <c r="AY727" t="s">
        <v>1043</v>
      </c>
      <c r="AZ727" t="s">
        <v>558</v>
      </c>
      <c r="BA727" t="s">
        <v>137</v>
      </c>
      <c r="BB727" t="s">
        <v>138</v>
      </c>
      <c r="BC727" t="s">
        <v>125</v>
      </c>
      <c r="BK727" t="s">
        <v>860</v>
      </c>
      <c r="BM727" t="s">
        <v>861</v>
      </c>
      <c r="BN727" t="s">
        <v>862</v>
      </c>
      <c r="BO727" t="s">
        <v>971</v>
      </c>
      <c r="BP727">
        <v>9.1</v>
      </c>
      <c r="BQ727" t="s">
        <v>864</v>
      </c>
      <c r="DF727" s="15" t="s">
        <v>9476</v>
      </c>
      <c r="DG727" t="s">
        <v>126</v>
      </c>
      <c r="DH727" t="s">
        <v>127</v>
      </c>
      <c r="DI727" t="s">
        <v>128</v>
      </c>
      <c r="DJ727" t="s">
        <v>139</v>
      </c>
      <c r="DK727">
        <v>20000000000</v>
      </c>
    </row>
    <row r="728" spans="1:115" x14ac:dyDescent="0.25">
      <c r="A728" t="s">
        <v>2840</v>
      </c>
      <c r="B728" t="s">
        <v>2841</v>
      </c>
      <c r="F728" t="s">
        <v>873</v>
      </c>
      <c r="I728" t="s">
        <v>2842</v>
      </c>
      <c r="N728" t="s">
        <v>2843</v>
      </c>
      <c r="U728" t="s">
        <v>165</v>
      </c>
      <c r="V728" t="s">
        <v>166</v>
      </c>
      <c r="Z728" s="14">
        <v>44749</v>
      </c>
      <c r="AA728" s="14">
        <v>44824</v>
      </c>
      <c r="AD728" s="14">
        <v>46752</v>
      </c>
      <c r="AL728" t="s">
        <v>122</v>
      </c>
      <c r="AN728">
        <v>36077635000</v>
      </c>
      <c r="AR728">
        <v>0</v>
      </c>
      <c r="AS728">
        <v>36077635000</v>
      </c>
      <c r="AY728" t="s">
        <v>557</v>
      </c>
      <c r="AZ728" t="s">
        <v>558</v>
      </c>
      <c r="BA728" t="s">
        <v>337</v>
      </c>
      <c r="BB728" t="s">
        <v>338</v>
      </c>
      <c r="BC728" t="s">
        <v>242</v>
      </c>
      <c r="BK728" t="s">
        <v>860</v>
      </c>
      <c r="BM728" t="s">
        <v>861</v>
      </c>
      <c r="BN728" t="s">
        <v>862</v>
      </c>
      <c r="BO728" t="s">
        <v>939</v>
      </c>
      <c r="BP728">
        <v>11.3</v>
      </c>
      <c r="BQ728" t="s">
        <v>902</v>
      </c>
      <c r="DF728" s="15" t="s">
        <v>9307</v>
      </c>
      <c r="DG728" t="s">
        <v>126</v>
      </c>
      <c r="DH728" t="s">
        <v>127</v>
      </c>
      <c r="DI728" t="s">
        <v>150</v>
      </c>
      <c r="DJ728" t="s">
        <v>129</v>
      </c>
      <c r="DK728">
        <v>55000000</v>
      </c>
    </row>
    <row r="729" spans="1:115" x14ac:dyDescent="0.25">
      <c r="A729" t="s">
        <v>2844</v>
      </c>
      <c r="B729" t="s">
        <v>1028</v>
      </c>
      <c r="F729" t="s">
        <v>282</v>
      </c>
      <c r="I729" t="s">
        <v>1029</v>
      </c>
      <c r="N729" t="s">
        <v>2845</v>
      </c>
      <c r="U729" t="s">
        <v>176</v>
      </c>
      <c r="Z729" s="14">
        <v>44849</v>
      </c>
      <c r="AA729" s="14">
        <v>44909</v>
      </c>
      <c r="AD729" s="14">
        <v>46022</v>
      </c>
      <c r="AL729" t="s">
        <v>122</v>
      </c>
      <c r="AN729">
        <v>3082997900</v>
      </c>
      <c r="AR729">
        <v>3082997900</v>
      </c>
      <c r="AS729">
        <v>0</v>
      </c>
      <c r="AY729" t="s">
        <v>557</v>
      </c>
      <c r="AZ729" t="s">
        <v>880</v>
      </c>
      <c r="BA729" t="s">
        <v>267</v>
      </c>
      <c r="BB729" t="s">
        <v>267</v>
      </c>
      <c r="BC729" t="s">
        <v>242</v>
      </c>
      <c r="BK729" t="s">
        <v>860</v>
      </c>
      <c r="BM729" t="s">
        <v>964</v>
      </c>
      <c r="BN729" t="s">
        <v>965</v>
      </c>
      <c r="BO729" t="s">
        <v>939</v>
      </c>
      <c r="BP729">
        <v>11.3</v>
      </c>
      <c r="BQ729" t="s">
        <v>902</v>
      </c>
      <c r="DF729" s="15" t="s">
        <v>9308</v>
      </c>
      <c r="DG729" t="s">
        <v>317</v>
      </c>
      <c r="DH729" t="s">
        <v>159</v>
      </c>
      <c r="DI729" t="s">
        <v>159</v>
      </c>
      <c r="DJ729" t="s">
        <v>326</v>
      </c>
      <c r="DK729">
        <v>4700000</v>
      </c>
    </row>
    <row r="730" spans="1:115" x14ac:dyDescent="0.25">
      <c r="A730" t="s">
        <v>2846</v>
      </c>
      <c r="B730" t="s">
        <v>1989</v>
      </c>
      <c r="F730" t="s">
        <v>216</v>
      </c>
      <c r="I730" t="s">
        <v>1025</v>
      </c>
      <c r="N730" t="s">
        <v>2847</v>
      </c>
      <c r="U730" t="s">
        <v>176</v>
      </c>
      <c r="Z730" s="14">
        <v>44677</v>
      </c>
      <c r="AA730" s="14">
        <v>44704</v>
      </c>
      <c r="AD730" s="14">
        <v>46387</v>
      </c>
      <c r="AL730" t="s">
        <v>1127</v>
      </c>
      <c r="AN730">
        <v>818900000</v>
      </c>
      <c r="AR730">
        <v>818900000</v>
      </c>
      <c r="AS730">
        <v>0</v>
      </c>
      <c r="AY730" t="s">
        <v>557</v>
      </c>
      <c r="AZ730" t="s">
        <v>880</v>
      </c>
      <c r="BA730" t="s">
        <v>1128</v>
      </c>
      <c r="BB730" t="s">
        <v>1128</v>
      </c>
      <c r="BC730" t="s">
        <v>242</v>
      </c>
      <c r="BK730" t="s">
        <v>860</v>
      </c>
      <c r="BM730" t="s">
        <v>560</v>
      </c>
      <c r="BN730" t="s">
        <v>561</v>
      </c>
      <c r="BO730" t="s">
        <v>989</v>
      </c>
      <c r="BP730">
        <v>3.8</v>
      </c>
      <c r="BQ730" t="s">
        <v>902</v>
      </c>
      <c r="DF730" s="15" t="s">
        <v>9308</v>
      </c>
      <c r="DG730" t="s">
        <v>126</v>
      </c>
      <c r="DH730" t="s">
        <v>159</v>
      </c>
      <c r="DI730" t="s">
        <v>159</v>
      </c>
      <c r="DJ730" t="s">
        <v>326</v>
      </c>
      <c r="DK730">
        <v>1900000</v>
      </c>
    </row>
    <row r="731" spans="1:115" x14ac:dyDescent="0.25">
      <c r="A731" t="s">
        <v>2848</v>
      </c>
      <c r="B731" t="s">
        <v>2849</v>
      </c>
      <c r="F731" t="s">
        <v>873</v>
      </c>
      <c r="I731" t="s">
        <v>982</v>
      </c>
      <c r="N731" t="s">
        <v>2850</v>
      </c>
      <c r="U731" t="s">
        <v>1157</v>
      </c>
      <c r="V731" t="s">
        <v>2328</v>
      </c>
      <c r="Z731" s="14">
        <v>44210</v>
      </c>
      <c r="AA731" s="14">
        <v>44849</v>
      </c>
      <c r="AD731" s="14">
        <v>44926</v>
      </c>
      <c r="AL731" t="s">
        <v>122</v>
      </c>
      <c r="AN731">
        <v>4526103300</v>
      </c>
      <c r="AR731">
        <v>0</v>
      </c>
      <c r="AS731">
        <v>4526103300</v>
      </c>
      <c r="AY731" t="s">
        <v>1043</v>
      </c>
      <c r="AZ731" t="s">
        <v>558</v>
      </c>
      <c r="BA731" t="s">
        <v>2501</v>
      </c>
      <c r="BB731" t="s">
        <v>2502</v>
      </c>
      <c r="BC731" t="s">
        <v>125</v>
      </c>
      <c r="BM731" t="s">
        <v>861</v>
      </c>
      <c r="BN731" t="s">
        <v>862</v>
      </c>
      <c r="BO731" t="s">
        <v>939</v>
      </c>
      <c r="BP731">
        <v>11.3</v>
      </c>
      <c r="BQ731" t="s">
        <v>902</v>
      </c>
      <c r="DF731" s="15" t="s">
        <v>9459</v>
      </c>
      <c r="DG731" t="s">
        <v>317</v>
      </c>
      <c r="DH731" t="s">
        <v>127</v>
      </c>
      <c r="DI731" t="s">
        <v>1883</v>
      </c>
      <c r="DJ731" t="s">
        <v>172</v>
      </c>
      <c r="DK731">
        <v>6900000</v>
      </c>
    </row>
    <row r="732" spans="1:115" x14ac:dyDescent="0.25">
      <c r="A732" t="s">
        <v>2851</v>
      </c>
      <c r="B732" t="s">
        <v>2852</v>
      </c>
      <c r="F732" t="s">
        <v>873</v>
      </c>
      <c r="I732" t="s">
        <v>2853</v>
      </c>
      <c r="N732" t="s">
        <v>2854</v>
      </c>
      <c r="U732" t="s">
        <v>2855</v>
      </c>
      <c r="V732" t="s">
        <v>2856</v>
      </c>
      <c r="Z732" s="14">
        <v>44210</v>
      </c>
      <c r="AA732" s="14">
        <v>44879</v>
      </c>
      <c r="AD732" s="14">
        <v>44926</v>
      </c>
      <c r="AL732" t="s">
        <v>122</v>
      </c>
      <c r="AN732">
        <v>1115126900</v>
      </c>
      <c r="AR732">
        <v>0</v>
      </c>
      <c r="AS732">
        <v>1115126900</v>
      </c>
      <c r="AY732" t="s">
        <v>1043</v>
      </c>
      <c r="AZ732" t="s">
        <v>558</v>
      </c>
      <c r="BA732" t="s">
        <v>2501</v>
      </c>
      <c r="BB732" t="s">
        <v>2502</v>
      </c>
      <c r="BC732" t="s">
        <v>125</v>
      </c>
      <c r="BM732" t="s">
        <v>861</v>
      </c>
      <c r="BN732" t="s">
        <v>862</v>
      </c>
      <c r="BO732" t="s">
        <v>939</v>
      </c>
      <c r="BP732">
        <v>11.3</v>
      </c>
      <c r="BQ732" t="s">
        <v>902</v>
      </c>
      <c r="DF732" s="15" t="s">
        <v>9477</v>
      </c>
      <c r="DG732" t="s">
        <v>317</v>
      </c>
      <c r="DH732" t="s">
        <v>127</v>
      </c>
      <c r="DI732" t="s">
        <v>1883</v>
      </c>
      <c r="DJ732" t="s">
        <v>172</v>
      </c>
      <c r="DK732">
        <v>1700000</v>
      </c>
    </row>
    <row r="733" spans="1:115" x14ac:dyDescent="0.25">
      <c r="A733" t="s">
        <v>2857</v>
      </c>
      <c r="B733" t="s">
        <v>2858</v>
      </c>
      <c r="F733" t="s">
        <v>263</v>
      </c>
      <c r="I733" t="s">
        <v>555</v>
      </c>
      <c r="N733" t="s">
        <v>2859</v>
      </c>
      <c r="U733" t="s">
        <v>2416</v>
      </c>
      <c r="Z733" s="14">
        <v>44883</v>
      </c>
      <c r="AA733" s="14">
        <v>44909</v>
      </c>
      <c r="AD733" s="14">
        <v>45291</v>
      </c>
      <c r="AL733" t="s">
        <v>2412</v>
      </c>
      <c r="AN733">
        <v>668731000</v>
      </c>
      <c r="AR733">
        <v>668731000</v>
      </c>
      <c r="AS733">
        <v>0</v>
      </c>
      <c r="AY733" t="s">
        <v>557</v>
      </c>
      <c r="AZ733" t="s">
        <v>880</v>
      </c>
      <c r="BA733" t="s">
        <v>1148</v>
      </c>
      <c r="BB733" t="s">
        <v>1148</v>
      </c>
      <c r="BC733" t="s">
        <v>242</v>
      </c>
      <c r="BK733" t="s">
        <v>860</v>
      </c>
      <c r="BM733" t="s">
        <v>560</v>
      </c>
      <c r="BN733" t="s">
        <v>561</v>
      </c>
      <c r="BO733" t="s">
        <v>562</v>
      </c>
      <c r="BP733">
        <v>6.1</v>
      </c>
      <c r="BQ733" t="s">
        <v>563</v>
      </c>
      <c r="DF733" s="15" t="s">
        <v>9478</v>
      </c>
      <c r="DG733" t="s">
        <v>235</v>
      </c>
      <c r="DH733" t="s">
        <v>159</v>
      </c>
      <c r="DI733" t="s">
        <v>159</v>
      </c>
      <c r="DJ733" t="s">
        <v>172</v>
      </c>
      <c r="DK733">
        <v>167182750</v>
      </c>
    </row>
    <row r="734" spans="1:115" x14ac:dyDescent="0.25">
      <c r="A734" t="s">
        <v>2860</v>
      </c>
      <c r="B734" t="s">
        <v>2861</v>
      </c>
      <c r="F734" t="s">
        <v>526</v>
      </c>
      <c r="I734" t="s">
        <v>1131</v>
      </c>
      <c r="N734" t="s">
        <v>2862</v>
      </c>
      <c r="U734" t="s">
        <v>176</v>
      </c>
      <c r="Z734" s="14">
        <v>44896</v>
      </c>
      <c r="AA734" s="14">
        <v>44909</v>
      </c>
      <c r="AD734" s="14">
        <v>46022</v>
      </c>
      <c r="AL734" t="s">
        <v>624</v>
      </c>
      <c r="AN734">
        <v>149075476</v>
      </c>
      <c r="AR734">
        <v>149075476</v>
      </c>
      <c r="AS734">
        <v>0</v>
      </c>
      <c r="AY734" t="s">
        <v>557</v>
      </c>
      <c r="AZ734" t="s">
        <v>880</v>
      </c>
      <c r="BA734" t="s">
        <v>1010</v>
      </c>
      <c r="BB734" t="s">
        <v>1011</v>
      </c>
      <c r="BC734" t="s">
        <v>125</v>
      </c>
      <c r="BK734" t="s">
        <v>860</v>
      </c>
      <c r="BM734" t="s">
        <v>560</v>
      </c>
      <c r="BN734" t="s">
        <v>561</v>
      </c>
      <c r="BO734" t="s">
        <v>1022</v>
      </c>
      <c r="BP734">
        <v>1.3</v>
      </c>
      <c r="BQ734" t="s">
        <v>902</v>
      </c>
      <c r="DF734" s="15" t="s">
        <v>9308</v>
      </c>
      <c r="DG734" t="s">
        <v>126</v>
      </c>
      <c r="DH734" t="s">
        <v>159</v>
      </c>
      <c r="DI734" t="s">
        <v>159</v>
      </c>
      <c r="DJ734" t="s">
        <v>172</v>
      </c>
      <c r="DK734">
        <v>271046.32</v>
      </c>
    </row>
    <row r="735" spans="1:115" x14ac:dyDescent="0.25">
      <c r="A735" t="s">
        <v>2863</v>
      </c>
      <c r="B735" t="s">
        <v>1992</v>
      </c>
      <c r="F735" t="s">
        <v>190</v>
      </c>
      <c r="I735" t="s">
        <v>856</v>
      </c>
      <c r="N735" t="s">
        <v>2864</v>
      </c>
      <c r="U735" t="s">
        <v>176</v>
      </c>
      <c r="Z735" s="14">
        <v>44719</v>
      </c>
      <c r="AA735" s="14">
        <v>44914</v>
      </c>
      <c r="AD735" s="14">
        <v>46022</v>
      </c>
      <c r="AL735" t="s">
        <v>624</v>
      </c>
      <c r="AN735">
        <v>714999450</v>
      </c>
      <c r="AR735">
        <v>714999450</v>
      </c>
      <c r="AS735">
        <v>0</v>
      </c>
      <c r="AY735" t="s">
        <v>557</v>
      </c>
      <c r="AZ735" t="s">
        <v>880</v>
      </c>
      <c r="BA735" t="s">
        <v>1010</v>
      </c>
      <c r="BB735" t="s">
        <v>1011</v>
      </c>
      <c r="BC735" t="s">
        <v>125</v>
      </c>
      <c r="BK735" t="s">
        <v>860</v>
      </c>
      <c r="BM735" t="s">
        <v>861</v>
      </c>
      <c r="BN735" t="s">
        <v>862</v>
      </c>
      <c r="BO735" t="s">
        <v>863</v>
      </c>
      <c r="BP735">
        <v>2.2999999999999998</v>
      </c>
      <c r="BQ735" t="s">
        <v>864</v>
      </c>
      <c r="DF735" s="15" t="s">
        <v>9308</v>
      </c>
      <c r="DG735" t="s">
        <v>126</v>
      </c>
      <c r="DH735" t="s">
        <v>159</v>
      </c>
      <c r="DI735" t="s">
        <v>159</v>
      </c>
      <c r="DJ735" t="s">
        <v>172</v>
      </c>
      <c r="DK735">
        <v>1299999</v>
      </c>
    </row>
    <row r="736" spans="1:115" x14ac:dyDescent="0.25">
      <c r="A736" t="s">
        <v>2865</v>
      </c>
      <c r="B736" t="s">
        <v>2866</v>
      </c>
      <c r="F736" t="s">
        <v>216</v>
      </c>
      <c r="I736" t="s">
        <v>1060</v>
      </c>
      <c r="N736" t="s">
        <v>2867</v>
      </c>
      <c r="U736" t="s">
        <v>176</v>
      </c>
      <c r="Z736" s="14">
        <v>44677</v>
      </c>
      <c r="AA736" s="14">
        <v>44680</v>
      </c>
      <c r="AD736" s="14">
        <v>46295</v>
      </c>
      <c r="AL736" t="s">
        <v>624</v>
      </c>
      <c r="AN736">
        <v>110000000</v>
      </c>
      <c r="AR736">
        <v>110000000</v>
      </c>
      <c r="AS736">
        <v>0</v>
      </c>
      <c r="AY736" t="s">
        <v>557</v>
      </c>
      <c r="AZ736" t="s">
        <v>880</v>
      </c>
      <c r="BA736" t="s">
        <v>1020</v>
      </c>
      <c r="BB736" t="s">
        <v>1021</v>
      </c>
      <c r="BC736" t="s">
        <v>242</v>
      </c>
      <c r="BK736" t="s">
        <v>860</v>
      </c>
      <c r="BM736" t="s">
        <v>560</v>
      </c>
      <c r="BN736" t="s">
        <v>561</v>
      </c>
      <c r="BO736" t="s">
        <v>989</v>
      </c>
      <c r="BP736">
        <v>3.8</v>
      </c>
      <c r="BQ736" t="s">
        <v>902</v>
      </c>
      <c r="DF736" s="15" t="s">
        <v>9308</v>
      </c>
      <c r="DG736" t="s">
        <v>126</v>
      </c>
      <c r="DH736" t="s">
        <v>159</v>
      </c>
      <c r="DI736" t="s">
        <v>159</v>
      </c>
      <c r="DJ736" t="s">
        <v>172</v>
      </c>
      <c r="DK736">
        <v>200000</v>
      </c>
    </row>
    <row r="737" spans="1:115" x14ac:dyDescent="0.25">
      <c r="A737" t="s">
        <v>2868</v>
      </c>
      <c r="B737" t="s">
        <v>1996</v>
      </c>
      <c r="F737" t="s">
        <v>216</v>
      </c>
      <c r="I737" t="s">
        <v>1559</v>
      </c>
      <c r="N737" t="s">
        <v>2869</v>
      </c>
      <c r="U737" t="s">
        <v>176</v>
      </c>
      <c r="Z737" s="14">
        <v>44726</v>
      </c>
      <c r="AA737" s="14">
        <v>44915</v>
      </c>
      <c r="AD737" s="14">
        <v>46295</v>
      </c>
      <c r="AL737" t="s">
        <v>624</v>
      </c>
      <c r="AN737">
        <v>330000000</v>
      </c>
      <c r="AR737">
        <v>330000000</v>
      </c>
      <c r="AS737">
        <v>0</v>
      </c>
      <c r="AY737" t="s">
        <v>557</v>
      </c>
      <c r="AZ737" t="s">
        <v>880</v>
      </c>
      <c r="BA737" t="s">
        <v>1020</v>
      </c>
      <c r="BB737" t="s">
        <v>1021</v>
      </c>
      <c r="BC737" t="s">
        <v>242</v>
      </c>
      <c r="BK737" t="s">
        <v>860</v>
      </c>
      <c r="BM737" t="s">
        <v>560</v>
      </c>
      <c r="BN737" t="s">
        <v>561</v>
      </c>
      <c r="BO737" t="s">
        <v>989</v>
      </c>
      <c r="BP737">
        <v>3.8</v>
      </c>
      <c r="BQ737" t="s">
        <v>902</v>
      </c>
      <c r="DF737" s="15" t="s">
        <v>9308</v>
      </c>
      <c r="DG737" t="s">
        <v>126</v>
      </c>
      <c r="DH737" t="s">
        <v>159</v>
      </c>
      <c r="DI737" t="s">
        <v>159</v>
      </c>
      <c r="DJ737" t="s">
        <v>172</v>
      </c>
      <c r="DK737">
        <v>600000</v>
      </c>
    </row>
    <row r="738" spans="1:115" x14ac:dyDescent="0.25">
      <c r="A738" t="s">
        <v>2870</v>
      </c>
      <c r="B738" t="s">
        <v>1383</v>
      </c>
      <c r="F738" t="s">
        <v>163</v>
      </c>
      <c r="I738" t="s">
        <v>962</v>
      </c>
      <c r="N738" t="s">
        <v>2871</v>
      </c>
      <c r="U738" t="s">
        <v>176</v>
      </c>
      <c r="Z738" s="14">
        <v>44909</v>
      </c>
      <c r="AA738" s="14">
        <v>44915</v>
      </c>
      <c r="AD738" s="14">
        <v>46295</v>
      </c>
      <c r="AL738" t="s">
        <v>624</v>
      </c>
      <c r="AN738">
        <v>230741500</v>
      </c>
      <c r="AR738">
        <v>230741500</v>
      </c>
      <c r="AS738">
        <v>0</v>
      </c>
      <c r="AY738" t="s">
        <v>557</v>
      </c>
      <c r="AZ738" t="s">
        <v>880</v>
      </c>
      <c r="BA738" t="s">
        <v>1020</v>
      </c>
      <c r="BB738" t="s">
        <v>1021</v>
      </c>
      <c r="BC738" t="s">
        <v>242</v>
      </c>
      <c r="BK738" t="s">
        <v>860</v>
      </c>
      <c r="BM738" t="s">
        <v>861</v>
      </c>
      <c r="BN738" t="s">
        <v>1046</v>
      </c>
      <c r="BO738" t="s">
        <v>1036</v>
      </c>
      <c r="BP738">
        <v>16.600000000000001</v>
      </c>
      <c r="BQ738" t="s">
        <v>902</v>
      </c>
      <c r="DF738" s="15" t="s">
        <v>9308</v>
      </c>
      <c r="DG738" t="s">
        <v>126</v>
      </c>
      <c r="DH738" t="s">
        <v>159</v>
      </c>
      <c r="DI738" t="s">
        <v>159</v>
      </c>
      <c r="DJ738" t="s">
        <v>172</v>
      </c>
      <c r="DK738">
        <v>419530</v>
      </c>
    </row>
    <row r="739" spans="1:115" x14ac:dyDescent="0.25">
      <c r="A739" t="s">
        <v>2872</v>
      </c>
      <c r="B739" t="s">
        <v>1386</v>
      </c>
      <c r="F739" t="s">
        <v>216</v>
      </c>
      <c r="I739" t="s">
        <v>1060</v>
      </c>
      <c r="N739" t="s">
        <v>2873</v>
      </c>
      <c r="U739" t="s">
        <v>176</v>
      </c>
      <c r="Z739" s="14">
        <v>44909</v>
      </c>
      <c r="AA739" s="14">
        <v>44917</v>
      </c>
      <c r="AD739" s="14">
        <v>46295</v>
      </c>
      <c r="AL739" t="s">
        <v>624</v>
      </c>
      <c r="AN739">
        <v>467500000</v>
      </c>
      <c r="AR739">
        <v>467500000</v>
      </c>
      <c r="AS739">
        <v>0</v>
      </c>
      <c r="AY739" t="s">
        <v>557</v>
      </c>
      <c r="AZ739" t="s">
        <v>880</v>
      </c>
      <c r="BA739" t="s">
        <v>1020</v>
      </c>
      <c r="BB739" t="s">
        <v>1021</v>
      </c>
      <c r="BC739" t="s">
        <v>242</v>
      </c>
      <c r="BK739" t="s">
        <v>860</v>
      </c>
      <c r="BM739" t="s">
        <v>560</v>
      </c>
      <c r="BN739" t="s">
        <v>561</v>
      </c>
      <c r="BO739" t="s">
        <v>989</v>
      </c>
      <c r="BP739">
        <v>3.8</v>
      </c>
      <c r="BQ739" t="s">
        <v>902</v>
      </c>
      <c r="DF739" s="15" t="s">
        <v>9308</v>
      </c>
      <c r="DG739" t="s">
        <v>170</v>
      </c>
      <c r="DH739" t="s">
        <v>159</v>
      </c>
      <c r="DI739" t="s">
        <v>171</v>
      </c>
      <c r="DJ739" t="s">
        <v>172</v>
      </c>
      <c r="DK739">
        <v>850000</v>
      </c>
    </row>
    <row r="740" spans="1:115" x14ac:dyDescent="0.25">
      <c r="A740" t="s">
        <v>2874</v>
      </c>
      <c r="B740" t="s">
        <v>2875</v>
      </c>
      <c r="F740" t="s">
        <v>315</v>
      </c>
      <c r="I740" t="s">
        <v>2876</v>
      </c>
      <c r="N740" t="s">
        <v>2877</v>
      </c>
      <c r="U740" t="s">
        <v>176</v>
      </c>
      <c r="Z740" s="14">
        <v>44909</v>
      </c>
      <c r="AA740" s="14">
        <v>44914</v>
      </c>
      <c r="AD740" s="14">
        <v>46660</v>
      </c>
      <c r="AL740" t="s">
        <v>624</v>
      </c>
      <c r="AN740">
        <v>10608375800</v>
      </c>
      <c r="AR740">
        <v>10608375800</v>
      </c>
      <c r="AS740">
        <v>0</v>
      </c>
      <c r="AY740" t="s">
        <v>557</v>
      </c>
      <c r="AZ740" t="s">
        <v>880</v>
      </c>
      <c r="BA740" t="s">
        <v>1020</v>
      </c>
      <c r="BB740" t="s">
        <v>1021</v>
      </c>
      <c r="BC740" t="s">
        <v>242</v>
      </c>
      <c r="BK740" t="s">
        <v>860</v>
      </c>
      <c r="BM740" t="s">
        <v>964</v>
      </c>
      <c r="BN740" t="s">
        <v>1035</v>
      </c>
      <c r="BO740" t="s">
        <v>1047</v>
      </c>
      <c r="BP740">
        <v>17.170000000000002</v>
      </c>
      <c r="BQ740" t="s">
        <v>864</v>
      </c>
      <c r="DF740" s="15" t="s">
        <v>9308</v>
      </c>
      <c r="DG740" t="s">
        <v>126</v>
      </c>
      <c r="DH740" t="s">
        <v>159</v>
      </c>
      <c r="DI740" t="s">
        <v>159</v>
      </c>
      <c r="DJ740" t="s">
        <v>172</v>
      </c>
      <c r="DK740">
        <v>19287956</v>
      </c>
    </row>
    <row r="741" spans="1:115" x14ac:dyDescent="0.25">
      <c r="A741" t="s">
        <v>2878</v>
      </c>
      <c r="B741" t="s">
        <v>2879</v>
      </c>
      <c r="F741" t="s">
        <v>205</v>
      </c>
      <c r="N741" t="s">
        <v>2880</v>
      </c>
      <c r="U741" t="s">
        <v>176</v>
      </c>
      <c r="Z741" s="14">
        <v>44970</v>
      </c>
      <c r="AA741" s="14">
        <v>45010</v>
      </c>
      <c r="AD741" s="14">
        <v>46387</v>
      </c>
      <c r="AL741" t="s">
        <v>136</v>
      </c>
      <c r="AN741">
        <v>25000000000</v>
      </c>
      <c r="AR741">
        <v>0</v>
      </c>
      <c r="AS741">
        <v>25000000000</v>
      </c>
      <c r="BA741" t="s">
        <v>137</v>
      </c>
      <c r="BB741" t="s">
        <v>138</v>
      </c>
      <c r="BC741" t="s">
        <v>125</v>
      </c>
      <c r="DF741" s="15" t="s">
        <v>9308</v>
      </c>
      <c r="DG741" t="s">
        <v>126</v>
      </c>
      <c r="DH741" t="s">
        <v>127</v>
      </c>
      <c r="DI741" t="s">
        <v>128</v>
      </c>
      <c r="DJ741" t="s">
        <v>139</v>
      </c>
      <c r="DK741">
        <v>25000000000</v>
      </c>
    </row>
    <row r="742" spans="1:115" x14ac:dyDescent="0.25">
      <c r="A742" t="s">
        <v>2881</v>
      </c>
      <c r="B742" t="s">
        <v>2882</v>
      </c>
      <c r="F742" t="s">
        <v>142</v>
      </c>
      <c r="N742" t="s">
        <v>2883</v>
      </c>
      <c r="U742" t="s">
        <v>165</v>
      </c>
      <c r="V742" t="s">
        <v>166</v>
      </c>
      <c r="Z742" s="14">
        <v>44985</v>
      </c>
      <c r="AA742" s="14">
        <v>45057</v>
      </c>
      <c r="AD742" s="14">
        <v>47118</v>
      </c>
      <c r="AL742" t="s">
        <v>122</v>
      </c>
      <c r="AN742">
        <v>82435019582</v>
      </c>
      <c r="AR742">
        <v>0</v>
      </c>
      <c r="AS742">
        <v>82435019582</v>
      </c>
      <c r="BA742" t="s">
        <v>2200</v>
      </c>
      <c r="BB742" t="s">
        <v>2200</v>
      </c>
      <c r="BC742" t="s">
        <v>442</v>
      </c>
      <c r="DF742" s="15" t="s">
        <v>9307</v>
      </c>
      <c r="DG742" t="s">
        <v>126</v>
      </c>
      <c r="DH742" t="s">
        <v>127</v>
      </c>
      <c r="DI742" t="s">
        <v>443</v>
      </c>
      <c r="DJ742" t="s">
        <v>172</v>
      </c>
      <c r="DK742">
        <v>125670802</v>
      </c>
    </row>
    <row r="743" spans="1:115" x14ac:dyDescent="0.25">
      <c r="A743" t="s">
        <v>2884</v>
      </c>
      <c r="B743" t="s">
        <v>2885</v>
      </c>
      <c r="F743" t="s">
        <v>142</v>
      </c>
      <c r="N743" t="s">
        <v>2886</v>
      </c>
      <c r="U743" t="s">
        <v>165</v>
      </c>
      <c r="V743" t="s">
        <v>166</v>
      </c>
      <c r="Z743" s="14">
        <v>45057</v>
      </c>
      <c r="AA743" s="14">
        <v>45114</v>
      </c>
      <c r="AD743" s="14">
        <v>47118</v>
      </c>
      <c r="AL743" t="s">
        <v>122</v>
      </c>
      <c r="AN743">
        <v>12212321190</v>
      </c>
      <c r="AR743">
        <v>0</v>
      </c>
      <c r="AS743">
        <v>12212321190</v>
      </c>
      <c r="BA743" t="s">
        <v>2200</v>
      </c>
      <c r="BB743" t="s">
        <v>2200</v>
      </c>
      <c r="BC743" t="s">
        <v>442</v>
      </c>
      <c r="DF743" s="15" t="s">
        <v>9307</v>
      </c>
      <c r="DG743" t="s">
        <v>126</v>
      </c>
      <c r="DH743" t="s">
        <v>127</v>
      </c>
      <c r="DI743" t="s">
        <v>443</v>
      </c>
      <c r="DJ743" t="s">
        <v>172</v>
      </c>
      <c r="DK743">
        <v>18617478</v>
      </c>
    </row>
    <row r="744" spans="1:115" x14ac:dyDescent="0.25">
      <c r="A744" t="s">
        <v>2887</v>
      </c>
      <c r="B744" t="s">
        <v>2888</v>
      </c>
      <c r="F744" t="s">
        <v>163</v>
      </c>
      <c r="N744" t="s">
        <v>2889</v>
      </c>
      <c r="U744" t="s">
        <v>176</v>
      </c>
      <c r="Z744" s="14">
        <v>45274</v>
      </c>
      <c r="AA744" s="14">
        <v>45274</v>
      </c>
      <c r="AD744" s="14">
        <v>45657</v>
      </c>
      <c r="AL744" t="s">
        <v>276</v>
      </c>
      <c r="AN744">
        <v>25396820000</v>
      </c>
      <c r="AR744">
        <v>0</v>
      </c>
      <c r="AS744">
        <v>25396820000</v>
      </c>
      <c r="BA744" t="s">
        <v>277</v>
      </c>
      <c r="BB744" t="s">
        <v>278</v>
      </c>
      <c r="BC744" t="s">
        <v>125</v>
      </c>
      <c r="DF744" s="15" t="s">
        <v>9308</v>
      </c>
      <c r="DG744" t="s">
        <v>1335</v>
      </c>
      <c r="DH744" t="s">
        <v>127</v>
      </c>
      <c r="DI744" t="s">
        <v>1252</v>
      </c>
      <c r="DJ744" t="s">
        <v>151</v>
      </c>
      <c r="DK744">
        <v>31300000</v>
      </c>
    </row>
    <row r="745" spans="1:115" x14ac:dyDescent="0.25">
      <c r="A745" t="s">
        <v>2890</v>
      </c>
      <c r="B745" t="s">
        <v>2891</v>
      </c>
      <c r="F745" t="s">
        <v>163</v>
      </c>
      <c r="N745" t="s">
        <v>2892</v>
      </c>
      <c r="U745" t="s">
        <v>176</v>
      </c>
      <c r="Z745" s="14">
        <v>44982</v>
      </c>
      <c r="AA745" s="14">
        <v>45257</v>
      </c>
      <c r="AD745" s="14">
        <v>46387</v>
      </c>
      <c r="AL745" t="s">
        <v>122</v>
      </c>
      <c r="AN745">
        <v>13612666515</v>
      </c>
      <c r="AR745">
        <v>1805386515</v>
      </c>
      <c r="AS745">
        <v>11807280000</v>
      </c>
      <c r="BA745" t="s">
        <v>337</v>
      </c>
      <c r="BB745" t="s">
        <v>338</v>
      </c>
      <c r="BC745" t="s">
        <v>242</v>
      </c>
      <c r="DF745" s="15" t="s">
        <v>9308</v>
      </c>
      <c r="DG745" t="s">
        <v>180</v>
      </c>
      <c r="DH745" t="s">
        <v>201</v>
      </c>
      <c r="DI745" t="s">
        <v>1252</v>
      </c>
      <c r="DJ745" t="s">
        <v>129</v>
      </c>
      <c r="DK745">
        <v>20752294</v>
      </c>
    </row>
    <row r="746" spans="1:115" x14ac:dyDescent="0.25">
      <c r="A746" t="s">
        <v>2893</v>
      </c>
      <c r="B746" t="s">
        <v>2894</v>
      </c>
      <c r="F746" t="s">
        <v>163</v>
      </c>
      <c r="N746" t="s">
        <v>2895</v>
      </c>
      <c r="U746" t="s">
        <v>176</v>
      </c>
      <c r="Z746" s="14">
        <v>45190</v>
      </c>
      <c r="AA746" s="14">
        <v>45273</v>
      </c>
      <c r="AD746" s="14">
        <v>45657</v>
      </c>
      <c r="AL746" t="s">
        <v>122</v>
      </c>
      <c r="AN746">
        <v>89210560000</v>
      </c>
      <c r="AR746">
        <v>0</v>
      </c>
      <c r="AS746">
        <v>89210560000</v>
      </c>
      <c r="BA746" t="s">
        <v>178</v>
      </c>
      <c r="BB746" t="s">
        <v>179</v>
      </c>
      <c r="BC746" t="s">
        <v>125</v>
      </c>
      <c r="DF746" s="15" t="s">
        <v>9308</v>
      </c>
      <c r="DG746" t="s">
        <v>1335</v>
      </c>
      <c r="DH746" t="s">
        <v>127</v>
      </c>
      <c r="DI746" t="s">
        <v>1252</v>
      </c>
      <c r="DJ746" t="s">
        <v>181</v>
      </c>
      <c r="DK746">
        <v>136000000</v>
      </c>
    </row>
    <row r="747" spans="1:115" x14ac:dyDescent="0.25">
      <c r="A747" t="s">
        <v>2896</v>
      </c>
      <c r="B747" t="s">
        <v>2897</v>
      </c>
      <c r="F747" t="s">
        <v>205</v>
      </c>
      <c r="I747" t="s">
        <v>1258</v>
      </c>
      <c r="N747" t="s">
        <v>2898</v>
      </c>
      <c r="U747" t="s">
        <v>2339</v>
      </c>
      <c r="V747" t="s">
        <v>2340</v>
      </c>
      <c r="Z747" s="14">
        <v>45124</v>
      </c>
      <c r="AA747" s="14">
        <v>45274</v>
      </c>
      <c r="AD747" s="14">
        <v>47483</v>
      </c>
      <c r="AL747" t="s">
        <v>122</v>
      </c>
      <c r="AN747">
        <v>77895250000</v>
      </c>
      <c r="AR747">
        <v>0</v>
      </c>
      <c r="AS747">
        <v>77895250000</v>
      </c>
      <c r="AY747" t="s">
        <v>1043</v>
      </c>
      <c r="AZ747" t="s">
        <v>558</v>
      </c>
      <c r="BA747" t="s">
        <v>277</v>
      </c>
      <c r="BB747" t="s">
        <v>278</v>
      </c>
      <c r="BC747" t="s">
        <v>125</v>
      </c>
      <c r="BK747" t="s">
        <v>860</v>
      </c>
      <c r="BM747" t="s">
        <v>560</v>
      </c>
      <c r="BN747" t="s">
        <v>1012</v>
      </c>
      <c r="BO747" t="s">
        <v>939</v>
      </c>
      <c r="BP747">
        <v>11.3</v>
      </c>
      <c r="BQ747" t="s">
        <v>563</v>
      </c>
      <c r="DF747" s="15" t="s">
        <v>9461</v>
      </c>
      <c r="DG747" t="s">
        <v>317</v>
      </c>
      <c r="DH747" t="s">
        <v>127</v>
      </c>
      <c r="DI747" t="s">
        <v>128</v>
      </c>
      <c r="DJ747" t="s">
        <v>366</v>
      </c>
      <c r="DK747">
        <v>118750000</v>
      </c>
    </row>
    <row r="748" spans="1:115" x14ac:dyDescent="0.25">
      <c r="A748" t="s">
        <v>2899</v>
      </c>
      <c r="B748" t="s">
        <v>2900</v>
      </c>
      <c r="F748" t="s">
        <v>163</v>
      </c>
      <c r="N748" t="s">
        <v>2901</v>
      </c>
      <c r="U748" t="s">
        <v>165</v>
      </c>
      <c r="V748" t="s">
        <v>166</v>
      </c>
      <c r="Z748" s="14">
        <v>45092</v>
      </c>
      <c r="AA748" s="14">
        <v>45114</v>
      </c>
      <c r="AD748" s="14">
        <v>46934</v>
      </c>
      <c r="AL748" t="s">
        <v>122</v>
      </c>
      <c r="AN748">
        <v>85274800000</v>
      </c>
      <c r="AR748">
        <v>0</v>
      </c>
      <c r="AS748">
        <v>85274800000</v>
      </c>
      <c r="BA748" t="s">
        <v>178</v>
      </c>
      <c r="BB748" t="s">
        <v>179</v>
      </c>
      <c r="BC748" t="s">
        <v>125</v>
      </c>
      <c r="DF748" s="15" t="s">
        <v>9307</v>
      </c>
      <c r="DG748" t="s">
        <v>317</v>
      </c>
      <c r="DH748" t="s">
        <v>127</v>
      </c>
      <c r="DI748" t="s">
        <v>150</v>
      </c>
      <c r="DJ748" t="s">
        <v>372</v>
      </c>
      <c r="DK748">
        <v>130000000</v>
      </c>
    </row>
    <row r="749" spans="1:115" x14ac:dyDescent="0.25">
      <c r="A749" t="s">
        <v>2902</v>
      </c>
      <c r="B749" t="s">
        <v>2903</v>
      </c>
      <c r="F749" t="s">
        <v>190</v>
      </c>
      <c r="N749" t="s">
        <v>2904</v>
      </c>
      <c r="U749" t="s">
        <v>2905</v>
      </c>
      <c r="Z749" s="14">
        <v>45112</v>
      </c>
      <c r="AA749" s="14">
        <v>45267</v>
      </c>
      <c r="AD749" s="14">
        <v>47483</v>
      </c>
      <c r="AL749" t="s">
        <v>122</v>
      </c>
      <c r="AN749">
        <v>19219540100</v>
      </c>
      <c r="AR749">
        <v>2820615100</v>
      </c>
      <c r="AS749">
        <v>16398925000</v>
      </c>
      <c r="BA749" t="s">
        <v>337</v>
      </c>
      <c r="BB749" t="s">
        <v>338</v>
      </c>
      <c r="BC749" t="s">
        <v>242</v>
      </c>
      <c r="DF749" s="15" t="s">
        <v>9479</v>
      </c>
      <c r="DG749" t="s">
        <v>126</v>
      </c>
      <c r="DH749" t="s">
        <v>201</v>
      </c>
      <c r="DI749" t="s">
        <v>279</v>
      </c>
      <c r="DJ749" t="s">
        <v>326</v>
      </c>
      <c r="DK749">
        <v>29300000</v>
      </c>
    </row>
    <row r="750" spans="1:115" x14ac:dyDescent="0.25">
      <c r="A750" t="s">
        <v>2906</v>
      </c>
      <c r="B750" t="s">
        <v>2907</v>
      </c>
      <c r="F750" t="s">
        <v>163</v>
      </c>
      <c r="N750" t="s">
        <v>2908</v>
      </c>
      <c r="U750" t="s">
        <v>176</v>
      </c>
      <c r="Z750" s="14">
        <v>45068</v>
      </c>
      <c r="AA750" s="14">
        <v>45078</v>
      </c>
      <c r="AD750" s="14">
        <v>47118</v>
      </c>
      <c r="AL750" t="s">
        <v>122</v>
      </c>
      <c r="AN750">
        <v>18563668000</v>
      </c>
      <c r="AR750">
        <v>0</v>
      </c>
      <c r="AS750">
        <v>18563668000</v>
      </c>
      <c r="BA750" t="s">
        <v>178</v>
      </c>
      <c r="BB750" t="s">
        <v>179</v>
      </c>
      <c r="BC750" t="s">
        <v>125</v>
      </c>
      <c r="DF750" s="15" t="s">
        <v>9308</v>
      </c>
      <c r="DG750" t="s">
        <v>126</v>
      </c>
      <c r="DH750" t="s">
        <v>127</v>
      </c>
      <c r="DI750" t="s">
        <v>150</v>
      </c>
      <c r="DJ750" t="s">
        <v>372</v>
      </c>
      <c r="DK750">
        <v>28300000</v>
      </c>
    </row>
    <row r="751" spans="1:115" x14ac:dyDescent="0.25">
      <c r="A751" t="s">
        <v>2909</v>
      </c>
      <c r="B751" t="s">
        <v>2910</v>
      </c>
      <c r="F751" t="s">
        <v>163</v>
      </c>
      <c r="N751" t="s">
        <v>2911</v>
      </c>
      <c r="U751" t="s">
        <v>176</v>
      </c>
      <c r="Z751" s="14">
        <v>45056</v>
      </c>
      <c r="AA751" s="14">
        <v>45274</v>
      </c>
      <c r="AD751" s="14">
        <v>47118</v>
      </c>
      <c r="AL751" t="s">
        <v>122</v>
      </c>
      <c r="AN751">
        <v>229586000000</v>
      </c>
      <c r="AR751">
        <v>0</v>
      </c>
      <c r="AS751">
        <v>229586000000</v>
      </c>
      <c r="BA751" t="s">
        <v>267</v>
      </c>
      <c r="BB751" t="s">
        <v>267</v>
      </c>
      <c r="BC751" t="s">
        <v>242</v>
      </c>
      <c r="DF751" s="15" t="s">
        <v>9308</v>
      </c>
      <c r="DG751" t="s">
        <v>126</v>
      </c>
      <c r="DH751" t="s">
        <v>127</v>
      </c>
      <c r="DI751" t="s">
        <v>443</v>
      </c>
      <c r="DJ751" t="s">
        <v>326</v>
      </c>
      <c r="DK751">
        <v>350000000</v>
      </c>
    </row>
    <row r="752" spans="1:115" x14ac:dyDescent="0.25">
      <c r="A752" t="s">
        <v>2912</v>
      </c>
      <c r="B752" t="s">
        <v>2913</v>
      </c>
      <c r="F752" t="s">
        <v>526</v>
      </c>
      <c r="N752" t="s">
        <v>2914</v>
      </c>
      <c r="U752" t="s">
        <v>176</v>
      </c>
      <c r="Z752" s="14">
        <v>45027</v>
      </c>
      <c r="AA752" s="14">
        <v>45092</v>
      </c>
      <c r="AD752" s="14">
        <v>47118</v>
      </c>
      <c r="AL752" t="s">
        <v>122</v>
      </c>
      <c r="AN752">
        <v>60545108000</v>
      </c>
      <c r="AR752">
        <v>0</v>
      </c>
      <c r="AS752">
        <v>60545108000</v>
      </c>
      <c r="BA752" t="s">
        <v>178</v>
      </c>
      <c r="BB752" t="s">
        <v>179</v>
      </c>
      <c r="BC752" t="s">
        <v>125</v>
      </c>
      <c r="DF752" s="15" t="s">
        <v>9308</v>
      </c>
      <c r="DG752" t="s">
        <v>317</v>
      </c>
      <c r="DH752" t="s">
        <v>127</v>
      </c>
      <c r="DI752" t="s">
        <v>150</v>
      </c>
      <c r="DJ752" t="s">
        <v>372</v>
      </c>
      <c r="DK752">
        <v>92300000</v>
      </c>
    </row>
    <row r="753" spans="1:115" x14ac:dyDescent="0.25">
      <c r="A753" t="s">
        <v>2915</v>
      </c>
      <c r="B753" t="s">
        <v>2916</v>
      </c>
      <c r="F753" t="s">
        <v>205</v>
      </c>
      <c r="N753" t="s">
        <v>2917</v>
      </c>
      <c r="U753" t="s">
        <v>2918</v>
      </c>
      <c r="Z753" s="14">
        <v>45022</v>
      </c>
      <c r="AA753" s="14">
        <v>45068</v>
      </c>
      <c r="AD753" s="14">
        <v>46387</v>
      </c>
      <c r="AL753" t="s">
        <v>122</v>
      </c>
      <c r="AN753">
        <v>19678800000</v>
      </c>
      <c r="AR753">
        <v>0</v>
      </c>
      <c r="AS753">
        <v>19678800000</v>
      </c>
      <c r="BA753" t="s">
        <v>178</v>
      </c>
      <c r="BB753" t="s">
        <v>179</v>
      </c>
      <c r="BC753" t="s">
        <v>125</v>
      </c>
      <c r="DF753" s="15" t="s">
        <v>9480</v>
      </c>
      <c r="DG753" t="s">
        <v>126</v>
      </c>
      <c r="DH753" t="s">
        <v>127</v>
      </c>
      <c r="DI753" t="s">
        <v>150</v>
      </c>
      <c r="DJ753" t="s">
        <v>372</v>
      </c>
      <c r="DK753">
        <v>30000000</v>
      </c>
    </row>
    <row r="754" spans="1:115" x14ac:dyDescent="0.25">
      <c r="A754" t="s">
        <v>2919</v>
      </c>
      <c r="B754" t="s">
        <v>2920</v>
      </c>
      <c r="F754" t="s">
        <v>118</v>
      </c>
      <c r="N754" t="s">
        <v>2921</v>
      </c>
      <c r="U754" t="s">
        <v>1240</v>
      </c>
      <c r="V754" t="s">
        <v>2922</v>
      </c>
      <c r="Z754" s="14">
        <v>45057</v>
      </c>
      <c r="AA754" s="14">
        <v>45106</v>
      </c>
      <c r="AD754" s="14">
        <v>46752</v>
      </c>
      <c r="AL754" t="s">
        <v>122</v>
      </c>
      <c r="AN754">
        <v>19678800000</v>
      </c>
      <c r="AR754">
        <v>0</v>
      </c>
      <c r="AS754">
        <v>19678800000</v>
      </c>
      <c r="BA754" t="s">
        <v>2923</v>
      </c>
      <c r="BB754" t="s">
        <v>2924</v>
      </c>
      <c r="BC754" t="s">
        <v>242</v>
      </c>
      <c r="DF754" s="15" t="s">
        <v>9481</v>
      </c>
      <c r="DG754" t="s">
        <v>126</v>
      </c>
      <c r="DH754" t="s">
        <v>127</v>
      </c>
      <c r="DI754" t="s">
        <v>127</v>
      </c>
      <c r="DJ754" t="s">
        <v>2925</v>
      </c>
      <c r="DK754">
        <v>30000000</v>
      </c>
    </row>
    <row r="755" spans="1:115" x14ac:dyDescent="0.25">
      <c r="A755" t="s">
        <v>2926</v>
      </c>
      <c r="B755" t="s">
        <v>2927</v>
      </c>
      <c r="F755" t="s">
        <v>118</v>
      </c>
      <c r="N755" t="s">
        <v>2928</v>
      </c>
      <c r="U755" t="s">
        <v>176</v>
      </c>
      <c r="Z755" s="14">
        <v>45057</v>
      </c>
      <c r="AA755" s="14">
        <v>45079</v>
      </c>
      <c r="AD755" s="14">
        <v>46022</v>
      </c>
      <c r="AL755" t="s">
        <v>122</v>
      </c>
      <c r="AN755">
        <v>655960000</v>
      </c>
      <c r="AR755">
        <v>0</v>
      </c>
      <c r="AS755">
        <v>655960000</v>
      </c>
      <c r="BA755" t="s">
        <v>2923</v>
      </c>
      <c r="BB755" t="s">
        <v>2924</v>
      </c>
      <c r="BC755" t="s">
        <v>242</v>
      </c>
      <c r="DF755" s="15" t="s">
        <v>9308</v>
      </c>
      <c r="DG755" t="s">
        <v>126</v>
      </c>
      <c r="DH755" t="s">
        <v>127</v>
      </c>
      <c r="DI755" t="s">
        <v>127</v>
      </c>
      <c r="DJ755" t="s">
        <v>2929</v>
      </c>
      <c r="DK755">
        <v>1000000</v>
      </c>
    </row>
    <row r="756" spans="1:115" x14ac:dyDescent="0.25">
      <c r="A756" t="s">
        <v>2930</v>
      </c>
      <c r="B756" t="s">
        <v>2931</v>
      </c>
      <c r="F756" t="s">
        <v>216</v>
      </c>
      <c r="N756" t="s">
        <v>2932</v>
      </c>
      <c r="U756" t="s">
        <v>176</v>
      </c>
      <c r="Z756" s="14">
        <v>44929</v>
      </c>
      <c r="AA756" s="14">
        <v>45068</v>
      </c>
      <c r="AD756" s="14">
        <v>46022</v>
      </c>
      <c r="AL756" t="s">
        <v>122</v>
      </c>
      <c r="AN756">
        <v>4066952000</v>
      </c>
      <c r="AR756">
        <v>0</v>
      </c>
      <c r="AS756">
        <v>4066952000</v>
      </c>
      <c r="BA756" t="s">
        <v>178</v>
      </c>
      <c r="BB756" t="s">
        <v>179</v>
      </c>
      <c r="BC756" t="s">
        <v>125</v>
      </c>
      <c r="DF756" s="15" t="s">
        <v>9308</v>
      </c>
      <c r="DG756" t="s">
        <v>126</v>
      </c>
      <c r="DH756" t="s">
        <v>127</v>
      </c>
      <c r="DI756" t="s">
        <v>150</v>
      </c>
      <c r="DJ756" t="s">
        <v>2933</v>
      </c>
      <c r="DK756">
        <v>6200000</v>
      </c>
    </row>
    <row r="757" spans="1:115" x14ac:dyDescent="0.25">
      <c r="A757" t="s">
        <v>2934</v>
      </c>
      <c r="B757" t="s">
        <v>2935</v>
      </c>
      <c r="F757" t="s">
        <v>142</v>
      </c>
      <c r="I757" t="s">
        <v>968</v>
      </c>
      <c r="N757" t="s">
        <v>2936</v>
      </c>
      <c r="U757" t="s">
        <v>1890</v>
      </c>
      <c r="V757" t="s">
        <v>1891</v>
      </c>
      <c r="Z757" s="14">
        <v>45010</v>
      </c>
      <c r="AA757" s="14">
        <v>45078</v>
      </c>
      <c r="AD757" s="14">
        <v>46387</v>
      </c>
      <c r="AL757" t="s">
        <v>624</v>
      </c>
      <c r="AN757">
        <v>106999705840</v>
      </c>
      <c r="AR757">
        <v>0</v>
      </c>
      <c r="AS757">
        <v>106999705840</v>
      </c>
      <c r="AY757" t="s">
        <v>1043</v>
      </c>
      <c r="AZ757" t="s">
        <v>558</v>
      </c>
      <c r="BA757" t="s">
        <v>137</v>
      </c>
      <c r="BB757" t="s">
        <v>138</v>
      </c>
      <c r="BC757" t="s">
        <v>125</v>
      </c>
      <c r="BK757" t="s">
        <v>860</v>
      </c>
      <c r="BM757" t="s">
        <v>861</v>
      </c>
      <c r="BN757" t="s">
        <v>862</v>
      </c>
      <c r="BO757" t="s">
        <v>971</v>
      </c>
      <c r="BP757">
        <v>9.1</v>
      </c>
      <c r="BQ757" t="s">
        <v>864</v>
      </c>
      <c r="DF757" s="15" t="s">
        <v>9444</v>
      </c>
      <c r="DG757" t="s">
        <v>126</v>
      </c>
      <c r="DH757" t="s">
        <v>127</v>
      </c>
      <c r="DI757" t="s">
        <v>128</v>
      </c>
      <c r="DJ757" t="s">
        <v>139</v>
      </c>
      <c r="DK757">
        <v>194544919.71000001</v>
      </c>
    </row>
    <row r="758" spans="1:115" x14ac:dyDescent="0.25">
      <c r="A758" t="s">
        <v>2937</v>
      </c>
      <c r="B758" t="s">
        <v>2938</v>
      </c>
      <c r="F758" t="s">
        <v>216</v>
      </c>
      <c r="I758" t="s">
        <v>2939</v>
      </c>
      <c r="N758" t="s">
        <v>2940</v>
      </c>
      <c r="U758" t="s">
        <v>2941</v>
      </c>
      <c r="V758" t="s">
        <v>2942</v>
      </c>
      <c r="W758" t="s">
        <v>2943</v>
      </c>
      <c r="Z758" s="14">
        <v>45024</v>
      </c>
      <c r="AA758" s="14">
        <v>45057</v>
      </c>
      <c r="AD758" s="14">
        <v>45443</v>
      </c>
      <c r="AL758" t="s">
        <v>357</v>
      </c>
      <c r="AN758">
        <v>41260000</v>
      </c>
      <c r="AR758">
        <v>41260000</v>
      </c>
      <c r="AS758">
        <v>0</v>
      </c>
      <c r="AY758" t="s">
        <v>557</v>
      </c>
      <c r="AZ758" t="s">
        <v>880</v>
      </c>
      <c r="BA758" t="s">
        <v>358</v>
      </c>
      <c r="BB758" t="s">
        <v>358</v>
      </c>
      <c r="BC758" t="s">
        <v>242</v>
      </c>
      <c r="BK758" t="s">
        <v>860</v>
      </c>
      <c r="BM758" t="s">
        <v>560</v>
      </c>
      <c r="BN758" t="s">
        <v>561</v>
      </c>
      <c r="BO758" t="s">
        <v>989</v>
      </c>
      <c r="BP758">
        <v>3.8</v>
      </c>
      <c r="BQ758" t="s">
        <v>902</v>
      </c>
      <c r="DF758" s="15" t="s">
        <v>9482</v>
      </c>
      <c r="DG758" t="s">
        <v>126</v>
      </c>
      <c r="DH758" t="s">
        <v>159</v>
      </c>
      <c r="DI758" t="s">
        <v>159</v>
      </c>
      <c r="DJ758" t="s">
        <v>172</v>
      </c>
      <c r="DK758">
        <v>500000</v>
      </c>
    </row>
    <row r="759" spans="1:115" x14ac:dyDescent="0.25">
      <c r="A759" t="s">
        <v>2944</v>
      </c>
      <c r="B759" t="s">
        <v>2945</v>
      </c>
      <c r="F759" t="s">
        <v>190</v>
      </c>
      <c r="I759" t="s">
        <v>974</v>
      </c>
      <c r="N759" t="s">
        <v>2946</v>
      </c>
      <c r="U759" t="s">
        <v>176</v>
      </c>
      <c r="Z759" s="14">
        <v>43726</v>
      </c>
      <c r="AA759" s="14">
        <v>45015</v>
      </c>
      <c r="AD759" s="14">
        <v>44196</v>
      </c>
      <c r="AL759" t="s">
        <v>357</v>
      </c>
      <c r="AN759">
        <v>2475600000</v>
      </c>
      <c r="AR759">
        <v>2475600000</v>
      </c>
      <c r="AS759">
        <v>0</v>
      </c>
      <c r="AY759" t="s">
        <v>557</v>
      </c>
      <c r="AZ759" t="s">
        <v>880</v>
      </c>
      <c r="BA759" t="s">
        <v>358</v>
      </c>
      <c r="BB759" t="s">
        <v>358</v>
      </c>
      <c r="BC759" t="s">
        <v>242</v>
      </c>
      <c r="BK759" t="s">
        <v>860</v>
      </c>
      <c r="BM759" t="s">
        <v>861</v>
      </c>
      <c r="BN759" t="s">
        <v>862</v>
      </c>
      <c r="BO759" t="s">
        <v>863</v>
      </c>
      <c r="BP759">
        <v>2.2999999999999998</v>
      </c>
      <c r="BQ759" t="s">
        <v>864</v>
      </c>
      <c r="DF759" s="15" t="s">
        <v>9308</v>
      </c>
      <c r="DG759" t="s">
        <v>126</v>
      </c>
      <c r="DH759" t="s">
        <v>159</v>
      </c>
      <c r="DI759" t="s">
        <v>159</v>
      </c>
      <c r="DJ759" t="s">
        <v>172</v>
      </c>
      <c r="DK759">
        <v>30000000</v>
      </c>
    </row>
    <row r="760" spans="1:115" x14ac:dyDescent="0.25">
      <c r="A760" t="s">
        <v>2947</v>
      </c>
      <c r="B760" t="s">
        <v>2945</v>
      </c>
      <c r="F760" t="s">
        <v>190</v>
      </c>
      <c r="I760" t="s">
        <v>974</v>
      </c>
      <c r="N760" t="s">
        <v>2948</v>
      </c>
      <c r="U760" t="s">
        <v>176</v>
      </c>
      <c r="Z760" s="14">
        <v>45015</v>
      </c>
      <c r="AA760" s="14">
        <v>45057</v>
      </c>
      <c r="AD760" s="14">
        <v>45657</v>
      </c>
      <c r="AL760" t="s">
        <v>357</v>
      </c>
      <c r="AN760">
        <v>2475600000</v>
      </c>
      <c r="AR760">
        <v>2475600000</v>
      </c>
      <c r="AS760">
        <v>0</v>
      </c>
      <c r="AY760" t="s">
        <v>557</v>
      </c>
      <c r="AZ760" t="s">
        <v>880</v>
      </c>
      <c r="BA760" t="s">
        <v>358</v>
      </c>
      <c r="BB760" t="s">
        <v>358</v>
      </c>
      <c r="BC760" t="s">
        <v>242</v>
      </c>
      <c r="BK760" t="s">
        <v>860</v>
      </c>
      <c r="BM760" t="s">
        <v>861</v>
      </c>
      <c r="BN760" t="s">
        <v>862</v>
      </c>
      <c r="BO760" t="s">
        <v>863</v>
      </c>
      <c r="BP760">
        <v>2.2999999999999998</v>
      </c>
      <c r="BQ760" t="s">
        <v>864</v>
      </c>
      <c r="DF760" s="15" t="s">
        <v>9308</v>
      </c>
      <c r="DG760" t="s">
        <v>126</v>
      </c>
      <c r="DH760" t="s">
        <v>159</v>
      </c>
      <c r="DI760" t="s">
        <v>159</v>
      </c>
      <c r="DJ760" t="s">
        <v>172</v>
      </c>
      <c r="DK760">
        <v>30000000</v>
      </c>
    </row>
    <row r="761" spans="1:115" x14ac:dyDescent="0.25">
      <c r="A761" t="s">
        <v>2949</v>
      </c>
      <c r="B761" t="s">
        <v>2950</v>
      </c>
      <c r="F761" t="s">
        <v>263</v>
      </c>
      <c r="I761" t="s">
        <v>555</v>
      </c>
      <c r="N761" t="s">
        <v>2951</v>
      </c>
      <c r="U761" t="s">
        <v>265</v>
      </c>
      <c r="V761" t="s">
        <v>2952</v>
      </c>
      <c r="Z761" s="14">
        <v>45057</v>
      </c>
      <c r="AA761" s="14">
        <v>45222</v>
      </c>
      <c r="AD761" s="14">
        <v>46752</v>
      </c>
      <c r="AL761" t="s">
        <v>122</v>
      </c>
      <c r="AN761">
        <v>39357420000</v>
      </c>
      <c r="AR761">
        <v>0</v>
      </c>
      <c r="AS761">
        <v>39357420000</v>
      </c>
      <c r="AY761" t="s">
        <v>557</v>
      </c>
      <c r="AZ761" t="s">
        <v>558</v>
      </c>
      <c r="BA761" t="s">
        <v>484</v>
      </c>
      <c r="BB761" t="s">
        <v>484</v>
      </c>
      <c r="BC761" t="s">
        <v>242</v>
      </c>
      <c r="BK761" t="s">
        <v>860</v>
      </c>
      <c r="BM761" t="s">
        <v>560</v>
      </c>
      <c r="BN761" t="s">
        <v>561</v>
      </c>
      <c r="BO761" t="s">
        <v>562</v>
      </c>
      <c r="BP761">
        <v>6.1</v>
      </c>
      <c r="BQ761" t="s">
        <v>563</v>
      </c>
      <c r="DF761" s="15" t="s">
        <v>9483</v>
      </c>
      <c r="DG761" t="s">
        <v>126</v>
      </c>
      <c r="DH761" t="s">
        <v>127</v>
      </c>
      <c r="DI761" t="s">
        <v>127</v>
      </c>
      <c r="DJ761" t="s">
        <v>129</v>
      </c>
      <c r="DK761">
        <v>60000000</v>
      </c>
    </row>
    <row r="762" spans="1:115" x14ac:dyDescent="0.25">
      <c r="A762" t="s">
        <v>2953</v>
      </c>
      <c r="B762" t="s">
        <v>2954</v>
      </c>
      <c r="F762" t="s">
        <v>190</v>
      </c>
      <c r="I762" t="s">
        <v>856</v>
      </c>
      <c r="N762" t="s">
        <v>2955</v>
      </c>
      <c r="U762" t="s">
        <v>176</v>
      </c>
      <c r="Z762" s="14">
        <v>45274</v>
      </c>
      <c r="AA762" s="14">
        <v>45279</v>
      </c>
      <c r="AD762" s="14">
        <v>46387</v>
      </c>
      <c r="AL762" t="s">
        <v>122</v>
      </c>
      <c r="AN762">
        <v>6559570000</v>
      </c>
      <c r="AR762">
        <v>6559570000</v>
      </c>
      <c r="AS762">
        <v>0</v>
      </c>
      <c r="AY762" t="s">
        <v>557</v>
      </c>
      <c r="AZ762" t="s">
        <v>880</v>
      </c>
      <c r="BA762" t="s">
        <v>267</v>
      </c>
      <c r="BB762" t="s">
        <v>267</v>
      </c>
      <c r="BC762" t="s">
        <v>242</v>
      </c>
      <c r="BK762" t="s">
        <v>860</v>
      </c>
      <c r="BM762" t="s">
        <v>861</v>
      </c>
      <c r="BN762" t="s">
        <v>862</v>
      </c>
      <c r="BO762" t="s">
        <v>863</v>
      </c>
      <c r="BP762">
        <v>2.2999999999999998</v>
      </c>
      <c r="BQ762" t="s">
        <v>864</v>
      </c>
      <c r="DF762" s="15" t="s">
        <v>9308</v>
      </c>
      <c r="DG762" t="s">
        <v>126</v>
      </c>
      <c r="DH762" t="s">
        <v>159</v>
      </c>
      <c r="DI762" t="s">
        <v>159</v>
      </c>
      <c r="DJ762" t="s">
        <v>326</v>
      </c>
      <c r="DK762">
        <v>10000000</v>
      </c>
    </row>
    <row r="763" spans="1:115" x14ac:dyDescent="0.25">
      <c r="A763" t="s">
        <v>2956</v>
      </c>
      <c r="B763" t="s">
        <v>1370</v>
      </c>
      <c r="F763" t="s">
        <v>190</v>
      </c>
      <c r="I763" t="s">
        <v>856</v>
      </c>
      <c r="N763" t="s">
        <v>2957</v>
      </c>
      <c r="U763" t="s">
        <v>176</v>
      </c>
      <c r="Z763" s="14">
        <v>45114</v>
      </c>
      <c r="AA763" s="14">
        <v>45279</v>
      </c>
      <c r="AD763" s="14">
        <v>46387</v>
      </c>
      <c r="AL763" t="s">
        <v>122</v>
      </c>
      <c r="AN763">
        <v>1311914000</v>
      </c>
      <c r="AR763">
        <v>1311914000</v>
      </c>
      <c r="AS763">
        <v>0</v>
      </c>
      <c r="AY763" t="s">
        <v>557</v>
      </c>
      <c r="AZ763" t="s">
        <v>880</v>
      </c>
      <c r="BA763" t="s">
        <v>267</v>
      </c>
      <c r="BB763" t="s">
        <v>267</v>
      </c>
      <c r="BC763" t="s">
        <v>242</v>
      </c>
      <c r="BK763" t="s">
        <v>860</v>
      </c>
      <c r="BM763" t="s">
        <v>861</v>
      </c>
      <c r="BN763" t="s">
        <v>862</v>
      </c>
      <c r="BO763" t="s">
        <v>863</v>
      </c>
      <c r="BP763">
        <v>2.2999999999999998</v>
      </c>
      <c r="BQ763" t="s">
        <v>864</v>
      </c>
      <c r="DF763" s="15" t="s">
        <v>9308</v>
      </c>
      <c r="DG763" t="s">
        <v>126</v>
      </c>
      <c r="DH763" t="s">
        <v>159</v>
      </c>
      <c r="DI763" t="s">
        <v>159</v>
      </c>
      <c r="DJ763" t="s">
        <v>326</v>
      </c>
      <c r="DK763">
        <v>2000000</v>
      </c>
    </row>
    <row r="764" spans="1:115" x14ac:dyDescent="0.25">
      <c r="A764" t="s">
        <v>2958</v>
      </c>
      <c r="B764" t="s">
        <v>2959</v>
      </c>
      <c r="F764" t="s">
        <v>216</v>
      </c>
      <c r="I764" t="s">
        <v>1103</v>
      </c>
      <c r="N764" t="s">
        <v>2960</v>
      </c>
      <c r="U764" t="s">
        <v>176</v>
      </c>
      <c r="Z764" s="14">
        <v>45106</v>
      </c>
      <c r="AA764" s="14">
        <v>45279</v>
      </c>
      <c r="AD764" s="14">
        <v>45657</v>
      </c>
      <c r="AL764" t="s">
        <v>122</v>
      </c>
      <c r="AN764">
        <v>590322605</v>
      </c>
      <c r="AR764">
        <v>590322605</v>
      </c>
      <c r="AS764">
        <v>0</v>
      </c>
      <c r="AY764" t="s">
        <v>557</v>
      </c>
      <c r="AZ764" t="s">
        <v>880</v>
      </c>
      <c r="BA764" t="s">
        <v>267</v>
      </c>
      <c r="BB764" t="s">
        <v>267</v>
      </c>
      <c r="BC764" t="s">
        <v>242</v>
      </c>
      <c r="BK764" t="s">
        <v>860</v>
      </c>
      <c r="BM764" t="s">
        <v>560</v>
      </c>
      <c r="BN764" t="s">
        <v>561</v>
      </c>
      <c r="BO764" t="s">
        <v>989</v>
      </c>
      <c r="BP764">
        <v>3.8</v>
      </c>
      <c r="BQ764" t="s">
        <v>902</v>
      </c>
      <c r="DF764" s="15" t="s">
        <v>9308</v>
      </c>
      <c r="DG764" t="s">
        <v>126</v>
      </c>
      <c r="DH764" t="s">
        <v>159</v>
      </c>
      <c r="DI764" t="s">
        <v>159</v>
      </c>
      <c r="DJ764" t="s">
        <v>326</v>
      </c>
      <c r="DK764">
        <v>899941.01</v>
      </c>
    </row>
    <row r="765" spans="1:115" x14ac:dyDescent="0.25">
      <c r="A765" t="s">
        <v>2961</v>
      </c>
      <c r="B765" t="s">
        <v>2450</v>
      </c>
      <c r="F765" t="s">
        <v>190</v>
      </c>
      <c r="I765" t="s">
        <v>856</v>
      </c>
      <c r="N765" t="s">
        <v>2962</v>
      </c>
      <c r="U765" t="s">
        <v>176</v>
      </c>
      <c r="Z765" s="14">
        <v>45222</v>
      </c>
      <c r="AA765" s="14">
        <v>45274</v>
      </c>
      <c r="AD765" s="14">
        <v>47118</v>
      </c>
      <c r="AL765" t="s">
        <v>122</v>
      </c>
      <c r="AN765">
        <v>6559570000</v>
      </c>
      <c r="AR765">
        <v>0</v>
      </c>
      <c r="AS765">
        <v>6559570000</v>
      </c>
      <c r="AY765" t="s">
        <v>557</v>
      </c>
      <c r="AZ765" t="s">
        <v>880</v>
      </c>
      <c r="BA765" t="s">
        <v>267</v>
      </c>
      <c r="BB765" t="s">
        <v>267</v>
      </c>
      <c r="BC765" t="s">
        <v>242</v>
      </c>
      <c r="BK765" t="s">
        <v>860</v>
      </c>
      <c r="BM765" t="s">
        <v>861</v>
      </c>
      <c r="BN765" t="s">
        <v>862</v>
      </c>
      <c r="BO765" t="s">
        <v>863</v>
      </c>
      <c r="BP765">
        <v>2.2999999999999998</v>
      </c>
      <c r="BQ765" t="s">
        <v>864</v>
      </c>
      <c r="DF765" s="15" t="s">
        <v>9308</v>
      </c>
      <c r="DG765" t="s">
        <v>126</v>
      </c>
      <c r="DH765" t="s">
        <v>127</v>
      </c>
      <c r="DI765" t="s">
        <v>150</v>
      </c>
      <c r="DJ765" t="s">
        <v>326</v>
      </c>
      <c r="DK765">
        <v>10000000</v>
      </c>
    </row>
    <row r="766" spans="1:115" x14ac:dyDescent="0.25">
      <c r="A766" t="s">
        <v>2963</v>
      </c>
      <c r="B766" t="s">
        <v>2964</v>
      </c>
      <c r="F766" t="s">
        <v>263</v>
      </c>
      <c r="I766" t="s">
        <v>1215</v>
      </c>
      <c r="N766" t="s">
        <v>2965</v>
      </c>
      <c r="U766" t="s">
        <v>176</v>
      </c>
      <c r="Z766" s="14">
        <v>45274</v>
      </c>
      <c r="AA766" s="14">
        <v>45274</v>
      </c>
      <c r="AD766" s="14">
        <v>46387</v>
      </c>
      <c r="AL766" t="s">
        <v>122</v>
      </c>
      <c r="AN766">
        <v>10495312000</v>
      </c>
      <c r="AR766">
        <v>0</v>
      </c>
      <c r="AS766">
        <v>10495312000</v>
      </c>
      <c r="AY766" t="s">
        <v>557</v>
      </c>
      <c r="AZ766" t="s">
        <v>558</v>
      </c>
      <c r="BA766" t="s">
        <v>267</v>
      </c>
      <c r="BB766" t="s">
        <v>267</v>
      </c>
      <c r="BC766" t="s">
        <v>242</v>
      </c>
      <c r="BK766" t="s">
        <v>860</v>
      </c>
      <c r="BM766" t="s">
        <v>560</v>
      </c>
      <c r="BN766" t="s">
        <v>561</v>
      </c>
      <c r="BO766" t="s">
        <v>562</v>
      </c>
      <c r="BP766">
        <v>6.1</v>
      </c>
      <c r="BQ766" t="s">
        <v>563</v>
      </c>
      <c r="DF766" s="15" t="s">
        <v>9308</v>
      </c>
      <c r="DG766" t="s">
        <v>126</v>
      </c>
      <c r="DH766" t="s">
        <v>127</v>
      </c>
      <c r="DI766" t="s">
        <v>150</v>
      </c>
      <c r="DJ766" t="s">
        <v>326</v>
      </c>
      <c r="DK766">
        <v>16000000</v>
      </c>
    </row>
    <row r="767" spans="1:115" x14ac:dyDescent="0.25">
      <c r="A767" t="s">
        <v>2966</v>
      </c>
      <c r="B767" t="s">
        <v>2967</v>
      </c>
      <c r="F767" t="s">
        <v>190</v>
      </c>
      <c r="I767" t="s">
        <v>856</v>
      </c>
      <c r="N767" t="s">
        <v>2968</v>
      </c>
      <c r="U767" t="s">
        <v>1133</v>
      </c>
      <c r="Z767" s="14">
        <v>45057</v>
      </c>
      <c r="AA767" s="14">
        <v>45170</v>
      </c>
      <c r="AD767" s="14">
        <v>46387</v>
      </c>
      <c r="AL767" t="s">
        <v>1127</v>
      </c>
      <c r="AN767">
        <v>4240292500</v>
      </c>
      <c r="AR767">
        <v>4240292500</v>
      </c>
      <c r="AS767">
        <v>0</v>
      </c>
      <c r="AY767" t="s">
        <v>557</v>
      </c>
      <c r="AZ767" t="s">
        <v>880</v>
      </c>
      <c r="BA767" t="s">
        <v>1128</v>
      </c>
      <c r="BB767" t="s">
        <v>1128</v>
      </c>
      <c r="BC767" t="s">
        <v>242</v>
      </c>
      <c r="BK767" t="s">
        <v>860</v>
      </c>
      <c r="BM767" t="s">
        <v>861</v>
      </c>
      <c r="BN767" t="s">
        <v>862</v>
      </c>
      <c r="BO767" t="s">
        <v>863</v>
      </c>
      <c r="BP767">
        <v>2.2999999999999998</v>
      </c>
      <c r="BQ767" t="s">
        <v>864</v>
      </c>
      <c r="DF767" s="15" t="s">
        <v>9397</v>
      </c>
      <c r="DG767" t="s">
        <v>317</v>
      </c>
      <c r="DH767" t="s">
        <v>159</v>
      </c>
      <c r="DI767" t="s">
        <v>159</v>
      </c>
      <c r="DJ767" t="s">
        <v>326</v>
      </c>
      <c r="DK767">
        <v>9250000</v>
      </c>
    </row>
    <row r="768" spans="1:115" x14ac:dyDescent="0.25">
      <c r="A768" t="s">
        <v>2969</v>
      </c>
      <c r="B768" t="s">
        <v>1373</v>
      </c>
      <c r="F768" t="s">
        <v>190</v>
      </c>
      <c r="I768" t="s">
        <v>1095</v>
      </c>
      <c r="N768" t="s">
        <v>2970</v>
      </c>
      <c r="U768" t="s">
        <v>176</v>
      </c>
      <c r="Z768" s="14">
        <v>45027</v>
      </c>
      <c r="AA768" s="14">
        <v>45057</v>
      </c>
      <c r="AD768" s="14">
        <v>46387</v>
      </c>
      <c r="AL768" t="s">
        <v>1110</v>
      </c>
      <c r="AN768">
        <v>1392500000</v>
      </c>
      <c r="AR768">
        <v>1392500000</v>
      </c>
      <c r="AS768">
        <v>0</v>
      </c>
      <c r="AY768" t="s">
        <v>557</v>
      </c>
      <c r="AZ768" t="s">
        <v>880</v>
      </c>
      <c r="BA768" t="s">
        <v>822</v>
      </c>
      <c r="BB768" t="s">
        <v>823</v>
      </c>
      <c r="BC768" t="s">
        <v>242</v>
      </c>
      <c r="BK768" t="s">
        <v>860</v>
      </c>
      <c r="BM768" t="s">
        <v>861</v>
      </c>
      <c r="BN768" t="s">
        <v>862</v>
      </c>
      <c r="BO768" t="s">
        <v>863</v>
      </c>
      <c r="BP768">
        <v>2.2999999999999998</v>
      </c>
      <c r="BQ768" t="s">
        <v>864</v>
      </c>
      <c r="DF768" s="15" t="s">
        <v>9308</v>
      </c>
      <c r="DG768" t="s">
        <v>317</v>
      </c>
      <c r="DH768" t="s">
        <v>159</v>
      </c>
      <c r="DI768" t="s">
        <v>159</v>
      </c>
      <c r="DJ768" t="s">
        <v>326</v>
      </c>
      <c r="DK768">
        <v>2500000</v>
      </c>
    </row>
    <row r="769" spans="1:115" x14ac:dyDescent="0.25">
      <c r="A769" t="s">
        <v>2971</v>
      </c>
      <c r="B769" t="s">
        <v>2972</v>
      </c>
      <c r="F769" t="s">
        <v>142</v>
      </c>
      <c r="I769" t="s">
        <v>1693</v>
      </c>
      <c r="N769" t="s">
        <v>2973</v>
      </c>
      <c r="U769" t="s">
        <v>233</v>
      </c>
      <c r="Z769" s="14">
        <v>45057</v>
      </c>
      <c r="AA769" s="14">
        <v>45190</v>
      </c>
      <c r="AD769" s="14">
        <v>46752</v>
      </c>
      <c r="AL769" t="s">
        <v>1110</v>
      </c>
      <c r="AN769">
        <v>5570000000</v>
      </c>
      <c r="AR769">
        <v>5570000000</v>
      </c>
      <c r="AS769">
        <v>0</v>
      </c>
      <c r="AY769" t="s">
        <v>557</v>
      </c>
      <c r="AZ769" t="s">
        <v>880</v>
      </c>
      <c r="BA769" t="s">
        <v>822</v>
      </c>
      <c r="BB769" t="s">
        <v>823</v>
      </c>
      <c r="BC769" t="s">
        <v>242</v>
      </c>
      <c r="BK769" t="s">
        <v>860</v>
      </c>
      <c r="BM769" t="s">
        <v>861</v>
      </c>
      <c r="BN769" t="s">
        <v>862</v>
      </c>
      <c r="BO769" t="s">
        <v>971</v>
      </c>
      <c r="BP769">
        <v>9.1</v>
      </c>
      <c r="BQ769" t="s">
        <v>864</v>
      </c>
      <c r="DF769" s="15" t="s">
        <v>9396</v>
      </c>
      <c r="DG769" t="s">
        <v>317</v>
      </c>
      <c r="DH769" t="s">
        <v>159</v>
      </c>
      <c r="DI769" t="s">
        <v>159</v>
      </c>
      <c r="DJ769" t="s">
        <v>326</v>
      </c>
      <c r="DK769">
        <v>10000000</v>
      </c>
    </row>
    <row r="770" spans="1:115" x14ac:dyDescent="0.25">
      <c r="A770" t="s">
        <v>2974</v>
      </c>
      <c r="B770" t="s">
        <v>1706</v>
      </c>
      <c r="F770" t="s">
        <v>190</v>
      </c>
      <c r="I770" t="s">
        <v>856</v>
      </c>
      <c r="N770" t="s">
        <v>2975</v>
      </c>
      <c r="U770" t="s">
        <v>176</v>
      </c>
      <c r="Z770" s="14">
        <v>45057</v>
      </c>
      <c r="AA770" s="14">
        <v>45261</v>
      </c>
      <c r="AD770" s="14">
        <v>46387</v>
      </c>
      <c r="AL770" t="s">
        <v>1110</v>
      </c>
      <c r="AN770">
        <v>6993852600</v>
      </c>
      <c r="AR770">
        <v>6993852600</v>
      </c>
      <c r="AS770">
        <v>0</v>
      </c>
      <c r="AY770" t="s">
        <v>557</v>
      </c>
      <c r="AZ770" t="s">
        <v>880</v>
      </c>
      <c r="BA770" t="s">
        <v>822</v>
      </c>
      <c r="BB770" t="s">
        <v>823</v>
      </c>
      <c r="BC770" t="s">
        <v>242</v>
      </c>
      <c r="BK770" t="s">
        <v>860</v>
      </c>
      <c r="BM770" t="s">
        <v>861</v>
      </c>
      <c r="BN770" t="s">
        <v>862</v>
      </c>
      <c r="BO770" t="s">
        <v>863</v>
      </c>
      <c r="BP770">
        <v>2.2999999999999998</v>
      </c>
      <c r="BQ770" t="s">
        <v>864</v>
      </c>
      <c r="DF770" s="15" t="s">
        <v>9308</v>
      </c>
      <c r="DG770" t="s">
        <v>317</v>
      </c>
      <c r="DH770" t="s">
        <v>159</v>
      </c>
      <c r="DI770" t="s">
        <v>159</v>
      </c>
      <c r="DJ770" t="s">
        <v>326</v>
      </c>
      <c r="DK770">
        <v>11656421</v>
      </c>
    </row>
    <row r="771" spans="1:115" x14ac:dyDescent="0.25">
      <c r="A771" t="s">
        <v>2976</v>
      </c>
      <c r="B771" t="s">
        <v>2977</v>
      </c>
      <c r="F771" t="s">
        <v>163</v>
      </c>
      <c r="I771" t="s">
        <v>1476</v>
      </c>
      <c r="N771" t="s">
        <v>2978</v>
      </c>
      <c r="U771" t="s">
        <v>176</v>
      </c>
      <c r="Z771" s="14">
        <v>44977</v>
      </c>
      <c r="AA771" s="14">
        <v>45057</v>
      </c>
      <c r="AD771" s="14">
        <v>46568</v>
      </c>
      <c r="AL771" t="s">
        <v>1110</v>
      </c>
      <c r="AN771">
        <v>103003200</v>
      </c>
      <c r="AR771">
        <v>103003200</v>
      </c>
      <c r="AS771">
        <v>0</v>
      </c>
      <c r="AY771" t="s">
        <v>557</v>
      </c>
      <c r="AZ771" t="s">
        <v>880</v>
      </c>
      <c r="BA771" t="s">
        <v>822</v>
      </c>
      <c r="BB771" t="s">
        <v>823</v>
      </c>
      <c r="BC771" t="s">
        <v>242</v>
      </c>
      <c r="BK771" t="s">
        <v>860</v>
      </c>
      <c r="BM771" t="s">
        <v>861</v>
      </c>
      <c r="BN771" t="s">
        <v>1046</v>
      </c>
      <c r="BO771" t="s">
        <v>1036</v>
      </c>
      <c r="BP771">
        <v>16.600000000000001</v>
      </c>
      <c r="BQ771" t="s">
        <v>902</v>
      </c>
      <c r="DF771" s="15" t="s">
        <v>9308</v>
      </c>
      <c r="DG771" t="s">
        <v>317</v>
      </c>
      <c r="DH771" t="s">
        <v>159</v>
      </c>
      <c r="DI771" t="s">
        <v>159</v>
      </c>
      <c r="DJ771" t="s">
        <v>326</v>
      </c>
      <c r="DK771">
        <v>171672</v>
      </c>
    </row>
    <row r="772" spans="1:115" x14ac:dyDescent="0.25">
      <c r="A772" t="s">
        <v>2979</v>
      </c>
      <c r="B772" t="s">
        <v>2980</v>
      </c>
      <c r="F772" t="s">
        <v>190</v>
      </c>
      <c r="I772" t="s">
        <v>856</v>
      </c>
      <c r="N772" t="s">
        <v>2981</v>
      </c>
      <c r="U772" t="s">
        <v>233</v>
      </c>
      <c r="Z772" s="14">
        <v>45057</v>
      </c>
      <c r="AA772" s="14">
        <v>45239</v>
      </c>
      <c r="AD772" s="14">
        <v>46387</v>
      </c>
      <c r="AL772" t="s">
        <v>122</v>
      </c>
      <c r="AN772">
        <v>7185000001</v>
      </c>
      <c r="AR772">
        <v>0</v>
      </c>
      <c r="AS772">
        <v>7185000001</v>
      </c>
      <c r="AY772" t="s">
        <v>557</v>
      </c>
      <c r="AZ772" t="s">
        <v>558</v>
      </c>
      <c r="BA772" t="s">
        <v>822</v>
      </c>
      <c r="BB772" t="s">
        <v>823</v>
      </c>
      <c r="BC772" t="s">
        <v>242</v>
      </c>
      <c r="BK772" t="s">
        <v>860</v>
      </c>
      <c r="BM772" t="s">
        <v>861</v>
      </c>
      <c r="BN772" t="s">
        <v>862</v>
      </c>
      <c r="BO772" t="s">
        <v>863</v>
      </c>
      <c r="BP772">
        <v>2.2999999999999998</v>
      </c>
      <c r="BQ772" t="s">
        <v>864</v>
      </c>
      <c r="DF772" s="15" t="s">
        <v>9396</v>
      </c>
      <c r="DG772" t="s">
        <v>317</v>
      </c>
      <c r="DH772" t="s">
        <v>127</v>
      </c>
      <c r="DI772" t="s">
        <v>127</v>
      </c>
      <c r="DJ772" t="s">
        <v>326</v>
      </c>
      <c r="DK772">
        <v>10953461.890000001</v>
      </c>
    </row>
    <row r="773" spans="1:115" x14ac:dyDescent="0.25">
      <c r="A773" t="s">
        <v>2982</v>
      </c>
      <c r="B773" t="s">
        <v>2983</v>
      </c>
      <c r="F773" t="s">
        <v>369</v>
      </c>
      <c r="I773" t="s">
        <v>2435</v>
      </c>
      <c r="N773" t="s">
        <v>2984</v>
      </c>
      <c r="U773" t="s">
        <v>176</v>
      </c>
      <c r="Z773" s="14">
        <v>44210</v>
      </c>
      <c r="AA773" s="14">
        <v>45229</v>
      </c>
      <c r="AD773" s="14">
        <v>45291</v>
      </c>
      <c r="AL773" t="s">
        <v>122</v>
      </c>
      <c r="AN773">
        <v>393574200</v>
      </c>
      <c r="AR773">
        <v>0</v>
      </c>
      <c r="AS773">
        <v>393574200</v>
      </c>
      <c r="AY773" t="s">
        <v>1043</v>
      </c>
      <c r="AZ773" t="s">
        <v>558</v>
      </c>
      <c r="BA773" t="s">
        <v>2501</v>
      </c>
      <c r="BB773" t="s">
        <v>2502</v>
      </c>
      <c r="BC773" t="s">
        <v>125</v>
      </c>
      <c r="BM773" t="s">
        <v>861</v>
      </c>
      <c r="BN773" t="s">
        <v>862</v>
      </c>
      <c r="BO773" t="s">
        <v>971</v>
      </c>
      <c r="BP773">
        <v>9.1</v>
      </c>
      <c r="BQ773" t="s">
        <v>864</v>
      </c>
      <c r="DF773" s="15" t="s">
        <v>9308</v>
      </c>
      <c r="DG773" t="s">
        <v>126</v>
      </c>
      <c r="DH773" t="s">
        <v>127</v>
      </c>
      <c r="DI773" t="s">
        <v>1883</v>
      </c>
      <c r="DJ773" t="s">
        <v>172</v>
      </c>
      <c r="DK773">
        <v>600000</v>
      </c>
    </row>
    <row r="774" spans="1:115" x14ac:dyDescent="0.25">
      <c r="A774" t="s">
        <v>2985</v>
      </c>
      <c r="B774" t="s">
        <v>2986</v>
      </c>
      <c r="F774" t="s">
        <v>315</v>
      </c>
      <c r="I774" t="s">
        <v>1108</v>
      </c>
      <c r="N774" t="s">
        <v>2987</v>
      </c>
      <c r="U774" t="s">
        <v>185</v>
      </c>
      <c r="V774" t="s">
        <v>1928</v>
      </c>
      <c r="Z774" s="14">
        <v>45057</v>
      </c>
      <c r="AA774" s="14">
        <v>45257</v>
      </c>
      <c r="AD774" s="14">
        <v>45657</v>
      </c>
      <c r="AL774" t="s">
        <v>136</v>
      </c>
      <c r="AN774">
        <v>52841928</v>
      </c>
      <c r="AR774">
        <v>52841928</v>
      </c>
      <c r="AS774">
        <v>0</v>
      </c>
      <c r="AY774" t="s">
        <v>557</v>
      </c>
      <c r="AZ774" t="s">
        <v>880</v>
      </c>
      <c r="BA774" t="s">
        <v>1148</v>
      </c>
      <c r="BB774" t="s">
        <v>1148</v>
      </c>
      <c r="BC774" t="s">
        <v>242</v>
      </c>
      <c r="BK774" t="s">
        <v>860</v>
      </c>
      <c r="BM774" t="s">
        <v>861</v>
      </c>
      <c r="BN774" t="s">
        <v>900</v>
      </c>
      <c r="BO774" t="s">
        <v>901</v>
      </c>
      <c r="BP774">
        <v>4.0999999999999996</v>
      </c>
      <c r="BQ774" t="s">
        <v>902</v>
      </c>
      <c r="DF774" s="15" t="s">
        <v>9484</v>
      </c>
      <c r="DG774" t="s">
        <v>126</v>
      </c>
      <c r="DH774" t="s">
        <v>159</v>
      </c>
      <c r="DI774" t="s">
        <v>159</v>
      </c>
      <c r="DJ774" t="s">
        <v>172</v>
      </c>
      <c r="DK774">
        <v>52841928</v>
      </c>
    </row>
    <row r="775" spans="1:115" x14ac:dyDescent="0.25">
      <c r="A775" t="s">
        <v>2988</v>
      </c>
      <c r="B775" t="s">
        <v>2989</v>
      </c>
      <c r="F775" t="s">
        <v>315</v>
      </c>
      <c r="I775" t="s">
        <v>998</v>
      </c>
      <c r="N775" t="s">
        <v>2990</v>
      </c>
      <c r="U775" t="s">
        <v>828</v>
      </c>
      <c r="V775" t="s">
        <v>2991</v>
      </c>
      <c r="Z775" s="14">
        <v>45057</v>
      </c>
      <c r="AA775" s="14">
        <v>45112</v>
      </c>
      <c r="AD775" s="14">
        <v>45657</v>
      </c>
      <c r="AL775" t="s">
        <v>136</v>
      </c>
      <c r="AN775">
        <v>41729360</v>
      </c>
      <c r="AR775">
        <v>41729360</v>
      </c>
      <c r="AS775">
        <v>0</v>
      </c>
      <c r="AY775" t="s">
        <v>557</v>
      </c>
      <c r="AZ775" t="s">
        <v>880</v>
      </c>
      <c r="BA775" t="s">
        <v>1148</v>
      </c>
      <c r="BB775" t="s">
        <v>1148</v>
      </c>
      <c r="BC775" t="s">
        <v>242</v>
      </c>
      <c r="BK775" t="s">
        <v>860</v>
      </c>
      <c r="BM775" t="s">
        <v>861</v>
      </c>
      <c r="BN775" t="s">
        <v>900</v>
      </c>
      <c r="BO775" t="s">
        <v>901</v>
      </c>
      <c r="BP775">
        <v>4.0999999999999996</v>
      </c>
      <c r="BQ775" t="s">
        <v>902</v>
      </c>
      <c r="DF775" s="15" t="s">
        <v>9485</v>
      </c>
      <c r="DG775" t="s">
        <v>126</v>
      </c>
      <c r="DH775" t="s">
        <v>159</v>
      </c>
      <c r="DI775" t="s">
        <v>159</v>
      </c>
      <c r="DJ775" t="s">
        <v>172</v>
      </c>
      <c r="DK775">
        <v>41729360</v>
      </c>
    </row>
    <row r="776" spans="1:115" x14ac:dyDescent="0.25">
      <c r="A776" t="s">
        <v>2992</v>
      </c>
      <c r="B776" t="s">
        <v>2993</v>
      </c>
      <c r="F776" t="s">
        <v>142</v>
      </c>
      <c r="I776" t="s">
        <v>968</v>
      </c>
      <c r="N776" t="s">
        <v>2994</v>
      </c>
      <c r="U776" t="s">
        <v>165</v>
      </c>
      <c r="V776" t="s">
        <v>166</v>
      </c>
      <c r="W776" t="s">
        <v>1793</v>
      </c>
      <c r="Z776" s="14">
        <v>45057</v>
      </c>
      <c r="AA776" s="14">
        <v>45079</v>
      </c>
      <c r="AD776" s="14">
        <v>46752</v>
      </c>
      <c r="AL776" t="s">
        <v>136</v>
      </c>
      <c r="AN776">
        <v>18413400000</v>
      </c>
      <c r="AR776">
        <v>18413400000</v>
      </c>
      <c r="AS776">
        <v>0</v>
      </c>
      <c r="AY776" t="s">
        <v>557</v>
      </c>
      <c r="AZ776" t="s">
        <v>880</v>
      </c>
      <c r="BA776" t="s">
        <v>1148</v>
      </c>
      <c r="BB776" t="s">
        <v>1148</v>
      </c>
      <c r="BC776" t="s">
        <v>242</v>
      </c>
      <c r="BK776" t="s">
        <v>860</v>
      </c>
      <c r="BM776" t="s">
        <v>861</v>
      </c>
      <c r="BN776" t="s">
        <v>862</v>
      </c>
      <c r="BO776" t="s">
        <v>971</v>
      </c>
      <c r="BP776">
        <v>9.1</v>
      </c>
      <c r="BQ776" t="s">
        <v>864</v>
      </c>
      <c r="DF776" s="15" t="s">
        <v>9441</v>
      </c>
      <c r="DG776" t="s">
        <v>126</v>
      </c>
      <c r="DH776" t="s">
        <v>159</v>
      </c>
      <c r="DI776" t="s">
        <v>159</v>
      </c>
      <c r="DJ776" t="s">
        <v>172</v>
      </c>
      <c r="DK776">
        <v>18413400000</v>
      </c>
    </row>
    <row r="777" spans="1:115" x14ac:dyDescent="0.25">
      <c r="A777" t="s">
        <v>2995</v>
      </c>
      <c r="B777" t="s">
        <v>2996</v>
      </c>
      <c r="F777" t="s">
        <v>282</v>
      </c>
      <c r="I777" t="s">
        <v>1029</v>
      </c>
      <c r="N777" t="s">
        <v>2997</v>
      </c>
      <c r="U777" t="s">
        <v>409</v>
      </c>
      <c r="V777" t="s">
        <v>2998</v>
      </c>
      <c r="Z777" s="14">
        <v>45057</v>
      </c>
      <c r="AA777" s="14">
        <v>45261</v>
      </c>
      <c r="AD777" s="14">
        <v>46022</v>
      </c>
      <c r="AL777" t="s">
        <v>624</v>
      </c>
      <c r="AN777">
        <v>4180000000</v>
      </c>
      <c r="AR777">
        <v>4180000000</v>
      </c>
      <c r="AS777">
        <v>0</v>
      </c>
      <c r="AY777" t="s">
        <v>557</v>
      </c>
      <c r="AZ777" t="s">
        <v>880</v>
      </c>
      <c r="BA777" t="s">
        <v>1010</v>
      </c>
      <c r="BB777" t="s">
        <v>1011</v>
      </c>
      <c r="BC777" t="s">
        <v>125</v>
      </c>
      <c r="BK777" t="s">
        <v>860</v>
      </c>
      <c r="BM777" t="s">
        <v>964</v>
      </c>
      <c r="BN777" t="s">
        <v>965</v>
      </c>
      <c r="BO777" t="s">
        <v>939</v>
      </c>
      <c r="BP777">
        <v>11.3</v>
      </c>
      <c r="BQ777" t="s">
        <v>902</v>
      </c>
      <c r="DF777" s="15" t="s">
        <v>9486</v>
      </c>
      <c r="DG777" t="s">
        <v>126</v>
      </c>
      <c r="DH777" t="s">
        <v>159</v>
      </c>
      <c r="DI777" t="s">
        <v>159</v>
      </c>
      <c r="DJ777" t="s">
        <v>172</v>
      </c>
      <c r="DK777">
        <v>7600000</v>
      </c>
    </row>
    <row r="778" spans="1:115" x14ac:dyDescent="0.25">
      <c r="A778" t="s">
        <v>2999</v>
      </c>
      <c r="B778" t="s">
        <v>1376</v>
      </c>
      <c r="F778" t="s">
        <v>216</v>
      </c>
      <c r="I778" t="s">
        <v>992</v>
      </c>
      <c r="N778" t="s">
        <v>3000</v>
      </c>
      <c r="U778" t="s">
        <v>321</v>
      </c>
      <c r="Z778" s="14">
        <v>45057</v>
      </c>
      <c r="AA778" s="14">
        <v>45122</v>
      </c>
      <c r="AD778" s="14">
        <v>46387</v>
      </c>
      <c r="AL778" t="s">
        <v>624</v>
      </c>
      <c r="AN778">
        <v>116067600</v>
      </c>
      <c r="AR778">
        <v>116067600</v>
      </c>
      <c r="AS778">
        <v>0</v>
      </c>
      <c r="AY778" t="s">
        <v>557</v>
      </c>
      <c r="AZ778" t="s">
        <v>880</v>
      </c>
      <c r="BA778" t="s">
        <v>1020</v>
      </c>
      <c r="BB778" t="s">
        <v>1021</v>
      </c>
      <c r="BC778" t="s">
        <v>242</v>
      </c>
      <c r="BK778" t="s">
        <v>860</v>
      </c>
      <c r="BM778" t="s">
        <v>560</v>
      </c>
      <c r="BN778" t="s">
        <v>561</v>
      </c>
      <c r="BO778" t="s">
        <v>989</v>
      </c>
      <c r="BP778">
        <v>3.8</v>
      </c>
      <c r="BQ778" t="s">
        <v>902</v>
      </c>
      <c r="DF778" s="15" t="s">
        <v>9324</v>
      </c>
      <c r="DG778" t="s">
        <v>126</v>
      </c>
      <c r="DH778" t="s">
        <v>159</v>
      </c>
      <c r="DI778" t="s">
        <v>159</v>
      </c>
      <c r="DJ778" t="s">
        <v>172</v>
      </c>
      <c r="DK778">
        <v>211032</v>
      </c>
    </row>
    <row r="779" spans="1:115" x14ac:dyDescent="0.25">
      <c r="A779" t="s">
        <v>3001</v>
      </c>
      <c r="B779" t="s">
        <v>1017</v>
      </c>
      <c r="F779" t="s">
        <v>315</v>
      </c>
      <c r="I779" t="s">
        <v>1018</v>
      </c>
      <c r="N779" t="s">
        <v>3002</v>
      </c>
      <c r="U779" t="s">
        <v>176</v>
      </c>
      <c r="Z779" s="14">
        <v>45034</v>
      </c>
      <c r="AA779" s="14">
        <v>45092</v>
      </c>
      <c r="AD779" s="14">
        <v>46660</v>
      </c>
      <c r="AL779" t="s">
        <v>624</v>
      </c>
      <c r="AN779">
        <v>174467150</v>
      </c>
      <c r="AR779">
        <v>174467150</v>
      </c>
      <c r="AS779">
        <v>0</v>
      </c>
      <c r="AY779" t="s">
        <v>557</v>
      </c>
      <c r="AZ779" t="s">
        <v>880</v>
      </c>
      <c r="BA779" t="s">
        <v>1020</v>
      </c>
      <c r="BB779" t="s">
        <v>1021</v>
      </c>
      <c r="BC779" t="s">
        <v>242</v>
      </c>
      <c r="BK779" t="s">
        <v>860</v>
      </c>
      <c r="BM779" t="s">
        <v>560</v>
      </c>
      <c r="BN779" t="s">
        <v>561</v>
      </c>
      <c r="BO779" t="s">
        <v>1022</v>
      </c>
      <c r="BP779">
        <v>1.3</v>
      </c>
      <c r="BQ779" t="s">
        <v>902</v>
      </c>
      <c r="DF779" s="15" t="s">
        <v>9308</v>
      </c>
      <c r="DG779" t="s">
        <v>126</v>
      </c>
      <c r="DH779" t="s">
        <v>159</v>
      </c>
      <c r="DI779" t="s">
        <v>159</v>
      </c>
      <c r="DJ779" t="s">
        <v>172</v>
      </c>
      <c r="DK779">
        <v>317213</v>
      </c>
    </row>
    <row r="780" spans="1:115" x14ac:dyDescent="0.25">
      <c r="A780" t="s">
        <v>3003</v>
      </c>
      <c r="B780" t="s">
        <v>1024</v>
      </c>
      <c r="F780" t="s">
        <v>216</v>
      </c>
      <c r="I780" t="s">
        <v>1025</v>
      </c>
      <c r="N780" t="s">
        <v>3004</v>
      </c>
      <c r="U780" t="s">
        <v>176</v>
      </c>
      <c r="Z780" s="14">
        <v>45034</v>
      </c>
      <c r="AA780" s="14">
        <v>45092</v>
      </c>
      <c r="AD780" s="14">
        <v>46660</v>
      </c>
      <c r="AL780" t="s">
        <v>624</v>
      </c>
      <c r="AN780">
        <v>750898500</v>
      </c>
      <c r="AR780">
        <v>750898500</v>
      </c>
      <c r="AS780">
        <v>0</v>
      </c>
      <c r="AY780" t="s">
        <v>557</v>
      </c>
      <c r="AZ780" t="s">
        <v>880</v>
      </c>
      <c r="BA780" t="s">
        <v>1020</v>
      </c>
      <c r="BB780" t="s">
        <v>1021</v>
      </c>
      <c r="BC780" t="s">
        <v>242</v>
      </c>
      <c r="BK780" t="s">
        <v>860</v>
      </c>
      <c r="BM780" t="s">
        <v>560</v>
      </c>
      <c r="BN780" t="s">
        <v>561</v>
      </c>
      <c r="BO780" t="s">
        <v>989</v>
      </c>
      <c r="BP780">
        <v>3.8</v>
      </c>
      <c r="BQ780" t="s">
        <v>902</v>
      </c>
      <c r="DF780" s="15" t="s">
        <v>9308</v>
      </c>
      <c r="DG780" t="s">
        <v>317</v>
      </c>
      <c r="DH780" t="s">
        <v>159</v>
      </c>
      <c r="DI780" t="s">
        <v>159</v>
      </c>
      <c r="DJ780" t="s">
        <v>172</v>
      </c>
      <c r="DK780">
        <v>1365270</v>
      </c>
    </row>
    <row r="781" spans="1:115" x14ac:dyDescent="0.25">
      <c r="A781" t="s">
        <v>3005</v>
      </c>
      <c r="B781" t="s">
        <v>3006</v>
      </c>
      <c r="F781" t="s">
        <v>142</v>
      </c>
      <c r="I781" t="s">
        <v>968</v>
      </c>
      <c r="N781" t="s">
        <v>3007</v>
      </c>
      <c r="U781" t="s">
        <v>933</v>
      </c>
      <c r="V781" t="s">
        <v>3008</v>
      </c>
      <c r="Z781" s="14">
        <v>44726</v>
      </c>
      <c r="AA781" s="14">
        <v>44979</v>
      </c>
      <c r="AD781" s="14">
        <v>47118</v>
      </c>
      <c r="AL781" t="s">
        <v>122</v>
      </c>
      <c r="AN781">
        <v>89306024156</v>
      </c>
      <c r="AR781">
        <v>0</v>
      </c>
      <c r="AS781">
        <v>89306024156</v>
      </c>
      <c r="AY781" t="s">
        <v>557</v>
      </c>
      <c r="AZ781" t="s">
        <v>558</v>
      </c>
      <c r="BA781" t="s">
        <v>267</v>
      </c>
      <c r="BB781" t="s">
        <v>267</v>
      </c>
      <c r="BC781" t="s">
        <v>242</v>
      </c>
      <c r="BK781" t="s">
        <v>860</v>
      </c>
      <c r="BM781" t="s">
        <v>861</v>
      </c>
      <c r="BN781" t="s">
        <v>862</v>
      </c>
      <c r="BO781" t="s">
        <v>971</v>
      </c>
      <c r="BP781">
        <v>9.1</v>
      </c>
      <c r="BQ781" t="s">
        <v>864</v>
      </c>
      <c r="DF781" s="15" t="s">
        <v>9487</v>
      </c>
      <c r="DG781" t="s">
        <v>126</v>
      </c>
      <c r="DH781" t="s">
        <v>127</v>
      </c>
      <c r="DI781" t="s">
        <v>150</v>
      </c>
      <c r="DJ781" t="s">
        <v>326</v>
      </c>
      <c r="DK781">
        <v>136146156.16</v>
      </c>
    </row>
    <row r="782" spans="1:115" x14ac:dyDescent="0.25">
      <c r="A782" t="s">
        <v>3009</v>
      </c>
      <c r="B782" t="s">
        <v>1518</v>
      </c>
      <c r="F782" t="s">
        <v>315</v>
      </c>
      <c r="I782" t="s">
        <v>1519</v>
      </c>
      <c r="N782" t="s">
        <v>3010</v>
      </c>
      <c r="U782" t="s">
        <v>1521</v>
      </c>
      <c r="V782" t="s">
        <v>1522</v>
      </c>
      <c r="Z782" s="14">
        <v>45057</v>
      </c>
      <c r="AD782" s="14">
        <v>46387</v>
      </c>
      <c r="AL782" t="s">
        <v>624</v>
      </c>
      <c r="AN782">
        <v>11151269002.5</v>
      </c>
      <c r="AR782">
        <v>0</v>
      </c>
      <c r="AS782">
        <v>11151269002.5</v>
      </c>
      <c r="AY782" t="s">
        <v>557</v>
      </c>
      <c r="AZ782" t="s">
        <v>558</v>
      </c>
      <c r="BA782" t="s">
        <v>1515</v>
      </c>
      <c r="BB782" t="s">
        <v>1516</v>
      </c>
      <c r="BC782" t="s">
        <v>242</v>
      </c>
      <c r="BK782" t="s">
        <v>860</v>
      </c>
      <c r="BM782" t="s">
        <v>861</v>
      </c>
      <c r="BN782" t="s">
        <v>900</v>
      </c>
      <c r="BO782" t="s">
        <v>901</v>
      </c>
      <c r="BP782">
        <v>4.0999999999999996</v>
      </c>
      <c r="BQ782" t="s">
        <v>902</v>
      </c>
      <c r="DF782" s="15" t="s">
        <v>9424</v>
      </c>
      <c r="DG782" t="s">
        <v>126</v>
      </c>
      <c r="DH782" t="s">
        <v>127</v>
      </c>
      <c r="DI782" t="s">
        <v>150</v>
      </c>
      <c r="DJ782" t="s">
        <v>326</v>
      </c>
      <c r="DK782">
        <v>20275034.550000001</v>
      </c>
    </row>
    <row r="783" spans="1:115" x14ac:dyDescent="0.25">
      <c r="A783" t="s">
        <v>3011</v>
      </c>
      <c r="B783" t="s">
        <v>3012</v>
      </c>
      <c r="F783" t="s">
        <v>190</v>
      </c>
      <c r="N783" t="s">
        <v>3013</v>
      </c>
      <c r="U783" t="s">
        <v>3014</v>
      </c>
      <c r="V783" t="s">
        <v>3015</v>
      </c>
      <c r="Z783" s="14">
        <v>45127</v>
      </c>
      <c r="AA783" s="14">
        <v>45138</v>
      </c>
      <c r="AD783" s="14">
        <v>47483</v>
      </c>
      <c r="AL783" t="s">
        <v>624</v>
      </c>
      <c r="AN783">
        <v>27500000000</v>
      </c>
      <c r="AR783">
        <v>0</v>
      </c>
      <c r="AS783">
        <v>27500000000</v>
      </c>
      <c r="BA783" t="s">
        <v>305</v>
      </c>
      <c r="BB783" t="s">
        <v>306</v>
      </c>
      <c r="BC783" t="s">
        <v>125</v>
      </c>
      <c r="DF783" s="15" t="s">
        <v>9488</v>
      </c>
      <c r="DG783" t="s">
        <v>126</v>
      </c>
      <c r="DH783" t="s">
        <v>127</v>
      </c>
      <c r="DI783" t="s">
        <v>150</v>
      </c>
      <c r="DJ783" t="s">
        <v>3016</v>
      </c>
      <c r="DK783">
        <v>50000000</v>
      </c>
    </row>
    <row r="784" spans="1:115" ht="30" x14ac:dyDescent="0.25">
      <c r="A784" t="s">
        <v>3017</v>
      </c>
      <c r="B784" t="s">
        <v>3018</v>
      </c>
      <c r="F784" t="s">
        <v>190</v>
      </c>
      <c r="I784" t="s">
        <v>974</v>
      </c>
      <c r="N784" t="s">
        <v>3019</v>
      </c>
      <c r="U784" t="s">
        <v>3020</v>
      </c>
      <c r="Z784" s="14">
        <v>45252</v>
      </c>
      <c r="AA784" s="14">
        <v>45278</v>
      </c>
      <c r="AD784" s="14">
        <v>47118</v>
      </c>
      <c r="AL784" t="s">
        <v>624</v>
      </c>
      <c r="AN784">
        <v>15998400000</v>
      </c>
      <c r="AR784">
        <v>0</v>
      </c>
      <c r="AS784">
        <v>15998400000</v>
      </c>
      <c r="AY784" t="s">
        <v>557</v>
      </c>
      <c r="AZ784" t="s">
        <v>558</v>
      </c>
      <c r="BA784" t="s">
        <v>277</v>
      </c>
      <c r="BB784" t="s">
        <v>278</v>
      </c>
      <c r="BC784" t="s">
        <v>125</v>
      </c>
      <c r="BK784" t="s">
        <v>860</v>
      </c>
      <c r="BM784" t="s">
        <v>861</v>
      </c>
      <c r="BN784" t="s">
        <v>862</v>
      </c>
      <c r="BO784" t="s">
        <v>863</v>
      </c>
      <c r="BP784">
        <v>2.2999999999999998</v>
      </c>
      <c r="BQ784" t="s">
        <v>864</v>
      </c>
      <c r="DF784" s="15" t="s">
        <v>9489</v>
      </c>
      <c r="DG784" t="s">
        <v>126</v>
      </c>
      <c r="DH784" t="s">
        <v>127</v>
      </c>
      <c r="DI784" t="s">
        <v>150</v>
      </c>
      <c r="DJ784" t="s">
        <v>3021</v>
      </c>
      <c r="DK784">
        <v>29088000</v>
      </c>
    </row>
    <row r="785" spans="1:115" x14ac:dyDescent="0.25">
      <c r="A785" t="s">
        <v>3022</v>
      </c>
      <c r="B785" t="s">
        <v>3023</v>
      </c>
      <c r="F785" t="s">
        <v>205</v>
      </c>
      <c r="N785" t="s">
        <v>3024</v>
      </c>
      <c r="U785" t="s">
        <v>185</v>
      </c>
      <c r="V785" t="s">
        <v>224</v>
      </c>
      <c r="W785" t="s">
        <v>1293</v>
      </c>
      <c r="Z785" s="14">
        <v>44970</v>
      </c>
      <c r="AA785" s="14">
        <v>45427</v>
      </c>
      <c r="AD785" s="14">
        <v>46752</v>
      </c>
      <c r="AL785" t="s">
        <v>136</v>
      </c>
      <c r="AN785">
        <v>10000000000</v>
      </c>
      <c r="AR785">
        <v>0</v>
      </c>
      <c r="AS785">
        <v>10000000000</v>
      </c>
      <c r="BA785" t="s">
        <v>137</v>
      </c>
      <c r="BB785" t="s">
        <v>138</v>
      </c>
      <c r="BC785" t="s">
        <v>125</v>
      </c>
      <c r="DF785" s="15" t="s">
        <v>9411</v>
      </c>
      <c r="DG785" t="s">
        <v>126</v>
      </c>
      <c r="DH785" t="s">
        <v>127</v>
      </c>
      <c r="DI785" t="s">
        <v>128</v>
      </c>
      <c r="DJ785" t="s">
        <v>3025</v>
      </c>
      <c r="DK785">
        <v>10000000000</v>
      </c>
    </row>
    <row r="786" spans="1:115" x14ac:dyDescent="0.25">
      <c r="A786" t="s">
        <v>3026</v>
      </c>
      <c r="B786" t="s">
        <v>3027</v>
      </c>
      <c r="F786" t="s">
        <v>205</v>
      </c>
      <c r="N786" t="s">
        <v>3028</v>
      </c>
      <c r="U786" t="s">
        <v>211</v>
      </c>
      <c r="Z786" s="14">
        <v>45024</v>
      </c>
      <c r="AA786" s="14">
        <v>45427</v>
      </c>
      <c r="AD786" s="14">
        <v>47483</v>
      </c>
      <c r="AL786" t="s">
        <v>122</v>
      </c>
      <c r="AN786">
        <v>7871484000</v>
      </c>
      <c r="AR786">
        <v>7871484000</v>
      </c>
      <c r="AS786">
        <v>0</v>
      </c>
      <c r="BA786" t="s">
        <v>337</v>
      </c>
      <c r="BB786" t="s">
        <v>338</v>
      </c>
      <c r="BC786" t="s">
        <v>242</v>
      </c>
      <c r="DF786" s="15" t="s">
        <v>9490</v>
      </c>
      <c r="DG786" t="s">
        <v>126</v>
      </c>
      <c r="DH786" t="s">
        <v>159</v>
      </c>
      <c r="DI786" t="s">
        <v>159</v>
      </c>
      <c r="DJ786" t="s">
        <v>3029</v>
      </c>
      <c r="DK786">
        <v>10000000</v>
      </c>
    </row>
    <row r="787" spans="1:115" x14ac:dyDescent="0.25">
      <c r="A787" t="s">
        <v>3030</v>
      </c>
      <c r="B787" t="s">
        <v>3031</v>
      </c>
      <c r="F787" t="s">
        <v>205</v>
      </c>
      <c r="N787" t="s">
        <v>3032</v>
      </c>
      <c r="U787" t="s">
        <v>211</v>
      </c>
      <c r="Z787" s="14">
        <v>45024</v>
      </c>
      <c r="AA787" s="14">
        <v>45427</v>
      </c>
      <c r="AD787" s="14">
        <v>47483</v>
      </c>
      <c r="AL787" t="s">
        <v>122</v>
      </c>
      <c r="AN787">
        <v>6559570000</v>
      </c>
      <c r="AR787">
        <v>6559570000</v>
      </c>
      <c r="AS787">
        <v>0</v>
      </c>
      <c r="BA787" t="s">
        <v>240</v>
      </c>
      <c r="BB787" t="s">
        <v>241</v>
      </c>
      <c r="BC787" t="s">
        <v>242</v>
      </c>
      <c r="DF787" s="15" t="s">
        <v>9490</v>
      </c>
      <c r="DG787" t="s">
        <v>126</v>
      </c>
      <c r="DH787" t="s">
        <v>159</v>
      </c>
      <c r="DI787" t="s">
        <v>159</v>
      </c>
      <c r="DJ787" t="s">
        <v>3033</v>
      </c>
      <c r="DK787">
        <v>10000000</v>
      </c>
    </row>
    <row r="788" spans="1:115" x14ac:dyDescent="0.25">
      <c r="A788" t="s">
        <v>3034</v>
      </c>
      <c r="B788" t="s">
        <v>3035</v>
      </c>
      <c r="F788" t="s">
        <v>315</v>
      </c>
      <c r="N788" t="s">
        <v>3036</v>
      </c>
      <c r="U788" t="s">
        <v>176</v>
      </c>
      <c r="Z788" s="14">
        <v>45024</v>
      </c>
      <c r="AA788" s="14">
        <v>45427</v>
      </c>
      <c r="AD788" s="14">
        <v>47848</v>
      </c>
      <c r="AL788" t="s">
        <v>122</v>
      </c>
      <c r="AN788">
        <v>13119140000</v>
      </c>
      <c r="AR788">
        <v>13119140000</v>
      </c>
      <c r="AS788">
        <v>0</v>
      </c>
      <c r="BA788" t="s">
        <v>240</v>
      </c>
      <c r="BB788" t="s">
        <v>241</v>
      </c>
      <c r="BC788" t="s">
        <v>242</v>
      </c>
      <c r="DF788" s="15" t="s">
        <v>9308</v>
      </c>
      <c r="DG788" t="s">
        <v>126</v>
      </c>
      <c r="DH788" t="s">
        <v>159</v>
      </c>
      <c r="DI788" t="s">
        <v>159</v>
      </c>
      <c r="DJ788" t="s">
        <v>3037</v>
      </c>
      <c r="DK788">
        <v>20000000</v>
      </c>
    </row>
    <row r="789" spans="1:115" x14ac:dyDescent="0.25">
      <c r="A789" t="s">
        <v>3038</v>
      </c>
      <c r="B789" t="s">
        <v>3039</v>
      </c>
      <c r="F789" t="s">
        <v>205</v>
      </c>
      <c r="N789" t="s">
        <v>3040</v>
      </c>
      <c r="U789" t="s">
        <v>165</v>
      </c>
      <c r="V789" t="s">
        <v>166</v>
      </c>
      <c r="Z789" s="14">
        <v>45022</v>
      </c>
      <c r="AA789" s="14">
        <v>45427</v>
      </c>
      <c r="AD789" s="14">
        <v>47118</v>
      </c>
      <c r="AL789" t="s">
        <v>122</v>
      </c>
      <c r="AN789">
        <v>393574200</v>
      </c>
      <c r="AR789">
        <v>393574200</v>
      </c>
      <c r="AS789">
        <v>0</v>
      </c>
      <c r="BA789" t="s">
        <v>484</v>
      </c>
      <c r="BB789" t="s">
        <v>484</v>
      </c>
      <c r="BC789" t="s">
        <v>242</v>
      </c>
      <c r="DF789" s="15" t="s">
        <v>9307</v>
      </c>
      <c r="DG789" t="s">
        <v>126</v>
      </c>
      <c r="DH789" t="s">
        <v>159</v>
      </c>
      <c r="DI789" t="s">
        <v>159</v>
      </c>
      <c r="DJ789" t="s">
        <v>3041</v>
      </c>
      <c r="DK789">
        <v>6000000</v>
      </c>
    </row>
    <row r="790" spans="1:115" x14ac:dyDescent="0.25">
      <c r="A790" t="s">
        <v>3042</v>
      </c>
      <c r="B790" t="s">
        <v>3043</v>
      </c>
      <c r="F790" t="s">
        <v>315</v>
      </c>
      <c r="N790" t="s">
        <v>3044</v>
      </c>
      <c r="U790" t="s">
        <v>3045</v>
      </c>
      <c r="V790" t="s">
        <v>3046</v>
      </c>
      <c r="Z790" s="14">
        <v>45291</v>
      </c>
      <c r="AA790" s="14">
        <v>45427</v>
      </c>
      <c r="AD790" s="14">
        <v>47483</v>
      </c>
      <c r="AL790" t="s">
        <v>136</v>
      </c>
      <c r="AN790">
        <v>30000000000</v>
      </c>
      <c r="AR790">
        <v>0</v>
      </c>
      <c r="AS790">
        <v>30000000000</v>
      </c>
      <c r="BA790" t="s">
        <v>137</v>
      </c>
      <c r="BB790" t="s">
        <v>138</v>
      </c>
      <c r="BC790" t="s">
        <v>125</v>
      </c>
      <c r="DF790" s="15" t="s">
        <v>9491</v>
      </c>
      <c r="DG790" t="s">
        <v>126</v>
      </c>
      <c r="DH790" t="s">
        <v>127</v>
      </c>
      <c r="DI790" t="s">
        <v>128</v>
      </c>
      <c r="DJ790" t="s">
        <v>3047</v>
      </c>
      <c r="DK790">
        <v>30000000000</v>
      </c>
    </row>
    <row r="791" spans="1:115" x14ac:dyDescent="0.25">
      <c r="A791" t="s">
        <v>3048</v>
      </c>
      <c r="B791" t="s">
        <v>3049</v>
      </c>
      <c r="F791" t="s">
        <v>263</v>
      </c>
      <c r="N791" t="s">
        <v>3050</v>
      </c>
      <c r="U791" t="s">
        <v>302</v>
      </c>
      <c r="V791" t="s">
        <v>3051</v>
      </c>
      <c r="Z791" s="14">
        <v>45291</v>
      </c>
      <c r="AA791" s="14">
        <v>45427</v>
      </c>
      <c r="AD791" s="14">
        <v>47483</v>
      </c>
      <c r="AL791" t="s">
        <v>136</v>
      </c>
      <c r="AN791">
        <v>20000000000</v>
      </c>
      <c r="AR791">
        <v>0</v>
      </c>
      <c r="AS791">
        <v>20000000000</v>
      </c>
      <c r="BA791" t="s">
        <v>137</v>
      </c>
      <c r="BB791" t="s">
        <v>138</v>
      </c>
      <c r="BC791" t="s">
        <v>125</v>
      </c>
      <c r="DF791" s="15" t="s">
        <v>9492</v>
      </c>
      <c r="DG791" t="s">
        <v>126</v>
      </c>
      <c r="DH791" t="s">
        <v>127</v>
      </c>
      <c r="DI791" t="s">
        <v>128</v>
      </c>
      <c r="DJ791" t="s">
        <v>3052</v>
      </c>
      <c r="DK791">
        <v>20000000000</v>
      </c>
    </row>
    <row r="792" spans="1:115" x14ac:dyDescent="0.25">
      <c r="A792" t="s">
        <v>3053</v>
      </c>
      <c r="B792" t="s">
        <v>3054</v>
      </c>
      <c r="F792" t="s">
        <v>526</v>
      </c>
      <c r="N792" t="s">
        <v>3055</v>
      </c>
      <c r="U792" t="s">
        <v>185</v>
      </c>
      <c r="V792" t="s">
        <v>3056</v>
      </c>
      <c r="Z792" s="14">
        <v>45310</v>
      </c>
      <c r="AA792" s="14">
        <v>45427</v>
      </c>
      <c r="AD792" s="14">
        <v>47483</v>
      </c>
      <c r="AL792" t="s">
        <v>122</v>
      </c>
      <c r="AN792">
        <v>53621204965</v>
      </c>
      <c r="AR792">
        <v>0</v>
      </c>
      <c r="AS792">
        <v>53621204965</v>
      </c>
      <c r="BA792" t="s">
        <v>277</v>
      </c>
      <c r="BB792" t="s">
        <v>278</v>
      </c>
      <c r="BC792" t="s">
        <v>125</v>
      </c>
      <c r="DF792" s="15" t="s">
        <v>9493</v>
      </c>
      <c r="DG792" t="s">
        <v>126</v>
      </c>
      <c r="DH792" t="s">
        <v>127</v>
      </c>
      <c r="DI792" t="s">
        <v>128</v>
      </c>
      <c r="DJ792" t="s">
        <v>3057</v>
      </c>
      <c r="DK792">
        <v>81745000</v>
      </c>
    </row>
    <row r="793" spans="1:115" x14ac:dyDescent="0.25">
      <c r="A793" t="s">
        <v>3058</v>
      </c>
      <c r="B793" t="s">
        <v>3059</v>
      </c>
      <c r="F793" t="s">
        <v>190</v>
      </c>
      <c r="N793" t="s">
        <v>3060</v>
      </c>
      <c r="U793" t="s">
        <v>3061</v>
      </c>
      <c r="Z793" s="14">
        <v>45315</v>
      </c>
      <c r="AA793" s="14">
        <v>45427</v>
      </c>
      <c r="AD793" s="14">
        <v>46387</v>
      </c>
      <c r="AL793" t="s">
        <v>624</v>
      </c>
      <c r="AN793">
        <v>6355072400</v>
      </c>
      <c r="AR793">
        <v>0</v>
      </c>
      <c r="AS793">
        <v>6355072400</v>
      </c>
      <c r="BA793" t="s">
        <v>448</v>
      </c>
      <c r="BB793" t="s">
        <v>449</v>
      </c>
      <c r="BC793" t="s">
        <v>125</v>
      </c>
      <c r="DF793" s="15" t="s">
        <v>9494</v>
      </c>
      <c r="DG793" t="s">
        <v>126</v>
      </c>
      <c r="DH793" t="s">
        <v>127</v>
      </c>
      <c r="DI793" t="s">
        <v>150</v>
      </c>
      <c r="DJ793" t="s">
        <v>3062</v>
      </c>
      <c r="DK793">
        <v>10963768</v>
      </c>
    </row>
    <row r="794" spans="1:115" x14ac:dyDescent="0.25">
      <c r="A794" t="s">
        <v>3063</v>
      </c>
      <c r="B794" t="s">
        <v>3064</v>
      </c>
      <c r="F794" t="s">
        <v>190</v>
      </c>
      <c r="N794" t="s">
        <v>3065</v>
      </c>
      <c r="U794" t="s">
        <v>3061</v>
      </c>
      <c r="Z794" s="14">
        <v>45315</v>
      </c>
      <c r="AA794" s="14">
        <v>45427</v>
      </c>
      <c r="AD794" s="14">
        <v>46387</v>
      </c>
      <c r="AL794" t="s">
        <v>624</v>
      </c>
      <c r="AN794">
        <v>63768100</v>
      </c>
      <c r="AR794">
        <v>0</v>
      </c>
      <c r="AS794">
        <v>63768100</v>
      </c>
      <c r="BA794" t="s">
        <v>448</v>
      </c>
      <c r="BB794" t="s">
        <v>449</v>
      </c>
      <c r="BC794" t="s">
        <v>125</v>
      </c>
      <c r="DF794" s="15" t="s">
        <v>9494</v>
      </c>
      <c r="DG794" t="s">
        <v>126</v>
      </c>
      <c r="DH794" t="s">
        <v>127</v>
      </c>
      <c r="DI794" t="s">
        <v>150</v>
      </c>
      <c r="DJ794" t="s">
        <v>3066</v>
      </c>
      <c r="DK794">
        <v>115942</v>
      </c>
    </row>
    <row r="795" spans="1:115" x14ac:dyDescent="0.25">
      <c r="A795" t="s">
        <v>3067</v>
      </c>
      <c r="B795" t="s">
        <v>3068</v>
      </c>
      <c r="F795" t="s">
        <v>190</v>
      </c>
      <c r="N795" t="s">
        <v>3069</v>
      </c>
      <c r="U795" t="s">
        <v>3070</v>
      </c>
      <c r="Z795" s="14">
        <v>45315</v>
      </c>
      <c r="AA795" s="14">
        <v>45427</v>
      </c>
      <c r="AD795" s="14">
        <v>46022</v>
      </c>
      <c r="AL795" t="s">
        <v>624</v>
      </c>
      <c r="AN795">
        <v>8226356737</v>
      </c>
      <c r="AR795">
        <v>0</v>
      </c>
      <c r="AS795">
        <v>8226356737</v>
      </c>
      <c r="BA795" t="s">
        <v>448</v>
      </c>
      <c r="BB795" t="s">
        <v>449</v>
      </c>
      <c r="BC795" t="s">
        <v>125</v>
      </c>
      <c r="DF795" s="15" t="s">
        <v>9495</v>
      </c>
      <c r="DG795" t="s">
        <v>126</v>
      </c>
      <c r="DH795" t="s">
        <v>127</v>
      </c>
      <c r="DI795" t="s">
        <v>150</v>
      </c>
      <c r="DJ795" t="s">
        <v>3041</v>
      </c>
      <c r="DK795">
        <v>12541000</v>
      </c>
    </row>
    <row r="796" spans="1:115" x14ac:dyDescent="0.25">
      <c r="A796" t="s">
        <v>3071</v>
      </c>
      <c r="B796" t="s">
        <v>3072</v>
      </c>
      <c r="F796" t="s">
        <v>190</v>
      </c>
      <c r="N796" t="s">
        <v>3073</v>
      </c>
      <c r="U796" t="s">
        <v>409</v>
      </c>
      <c r="V796" t="s">
        <v>3074</v>
      </c>
      <c r="Z796" s="14">
        <v>45354</v>
      </c>
      <c r="AA796" s="14">
        <v>45427</v>
      </c>
      <c r="AD796" s="14">
        <v>47848</v>
      </c>
      <c r="AL796" t="s">
        <v>122</v>
      </c>
      <c r="AN796">
        <v>65989274200</v>
      </c>
      <c r="AR796">
        <v>0</v>
      </c>
      <c r="AS796">
        <v>65989274200</v>
      </c>
      <c r="BA796" t="s">
        <v>168</v>
      </c>
      <c r="BB796" t="s">
        <v>169</v>
      </c>
      <c r="BC796" t="s">
        <v>125</v>
      </c>
      <c r="DF796" s="15" t="s">
        <v>9496</v>
      </c>
      <c r="DG796" t="s">
        <v>126</v>
      </c>
      <c r="DH796" t="s">
        <v>127</v>
      </c>
      <c r="DI796" t="s">
        <v>150</v>
      </c>
      <c r="DJ796" t="s">
        <v>3075</v>
      </c>
      <c r="DK796">
        <v>100600000</v>
      </c>
    </row>
    <row r="797" spans="1:115" x14ac:dyDescent="0.25">
      <c r="A797" t="s">
        <v>3076</v>
      </c>
      <c r="B797" t="s">
        <v>3077</v>
      </c>
      <c r="F797" t="s">
        <v>190</v>
      </c>
      <c r="N797" t="s">
        <v>3078</v>
      </c>
      <c r="U797" t="s">
        <v>176</v>
      </c>
      <c r="Z797" s="14">
        <v>45427</v>
      </c>
      <c r="AA797" s="14">
        <v>45472</v>
      </c>
      <c r="AD797" s="14">
        <v>46387</v>
      </c>
      <c r="AL797" t="s">
        <v>122</v>
      </c>
      <c r="AN797">
        <v>91717790200</v>
      </c>
      <c r="AR797">
        <v>0</v>
      </c>
      <c r="AS797">
        <v>91717790200</v>
      </c>
      <c r="BA797" t="s">
        <v>178</v>
      </c>
      <c r="BB797" t="s">
        <v>179</v>
      </c>
      <c r="BC797" t="s">
        <v>125</v>
      </c>
      <c r="DF797" s="15" t="s">
        <v>9308</v>
      </c>
      <c r="DG797" t="s">
        <v>126</v>
      </c>
      <c r="DH797" t="s">
        <v>127</v>
      </c>
      <c r="DI797" t="s">
        <v>150</v>
      </c>
      <c r="DJ797" t="s">
        <v>3079</v>
      </c>
      <c r="DK797">
        <v>139900000</v>
      </c>
    </row>
    <row r="798" spans="1:115" x14ac:dyDescent="0.25">
      <c r="A798" t="s">
        <v>3080</v>
      </c>
      <c r="B798" t="s">
        <v>3081</v>
      </c>
      <c r="F798" t="s">
        <v>190</v>
      </c>
      <c r="N798" t="s">
        <v>3013</v>
      </c>
      <c r="U798" t="s">
        <v>3082</v>
      </c>
      <c r="V798" t="s">
        <v>3083</v>
      </c>
      <c r="Z798" s="14">
        <v>45427</v>
      </c>
      <c r="AA798" s="14">
        <v>45475</v>
      </c>
      <c r="AD798" s="14">
        <v>47483</v>
      </c>
      <c r="AL798" t="s">
        <v>122</v>
      </c>
      <c r="AN798">
        <v>41987807570</v>
      </c>
      <c r="AR798">
        <v>0</v>
      </c>
      <c r="AS798">
        <v>41987807570</v>
      </c>
      <c r="BA798" t="s">
        <v>168</v>
      </c>
      <c r="BB798" t="s">
        <v>169</v>
      </c>
      <c r="BC798" t="s">
        <v>125</v>
      </c>
      <c r="DF798" s="15" t="s">
        <v>9497</v>
      </c>
      <c r="DG798" t="s">
        <v>126</v>
      </c>
      <c r="DH798" t="s">
        <v>127</v>
      </c>
      <c r="DI798" t="s">
        <v>150</v>
      </c>
      <c r="DJ798" t="s">
        <v>3084</v>
      </c>
      <c r="DK798">
        <v>64010000</v>
      </c>
    </row>
    <row r="799" spans="1:115" x14ac:dyDescent="0.25">
      <c r="A799" t="s">
        <v>3085</v>
      </c>
      <c r="B799" t="s">
        <v>3086</v>
      </c>
      <c r="F799" t="s">
        <v>526</v>
      </c>
      <c r="N799" t="s">
        <v>3087</v>
      </c>
      <c r="U799" t="s">
        <v>176</v>
      </c>
      <c r="Z799" s="14">
        <v>45427</v>
      </c>
      <c r="AA799" s="14">
        <v>45475</v>
      </c>
      <c r="AD799" s="14">
        <v>47118</v>
      </c>
      <c r="AL799" t="s">
        <v>2384</v>
      </c>
      <c r="AN799">
        <v>11800000000</v>
      </c>
      <c r="AR799">
        <v>0</v>
      </c>
      <c r="AS799">
        <v>11800000000</v>
      </c>
      <c r="BA799" t="s">
        <v>168</v>
      </c>
      <c r="BB799" t="s">
        <v>169</v>
      </c>
      <c r="BC799" t="s">
        <v>125</v>
      </c>
      <c r="DF799" s="15" t="s">
        <v>9308</v>
      </c>
      <c r="DG799" t="s">
        <v>126</v>
      </c>
      <c r="DH799" t="s">
        <v>127</v>
      </c>
      <c r="DI799" t="s">
        <v>150</v>
      </c>
      <c r="DJ799" t="s">
        <v>3088</v>
      </c>
      <c r="DK799">
        <v>18520000</v>
      </c>
    </row>
    <row r="800" spans="1:115" x14ac:dyDescent="0.25">
      <c r="A800" t="s">
        <v>3089</v>
      </c>
      <c r="B800" t="s">
        <v>3090</v>
      </c>
      <c r="F800" t="s">
        <v>163</v>
      </c>
      <c r="N800" t="s">
        <v>3091</v>
      </c>
      <c r="U800" t="s">
        <v>176</v>
      </c>
      <c r="Z800" s="14">
        <v>45427</v>
      </c>
      <c r="AA800" s="14">
        <v>45498</v>
      </c>
      <c r="AD800" s="14">
        <v>46022</v>
      </c>
      <c r="AL800" t="s">
        <v>177</v>
      </c>
      <c r="AN800">
        <v>36700000000</v>
      </c>
      <c r="AR800">
        <v>0</v>
      </c>
      <c r="AS800">
        <v>36700000000</v>
      </c>
      <c r="BA800" t="s">
        <v>277</v>
      </c>
      <c r="BB800" t="s">
        <v>278</v>
      </c>
      <c r="BC800" t="s">
        <v>125</v>
      </c>
      <c r="DF800" s="15" t="s">
        <v>9308</v>
      </c>
      <c r="DG800" t="s">
        <v>126</v>
      </c>
      <c r="DH800" t="s">
        <v>127</v>
      </c>
      <c r="DI800" t="s">
        <v>150</v>
      </c>
      <c r="DJ800" t="s">
        <v>3092</v>
      </c>
      <c r="DK800">
        <v>46000000</v>
      </c>
    </row>
    <row r="801" spans="1:115" x14ac:dyDescent="0.25">
      <c r="A801" t="s">
        <v>3093</v>
      </c>
      <c r="B801" t="s">
        <v>3094</v>
      </c>
      <c r="F801" t="s">
        <v>163</v>
      </c>
      <c r="I801" t="s">
        <v>2853</v>
      </c>
      <c r="N801" t="s">
        <v>3095</v>
      </c>
      <c r="U801" t="s">
        <v>176</v>
      </c>
      <c r="Z801" s="14">
        <v>45427</v>
      </c>
      <c r="AA801" s="14">
        <v>45568</v>
      </c>
      <c r="AD801" s="14">
        <v>46022</v>
      </c>
      <c r="AL801" t="s">
        <v>122</v>
      </c>
      <c r="AN801">
        <v>38701463000</v>
      </c>
      <c r="AR801">
        <v>0</v>
      </c>
      <c r="AS801">
        <v>38701463000</v>
      </c>
      <c r="AY801" t="s">
        <v>557</v>
      </c>
      <c r="AZ801" t="s">
        <v>558</v>
      </c>
      <c r="BA801" t="s">
        <v>337</v>
      </c>
      <c r="BB801" t="s">
        <v>338</v>
      </c>
      <c r="BC801" t="s">
        <v>242</v>
      </c>
      <c r="BK801" t="s">
        <v>860</v>
      </c>
      <c r="BM801" t="s">
        <v>861</v>
      </c>
      <c r="BN801" t="s">
        <v>862</v>
      </c>
      <c r="BO801" t="s">
        <v>939</v>
      </c>
      <c r="BP801">
        <v>11.3</v>
      </c>
      <c r="BQ801" t="s">
        <v>902</v>
      </c>
      <c r="DF801" s="15" t="s">
        <v>9308</v>
      </c>
      <c r="DG801" t="s">
        <v>126</v>
      </c>
      <c r="DH801" t="s">
        <v>127</v>
      </c>
      <c r="DI801" t="s">
        <v>150</v>
      </c>
      <c r="DJ801" t="s">
        <v>3096</v>
      </c>
      <c r="DK801">
        <v>60000000</v>
      </c>
    </row>
    <row r="802" spans="1:115" x14ac:dyDescent="0.25">
      <c r="A802" t="s">
        <v>3097</v>
      </c>
      <c r="B802" t="s">
        <v>3098</v>
      </c>
      <c r="F802" t="s">
        <v>190</v>
      </c>
      <c r="N802" t="s">
        <v>3099</v>
      </c>
      <c r="U802" t="s">
        <v>3100</v>
      </c>
      <c r="Z802" s="14">
        <v>45427</v>
      </c>
      <c r="AA802" s="14">
        <v>45588</v>
      </c>
      <c r="AD802" s="14">
        <v>46752</v>
      </c>
      <c r="AL802" t="s">
        <v>624</v>
      </c>
      <c r="AN802">
        <v>15100000000</v>
      </c>
      <c r="AR802">
        <v>0</v>
      </c>
      <c r="AS802">
        <v>15100000000</v>
      </c>
      <c r="BA802" t="s">
        <v>148</v>
      </c>
      <c r="BB802" t="s">
        <v>149</v>
      </c>
      <c r="BC802" t="s">
        <v>125</v>
      </c>
      <c r="DF802" s="15" t="s">
        <v>9498</v>
      </c>
      <c r="DG802" t="s">
        <v>126</v>
      </c>
      <c r="DH802" t="s">
        <v>127</v>
      </c>
      <c r="DI802" t="s">
        <v>150</v>
      </c>
      <c r="DJ802" t="s">
        <v>3101</v>
      </c>
      <c r="DK802">
        <v>26000000</v>
      </c>
    </row>
    <row r="803" spans="1:115" x14ac:dyDescent="0.25">
      <c r="A803" t="s">
        <v>3102</v>
      </c>
      <c r="B803" t="s">
        <v>3103</v>
      </c>
      <c r="F803" t="s">
        <v>163</v>
      </c>
      <c r="N803" t="s">
        <v>3104</v>
      </c>
      <c r="U803" t="s">
        <v>176</v>
      </c>
      <c r="Z803" s="14">
        <v>45427</v>
      </c>
      <c r="AA803" s="14">
        <v>45600</v>
      </c>
      <c r="AD803" s="14">
        <v>46022</v>
      </c>
      <c r="AL803" t="s">
        <v>122</v>
      </c>
      <c r="AN803">
        <v>88882173500</v>
      </c>
      <c r="AR803">
        <v>0</v>
      </c>
      <c r="AS803">
        <v>88882173500</v>
      </c>
      <c r="BA803" t="s">
        <v>178</v>
      </c>
      <c r="BB803" t="s">
        <v>179</v>
      </c>
      <c r="BC803" t="s">
        <v>125</v>
      </c>
      <c r="DF803" s="15" t="s">
        <v>9308</v>
      </c>
      <c r="DG803" t="s">
        <v>1335</v>
      </c>
      <c r="DH803" t="s">
        <v>127</v>
      </c>
      <c r="DI803" t="s">
        <v>1252</v>
      </c>
      <c r="DJ803" t="s">
        <v>3105</v>
      </c>
      <c r="DK803">
        <v>135500000</v>
      </c>
    </row>
    <row r="804" spans="1:115" x14ac:dyDescent="0.25">
      <c r="A804" t="s">
        <v>3106</v>
      </c>
      <c r="B804" t="s">
        <v>3107</v>
      </c>
      <c r="F804" t="s">
        <v>142</v>
      </c>
      <c r="I804" t="s">
        <v>1449</v>
      </c>
      <c r="N804" t="s">
        <v>3108</v>
      </c>
      <c r="U804" t="s">
        <v>165</v>
      </c>
      <c r="V804" t="s">
        <v>166</v>
      </c>
      <c r="Z804" s="14">
        <v>45274</v>
      </c>
      <c r="AA804" s="14">
        <v>45294</v>
      </c>
      <c r="AD804" s="14">
        <v>47118</v>
      </c>
      <c r="AL804" t="s">
        <v>624</v>
      </c>
      <c r="AN804">
        <v>52471999998</v>
      </c>
      <c r="AR804">
        <v>0</v>
      </c>
      <c r="AS804">
        <v>52471999998</v>
      </c>
      <c r="AY804" t="s">
        <v>557</v>
      </c>
      <c r="AZ804" t="s">
        <v>558</v>
      </c>
      <c r="BA804" t="s">
        <v>277</v>
      </c>
      <c r="BB804" t="s">
        <v>278</v>
      </c>
      <c r="BC804" t="s">
        <v>125</v>
      </c>
      <c r="BK804" t="s">
        <v>860</v>
      </c>
      <c r="BM804" t="s">
        <v>861</v>
      </c>
      <c r="BN804" t="s">
        <v>862</v>
      </c>
      <c r="BO804" t="s">
        <v>971</v>
      </c>
      <c r="BP804">
        <v>9.1</v>
      </c>
      <c r="BQ804" t="s">
        <v>864</v>
      </c>
      <c r="DF804" s="15" t="s">
        <v>9307</v>
      </c>
      <c r="DG804" t="s">
        <v>126</v>
      </c>
      <c r="DH804" t="s">
        <v>127</v>
      </c>
      <c r="DI804" t="s">
        <v>128</v>
      </c>
      <c r="DJ804" t="s">
        <v>151</v>
      </c>
      <c r="DK804">
        <v>95403636.359999999</v>
      </c>
    </row>
    <row r="805" spans="1:115" x14ac:dyDescent="0.25">
      <c r="A805" t="s">
        <v>3109</v>
      </c>
      <c r="B805" t="s">
        <v>1014</v>
      </c>
      <c r="F805" t="s">
        <v>263</v>
      </c>
      <c r="I805" t="s">
        <v>555</v>
      </c>
      <c r="N805" t="s">
        <v>3110</v>
      </c>
      <c r="U805" t="s">
        <v>176</v>
      </c>
      <c r="Z805" s="14">
        <v>45336</v>
      </c>
      <c r="AA805" s="14">
        <v>45427</v>
      </c>
      <c r="AD805" s="14">
        <v>47483</v>
      </c>
      <c r="AL805" t="s">
        <v>122</v>
      </c>
      <c r="AN805">
        <v>7740292600</v>
      </c>
      <c r="AR805">
        <v>7740292600</v>
      </c>
      <c r="AS805">
        <v>0</v>
      </c>
      <c r="AY805" t="s">
        <v>557</v>
      </c>
      <c r="AZ805" t="s">
        <v>880</v>
      </c>
      <c r="BA805" t="s">
        <v>267</v>
      </c>
      <c r="BB805" t="s">
        <v>267</v>
      </c>
      <c r="BC805" t="s">
        <v>242</v>
      </c>
      <c r="BK805" t="s">
        <v>860</v>
      </c>
      <c r="BM805" t="s">
        <v>560</v>
      </c>
      <c r="BN805" t="s">
        <v>561</v>
      </c>
      <c r="BO805" t="s">
        <v>562</v>
      </c>
      <c r="BP805">
        <v>6.1</v>
      </c>
      <c r="BQ805" t="s">
        <v>563</v>
      </c>
      <c r="DF805" s="15" t="s">
        <v>9308</v>
      </c>
      <c r="DG805" t="s">
        <v>317</v>
      </c>
      <c r="DH805" t="s">
        <v>159</v>
      </c>
      <c r="DI805" t="s">
        <v>159</v>
      </c>
      <c r="DJ805" t="s">
        <v>326</v>
      </c>
      <c r="DK805">
        <v>11800000</v>
      </c>
    </row>
    <row r="806" spans="1:115" x14ac:dyDescent="0.25">
      <c r="A806" t="s">
        <v>3111</v>
      </c>
      <c r="B806" t="s">
        <v>3112</v>
      </c>
      <c r="F806" t="s">
        <v>142</v>
      </c>
      <c r="I806" t="s">
        <v>1449</v>
      </c>
      <c r="N806" t="s">
        <v>3113</v>
      </c>
      <c r="U806" t="s">
        <v>165</v>
      </c>
      <c r="V806" t="s">
        <v>166</v>
      </c>
      <c r="Z806" s="14">
        <v>45315</v>
      </c>
      <c r="AA806" s="14">
        <v>45427</v>
      </c>
      <c r="AD806" s="14">
        <v>47118</v>
      </c>
      <c r="AL806" t="s">
        <v>122</v>
      </c>
      <c r="AN806">
        <v>136734237</v>
      </c>
      <c r="AR806">
        <v>136734237</v>
      </c>
      <c r="AS806">
        <v>0</v>
      </c>
      <c r="AY806" t="s">
        <v>557</v>
      </c>
      <c r="AZ806" t="s">
        <v>880</v>
      </c>
      <c r="BA806" t="s">
        <v>1439</v>
      </c>
      <c r="BB806" t="s">
        <v>1439</v>
      </c>
      <c r="BC806" t="s">
        <v>242</v>
      </c>
      <c r="BK806" t="s">
        <v>860</v>
      </c>
      <c r="BM806" t="s">
        <v>861</v>
      </c>
      <c r="BN806" t="s">
        <v>862</v>
      </c>
      <c r="BO806" t="s">
        <v>971</v>
      </c>
      <c r="BP806">
        <v>9.1</v>
      </c>
      <c r="BQ806" t="s">
        <v>864</v>
      </c>
      <c r="DF806" s="15" t="s">
        <v>9307</v>
      </c>
      <c r="DG806" t="s">
        <v>126</v>
      </c>
      <c r="DH806" t="s">
        <v>159</v>
      </c>
      <c r="DI806" t="s">
        <v>159</v>
      </c>
      <c r="DJ806" t="s">
        <v>326</v>
      </c>
      <c r="DK806">
        <v>208450</v>
      </c>
    </row>
    <row r="807" spans="1:115" x14ac:dyDescent="0.25">
      <c r="A807" t="s">
        <v>3114</v>
      </c>
      <c r="B807" t="s">
        <v>3115</v>
      </c>
      <c r="F807" t="s">
        <v>216</v>
      </c>
      <c r="I807" t="s">
        <v>1025</v>
      </c>
      <c r="N807" t="s">
        <v>3116</v>
      </c>
      <c r="U807" t="s">
        <v>176</v>
      </c>
      <c r="Z807" s="14">
        <v>45427</v>
      </c>
      <c r="AA807" s="14">
        <v>45591</v>
      </c>
      <c r="AD807" s="14">
        <v>46022</v>
      </c>
      <c r="AL807" t="s">
        <v>1127</v>
      </c>
      <c r="AN807">
        <v>2140774700</v>
      </c>
      <c r="AR807">
        <v>2140774700</v>
      </c>
      <c r="AS807">
        <v>0</v>
      </c>
      <c r="AY807" t="s">
        <v>557</v>
      </c>
      <c r="AZ807" t="s">
        <v>880</v>
      </c>
      <c r="BA807" t="s">
        <v>1128</v>
      </c>
      <c r="BB807" t="s">
        <v>1128</v>
      </c>
      <c r="BC807" t="s">
        <v>242</v>
      </c>
      <c r="BK807" t="s">
        <v>860</v>
      </c>
      <c r="BM807" t="s">
        <v>560</v>
      </c>
      <c r="BN807" t="s">
        <v>561</v>
      </c>
      <c r="BO807" t="s">
        <v>989</v>
      </c>
      <c r="BP807">
        <v>3.8</v>
      </c>
      <c r="BQ807" t="s">
        <v>902</v>
      </c>
      <c r="DF807" s="15" t="s">
        <v>9308</v>
      </c>
      <c r="DG807" t="s">
        <v>126</v>
      </c>
      <c r="DH807" t="s">
        <v>159</v>
      </c>
      <c r="DI807" t="s">
        <v>159</v>
      </c>
      <c r="DJ807" t="s">
        <v>326</v>
      </c>
      <c r="DK807">
        <v>4670000</v>
      </c>
    </row>
    <row r="808" spans="1:115" x14ac:dyDescent="0.25">
      <c r="A808" t="s">
        <v>3117</v>
      </c>
      <c r="B808" t="s">
        <v>3118</v>
      </c>
      <c r="F808" t="s">
        <v>190</v>
      </c>
      <c r="I808" t="s">
        <v>1453</v>
      </c>
      <c r="N808" t="s">
        <v>3119</v>
      </c>
      <c r="U808" t="s">
        <v>176</v>
      </c>
      <c r="Z808" s="14">
        <v>45427</v>
      </c>
      <c r="AA808" s="14">
        <v>45454</v>
      </c>
      <c r="AD808" s="14">
        <v>47118</v>
      </c>
      <c r="AL808" t="s">
        <v>1127</v>
      </c>
      <c r="AN808">
        <v>1118520400</v>
      </c>
      <c r="AR808">
        <v>1118520400</v>
      </c>
      <c r="AS808">
        <v>0</v>
      </c>
      <c r="AY808" t="s">
        <v>557</v>
      </c>
      <c r="AZ808" t="s">
        <v>880</v>
      </c>
      <c r="BA808" t="s">
        <v>1128</v>
      </c>
      <c r="BB808" t="s">
        <v>1128</v>
      </c>
      <c r="BC808" t="s">
        <v>242</v>
      </c>
      <c r="BK808" t="s">
        <v>860</v>
      </c>
      <c r="BM808" t="s">
        <v>861</v>
      </c>
      <c r="BN808" t="s">
        <v>862</v>
      </c>
      <c r="BO808" t="s">
        <v>863</v>
      </c>
      <c r="BP808">
        <v>2.2999999999999998</v>
      </c>
      <c r="BQ808" t="s">
        <v>864</v>
      </c>
      <c r="DF808" s="15" t="s">
        <v>9308</v>
      </c>
      <c r="DG808" t="s">
        <v>126</v>
      </c>
      <c r="DH808" t="s">
        <v>159</v>
      </c>
      <c r="DI808" t="s">
        <v>159</v>
      </c>
      <c r="DJ808" t="s">
        <v>326</v>
      </c>
      <c r="DK808">
        <v>2440000</v>
      </c>
    </row>
    <row r="809" spans="1:115" x14ac:dyDescent="0.25">
      <c r="A809" t="s">
        <v>3120</v>
      </c>
      <c r="B809" t="s">
        <v>3121</v>
      </c>
      <c r="F809" t="s">
        <v>315</v>
      </c>
      <c r="I809" t="s">
        <v>1519</v>
      </c>
      <c r="N809" t="s">
        <v>3122</v>
      </c>
      <c r="U809" t="s">
        <v>176</v>
      </c>
      <c r="Z809" s="14">
        <v>45427</v>
      </c>
      <c r="AA809" s="14">
        <v>45498</v>
      </c>
      <c r="AD809" s="14">
        <v>47118</v>
      </c>
      <c r="AL809" t="s">
        <v>1127</v>
      </c>
      <c r="AN809">
        <v>7000559939</v>
      </c>
      <c r="AR809">
        <v>7000559939</v>
      </c>
      <c r="AS809">
        <v>0</v>
      </c>
      <c r="AY809" t="s">
        <v>557</v>
      </c>
      <c r="AZ809" t="s">
        <v>880</v>
      </c>
      <c r="BA809" t="s">
        <v>1128</v>
      </c>
      <c r="BB809" t="s">
        <v>1128</v>
      </c>
      <c r="BC809" t="s">
        <v>242</v>
      </c>
      <c r="BK809" t="s">
        <v>860</v>
      </c>
      <c r="BM809" t="s">
        <v>861</v>
      </c>
      <c r="BN809" t="s">
        <v>900</v>
      </c>
      <c r="BO809" t="s">
        <v>901</v>
      </c>
      <c r="BP809">
        <v>4.0999999999999996</v>
      </c>
      <c r="BQ809" t="s">
        <v>902</v>
      </c>
      <c r="DF809" s="15" t="s">
        <v>9308</v>
      </c>
      <c r="DG809" t="s">
        <v>126</v>
      </c>
      <c r="DH809" t="s">
        <v>159</v>
      </c>
      <c r="DI809" t="s">
        <v>159</v>
      </c>
      <c r="DJ809" t="s">
        <v>326</v>
      </c>
      <c r="DK809">
        <v>15271394.470000001</v>
      </c>
    </row>
    <row r="810" spans="1:115" x14ac:dyDescent="0.25">
      <c r="A810" t="s">
        <v>3123</v>
      </c>
      <c r="B810" t="s">
        <v>3124</v>
      </c>
      <c r="F810" t="s">
        <v>315</v>
      </c>
      <c r="I810" t="s">
        <v>1519</v>
      </c>
      <c r="N810" t="s">
        <v>3125</v>
      </c>
      <c r="U810" t="s">
        <v>176</v>
      </c>
      <c r="Z810" s="14">
        <v>44210</v>
      </c>
      <c r="AA810" s="14">
        <v>45498</v>
      </c>
      <c r="AD810" s="14">
        <v>45657</v>
      </c>
      <c r="AL810" t="s">
        <v>122</v>
      </c>
      <c r="AN810">
        <v>3738954900</v>
      </c>
      <c r="AR810">
        <v>0</v>
      </c>
      <c r="AS810">
        <v>3738954900</v>
      </c>
      <c r="AY810" t="s">
        <v>1043</v>
      </c>
      <c r="AZ810" t="s">
        <v>558</v>
      </c>
      <c r="BA810" t="s">
        <v>2501</v>
      </c>
      <c r="BB810" t="s">
        <v>2502</v>
      </c>
      <c r="BC810" t="s">
        <v>125</v>
      </c>
      <c r="BM810" t="s">
        <v>861</v>
      </c>
      <c r="BN810" t="s">
        <v>900</v>
      </c>
      <c r="BO810" t="s">
        <v>901</v>
      </c>
      <c r="BP810">
        <v>4.0999999999999996</v>
      </c>
      <c r="BQ810" t="s">
        <v>902</v>
      </c>
      <c r="DF810" s="15" t="s">
        <v>9308</v>
      </c>
      <c r="DG810" t="s">
        <v>317</v>
      </c>
      <c r="DH810" t="s">
        <v>127</v>
      </c>
      <c r="DI810" t="s">
        <v>1883</v>
      </c>
      <c r="DJ810" t="s">
        <v>172</v>
      </c>
      <c r="DK810">
        <v>5700000</v>
      </c>
    </row>
    <row r="811" spans="1:115" x14ac:dyDescent="0.25">
      <c r="A811" t="s">
        <v>3126</v>
      </c>
      <c r="B811" t="s">
        <v>3127</v>
      </c>
      <c r="F811" t="s">
        <v>369</v>
      </c>
      <c r="I811" t="s">
        <v>1838</v>
      </c>
      <c r="N811" t="s">
        <v>3128</v>
      </c>
      <c r="U811" t="s">
        <v>165</v>
      </c>
      <c r="V811" t="s">
        <v>166</v>
      </c>
      <c r="Z811" s="14">
        <v>44210</v>
      </c>
      <c r="AA811" s="14">
        <v>45568</v>
      </c>
      <c r="AD811" s="14">
        <v>45657</v>
      </c>
      <c r="AL811" t="s">
        <v>122</v>
      </c>
      <c r="AN811">
        <v>4198124800</v>
      </c>
      <c r="AR811">
        <v>0</v>
      </c>
      <c r="AS811">
        <v>4198124800</v>
      </c>
      <c r="AY811" t="s">
        <v>1043</v>
      </c>
      <c r="AZ811" t="s">
        <v>558</v>
      </c>
      <c r="BA811" t="s">
        <v>2501</v>
      </c>
      <c r="BB811" t="s">
        <v>2502</v>
      </c>
      <c r="BC811" t="s">
        <v>125</v>
      </c>
      <c r="BM811" t="s">
        <v>861</v>
      </c>
      <c r="BN811" t="s">
        <v>862</v>
      </c>
      <c r="BO811" t="s">
        <v>971</v>
      </c>
      <c r="BP811">
        <v>9.1</v>
      </c>
      <c r="BQ811" t="s">
        <v>864</v>
      </c>
      <c r="DF811" s="15" t="s">
        <v>9307</v>
      </c>
      <c r="DG811" t="s">
        <v>126</v>
      </c>
      <c r="DH811" t="s">
        <v>127</v>
      </c>
      <c r="DI811" t="s">
        <v>1883</v>
      </c>
      <c r="DJ811" t="s">
        <v>172</v>
      </c>
      <c r="DK811">
        <v>6400000</v>
      </c>
    </row>
    <row r="812" spans="1:115" x14ac:dyDescent="0.25">
      <c r="A812" t="s">
        <v>3129</v>
      </c>
      <c r="B812" t="s">
        <v>3130</v>
      </c>
      <c r="F812" t="s">
        <v>315</v>
      </c>
      <c r="I812" t="s">
        <v>998</v>
      </c>
      <c r="N812" t="s">
        <v>3131</v>
      </c>
      <c r="U812" t="s">
        <v>1360</v>
      </c>
      <c r="V812" t="s">
        <v>1361</v>
      </c>
      <c r="Z812" s="14">
        <v>45331</v>
      </c>
      <c r="AA812" s="14">
        <v>45356</v>
      </c>
      <c r="AD812" s="14">
        <v>46387</v>
      </c>
      <c r="AL812" t="s">
        <v>136</v>
      </c>
      <c r="AN812">
        <v>98451930</v>
      </c>
      <c r="AR812">
        <v>98451930</v>
      </c>
      <c r="AS812">
        <v>0</v>
      </c>
      <c r="AY812" t="s">
        <v>557</v>
      </c>
      <c r="AZ812" t="s">
        <v>880</v>
      </c>
      <c r="BA812" t="s">
        <v>1148</v>
      </c>
      <c r="BB812" t="s">
        <v>1148</v>
      </c>
      <c r="BC812" t="s">
        <v>242</v>
      </c>
      <c r="BK812" t="s">
        <v>860</v>
      </c>
      <c r="BM812" t="s">
        <v>861</v>
      </c>
      <c r="BN812" t="s">
        <v>900</v>
      </c>
      <c r="BO812" t="s">
        <v>901</v>
      </c>
      <c r="BP812">
        <v>4.0999999999999996</v>
      </c>
      <c r="BQ812" t="s">
        <v>902</v>
      </c>
      <c r="DF812" s="15" t="s">
        <v>9417</v>
      </c>
      <c r="DG812" t="s">
        <v>126</v>
      </c>
      <c r="DH812" t="s">
        <v>159</v>
      </c>
      <c r="DI812" t="s">
        <v>159</v>
      </c>
      <c r="DJ812" t="s">
        <v>172</v>
      </c>
      <c r="DK812">
        <v>98451930</v>
      </c>
    </row>
    <row r="813" spans="1:115" x14ac:dyDescent="0.25">
      <c r="A813" t="s">
        <v>3132</v>
      </c>
      <c r="B813" t="s">
        <v>3133</v>
      </c>
      <c r="F813" t="s">
        <v>315</v>
      </c>
      <c r="I813" t="s">
        <v>998</v>
      </c>
      <c r="N813" t="s">
        <v>3134</v>
      </c>
      <c r="U813" t="s">
        <v>176</v>
      </c>
      <c r="Z813" s="14">
        <v>45315</v>
      </c>
      <c r="AA813" s="14">
        <v>45356</v>
      </c>
      <c r="AD813" s="14">
        <v>46387</v>
      </c>
      <c r="AL813" t="s">
        <v>136</v>
      </c>
      <c r="AN813">
        <v>97046870</v>
      </c>
      <c r="AR813">
        <v>97046870</v>
      </c>
      <c r="AS813">
        <v>0</v>
      </c>
      <c r="AY813" t="s">
        <v>557</v>
      </c>
      <c r="AZ813" t="s">
        <v>880</v>
      </c>
      <c r="BA813" t="s">
        <v>1148</v>
      </c>
      <c r="BB813" t="s">
        <v>1148</v>
      </c>
      <c r="BC813" t="s">
        <v>242</v>
      </c>
      <c r="BK813" t="s">
        <v>860</v>
      </c>
      <c r="BM813" t="s">
        <v>861</v>
      </c>
      <c r="BN813" t="s">
        <v>900</v>
      </c>
      <c r="BO813" t="s">
        <v>901</v>
      </c>
      <c r="BP813">
        <v>4.0999999999999996</v>
      </c>
      <c r="BQ813" t="s">
        <v>902</v>
      </c>
      <c r="DF813" s="15" t="s">
        <v>9308</v>
      </c>
      <c r="DG813" t="s">
        <v>126</v>
      </c>
      <c r="DH813" t="s">
        <v>159</v>
      </c>
      <c r="DI813" t="s">
        <v>159</v>
      </c>
      <c r="DJ813" t="s">
        <v>172</v>
      </c>
      <c r="DK813">
        <v>97046870</v>
      </c>
    </row>
    <row r="814" spans="1:115" x14ac:dyDescent="0.25">
      <c r="A814" t="s">
        <v>3135</v>
      </c>
      <c r="B814" t="s">
        <v>3136</v>
      </c>
      <c r="F814" t="s">
        <v>526</v>
      </c>
      <c r="I814" t="s">
        <v>1095</v>
      </c>
      <c r="N814" t="s">
        <v>3137</v>
      </c>
      <c r="U814" t="s">
        <v>176</v>
      </c>
      <c r="Z814" s="14">
        <v>45427</v>
      </c>
      <c r="AA814" s="14">
        <v>45588</v>
      </c>
      <c r="AD814" s="14">
        <v>46022</v>
      </c>
      <c r="AL814" t="s">
        <v>136</v>
      </c>
      <c r="AN814">
        <v>6984385430</v>
      </c>
      <c r="AR814">
        <v>6984385430</v>
      </c>
      <c r="AS814">
        <v>0</v>
      </c>
      <c r="AY814" t="s">
        <v>557</v>
      </c>
      <c r="AZ814" t="s">
        <v>880</v>
      </c>
      <c r="BA814" t="s">
        <v>1148</v>
      </c>
      <c r="BB814" t="s">
        <v>1148</v>
      </c>
      <c r="BC814" t="s">
        <v>242</v>
      </c>
      <c r="BK814" t="s">
        <v>860</v>
      </c>
      <c r="BM814" t="s">
        <v>560</v>
      </c>
      <c r="BN814" t="s">
        <v>561</v>
      </c>
      <c r="BO814" t="s">
        <v>1022</v>
      </c>
      <c r="BP814">
        <v>1.3</v>
      </c>
      <c r="BQ814" t="s">
        <v>902</v>
      </c>
      <c r="DF814" s="15" t="s">
        <v>9308</v>
      </c>
      <c r="DG814" t="s">
        <v>126</v>
      </c>
      <c r="DH814" t="s">
        <v>159</v>
      </c>
      <c r="DI814" t="s">
        <v>159</v>
      </c>
      <c r="DJ814" t="s">
        <v>172</v>
      </c>
      <c r="DK814">
        <v>6984385430</v>
      </c>
    </row>
    <row r="815" spans="1:115" x14ac:dyDescent="0.25">
      <c r="A815" t="s">
        <v>3138</v>
      </c>
      <c r="B815" t="s">
        <v>3139</v>
      </c>
      <c r="F815" t="s">
        <v>190</v>
      </c>
      <c r="I815" t="s">
        <v>1453</v>
      </c>
      <c r="N815" t="s">
        <v>3140</v>
      </c>
      <c r="U815" t="s">
        <v>176</v>
      </c>
      <c r="Z815" s="14">
        <v>45310</v>
      </c>
      <c r="AA815" s="14">
        <v>45427</v>
      </c>
      <c r="AD815" s="14">
        <v>46741</v>
      </c>
      <c r="AL815" t="s">
        <v>122</v>
      </c>
      <c r="AN815">
        <v>1967871000</v>
      </c>
      <c r="AR815">
        <v>0</v>
      </c>
      <c r="AS815">
        <v>1967871000</v>
      </c>
      <c r="AY815" t="s">
        <v>557</v>
      </c>
      <c r="AZ815" t="s">
        <v>880</v>
      </c>
      <c r="BA815" t="s">
        <v>1515</v>
      </c>
      <c r="BB815" t="s">
        <v>1516</v>
      </c>
      <c r="BC815" t="s">
        <v>242</v>
      </c>
      <c r="BK815" t="s">
        <v>860</v>
      </c>
      <c r="BM815" t="s">
        <v>861</v>
      </c>
      <c r="BN815" t="s">
        <v>862</v>
      </c>
      <c r="BO815" t="s">
        <v>863</v>
      </c>
      <c r="BP815">
        <v>2.2999999999999998</v>
      </c>
      <c r="BQ815" t="s">
        <v>864</v>
      </c>
      <c r="DF815" s="15" t="s">
        <v>9308</v>
      </c>
      <c r="DG815" t="s">
        <v>126</v>
      </c>
      <c r="DH815" t="s">
        <v>159</v>
      </c>
      <c r="DI815" t="s">
        <v>159</v>
      </c>
      <c r="DJ815" t="s">
        <v>326</v>
      </c>
      <c r="DK815">
        <v>3000000</v>
      </c>
    </row>
    <row r="816" spans="1:115" x14ac:dyDescent="0.25">
      <c r="A816" t="s">
        <v>3141</v>
      </c>
      <c r="B816" t="s">
        <v>3142</v>
      </c>
      <c r="F816" t="s">
        <v>205</v>
      </c>
      <c r="I816" t="s">
        <v>1258</v>
      </c>
      <c r="N816" t="s">
        <v>3143</v>
      </c>
      <c r="U816" t="s">
        <v>218</v>
      </c>
      <c r="V816" t="s">
        <v>1365</v>
      </c>
      <c r="Z816" s="14">
        <v>45427</v>
      </c>
      <c r="AA816" s="14">
        <v>45600</v>
      </c>
      <c r="AD816" s="14">
        <v>46752</v>
      </c>
      <c r="AL816" t="s">
        <v>624</v>
      </c>
      <c r="AN816">
        <v>19659200</v>
      </c>
      <c r="AR816">
        <v>19659200</v>
      </c>
      <c r="AS816">
        <v>0</v>
      </c>
      <c r="AY816" t="s">
        <v>557</v>
      </c>
      <c r="AZ816" t="s">
        <v>880</v>
      </c>
      <c r="BA816" t="s">
        <v>1020</v>
      </c>
      <c r="BB816" t="s">
        <v>1021</v>
      </c>
      <c r="BC816" t="s">
        <v>242</v>
      </c>
      <c r="BK816" t="s">
        <v>860</v>
      </c>
      <c r="BM816" t="s">
        <v>560</v>
      </c>
      <c r="BN816" t="s">
        <v>1012</v>
      </c>
      <c r="BO816" t="s">
        <v>939</v>
      </c>
      <c r="BP816">
        <v>11.3</v>
      </c>
      <c r="BQ816" t="s">
        <v>563</v>
      </c>
      <c r="DF816" s="15" t="s">
        <v>9418</v>
      </c>
      <c r="DG816" t="s">
        <v>126</v>
      </c>
      <c r="DH816" t="s">
        <v>159</v>
      </c>
      <c r="DI816" t="s">
        <v>159</v>
      </c>
      <c r="DJ816" t="s">
        <v>172</v>
      </c>
      <c r="DK816">
        <v>35744</v>
      </c>
    </row>
    <row r="817" spans="1:115" x14ac:dyDescent="0.25">
      <c r="A817" t="s">
        <v>3144</v>
      </c>
      <c r="B817" t="s">
        <v>1038</v>
      </c>
      <c r="F817" t="s">
        <v>1039</v>
      </c>
      <c r="I817" t="s">
        <v>1040</v>
      </c>
      <c r="N817" t="s">
        <v>3145</v>
      </c>
      <c r="U817" t="s">
        <v>176</v>
      </c>
      <c r="Z817" s="14">
        <v>45427</v>
      </c>
      <c r="AD817" t="s">
        <v>3146</v>
      </c>
      <c r="AL817" t="s">
        <v>136</v>
      </c>
      <c r="AN817">
        <v>169170250</v>
      </c>
      <c r="AR817">
        <v>0</v>
      </c>
      <c r="AS817">
        <v>169170250</v>
      </c>
      <c r="AY817" t="s">
        <v>1043</v>
      </c>
      <c r="AZ817" t="s">
        <v>1038</v>
      </c>
      <c r="BA817" t="s">
        <v>1044</v>
      </c>
      <c r="BB817" t="s">
        <v>1045</v>
      </c>
      <c r="BC817" t="s">
        <v>1044</v>
      </c>
      <c r="BK817" t="s">
        <v>860</v>
      </c>
      <c r="BM817" t="s">
        <v>861</v>
      </c>
      <c r="BN817" t="s">
        <v>1046</v>
      </c>
      <c r="BO817" t="s">
        <v>1047</v>
      </c>
      <c r="BP817">
        <v>17.170000000000002</v>
      </c>
      <c r="BQ817" t="s">
        <v>864</v>
      </c>
      <c r="DF817" s="15" t="s">
        <v>9308</v>
      </c>
      <c r="DG817" t="s">
        <v>1048</v>
      </c>
      <c r="DH817" t="s">
        <v>127</v>
      </c>
      <c r="DI817" t="s">
        <v>1049</v>
      </c>
      <c r="DJ817" t="s">
        <v>172</v>
      </c>
      <c r="DK817">
        <v>169170250</v>
      </c>
    </row>
    <row r="818" spans="1:115" x14ac:dyDescent="0.25">
      <c r="A818" t="s">
        <v>3147</v>
      </c>
      <c r="B818" t="s">
        <v>3148</v>
      </c>
      <c r="F818" t="s">
        <v>263</v>
      </c>
      <c r="N818" t="s">
        <v>3149</v>
      </c>
      <c r="U818" t="s">
        <v>3150</v>
      </c>
      <c r="AA818" s="14">
        <v>45591</v>
      </c>
      <c r="AD818" s="14">
        <v>47483</v>
      </c>
      <c r="AL818" t="s">
        <v>624</v>
      </c>
      <c r="AN818">
        <v>8890695000</v>
      </c>
      <c r="AR818">
        <v>0</v>
      </c>
      <c r="AS818">
        <v>8890695000</v>
      </c>
      <c r="BA818" t="s">
        <v>240</v>
      </c>
      <c r="BB818" t="s">
        <v>241</v>
      </c>
      <c r="BC818" t="s">
        <v>242</v>
      </c>
      <c r="DF818" s="15" t="s">
        <v>9499</v>
      </c>
      <c r="DG818" t="s">
        <v>126</v>
      </c>
      <c r="DH818" t="s">
        <v>127</v>
      </c>
      <c r="DI818" t="s">
        <v>150</v>
      </c>
      <c r="DJ818" t="s">
        <v>3151</v>
      </c>
      <c r="DK818">
        <v>16164900</v>
      </c>
    </row>
    <row r="819" spans="1:115" x14ac:dyDescent="0.25">
      <c r="A819" t="s">
        <v>3152</v>
      </c>
      <c r="B819" t="s">
        <v>3039</v>
      </c>
      <c r="F819" t="s">
        <v>205</v>
      </c>
      <c r="N819" t="s">
        <v>3153</v>
      </c>
      <c r="U819" t="s">
        <v>165</v>
      </c>
      <c r="V819" t="s">
        <v>166</v>
      </c>
      <c r="Z819" s="14">
        <v>45388</v>
      </c>
      <c r="AA819" s="14">
        <v>45671</v>
      </c>
      <c r="AD819" s="14">
        <v>47118</v>
      </c>
      <c r="AL819" t="s">
        <v>122</v>
      </c>
      <c r="AN819">
        <v>23614452000</v>
      </c>
      <c r="AR819">
        <v>23614452000</v>
      </c>
      <c r="AS819">
        <v>0</v>
      </c>
      <c r="BA819" t="s">
        <v>484</v>
      </c>
      <c r="BB819" t="s">
        <v>484</v>
      </c>
      <c r="BC819" t="s">
        <v>242</v>
      </c>
      <c r="DF819" s="15" t="s">
        <v>9307</v>
      </c>
      <c r="DG819" t="s">
        <v>126</v>
      </c>
      <c r="DH819" t="s">
        <v>159</v>
      </c>
      <c r="DI819" t="s">
        <v>159</v>
      </c>
      <c r="DJ819" t="s">
        <v>3154</v>
      </c>
      <c r="DK819">
        <v>36000000</v>
      </c>
    </row>
    <row r="820" spans="1:115" x14ac:dyDescent="0.25">
      <c r="A820" t="s">
        <v>3155</v>
      </c>
      <c r="B820" t="s">
        <v>3043</v>
      </c>
      <c r="F820" t="s">
        <v>315</v>
      </c>
      <c r="N820" t="s">
        <v>3044</v>
      </c>
      <c r="U820" t="s">
        <v>3045</v>
      </c>
      <c r="V820" t="s">
        <v>3046</v>
      </c>
      <c r="Z820" s="14">
        <v>45588</v>
      </c>
      <c r="AA820" s="14">
        <v>45671</v>
      </c>
      <c r="AD820" s="14">
        <v>47483</v>
      </c>
      <c r="AL820" t="s">
        <v>136</v>
      </c>
      <c r="AN820">
        <v>30000000000</v>
      </c>
      <c r="AR820">
        <v>0</v>
      </c>
      <c r="AS820">
        <v>30000000000</v>
      </c>
      <c r="BA820" t="s">
        <v>137</v>
      </c>
      <c r="BB820" t="s">
        <v>138</v>
      </c>
      <c r="BC820" t="s">
        <v>125</v>
      </c>
      <c r="DF820" s="15" t="s">
        <v>9491</v>
      </c>
      <c r="DG820" t="s">
        <v>126</v>
      </c>
      <c r="DH820" t="s">
        <v>127</v>
      </c>
      <c r="DI820" t="s">
        <v>128</v>
      </c>
      <c r="DJ820" t="s">
        <v>3047</v>
      </c>
      <c r="DK820">
        <v>30000000000</v>
      </c>
    </row>
    <row r="821" spans="1:115" x14ac:dyDescent="0.25">
      <c r="A821" t="s">
        <v>3156</v>
      </c>
      <c r="B821" t="s">
        <v>3157</v>
      </c>
      <c r="F821" t="s">
        <v>142</v>
      </c>
      <c r="I821" t="s">
        <v>968</v>
      </c>
      <c r="N821" t="s">
        <v>3158</v>
      </c>
      <c r="U821" t="s">
        <v>176</v>
      </c>
      <c r="Z821" s="14">
        <v>45498</v>
      </c>
      <c r="AA821" s="14">
        <v>45671</v>
      </c>
      <c r="AD821" s="14">
        <v>47483</v>
      </c>
      <c r="AL821" t="s">
        <v>122</v>
      </c>
      <c r="AN821">
        <v>78714840000</v>
      </c>
      <c r="AR821">
        <v>0</v>
      </c>
      <c r="AS821">
        <v>78714840000</v>
      </c>
      <c r="AY821" t="s">
        <v>1043</v>
      </c>
      <c r="AZ821" t="s">
        <v>558</v>
      </c>
      <c r="BA821" t="s">
        <v>2200</v>
      </c>
      <c r="BB821" t="s">
        <v>2200</v>
      </c>
      <c r="BC821" t="s">
        <v>442</v>
      </c>
      <c r="BK821" t="s">
        <v>860</v>
      </c>
      <c r="BM821" t="s">
        <v>861</v>
      </c>
      <c r="BN821" t="s">
        <v>862</v>
      </c>
      <c r="BO821" t="s">
        <v>971</v>
      </c>
      <c r="BP821">
        <v>9.1</v>
      </c>
      <c r="BQ821" t="s">
        <v>864</v>
      </c>
      <c r="DF821" s="15" t="s">
        <v>9308</v>
      </c>
      <c r="DG821" t="s">
        <v>126</v>
      </c>
      <c r="DH821" t="s">
        <v>127</v>
      </c>
      <c r="DI821" t="s">
        <v>443</v>
      </c>
      <c r="DJ821" t="s">
        <v>3159</v>
      </c>
      <c r="DK821">
        <v>120000000</v>
      </c>
    </row>
    <row r="822" spans="1:115" x14ac:dyDescent="0.25">
      <c r="A822" t="s">
        <v>3160</v>
      </c>
      <c r="B822" t="s">
        <v>3161</v>
      </c>
      <c r="F822" t="s">
        <v>205</v>
      </c>
      <c r="N822" t="s">
        <v>3162</v>
      </c>
      <c r="U822" t="s">
        <v>176</v>
      </c>
      <c r="Z822" s="14">
        <v>45589</v>
      </c>
      <c r="AA822" s="14">
        <v>45671</v>
      </c>
      <c r="AD822" s="14">
        <v>47848</v>
      </c>
      <c r="AL822" t="s">
        <v>624</v>
      </c>
      <c r="AN822">
        <v>8617455000</v>
      </c>
      <c r="AR822">
        <v>0</v>
      </c>
      <c r="AS822">
        <v>8617455000</v>
      </c>
      <c r="BA822" t="s">
        <v>240</v>
      </c>
      <c r="BB822" t="s">
        <v>241</v>
      </c>
      <c r="BC822" t="s">
        <v>242</v>
      </c>
      <c r="DF822" s="15" t="s">
        <v>9308</v>
      </c>
      <c r="DG822" t="s">
        <v>126</v>
      </c>
      <c r="DH822" t="s">
        <v>127</v>
      </c>
      <c r="DI822" t="s">
        <v>150</v>
      </c>
      <c r="DJ822" t="s">
        <v>3163</v>
      </c>
      <c r="DK822">
        <v>14850000</v>
      </c>
    </row>
    <row r="823" spans="1:115" x14ac:dyDescent="0.25">
      <c r="A823" t="s">
        <v>3164</v>
      </c>
      <c r="B823" t="s">
        <v>3165</v>
      </c>
      <c r="F823" t="s">
        <v>205</v>
      </c>
      <c r="N823" t="s">
        <v>3166</v>
      </c>
      <c r="U823" t="s">
        <v>218</v>
      </c>
      <c r="V823" t="s">
        <v>219</v>
      </c>
      <c r="Z823" s="14">
        <v>45649</v>
      </c>
      <c r="AA823" s="14">
        <v>45671</v>
      </c>
      <c r="AD823" s="14">
        <v>47848</v>
      </c>
      <c r="AL823" t="s">
        <v>122</v>
      </c>
      <c r="AN823">
        <v>23286580000</v>
      </c>
      <c r="AR823">
        <v>0</v>
      </c>
      <c r="AS823">
        <v>23286580000</v>
      </c>
      <c r="BA823" t="s">
        <v>689</v>
      </c>
      <c r="BB823" t="s">
        <v>690</v>
      </c>
      <c r="BC823" t="s">
        <v>125</v>
      </c>
      <c r="DF823" s="15" t="s">
        <v>9340</v>
      </c>
      <c r="DG823" t="s">
        <v>126</v>
      </c>
      <c r="DH823" t="s">
        <v>127</v>
      </c>
      <c r="DI823" t="s">
        <v>127</v>
      </c>
      <c r="DJ823" t="s">
        <v>3167</v>
      </c>
      <c r="DK823">
        <v>35500000</v>
      </c>
    </row>
    <row r="824" spans="1:115" x14ac:dyDescent="0.25">
      <c r="A824" t="s">
        <v>3168</v>
      </c>
      <c r="B824" t="s">
        <v>3169</v>
      </c>
      <c r="F824" t="s">
        <v>263</v>
      </c>
      <c r="N824" t="s">
        <v>3170</v>
      </c>
      <c r="U824" t="s">
        <v>302</v>
      </c>
      <c r="V824" t="s">
        <v>3051</v>
      </c>
      <c r="Z824" s="14">
        <v>45588</v>
      </c>
      <c r="AA824" s="14">
        <v>45671</v>
      </c>
      <c r="AD824" s="14">
        <v>47483</v>
      </c>
      <c r="AL824" t="s">
        <v>136</v>
      </c>
      <c r="AN824">
        <v>6000000000</v>
      </c>
      <c r="AR824">
        <v>0</v>
      </c>
      <c r="AS824">
        <v>6000000000</v>
      </c>
      <c r="BA824" t="s">
        <v>137</v>
      </c>
      <c r="BB824" t="s">
        <v>138</v>
      </c>
      <c r="BC824" t="s">
        <v>125</v>
      </c>
      <c r="DF824" s="15" t="s">
        <v>9492</v>
      </c>
      <c r="DG824" t="s">
        <v>126</v>
      </c>
      <c r="DH824" t="s">
        <v>127</v>
      </c>
      <c r="DI824" t="s">
        <v>128</v>
      </c>
      <c r="DJ824" t="s">
        <v>3171</v>
      </c>
      <c r="DK824">
        <v>6000000000</v>
      </c>
    </row>
    <row r="825" spans="1:115" x14ac:dyDescent="0.25">
      <c r="A825" t="s">
        <v>3172</v>
      </c>
      <c r="B825" t="s">
        <v>3173</v>
      </c>
      <c r="F825" t="s">
        <v>263</v>
      </c>
      <c r="N825" t="s">
        <v>3170</v>
      </c>
      <c r="U825" t="s">
        <v>302</v>
      </c>
      <c r="V825" t="s">
        <v>3051</v>
      </c>
      <c r="Z825" s="14">
        <v>45588</v>
      </c>
      <c r="AA825" s="14">
        <v>45671</v>
      </c>
      <c r="AD825" s="14">
        <v>47483</v>
      </c>
      <c r="AL825" t="s">
        <v>136</v>
      </c>
      <c r="AN825">
        <v>14000000000</v>
      </c>
      <c r="AR825">
        <v>0</v>
      </c>
      <c r="AS825">
        <v>14000000000</v>
      </c>
      <c r="BA825" t="s">
        <v>137</v>
      </c>
      <c r="BB825" t="s">
        <v>138</v>
      </c>
      <c r="BC825" t="s">
        <v>125</v>
      </c>
      <c r="DF825" s="15" t="s">
        <v>9492</v>
      </c>
      <c r="DG825" t="s">
        <v>126</v>
      </c>
      <c r="DH825" t="s">
        <v>127</v>
      </c>
      <c r="DI825" t="s">
        <v>128</v>
      </c>
      <c r="DJ825" t="s">
        <v>3171</v>
      </c>
      <c r="DK825">
        <v>14000000000</v>
      </c>
    </row>
    <row r="826" spans="1:115" x14ac:dyDescent="0.25">
      <c r="A826" t="s">
        <v>3174</v>
      </c>
      <c r="B826" t="s">
        <v>3175</v>
      </c>
      <c r="F826" t="s">
        <v>163</v>
      </c>
      <c r="N826" t="s">
        <v>3176</v>
      </c>
      <c r="U826" t="s">
        <v>176</v>
      </c>
      <c r="Z826" s="14">
        <v>45671</v>
      </c>
      <c r="AA826" s="14">
        <v>45673</v>
      </c>
      <c r="AD826" s="14">
        <v>47483</v>
      </c>
      <c r="AL826" t="s">
        <v>122</v>
      </c>
      <c r="AN826">
        <v>327980000000</v>
      </c>
      <c r="AR826">
        <v>0</v>
      </c>
      <c r="AS826">
        <v>327980000000</v>
      </c>
      <c r="BA826" t="s">
        <v>267</v>
      </c>
      <c r="BB826" t="s">
        <v>267</v>
      </c>
      <c r="BC826" t="s">
        <v>242</v>
      </c>
      <c r="DF826" s="15" t="s">
        <v>9308</v>
      </c>
      <c r="DG826" t="s">
        <v>126</v>
      </c>
      <c r="DH826" t="s">
        <v>127</v>
      </c>
      <c r="DI826" t="s">
        <v>443</v>
      </c>
      <c r="DJ826" t="s">
        <v>3177</v>
      </c>
      <c r="DK826">
        <v>500000000</v>
      </c>
    </row>
    <row r="827" spans="1:115" x14ac:dyDescent="0.25">
      <c r="A827" t="s">
        <v>3178</v>
      </c>
      <c r="B827" t="s">
        <v>3179</v>
      </c>
      <c r="F827" t="s">
        <v>163</v>
      </c>
      <c r="N827" t="s">
        <v>3180</v>
      </c>
      <c r="U827" t="s">
        <v>176</v>
      </c>
      <c r="Z827" s="14">
        <v>45671</v>
      </c>
      <c r="AA827" s="14">
        <v>45673</v>
      </c>
      <c r="AD827" t="s">
        <v>3181</v>
      </c>
      <c r="AL827" t="s">
        <v>624</v>
      </c>
      <c r="AN827">
        <v>290150000000</v>
      </c>
      <c r="AR827">
        <v>0</v>
      </c>
      <c r="AS827">
        <v>290150000000</v>
      </c>
      <c r="BA827" t="s">
        <v>2314</v>
      </c>
      <c r="BB827" t="s">
        <v>2315</v>
      </c>
      <c r="BC827" t="s">
        <v>125</v>
      </c>
      <c r="DF827" s="15" t="s">
        <v>9308</v>
      </c>
      <c r="DG827" t="s">
        <v>1048</v>
      </c>
      <c r="DH827" t="s">
        <v>127</v>
      </c>
      <c r="DI827" t="s">
        <v>1883</v>
      </c>
      <c r="DJ827" t="s">
        <v>3182</v>
      </c>
      <c r="DK827">
        <v>500000000</v>
      </c>
    </row>
    <row r="828" spans="1:115" x14ac:dyDescent="0.25">
      <c r="A828" t="s">
        <v>3183</v>
      </c>
      <c r="B828" t="s">
        <v>3184</v>
      </c>
      <c r="F828" t="s">
        <v>263</v>
      </c>
      <c r="N828" t="s">
        <v>3185</v>
      </c>
      <c r="U828" t="s">
        <v>3186</v>
      </c>
      <c r="Z828" s="14">
        <v>45671</v>
      </c>
      <c r="AA828" s="14">
        <v>45699</v>
      </c>
      <c r="AD828" s="14">
        <v>47848</v>
      </c>
      <c r="AL828" t="s">
        <v>122</v>
      </c>
      <c r="AN828">
        <v>77816534800</v>
      </c>
      <c r="AR828">
        <v>0</v>
      </c>
      <c r="AS828">
        <v>77816534800</v>
      </c>
      <c r="BA828" t="s">
        <v>277</v>
      </c>
      <c r="BB828" t="s">
        <v>278</v>
      </c>
      <c r="BC828" t="s">
        <v>125</v>
      </c>
      <c r="DF828" s="15" t="s">
        <v>9500</v>
      </c>
      <c r="DG828" t="s">
        <v>317</v>
      </c>
      <c r="DH828" t="s">
        <v>127</v>
      </c>
      <c r="DI828" t="s">
        <v>128</v>
      </c>
      <c r="DJ828" t="s">
        <v>3187</v>
      </c>
      <c r="DK828">
        <v>118630000</v>
      </c>
    </row>
    <row r="829" spans="1:115" x14ac:dyDescent="0.25">
      <c r="A829" t="s">
        <v>3188</v>
      </c>
      <c r="B829" t="s">
        <v>3189</v>
      </c>
      <c r="F829" t="s">
        <v>190</v>
      </c>
      <c r="N829" t="s">
        <v>3190</v>
      </c>
      <c r="U829" t="s">
        <v>176</v>
      </c>
      <c r="Z829" s="14">
        <v>45671</v>
      </c>
      <c r="AA829" s="14">
        <v>45728</v>
      </c>
      <c r="AD829" s="14">
        <v>46752</v>
      </c>
      <c r="AL829" t="s">
        <v>122</v>
      </c>
      <c r="AN829">
        <v>1480000000</v>
      </c>
      <c r="AR829">
        <v>0</v>
      </c>
      <c r="AS829">
        <v>1480000000</v>
      </c>
      <c r="BA829" t="s">
        <v>448</v>
      </c>
      <c r="BB829" t="s">
        <v>449</v>
      </c>
      <c r="BC829" t="s">
        <v>125</v>
      </c>
      <c r="DF829" s="15" t="s">
        <v>9308</v>
      </c>
      <c r="DG829" t="s">
        <v>126</v>
      </c>
      <c r="DH829" t="s">
        <v>127</v>
      </c>
      <c r="DI829" t="s">
        <v>150</v>
      </c>
      <c r="DJ829" t="s">
        <v>3191</v>
      </c>
      <c r="DK829">
        <v>2255000</v>
      </c>
    </row>
    <row r="830" spans="1:115" x14ac:dyDescent="0.25">
      <c r="A830" t="s">
        <v>3192</v>
      </c>
      <c r="B830" t="s">
        <v>3193</v>
      </c>
      <c r="F830" t="s">
        <v>118</v>
      </c>
      <c r="N830" t="s">
        <v>3194</v>
      </c>
      <c r="U830" t="s">
        <v>176</v>
      </c>
      <c r="Z830" s="14">
        <v>45671</v>
      </c>
      <c r="AA830" s="14">
        <v>45765</v>
      </c>
      <c r="AD830" s="14">
        <v>47848</v>
      </c>
      <c r="AL830" t="s">
        <v>122</v>
      </c>
      <c r="AN830">
        <v>70417306000</v>
      </c>
      <c r="AR830">
        <v>0</v>
      </c>
      <c r="AS830">
        <v>70417306000</v>
      </c>
      <c r="BA830" t="s">
        <v>277</v>
      </c>
      <c r="BB830" t="s">
        <v>278</v>
      </c>
      <c r="BC830" t="s">
        <v>125</v>
      </c>
      <c r="DF830" s="15" t="s">
        <v>9308</v>
      </c>
      <c r="DG830" t="s">
        <v>126</v>
      </c>
      <c r="DH830" t="s">
        <v>127</v>
      </c>
      <c r="DI830" t="s">
        <v>128</v>
      </c>
      <c r="DJ830" t="s">
        <v>3195</v>
      </c>
      <c r="DK830">
        <v>107350000</v>
      </c>
    </row>
    <row r="831" spans="1:115" x14ac:dyDescent="0.25">
      <c r="A831" t="s">
        <v>3196</v>
      </c>
      <c r="B831" t="s">
        <v>3197</v>
      </c>
      <c r="F831" t="s">
        <v>526</v>
      </c>
      <c r="N831" t="s">
        <v>3198</v>
      </c>
      <c r="U831" t="s">
        <v>3199</v>
      </c>
      <c r="Z831" s="14">
        <v>45671</v>
      </c>
      <c r="AA831" s="14">
        <v>45770</v>
      </c>
      <c r="AD831" s="14">
        <v>46752</v>
      </c>
      <c r="AL831" t="s">
        <v>122</v>
      </c>
      <c r="AN831">
        <v>11544843200</v>
      </c>
      <c r="AR831">
        <v>0</v>
      </c>
      <c r="AS831">
        <v>11544843200</v>
      </c>
      <c r="BA831" t="s">
        <v>178</v>
      </c>
      <c r="BB831" t="s">
        <v>179</v>
      </c>
      <c r="BC831" t="s">
        <v>125</v>
      </c>
      <c r="DF831" s="15" t="s">
        <v>9501</v>
      </c>
      <c r="DG831" t="s">
        <v>126</v>
      </c>
      <c r="DH831" t="s">
        <v>127</v>
      </c>
      <c r="DI831" t="s">
        <v>150</v>
      </c>
      <c r="DJ831" t="s">
        <v>3200</v>
      </c>
      <c r="DK831">
        <v>17600000</v>
      </c>
    </row>
    <row r="832" spans="1:115" x14ac:dyDescent="0.25">
      <c r="A832" t="s">
        <v>3201</v>
      </c>
      <c r="B832" t="s">
        <v>3202</v>
      </c>
      <c r="F832" t="s">
        <v>205</v>
      </c>
      <c r="N832" t="s">
        <v>3203</v>
      </c>
      <c r="U832" t="s">
        <v>176</v>
      </c>
      <c r="Z832" s="14">
        <v>45671</v>
      </c>
      <c r="AA832" s="14">
        <v>45821</v>
      </c>
      <c r="AD832" s="14">
        <v>48029</v>
      </c>
      <c r="AL832" t="s">
        <v>122</v>
      </c>
      <c r="AN832">
        <v>49500000000</v>
      </c>
      <c r="AR832">
        <v>0</v>
      </c>
      <c r="AS832">
        <v>49500000000</v>
      </c>
      <c r="BA832" t="s">
        <v>178</v>
      </c>
      <c r="BB832" t="s">
        <v>179</v>
      </c>
      <c r="BC832" t="s">
        <v>125</v>
      </c>
      <c r="DF832" s="15" t="s">
        <v>9308</v>
      </c>
      <c r="DG832" t="s">
        <v>126</v>
      </c>
      <c r="DH832" t="s">
        <v>127</v>
      </c>
      <c r="DI832" t="s">
        <v>150</v>
      </c>
      <c r="DJ832" t="s">
        <v>3041</v>
      </c>
      <c r="DK832">
        <v>75461918</v>
      </c>
    </row>
    <row r="833" spans="1:115" x14ac:dyDescent="0.25">
      <c r="A833" t="s">
        <v>3204</v>
      </c>
      <c r="B833" t="s">
        <v>3205</v>
      </c>
      <c r="F833" t="s">
        <v>526</v>
      </c>
      <c r="N833" t="s">
        <v>3206</v>
      </c>
      <c r="U833" t="s">
        <v>176</v>
      </c>
      <c r="Z833" s="14">
        <v>45671</v>
      </c>
      <c r="AA833" s="14">
        <v>45836</v>
      </c>
      <c r="AD833" s="14">
        <v>46203</v>
      </c>
      <c r="AL833" t="s">
        <v>122</v>
      </c>
      <c r="AN833">
        <v>23614452000</v>
      </c>
      <c r="AR833">
        <v>0</v>
      </c>
      <c r="AS833">
        <v>23614452000</v>
      </c>
      <c r="BA833" t="s">
        <v>178</v>
      </c>
      <c r="BB833" t="s">
        <v>179</v>
      </c>
      <c r="BC833" t="s">
        <v>125</v>
      </c>
      <c r="DF833" s="15" t="s">
        <v>9308</v>
      </c>
      <c r="DG833" t="s">
        <v>126</v>
      </c>
      <c r="DH833" t="s">
        <v>127</v>
      </c>
      <c r="DI833" t="s">
        <v>150</v>
      </c>
      <c r="DJ833" t="s">
        <v>3207</v>
      </c>
      <c r="DK833">
        <v>36000000</v>
      </c>
    </row>
    <row r="834" spans="1:115" x14ac:dyDescent="0.25">
      <c r="A834" t="s">
        <v>3208</v>
      </c>
      <c r="B834" t="s">
        <v>3209</v>
      </c>
      <c r="F834" t="s">
        <v>205</v>
      </c>
      <c r="N834" t="s">
        <v>3210</v>
      </c>
      <c r="U834" t="s">
        <v>218</v>
      </c>
      <c r="V834" t="s">
        <v>219</v>
      </c>
      <c r="Z834" s="14">
        <v>45671</v>
      </c>
      <c r="AA834" s="14">
        <v>45830</v>
      </c>
      <c r="AD834" s="14">
        <v>48029</v>
      </c>
      <c r="AL834" t="s">
        <v>122</v>
      </c>
      <c r="AN834">
        <v>126206126800</v>
      </c>
      <c r="AR834">
        <v>0</v>
      </c>
      <c r="AS834">
        <v>126206126800</v>
      </c>
      <c r="BA834" t="s">
        <v>178</v>
      </c>
      <c r="BB834" t="s">
        <v>179</v>
      </c>
      <c r="BC834" t="s">
        <v>125</v>
      </c>
      <c r="DF834" s="15" t="s">
        <v>9340</v>
      </c>
      <c r="DG834" t="s">
        <v>126</v>
      </c>
      <c r="DH834" t="s">
        <v>127</v>
      </c>
      <c r="DI834" t="s">
        <v>150</v>
      </c>
      <c r="DJ834" t="s">
        <v>3211</v>
      </c>
      <c r="DK834">
        <v>192400000</v>
      </c>
    </row>
    <row r="835" spans="1:115" x14ac:dyDescent="0.25">
      <c r="A835" t="s">
        <v>3212</v>
      </c>
      <c r="B835" t="s">
        <v>3213</v>
      </c>
      <c r="F835" t="s">
        <v>205</v>
      </c>
      <c r="N835" t="s">
        <v>3214</v>
      </c>
      <c r="U835" t="s">
        <v>218</v>
      </c>
      <c r="V835" t="s">
        <v>219</v>
      </c>
      <c r="Z835" s="14">
        <v>45671</v>
      </c>
      <c r="AA835" s="14">
        <v>45856</v>
      </c>
      <c r="AD835" s="14">
        <v>48029</v>
      </c>
      <c r="AL835" t="s">
        <v>122</v>
      </c>
      <c r="AN835">
        <v>63103063400</v>
      </c>
      <c r="AR835">
        <v>0</v>
      </c>
      <c r="AS835">
        <v>63103063400</v>
      </c>
      <c r="BA835" t="s">
        <v>178</v>
      </c>
      <c r="BB835" t="s">
        <v>179</v>
      </c>
      <c r="BC835" t="s">
        <v>125</v>
      </c>
      <c r="DF835" s="15" t="s">
        <v>9340</v>
      </c>
      <c r="DG835" t="s">
        <v>126</v>
      </c>
      <c r="DH835" t="s">
        <v>127</v>
      </c>
      <c r="DI835" t="s">
        <v>150</v>
      </c>
      <c r="DJ835" t="s">
        <v>3041</v>
      </c>
      <c r="DK835">
        <v>96200000</v>
      </c>
    </row>
    <row r="836" spans="1:115" x14ac:dyDescent="0.25">
      <c r="A836" t="s">
        <v>3215</v>
      </c>
      <c r="B836" t="s">
        <v>3216</v>
      </c>
      <c r="F836" t="s">
        <v>118</v>
      </c>
      <c r="N836" t="s">
        <v>3217</v>
      </c>
      <c r="U836" t="s">
        <v>1167</v>
      </c>
      <c r="V836" t="s">
        <v>3218</v>
      </c>
      <c r="Z836" s="14">
        <v>45671</v>
      </c>
      <c r="AA836" s="14">
        <v>45789</v>
      </c>
      <c r="AD836" s="14">
        <v>47483</v>
      </c>
      <c r="AL836" t="s">
        <v>136</v>
      </c>
      <c r="AN836">
        <v>15000000000</v>
      </c>
      <c r="AR836">
        <v>0</v>
      </c>
      <c r="AS836">
        <v>15000000000</v>
      </c>
      <c r="BA836" t="s">
        <v>137</v>
      </c>
      <c r="BB836" t="s">
        <v>138</v>
      </c>
      <c r="BC836" t="s">
        <v>125</v>
      </c>
      <c r="DF836" s="15" t="s">
        <v>9502</v>
      </c>
      <c r="DG836" t="s">
        <v>126</v>
      </c>
      <c r="DH836" t="s">
        <v>127</v>
      </c>
      <c r="DI836" t="s">
        <v>128</v>
      </c>
      <c r="DJ836" t="s">
        <v>3041</v>
      </c>
      <c r="DK836">
        <v>15000000000</v>
      </c>
    </row>
    <row r="837" spans="1:115" x14ac:dyDescent="0.25">
      <c r="A837" t="s">
        <v>3219</v>
      </c>
      <c r="B837" t="s">
        <v>3220</v>
      </c>
      <c r="F837" t="s">
        <v>190</v>
      </c>
      <c r="N837" t="s">
        <v>3221</v>
      </c>
      <c r="U837" t="s">
        <v>3222</v>
      </c>
      <c r="Z837" s="14">
        <v>45671</v>
      </c>
      <c r="AA837" s="14">
        <v>45838</v>
      </c>
      <c r="AD837" s="14">
        <v>46934</v>
      </c>
      <c r="AL837" t="s">
        <v>122</v>
      </c>
      <c r="AN837">
        <v>3279785000</v>
      </c>
      <c r="AR837">
        <v>3279785000</v>
      </c>
      <c r="AS837">
        <v>0</v>
      </c>
      <c r="BA837" t="s">
        <v>337</v>
      </c>
      <c r="BB837" t="s">
        <v>338</v>
      </c>
      <c r="BC837" t="s">
        <v>242</v>
      </c>
      <c r="DF837" s="15" t="s">
        <v>9503</v>
      </c>
      <c r="DG837" t="s">
        <v>126</v>
      </c>
      <c r="DH837" t="s">
        <v>159</v>
      </c>
      <c r="DI837" t="s">
        <v>159</v>
      </c>
      <c r="DJ837" t="s">
        <v>3041</v>
      </c>
      <c r="DK837">
        <v>5000000</v>
      </c>
    </row>
    <row r="838" spans="1:115" x14ac:dyDescent="0.25">
      <c r="A838" t="s">
        <v>3223</v>
      </c>
      <c r="B838" t="s">
        <v>3224</v>
      </c>
      <c r="F838" t="s">
        <v>163</v>
      </c>
      <c r="N838" t="s">
        <v>3225</v>
      </c>
      <c r="U838" t="s">
        <v>176</v>
      </c>
      <c r="Z838" s="14">
        <v>45671</v>
      </c>
      <c r="AA838" s="14">
        <v>45838</v>
      </c>
      <c r="AD838" s="14">
        <v>47118</v>
      </c>
      <c r="AL838" t="s">
        <v>624</v>
      </c>
      <c r="AN838">
        <v>220000000</v>
      </c>
      <c r="AR838">
        <v>220000000</v>
      </c>
      <c r="AS838">
        <v>0</v>
      </c>
      <c r="BA838" t="s">
        <v>277</v>
      </c>
      <c r="BB838" t="s">
        <v>278</v>
      </c>
      <c r="BC838" t="s">
        <v>125</v>
      </c>
      <c r="DF838" s="15" t="s">
        <v>9308</v>
      </c>
      <c r="DG838" t="s">
        <v>126</v>
      </c>
      <c r="DH838" t="s">
        <v>159</v>
      </c>
      <c r="DI838" t="s">
        <v>159</v>
      </c>
      <c r="DJ838" t="s">
        <v>3041</v>
      </c>
      <c r="DK838">
        <v>400000</v>
      </c>
    </row>
    <row r="839" spans="1:115" x14ac:dyDescent="0.25">
      <c r="A839" t="s">
        <v>3226</v>
      </c>
      <c r="B839" t="s">
        <v>3227</v>
      </c>
      <c r="F839" t="s">
        <v>205</v>
      </c>
      <c r="N839" t="s">
        <v>3228</v>
      </c>
      <c r="U839" t="s">
        <v>3229</v>
      </c>
      <c r="Z839" s="14">
        <v>45671</v>
      </c>
      <c r="AA839" s="14">
        <v>45838</v>
      </c>
      <c r="AD839" s="14">
        <v>47118</v>
      </c>
      <c r="AL839" t="s">
        <v>122</v>
      </c>
      <c r="AN839">
        <v>6559570000</v>
      </c>
      <c r="AR839">
        <v>6559570000</v>
      </c>
      <c r="AS839">
        <v>0</v>
      </c>
      <c r="BA839" t="s">
        <v>267</v>
      </c>
      <c r="BB839" t="s">
        <v>267</v>
      </c>
      <c r="BC839" t="s">
        <v>242</v>
      </c>
      <c r="DF839" s="15" t="s">
        <v>9504</v>
      </c>
      <c r="DG839" t="s">
        <v>284</v>
      </c>
      <c r="DH839" t="s">
        <v>159</v>
      </c>
      <c r="DI839" t="s">
        <v>159</v>
      </c>
      <c r="DJ839" t="s">
        <v>3041</v>
      </c>
      <c r="DK839">
        <v>10000000</v>
      </c>
    </row>
    <row r="840" spans="1:115" x14ac:dyDescent="0.25">
      <c r="A840" t="s">
        <v>3230</v>
      </c>
      <c r="B840" t="s">
        <v>3231</v>
      </c>
      <c r="F840" t="s">
        <v>526</v>
      </c>
      <c r="I840" t="s">
        <v>3232</v>
      </c>
      <c r="N840" t="s">
        <v>3233</v>
      </c>
      <c r="U840" t="s">
        <v>176</v>
      </c>
      <c r="Z840" s="14">
        <v>45671</v>
      </c>
      <c r="AA840" s="14">
        <v>45952</v>
      </c>
      <c r="AD840" s="14">
        <v>47483</v>
      </c>
      <c r="AL840" t="s">
        <v>122</v>
      </c>
      <c r="AN840">
        <v>1331914000</v>
      </c>
      <c r="AR840">
        <v>1331914000</v>
      </c>
      <c r="AS840">
        <v>0</v>
      </c>
      <c r="AY840" t="s">
        <v>557</v>
      </c>
      <c r="AZ840" t="s">
        <v>859</v>
      </c>
      <c r="BA840" t="s">
        <v>337</v>
      </c>
      <c r="BB840" t="s">
        <v>338</v>
      </c>
      <c r="BC840" t="s">
        <v>242</v>
      </c>
      <c r="BK840" t="s">
        <v>3234</v>
      </c>
      <c r="BO840" t="s">
        <v>3235</v>
      </c>
      <c r="BP840">
        <v>8.3000000000000007</v>
      </c>
      <c r="BQ840" t="s">
        <v>864</v>
      </c>
      <c r="DF840" s="15" t="s">
        <v>9308</v>
      </c>
      <c r="DG840" t="s">
        <v>170</v>
      </c>
      <c r="DH840" t="s">
        <v>159</v>
      </c>
      <c r="DI840" t="s">
        <v>171</v>
      </c>
      <c r="DJ840" t="s">
        <v>129</v>
      </c>
      <c r="DK840">
        <v>2000000</v>
      </c>
    </row>
    <row r="841" spans="1:115" x14ac:dyDescent="0.25">
      <c r="A841" t="s">
        <v>3236</v>
      </c>
      <c r="B841" t="s">
        <v>3237</v>
      </c>
      <c r="F841" t="s">
        <v>142</v>
      </c>
      <c r="I841" t="s">
        <v>968</v>
      </c>
      <c r="N841" t="s">
        <v>3238</v>
      </c>
      <c r="U841" t="s">
        <v>380</v>
      </c>
      <c r="V841" t="s">
        <v>381</v>
      </c>
      <c r="W841" t="s">
        <v>3239</v>
      </c>
      <c r="Z841" s="14">
        <v>45671</v>
      </c>
      <c r="AD841" s="14">
        <v>47483</v>
      </c>
      <c r="AL841" t="s">
        <v>122</v>
      </c>
      <c r="AN841">
        <v>201306643730</v>
      </c>
      <c r="AR841">
        <v>0</v>
      </c>
      <c r="AS841">
        <v>201306643730</v>
      </c>
      <c r="AY841" t="s">
        <v>557</v>
      </c>
      <c r="AZ841" t="s">
        <v>558</v>
      </c>
      <c r="BA841" t="s">
        <v>168</v>
      </c>
      <c r="BB841" t="s">
        <v>169</v>
      </c>
      <c r="BC841" t="s">
        <v>125</v>
      </c>
      <c r="BK841" t="s">
        <v>559</v>
      </c>
      <c r="BM841" t="s">
        <v>861</v>
      </c>
      <c r="BN841" t="s">
        <v>862</v>
      </c>
      <c r="BO841" t="s">
        <v>971</v>
      </c>
      <c r="BP841">
        <v>9.1</v>
      </c>
      <c r="BQ841" t="s">
        <v>864</v>
      </c>
      <c r="DF841" s="15" t="s">
        <v>9505</v>
      </c>
      <c r="DG841" t="s">
        <v>126</v>
      </c>
      <c r="DH841" t="s">
        <v>127</v>
      </c>
      <c r="DI841" t="s">
        <v>150</v>
      </c>
      <c r="DJ841" t="s">
        <v>151</v>
      </c>
      <c r="DK841">
        <v>306890000</v>
      </c>
    </row>
    <row r="842" spans="1:115" x14ac:dyDescent="0.25">
      <c r="A842" t="s">
        <v>3240</v>
      </c>
      <c r="B842" t="s">
        <v>3241</v>
      </c>
      <c r="F842" t="s">
        <v>190</v>
      </c>
      <c r="I842" t="s">
        <v>974</v>
      </c>
      <c r="N842" t="s">
        <v>3242</v>
      </c>
      <c r="U842" t="s">
        <v>176</v>
      </c>
      <c r="Z842" s="14">
        <v>45671</v>
      </c>
      <c r="AA842" s="14">
        <v>45959</v>
      </c>
      <c r="AD842" s="14">
        <v>47848</v>
      </c>
      <c r="AL842" t="s">
        <v>122</v>
      </c>
      <c r="AN842">
        <v>16398925000</v>
      </c>
      <c r="AR842">
        <v>0</v>
      </c>
      <c r="AS842">
        <v>16398925000</v>
      </c>
      <c r="AY842" t="s">
        <v>557</v>
      </c>
      <c r="AZ842" t="s">
        <v>558</v>
      </c>
      <c r="BA842" t="s">
        <v>277</v>
      </c>
      <c r="BB842" t="s">
        <v>278</v>
      </c>
      <c r="BC842" t="s">
        <v>125</v>
      </c>
      <c r="BK842" t="s">
        <v>3243</v>
      </c>
      <c r="DF842" s="15" t="s">
        <v>9308</v>
      </c>
      <c r="DG842" t="s">
        <v>126</v>
      </c>
      <c r="DH842" t="s">
        <v>127</v>
      </c>
      <c r="DI842" t="s">
        <v>128</v>
      </c>
      <c r="DJ842" t="s">
        <v>151</v>
      </c>
      <c r="DK842">
        <v>25000000</v>
      </c>
    </row>
    <row r="843" spans="1:115" x14ac:dyDescent="0.25">
      <c r="A843" t="s">
        <v>3244</v>
      </c>
      <c r="B843" t="s">
        <v>1001</v>
      </c>
      <c r="F843" t="s">
        <v>190</v>
      </c>
      <c r="I843" t="s">
        <v>974</v>
      </c>
      <c r="N843" t="s">
        <v>3245</v>
      </c>
      <c r="U843" t="s">
        <v>1003</v>
      </c>
      <c r="Z843" s="14">
        <v>45671</v>
      </c>
      <c r="AA843" s="14">
        <v>45673</v>
      </c>
      <c r="AD843" s="14">
        <v>47118</v>
      </c>
      <c r="AL843" t="s">
        <v>122</v>
      </c>
      <c r="AN843">
        <v>1311914000</v>
      </c>
      <c r="AR843">
        <v>1311914000</v>
      </c>
      <c r="AS843">
        <v>0</v>
      </c>
      <c r="AY843" t="s">
        <v>557</v>
      </c>
      <c r="AZ843" t="s">
        <v>880</v>
      </c>
      <c r="BA843" t="s">
        <v>267</v>
      </c>
      <c r="BB843" t="s">
        <v>267</v>
      </c>
      <c r="BC843" t="s">
        <v>242</v>
      </c>
      <c r="BK843" t="s">
        <v>860</v>
      </c>
      <c r="BM843" t="s">
        <v>861</v>
      </c>
      <c r="BN843" t="s">
        <v>862</v>
      </c>
      <c r="BO843" t="s">
        <v>863</v>
      </c>
      <c r="BP843">
        <v>2.2999999999999998</v>
      </c>
      <c r="BQ843" t="s">
        <v>864</v>
      </c>
      <c r="DF843" s="15" t="s">
        <v>9391</v>
      </c>
      <c r="DG843" t="s">
        <v>126</v>
      </c>
      <c r="DH843" t="s">
        <v>159</v>
      </c>
      <c r="DI843" t="s">
        <v>159</v>
      </c>
      <c r="DJ843" t="s">
        <v>326</v>
      </c>
      <c r="DK843">
        <v>2000000</v>
      </c>
    </row>
    <row r="844" spans="1:115" x14ac:dyDescent="0.25">
      <c r="A844" t="s">
        <v>3246</v>
      </c>
      <c r="B844" t="s">
        <v>3247</v>
      </c>
      <c r="F844" t="s">
        <v>190</v>
      </c>
      <c r="I844" t="s">
        <v>1453</v>
      </c>
      <c r="N844" t="s">
        <v>3248</v>
      </c>
      <c r="U844" t="s">
        <v>176</v>
      </c>
      <c r="Z844" s="14">
        <v>45671</v>
      </c>
      <c r="AA844" s="14">
        <v>45727</v>
      </c>
      <c r="AD844" s="14">
        <v>47118</v>
      </c>
      <c r="AL844" t="s">
        <v>122</v>
      </c>
      <c r="AN844">
        <v>163989250</v>
      </c>
      <c r="AR844">
        <v>163989250</v>
      </c>
      <c r="AS844">
        <v>0</v>
      </c>
      <c r="AY844" t="s">
        <v>557</v>
      </c>
      <c r="AZ844" t="s">
        <v>880</v>
      </c>
      <c r="BA844" t="s">
        <v>267</v>
      </c>
      <c r="BB844" t="s">
        <v>267</v>
      </c>
      <c r="BC844" t="s">
        <v>242</v>
      </c>
      <c r="BK844" t="s">
        <v>860</v>
      </c>
      <c r="BM844" t="s">
        <v>861</v>
      </c>
      <c r="BN844" t="s">
        <v>862</v>
      </c>
      <c r="BO844" t="s">
        <v>863</v>
      </c>
      <c r="BP844">
        <v>2.2999999999999998</v>
      </c>
      <c r="BQ844" t="s">
        <v>864</v>
      </c>
      <c r="DF844" s="15" t="s">
        <v>9308</v>
      </c>
      <c r="DG844" t="s">
        <v>126</v>
      </c>
      <c r="DH844" t="s">
        <v>159</v>
      </c>
      <c r="DI844" t="s">
        <v>159</v>
      </c>
      <c r="DJ844" t="s">
        <v>326</v>
      </c>
      <c r="DK844">
        <v>250000</v>
      </c>
    </row>
    <row r="845" spans="1:115" x14ac:dyDescent="0.25">
      <c r="A845" t="s">
        <v>3249</v>
      </c>
      <c r="B845" t="s">
        <v>3250</v>
      </c>
      <c r="F845" t="s">
        <v>163</v>
      </c>
      <c r="I845" t="s">
        <v>1087</v>
      </c>
      <c r="N845" t="s">
        <v>3251</v>
      </c>
      <c r="U845" t="s">
        <v>165</v>
      </c>
      <c r="V845" t="s">
        <v>166</v>
      </c>
      <c r="Z845" s="14">
        <v>45671</v>
      </c>
      <c r="AA845" s="14">
        <v>45777</v>
      </c>
      <c r="AD845" s="14">
        <v>46387</v>
      </c>
      <c r="AL845" t="s">
        <v>136</v>
      </c>
      <c r="AN845">
        <v>787148400</v>
      </c>
      <c r="AR845">
        <v>787148400</v>
      </c>
      <c r="AS845">
        <v>0</v>
      </c>
      <c r="AY845" t="s">
        <v>557</v>
      </c>
      <c r="AZ845" t="s">
        <v>880</v>
      </c>
      <c r="BA845" t="s">
        <v>1439</v>
      </c>
      <c r="BB845" t="s">
        <v>1439</v>
      </c>
      <c r="BC845" t="s">
        <v>242</v>
      </c>
      <c r="BK845" t="s">
        <v>860</v>
      </c>
      <c r="BM845" t="s">
        <v>964</v>
      </c>
      <c r="BN845" t="s">
        <v>1035</v>
      </c>
      <c r="BO845" t="s">
        <v>1036</v>
      </c>
      <c r="BP845">
        <v>16.600000000000001</v>
      </c>
      <c r="BQ845" t="s">
        <v>902</v>
      </c>
      <c r="DF845" s="15" t="s">
        <v>9307</v>
      </c>
      <c r="DG845" t="s">
        <v>126</v>
      </c>
      <c r="DH845" t="s">
        <v>159</v>
      </c>
      <c r="DI845" t="s">
        <v>159</v>
      </c>
      <c r="DJ845" t="s">
        <v>326</v>
      </c>
      <c r="DK845">
        <v>787148400</v>
      </c>
    </row>
    <row r="846" spans="1:115" x14ac:dyDescent="0.25">
      <c r="A846" t="s">
        <v>3252</v>
      </c>
      <c r="B846" t="s">
        <v>3253</v>
      </c>
      <c r="F846" t="s">
        <v>315</v>
      </c>
      <c r="I846" t="s">
        <v>896</v>
      </c>
      <c r="N846" t="s">
        <v>3254</v>
      </c>
      <c r="U846" t="s">
        <v>1572</v>
      </c>
      <c r="V846" t="s">
        <v>1573</v>
      </c>
      <c r="Z846" s="14">
        <v>45671</v>
      </c>
      <c r="AA846" s="14">
        <v>45727</v>
      </c>
      <c r="AD846" s="14">
        <v>47483</v>
      </c>
      <c r="AL846" t="s">
        <v>122</v>
      </c>
      <c r="AN846">
        <v>370720658</v>
      </c>
      <c r="AR846">
        <v>370720658</v>
      </c>
      <c r="AS846">
        <v>0</v>
      </c>
      <c r="AY846" t="s">
        <v>557</v>
      </c>
      <c r="AZ846" t="s">
        <v>880</v>
      </c>
      <c r="BA846" t="s">
        <v>1439</v>
      </c>
      <c r="BB846" t="s">
        <v>1439</v>
      </c>
      <c r="BC846" t="s">
        <v>242</v>
      </c>
      <c r="BK846" t="s">
        <v>860</v>
      </c>
      <c r="BM846" t="s">
        <v>861</v>
      </c>
      <c r="BN846" t="s">
        <v>900</v>
      </c>
      <c r="BO846" t="s">
        <v>901</v>
      </c>
      <c r="BP846">
        <v>4.0999999999999996</v>
      </c>
      <c r="BQ846" t="s">
        <v>902</v>
      </c>
      <c r="DF846" s="15" t="s">
        <v>9427</v>
      </c>
      <c r="DG846" t="s">
        <v>126</v>
      </c>
      <c r="DH846" t="s">
        <v>159</v>
      </c>
      <c r="DI846" t="s">
        <v>159</v>
      </c>
      <c r="DJ846" t="s">
        <v>326</v>
      </c>
      <c r="DK846">
        <v>565160</v>
      </c>
    </row>
    <row r="847" spans="1:115" x14ac:dyDescent="0.25">
      <c r="A847" t="s">
        <v>3255</v>
      </c>
      <c r="B847" t="s">
        <v>3256</v>
      </c>
      <c r="F847" t="s">
        <v>526</v>
      </c>
      <c r="I847" t="s">
        <v>1131</v>
      </c>
      <c r="N847" t="s">
        <v>3257</v>
      </c>
      <c r="U847" t="s">
        <v>321</v>
      </c>
      <c r="Z847" s="14">
        <v>45671</v>
      </c>
      <c r="AA847" s="14">
        <v>45836</v>
      </c>
      <c r="AD847" s="14">
        <v>47483</v>
      </c>
      <c r="AL847" t="s">
        <v>1127</v>
      </c>
      <c r="AN847">
        <v>1375230000</v>
      </c>
      <c r="AR847">
        <v>1375230000</v>
      </c>
      <c r="AS847">
        <v>0</v>
      </c>
      <c r="AY847" t="s">
        <v>557</v>
      </c>
      <c r="AZ847" t="s">
        <v>880</v>
      </c>
      <c r="BA847" t="s">
        <v>1128</v>
      </c>
      <c r="BB847" t="s">
        <v>1128</v>
      </c>
      <c r="BC847" t="s">
        <v>242</v>
      </c>
      <c r="BK847" t="s">
        <v>860</v>
      </c>
      <c r="BM847" t="s">
        <v>560</v>
      </c>
      <c r="BN847" t="s">
        <v>561</v>
      </c>
      <c r="BO847" t="s">
        <v>1022</v>
      </c>
      <c r="BP847">
        <v>1.3</v>
      </c>
      <c r="BQ847" t="s">
        <v>902</v>
      </c>
      <c r="DF847" s="15" t="s">
        <v>9324</v>
      </c>
      <c r="DG847" t="s">
        <v>126</v>
      </c>
      <c r="DH847" t="s">
        <v>159</v>
      </c>
      <c r="DI847" t="s">
        <v>159</v>
      </c>
      <c r="DJ847" t="s">
        <v>326</v>
      </c>
      <c r="DK847">
        <v>3000000</v>
      </c>
    </row>
    <row r="848" spans="1:115" x14ac:dyDescent="0.25">
      <c r="A848" t="s">
        <v>3258</v>
      </c>
      <c r="B848" t="s">
        <v>3259</v>
      </c>
      <c r="F848" t="s">
        <v>526</v>
      </c>
      <c r="I848" t="s">
        <v>1131</v>
      </c>
      <c r="N848" t="s">
        <v>3260</v>
      </c>
      <c r="U848" t="s">
        <v>176</v>
      </c>
      <c r="Z848" s="14">
        <v>45671</v>
      </c>
      <c r="AA848" s="14">
        <v>45777</v>
      </c>
      <c r="AD848" s="14">
        <v>47848</v>
      </c>
      <c r="AL848" t="s">
        <v>1127</v>
      </c>
      <c r="AN848">
        <v>2999999999</v>
      </c>
      <c r="AR848">
        <v>2999999999</v>
      </c>
      <c r="AS848">
        <v>0</v>
      </c>
      <c r="AY848" t="s">
        <v>557</v>
      </c>
      <c r="AZ848" t="s">
        <v>880</v>
      </c>
      <c r="BA848" t="s">
        <v>1128</v>
      </c>
      <c r="BB848" t="s">
        <v>1128</v>
      </c>
      <c r="BC848" t="s">
        <v>242</v>
      </c>
      <c r="BK848" t="s">
        <v>860</v>
      </c>
      <c r="BM848" t="s">
        <v>560</v>
      </c>
      <c r="BN848" t="s">
        <v>561</v>
      </c>
      <c r="BO848" t="s">
        <v>1022</v>
      </c>
      <c r="BP848">
        <v>1.3</v>
      </c>
      <c r="BQ848" t="s">
        <v>902</v>
      </c>
      <c r="DF848" s="15" t="s">
        <v>9308</v>
      </c>
      <c r="DG848" t="s">
        <v>126</v>
      </c>
      <c r="DH848" t="s">
        <v>159</v>
      </c>
      <c r="DI848" t="s">
        <v>159</v>
      </c>
      <c r="DJ848" t="s">
        <v>326</v>
      </c>
      <c r="DK848">
        <v>6544359.8499999996</v>
      </c>
    </row>
    <row r="849" spans="1:115" x14ac:dyDescent="0.25">
      <c r="A849" t="s">
        <v>3261</v>
      </c>
      <c r="B849" t="s">
        <v>3262</v>
      </c>
      <c r="F849" t="s">
        <v>190</v>
      </c>
      <c r="I849" t="s">
        <v>1311</v>
      </c>
      <c r="N849" t="s">
        <v>3263</v>
      </c>
      <c r="U849" t="s">
        <v>2905</v>
      </c>
      <c r="Z849" s="14">
        <v>45671</v>
      </c>
      <c r="AA849" s="14">
        <v>45765</v>
      </c>
      <c r="AD849" s="14">
        <v>47483</v>
      </c>
      <c r="AL849" t="s">
        <v>1110</v>
      </c>
      <c r="AN849">
        <v>3300000000</v>
      </c>
      <c r="AR849">
        <v>0</v>
      </c>
      <c r="AS849">
        <v>3300000000</v>
      </c>
      <c r="AY849" t="s">
        <v>557</v>
      </c>
      <c r="AZ849" t="s">
        <v>558</v>
      </c>
      <c r="BA849" t="s">
        <v>822</v>
      </c>
      <c r="BB849" t="s">
        <v>823</v>
      </c>
      <c r="BC849" t="s">
        <v>242</v>
      </c>
      <c r="BK849" t="s">
        <v>860</v>
      </c>
      <c r="BM849" t="s">
        <v>861</v>
      </c>
      <c r="BN849" t="s">
        <v>862</v>
      </c>
      <c r="BO849" t="s">
        <v>863</v>
      </c>
      <c r="BP849">
        <v>2.2999999999999998</v>
      </c>
      <c r="BQ849" t="s">
        <v>864</v>
      </c>
      <c r="DF849" s="15" t="s">
        <v>9479</v>
      </c>
      <c r="DG849" t="s">
        <v>317</v>
      </c>
      <c r="DH849" t="s">
        <v>127</v>
      </c>
      <c r="DI849" t="s">
        <v>127</v>
      </c>
      <c r="DJ849" t="s">
        <v>326</v>
      </c>
      <c r="DK849">
        <v>5500000</v>
      </c>
    </row>
    <row r="850" spans="1:115" x14ac:dyDescent="0.25">
      <c r="A850" t="s">
        <v>3264</v>
      </c>
      <c r="B850" t="s">
        <v>3265</v>
      </c>
      <c r="F850" t="s">
        <v>873</v>
      </c>
      <c r="I850" t="s">
        <v>982</v>
      </c>
      <c r="N850" t="s">
        <v>3266</v>
      </c>
      <c r="U850" t="s">
        <v>165</v>
      </c>
      <c r="V850" t="s">
        <v>166</v>
      </c>
      <c r="Z850" s="14">
        <v>45671</v>
      </c>
      <c r="AA850" s="14">
        <v>45797</v>
      </c>
      <c r="AD850" s="14">
        <v>46387</v>
      </c>
      <c r="AL850" t="s">
        <v>136</v>
      </c>
      <c r="AN850">
        <v>115664897810</v>
      </c>
      <c r="AR850">
        <v>0</v>
      </c>
      <c r="AS850">
        <v>115664897810</v>
      </c>
      <c r="AY850" t="s">
        <v>557</v>
      </c>
      <c r="AZ850" t="s">
        <v>558</v>
      </c>
      <c r="BA850" t="s">
        <v>1148</v>
      </c>
      <c r="BB850" t="s">
        <v>1148</v>
      </c>
      <c r="BC850" t="s">
        <v>242</v>
      </c>
      <c r="BK850" t="s">
        <v>860</v>
      </c>
      <c r="BM850" t="s">
        <v>861</v>
      </c>
      <c r="BN850" t="s">
        <v>862</v>
      </c>
      <c r="BO850" t="s">
        <v>939</v>
      </c>
      <c r="BP850">
        <v>11.3</v>
      </c>
      <c r="BQ850" t="s">
        <v>902</v>
      </c>
      <c r="DF850" s="15" t="s">
        <v>9307</v>
      </c>
      <c r="DG850" t="s">
        <v>126</v>
      </c>
      <c r="DH850" t="s">
        <v>127</v>
      </c>
      <c r="DI850" t="s">
        <v>150</v>
      </c>
      <c r="DJ850" t="s">
        <v>172</v>
      </c>
      <c r="DK850">
        <v>115664897810</v>
      </c>
    </row>
    <row r="851" spans="1:115" x14ac:dyDescent="0.25">
      <c r="A851" t="s">
        <v>3267</v>
      </c>
      <c r="B851" t="s">
        <v>3268</v>
      </c>
      <c r="F851" t="s">
        <v>205</v>
      </c>
      <c r="I851" t="s">
        <v>3269</v>
      </c>
      <c r="N851" t="s">
        <v>3270</v>
      </c>
      <c r="U851" t="s">
        <v>165</v>
      </c>
      <c r="V851" t="s">
        <v>166</v>
      </c>
      <c r="Z851" s="14">
        <v>45671</v>
      </c>
      <c r="AA851" s="14">
        <v>45739</v>
      </c>
      <c r="AD851" s="14">
        <v>46387</v>
      </c>
      <c r="AL851" t="s">
        <v>624</v>
      </c>
      <c r="AN851">
        <v>445072529</v>
      </c>
      <c r="AR851">
        <v>445072529</v>
      </c>
      <c r="AS851">
        <v>0</v>
      </c>
      <c r="AY851" t="s">
        <v>557</v>
      </c>
      <c r="AZ851" t="s">
        <v>880</v>
      </c>
      <c r="BA851" t="s">
        <v>1010</v>
      </c>
      <c r="BB851" t="s">
        <v>1011</v>
      </c>
      <c r="BC851" t="s">
        <v>125</v>
      </c>
      <c r="BK851" t="s">
        <v>860</v>
      </c>
      <c r="BM851" t="s">
        <v>560</v>
      </c>
      <c r="BN851" t="s">
        <v>1012</v>
      </c>
      <c r="BO851" t="s">
        <v>939</v>
      </c>
      <c r="BP851">
        <v>11.3</v>
      </c>
      <c r="BQ851" t="s">
        <v>563</v>
      </c>
      <c r="DF851" s="15" t="s">
        <v>9307</v>
      </c>
      <c r="DG851" t="s">
        <v>126</v>
      </c>
      <c r="DH851" t="s">
        <v>159</v>
      </c>
      <c r="DI851" t="s">
        <v>159</v>
      </c>
      <c r="DJ851" t="s">
        <v>172</v>
      </c>
      <c r="DK851">
        <v>809222.78</v>
      </c>
    </row>
    <row r="852" spans="1:115" x14ac:dyDescent="0.25">
      <c r="A852" t="s">
        <v>3271</v>
      </c>
      <c r="B852" t="s">
        <v>1005</v>
      </c>
      <c r="F852" t="s">
        <v>205</v>
      </c>
      <c r="I852" t="s">
        <v>1006</v>
      </c>
      <c r="N852" t="s">
        <v>3272</v>
      </c>
      <c r="U852" t="s">
        <v>1008</v>
      </c>
      <c r="V852" t="s">
        <v>1009</v>
      </c>
      <c r="Z852" s="14">
        <v>45671</v>
      </c>
      <c r="AA852" s="14">
        <v>45673</v>
      </c>
      <c r="AD852" s="14">
        <v>47118</v>
      </c>
      <c r="AL852" t="s">
        <v>624</v>
      </c>
      <c r="AN852">
        <v>57750000</v>
      </c>
      <c r="AR852">
        <v>57750000</v>
      </c>
      <c r="AS852">
        <v>0</v>
      </c>
      <c r="AY852" t="s">
        <v>557</v>
      </c>
      <c r="AZ852" t="s">
        <v>880</v>
      </c>
      <c r="BA852" t="s">
        <v>1010</v>
      </c>
      <c r="BB852" t="s">
        <v>1011</v>
      </c>
      <c r="BC852" t="s">
        <v>125</v>
      </c>
      <c r="BK852" t="s">
        <v>860</v>
      </c>
      <c r="BM852" t="s">
        <v>560</v>
      </c>
      <c r="BN852" t="s">
        <v>1012</v>
      </c>
      <c r="BO852" t="s">
        <v>939</v>
      </c>
      <c r="BP852">
        <v>11.3</v>
      </c>
      <c r="BQ852" t="s">
        <v>563</v>
      </c>
      <c r="DF852" s="15" t="s">
        <v>9392</v>
      </c>
      <c r="DG852" t="s">
        <v>126</v>
      </c>
      <c r="DH852" t="s">
        <v>159</v>
      </c>
      <c r="DI852" t="s">
        <v>159</v>
      </c>
      <c r="DJ852" t="s">
        <v>172</v>
      </c>
      <c r="DK852">
        <v>105000</v>
      </c>
    </row>
    <row r="853" spans="1:115" x14ac:dyDescent="0.25">
      <c r="A853" t="s">
        <v>3273</v>
      </c>
      <c r="B853" t="s">
        <v>3274</v>
      </c>
      <c r="F853" t="s">
        <v>526</v>
      </c>
      <c r="I853" t="s">
        <v>2876</v>
      </c>
      <c r="N853" t="s">
        <v>3275</v>
      </c>
      <c r="U853" t="s">
        <v>176</v>
      </c>
      <c r="Z853" s="14">
        <v>45671</v>
      </c>
      <c r="AA853" s="14">
        <v>45717</v>
      </c>
      <c r="AD853" s="14">
        <v>47118</v>
      </c>
      <c r="AL853" t="s">
        <v>624</v>
      </c>
      <c r="AN853">
        <v>641828550</v>
      </c>
      <c r="AR853">
        <v>641828550</v>
      </c>
      <c r="AS853">
        <v>0</v>
      </c>
      <c r="AY853" t="s">
        <v>557</v>
      </c>
      <c r="AZ853" t="s">
        <v>880</v>
      </c>
      <c r="BA853" t="s">
        <v>1020</v>
      </c>
      <c r="BB853" t="s">
        <v>1021</v>
      </c>
      <c r="BC853" t="s">
        <v>242</v>
      </c>
      <c r="BK853" t="s">
        <v>860</v>
      </c>
      <c r="BM853" t="s">
        <v>964</v>
      </c>
      <c r="BN853" t="s">
        <v>1035</v>
      </c>
      <c r="BO853" t="s">
        <v>1047</v>
      </c>
      <c r="BP853">
        <v>17.170000000000002</v>
      </c>
      <c r="BQ853" t="s">
        <v>864</v>
      </c>
      <c r="DF853" s="15" t="s">
        <v>9308</v>
      </c>
      <c r="DG853" t="s">
        <v>126</v>
      </c>
      <c r="DH853" t="s">
        <v>159</v>
      </c>
      <c r="DI853" t="s">
        <v>159</v>
      </c>
      <c r="DJ853" t="s">
        <v>172</v>
      </c>
      <c r="DK853">
        <v>1166961</v>
      </c>
    </row>
    <row r="854" spans="1:115" x14ac:dyDescent="0.25">
      <c r="A854" t="s">
        <v>3276</v>
      </c>
      <c r="B854" t="s">
        <v>1524</v>
      </c>
      <c r="F854" t="s">
        <v>315</v>
      </c>
      <c r="I854" t="s">
        <v>1519</v>
      </c>
      <c r="N854" t="s">
        <v>3277</v>
      </c>
      <c r="U854" t="s">
        <v>1521</v>
      </c>
      <c r="V854" t="s">
        <v>1522</v>
      </c>
      <c r="Z854" s="14">
        <v>45671</v>
      </c>
      <c r="AD854" s="14">
        <v>46387</v>
      </c>
      <c r="AL854" t="s">
        <v>624</v>
      </c>
      <c r="AN854">
        <v>7649442553.5</v>
      </c>
      <c r="AR854">
        <v>7649442553.5</v>
      </c>
      <c r="AS854">
        <v>0</v>
      </c>
      <c r="AY854" t="s">
        <v>557</v>
      </c>
      <c r="AZ854" t="s">
        <v>880</v>
      </c>
      <c r="BA854" t="s">
        <v>1515</v>
      </c>
      <c r="BB854" t="s">
        <v>1516</v>
      </c>
      <c r="BC854" t="s">
        <v>242</v>
      </c>
      <c r="BK854" t="s">
        <v>860</v>
      </c>
      <c r="BM854" t="s">
        <v>861</v>
      </c>
      <c r="BN854" t="s">
        <v>900</v>
      </c>
      <c r="BO854" t="s">
        <v>901</v>
      </c>
      <c r="BP854">
        <v>4.0999999999999996</v>
      </c>
      <c r="BQ854" t="s">
        <v>902</v>
      </c>
      <c r="DF854" s="15" t="s">
        <v>9424</v>
      </c>
      <c r="DG854" t="s">
        <v>126</v>
      </c>
      <c r="DH854" t="s">
        <v>159</v>
      </c>
      <c r="DI854" t="s">
        <v>159</v>
      </c>
      <c r="DJ854" t="s">
        <v>326</v>
      </c>
      <c r="DK854">
        <v>13908077.369999999</v>
      </c>
    </row>
    <row r="855" spans="1:115" x14ac:dyDescent="0.25">
      <c r="A855" t="s">
        <v>3278</v>
      </c>
      <c r="B855" t="s">
        <v>3279</v>
      </c>
      <c r="F855" t="s">
        <v>163</v>
      </c>
      <c r="N855" t="s">
        <v>3280</v>
      </c>
      <c r="U855" t="s">
        <v>176</v>
      </c>
      <c r="Z855" s="14">
        <v>45671</v>
      </c>
      <c r="AA855" s="14">
        <v>46084</v>
      </c>
      <c r="AD855" s="14">
        <v>46387</v>
      </c>
      <c r="AL855" t="s">
        <v>122</v>
      </c>
      <c r="AN855">
        <v>25188748800</v>
      </c>
      <c r="AR855">
        <v>0</v>
      </c>
      <c r="AS855">
        <v>25188748800</v>
      </c>
      <c r="BA855" t="s">
        <v>178</v>
      </c>
      <c r="BB855" t="s">
        <v>179</v>
      </c>
      <c r="BC855" t="s">
        <v>125</v>
      </c>
      <c r="DF855" s="15" t="s">
        <v>9308</v>
      </c>
      <c r="DG855" t="s">
        <v>126</v>
      </c>
      <c r="DH855" t="s">
        <v>127</v>
      </c>
      <c r="DI855" t="s">
        <v>150</v>
      </c>
      <c r="DJ855" t="s">
        <v>3041</v>
      </c>
      <c r="DK855">
        <v>38400000</v>
      </c>
    </row>
    <row r="856" spans="1:115" x14ac:dyDescent="0.25">
      <c r="A856" t="s">
        <v>3281</v>
      </c>
      <c r="B856" t="s">
        <v>3282</v>
      </c>
      <c r="F856" t="s">
        <v>163</v>
      </c>
      <c r="N856" t="s">
        <v>3283</v>
      </c>
      <c r="U856" t="s">
        <v>176</v>
      </c>
      <c r="Z856" s="14">
        <v>45671</v>
      </c>
      <c r="AA856" s="14">
        <v>46084</v>
      </c>
      <c r="AD856" s="14">
        <v>46387</v>
      </c>
      <c r="AL856" t="s">
        <v>122</v>
      </c>
      <c r="AN856">
        <v>86586324000</v>
      </c>
      <c r="AR856">
        <v>0</v>
      </c>
      <c r="AS856">
        <v>86586324000</v>
      </c>
      <c r="BA856" t="s">
        <v>178</v>
      </c>
      <c r="BB856" t="s">
        <v>179</v>
      </c>
      <c r="BC856" t="s">
        <v>125</v>
      </c>
      <c r="DF856" s="15" t="s">
        <v>9308</v>
      </c>
      <c r="DG856" t="s">
        <v>126</v>
      </c>
      <c r="DH856" t="s">
        <v>127</v>
      </c>
      <c r="DI856" t="s">
        <v>150</v>
      </c>
      <c r="DJ856" t="s">
        <v>3284</v>
      </c>
      <c r="DK856">
        <v>132000000</v>
      </c>
    </row>
    <row r="857" spans="1:115" x14ac:dyDescent="0.25">
      <c r="A857" t="s">
        <v>3285</v>
      </c>
      <c r="B857" t="s">
        <v>3286</v>
      </c>
      <c r="F857" t="s">
        <v>163</v>
      </c>
      <c r="N857" t="s">
        <v>3287</v>
      </c>
      <c r="U857" t="s">
        <v>176</v>
      </c>
      <c r="Z857" s="14">
        <v>46037</v>
      </c>
      <c r="AA857" s="14">
        <v>46097</v>
      </c>
      <c r="AD857" s="14">
        <v>46752</v>
      </c>
      <c r="AL857" t="s">
        <v>122</v>
      </c>
      <c r="AN857">
        <v>19678710000</v>
      </c>
      <c r="AR857">
        <v>0</v>
      </c>
      <c r="AS857">
        <v>19678710000</v>
      </c>
      <c r="BA857" t="s">
        <v>3288</v>
      </c>
      <c r="BB857" t="s">
        <v>149</v>
      </c>
      <c r="BC857" t="s">
        <v>125</v>
      </c>
      <c r="DF857" s="15" t="s">
        <v>9308</v>
      </c>
      <c r="DG857" t="s">
        <v>126</v>
      </c>
      <c r="DH857" t="s">
        <v>127</v>
      </c>
      <c r="DI857" t="s">
        <v>150</v>
      </c>
      <c r="DJ857" t="s">
        <v>3289</v>
      </c>
      <c r="DK857">
        <v>30000000</v>
      </c>
    </row>
    <row r="858" spans="1:115" x14ac:dyDescent="0.25">
      <c r="A858" t="s">
        <v>3290</v>
      </c>
      <c r="B858" t="s">
        <v>3291</v>
      </c>
      <c r="F858" t="s">
        <v>369</v>
      </c>
      <c r="N858" t="s">
        <v>3292</v>
      </c>
      <c r="U858" t="s">
        <v>176</v>
      </c>
      <c r="Z858" s="14">
        <v>46037</v>
      </c>
      <c r="AA858" s="14">
        <v>46108</v>
      </c>
      <c r="AD858" s="14">
        <v>47848</v>
      </c>
      <c r="AL858" t="s">
        <v>136</v>
      </c>
      <c r="AN858">
        <v>12000000000</v>
      </c>
      <c r="AR858">
        <v>0</v>
      </c>
      <c r="AS858">
        <v>12000000000</v>
      </c>
      <c r="BA858" t="s">
        <v>137</v>
      </c>
      <c r="BB858" t="s">
        <v>138</v>
      </c>
      <c r="BC858" t="s">
        <v>125</v>
      </c>
      <c r="DF858" s="15" t="s">
        <v>9308</v>
      </c>
      <c r="DG858" t="s">
        <v>126</v>
      </c>
      <c r="DH858" t="s">
        <v>127</v>
      </c>
      <c r="DI858" t="s">
        <v>128</v>
      </c>
      <c r="DJ858" t="s">
        <v>3293</v>
      </c>
      <c r="DK858">
        <v>12000000000</v>
      </c>
    </row>
    <row r="859" spans="1:115" x14ac:dyDescent="0.25">
      <c r="A859" t="s">
        <v>3294</v>
      </c>
      <c r="B859" t="s">
        <v>3295</v>
      </c>
      <c r="F859" t="s">
        <v>369</v>
      </c>
      <c r="N859" t="s">
        <v>3296</v>
      </c>
      <c r="U859" t="s">
        <v>176</v>
      </c>
      <c r="Z859" s="14">
        <v>46037</v>
      </c>
      <c r="AA859" s="14">
        <v>46108</v>
      </c>
      <c r="AD859" s="14">
        <v>47848</v>
      </c>
      <c r="AL859" t="s">
        <v>136</v>
      </c>
      <c r="AN859">
        <v>7500000000</v>
      </c>
      <c r="AR859">
        <v>0</v>
      </c>
      <c r="AS859">
        <v>7500000000</v>
      </c>
      <c r="BA859" t="s">
        <v>137</v>
      </c>
      <c r="BB859" t="s">
        <v>138</v>
      </c>
      <c r="BC859" t="s">
        <v>125</v>
      </c>
      <c r="DF859" s="15" t="s">
        <v>9308</v>
      </c>
      <c r="DG859" t="s">
        <v>126</v>
      </c>
      <c r="DH859" t="s">
        <v>127</v>
      </c>
      <c r="DI859" t="s">
        <v>128</v>
      </c>
      <c r="DJ859" t="s">
        <v>3293</v>
      </c>
      <c r="DK859">
        <v>7500000000</v>
      </c>
    </row>
    <row r="860" spans="1:115" x14ac:dyDescent="0.25">
      <c r="A860" t="s">
        <v>3297</v>
      </c>
      <c r="B860" t="s">
        <v>3298</v>
      </c>
      <c r="F860" t="s">
        <v>315</v>
      </c>
      <c r="N860" t="s">
        <v>3299</v>
      </c>
      <c r="U860" t="s">
        <v>3300</v>
      </c>
      <c r="V860" t="s">
        <v>3301</v>
      </c>
      <c r="Z860" s="14">
        <v>46027</v>
      </c>
      <c r="AA860" s="14">
        <v>46037</v>
      </c>
      <c r="AD860" s="14">
        <v>48213</v>
      </c>
      <c r="AL860" t="s">
        <v>122</v>
      </c>
      <c r="AN860">
        <v>72155270000</v>
      </c>
      <c r="AR860">
        <v>0</v>
      </c>
      <c r="AS860">
        <v>72155270000</v>
      </c>
      <c r="BA860" t="s">
        <v>689</v>
      </c>
      <c r="BB860" t="s">
        <v>690</v>
      </c>
      <c r="BC860" t="s">
        <v>125</v>
      </c>
      <c r="DF860" s="15" t="s">
        <v>9506</v>
      </c>
      <c r="DG860" t="s">
        <v>126</v>
      </c>
      <c r="DH860" t="s">
        <v>127</v>
      </c>
      <c r="DI860" t="s">
        <v>127</v>
      </c>
      <c r="DJ860" t="s">
        <v>3302</v>
      </c>
      <c r="DK860">
        <v>110000000</v>
      </c>
    </row>
    <row r="861" spans="1:115" x14ac:dyDescent="0.25">
      <c r="A861" t="s">
        <v>3303</v>
      </c>
      <c r="B861" t="s">
        <v>3304</v>
      </c>
      <c r="F861" t="s">
        <v>190</v>
      </c>
      <c r="N861" t="s">
        <v>3305</v>
      </c>
      <c r="U861" t="s">
        <v>233</v>
      </c>
      <c r="V861" t="s">
        <v>234</v>
      </c>
      <c r="Z861" s="14">
        <v>46097</v>
      </c>
      <c r="AA861" s="14">
        <v>46107</v>
      </c>
      <c r="AD861" s="14">
        <v>47848</v>
      </c>
      <c r="AL861" t="s">
        <v>624</v>
      </c>
      <c r="AN861">
        <v>1100000000</v>
      </c>
      <c r="AR861">
        <v>0</v>
      </c>
      <c r="AS861">
        <v>1100000000</v>
      </c>
      <c r="BA861" t="s">
        <v>277</v>
      </c>
      <c r="BB861" t="s">
        <v>278</v>
      </c>
      <c r="BC861" t="s">
        <v>125</v>
      </c>
      <c r="DF861" s="15" t="s">
        <v>9315</v>
      </c>
      <c r="DG861" t="s">
        <v>126</v>
      </c>
      <c r="DH861" t="s">
        <v>127</v>
      </c>
      <c r="DI861" t="s">
        <v>150</v>
      </c>
      <c r="DJ861" t="s">
        <v>151</v>
      </c>
      <c r="DK861">
        <v>2000000</v>
      </c>
    </row>
    <row r="862" spans="1:115" x14ac:dyDescent="0.25">
      <c r="A862" t="s">
        <v>3306</v>
      </c>
      <c r="B862" t="s">
        <v>3307</v>
      </c>
      <c r="F862" t="s">
        <v>190</v>
      </c>
      <c r="N862" t="s">
        <v>3308</v>
      </c>
      <c r="U862" t="s">
        <v>211</v>
      </c>
      <c r="V862" t="s">
        <v>3309</v>
      </c>
      <c r="Z862" s="14">
        <v>46029</v>
      </c>
      <c r="AA862" s="14">
        <v>46191</v>
      </c>
      <c r="AD862" s="14">
        <v>48213</v>
      </c>
      <c r="AL862" t="s">
        <v>122</v>
      </c>
      <c r="AN862">
        <v>66989661102</v>
      </c>
      <c r="AR862">
        <v>0</v>
      </c>
      <c r="AS862">
        <v>66989661102</v>
      </c>
      <c r="BA862" t="s">
        <v>277</v>
      </c>
      <c r="BB862" t="s">
        <v>278</v>
      </c>
      <c r="BC862" t="s">
        <v>125</v>
      </c>
      <c r="DF862" s="15" t="s">
        <v>9507</v>
      </c>
      <c r="DG862" t="s">
        <v>126</v>
      </c>
      <c r="DH862" t="s">
        <v>127</v>
      </c>
      <c r="DI862" t="s">
        <v>128</v>
      </c>
      <c r="DJ862" t="s">
        <v>151</v>
      </c>
      <c r="DK862">
        <v>102125080</v>
      </c>
    </row>
    <row r="863" spans="1:115" x14ac:dyDescent="0.25">
      <c r="A863" t="s">
        <v>3310</v>
      </c>
      <c r="B863" t="s">
        <v>3311</v>
      </c>
      <c r="F863" t="s">
        <v>163</v>
      </c>
      <c r="N863" t="s">
        <v>3312</v>
      </c>
      <c r="U863" t="s">
        <v>165</v>
      </c>
      <c r="V863" t="s">
        <v>166</v>
      </c>
      <c r="Z863" s="14">
        <v>46028</v>
      </c>
      <c r="AA863" s="14">
        <v>46037</v>
      </c>
      <c r="AD863" s="14">
        <v>46752</v>
      </c>
      <c r="AL863" t="s">
        <v>122</v>
      </c>
      <c r="AN863">
        <v>15673029000</v>
      </c>
      <c r="AR863">
        <v>0</v>
      </c>
      <c r="AS863">
        <v>15673029000</v>
      </c>
      <c r="BA863" t="s">
        <v>178</v>
      </c>
      <c r="BB863" t="s">
        <v>179</v>
      </c>
      <c r="BC863" t="s">
        <v>125</v>
      </c>
      <c r="DF863" s="15" t="s">
        <v>9307</v>
      </c>
      <c r="DG863" t="s">
        <v>317</v>
      </c>
      <c r="DH863" t="s">
        <v>127</v>
      </c>
      <c r="DI863" t="s">
        <v>150</v>
      </c>
      <c r="DJ863" t="s">
        <v>181</v>
      </c>
      <c r="DK863">
        <v>20500000</v>
      </c>
    </row>
    <row r="864" spans="1:115" x14ac:dyDescent="0.25">
      <c r="A864" t="s">
        <v>3313</v>
      </c>
      <c r="B864" t="s">
        <v>3314</v>
      </c>
      <c r="F864" t="s">
        <v>526</v>
      </c>
      <c r="N864" t="s">
        <v>3315</v>
      </c>
      <c r="U864" t="s">
        <v>176</v>
      </c>
      <c r="Z864" s="14">
        <v>46087</v>
      </c>
      <c r="AA864" s="14">
        <v>46142</v>
      </c>
      <c r="AD864" s="14">
        <v>48213</v>
      </c>
      <c r="AL864" t="s">
        <v>122</v>
      </c>
      <c r="AN864">
        <v>56740280500</v>
      </c>
      <c r="AR864">
        <v>0</v>
      </c>
      <c r="AS864">
        <v>56740280500</v>
      </c>
      <c r="BA864" t="s">
        <v>178</v>
      </c>
      <c r="BB864" t="s">
        <v>179</v>
      </c>
      <c r="BC864" t="s">
        <v>125</v>
      </c>
      <c r="DF864" s="15" t="s">
        <v>9308</v>
      </c>
      <c r="DG864" t="s">
        <v>317</v>
      </c>
      <c r="DH864" t="s">
        <v>127</v>
      </c>
      <c r="DI864" t="s">
        <v>150</v>
      </c>
      <c r="DJ864" t="s">
        <v>181</v>
      </c>
      <c r="DK864">
        <v>86500000</v>
      </c>
    </row>
    <row r="865" spans="1:115" x14ac:dyDescent="0.25">
      <c r="A865" t="s">
        <v>3316</v>
      </c>
      <c r="B865" t="s">
        <v>3317</v>
      </c>
      <c r="F865" t="s">
        <v>118</v>
      </c>
      <c r="I865" t="s">
        <v>1215</v>
      </c>
      <c r="N865" t="s">
        <v>3318</v>
      </c>
      <c r="U865" t="s">
        <v>645</v>
      </c>
      <c r="V865" t="s">
        <v>3319</v>
      </c>
      <c r="Z865" s="14">
        <v>46142</v>
      </c>
      <c r="AA865" s="14">
        <v>46189</v>
      </c>
      <c r="AD865" s="14">
        <v>48029</v>
      </c>
      <c r="AL865" t="s">
        <v>624</v>
      </c>
      <c r="AN865">
        <v>82500000000</v>
      </c>
      <c r="AR865">
        <v>0</v>
      </c>
      <c r="AS865">
        <v>82500000000</v>
      </c>
      <c r="AY865" t="s">
        <v>557</v>
      </c>
      <c r="AZ865" t="s">
        <v>558</v>
      </c>
      <c r="BA865" t="s">
        <v>178</v>
      </c>
      <c r="BB865" t="s">
        <v>179</v>
      </c>
      <c r="BC865" t="s">
        <v>125</v>
      </c>
      <c r="BK865" t="s">
        <v>559</v>
      </c>
      <c r="BM865" t="s">
        <v>560</v>
      </c>
      <c r="BN865" t="s">
        <v>561</v>
      </c>
      <c r="BO865" t="s">
        <v>562</v>
      </c>
      <c r="BP865">
        <v>6.1</v>
      </c>
      <c r="BQ865" t="s">
        <v>563</v>
      </c>
      <c r="DF865" s="15" t="s">
        <v>9508</v>
      </c>
      <c r="DG865" t="s">
        <v>126</v>
      </c>
      <c r="DH865" t="s">
        <v>127</v>
      </c>
      <c r="DI865" t="s">
        <v>150</v>
      </c>
      <c r="DJ865" t="s">
        <v>181</v>
      </c>
      <c r="DK865">
        <v>150000000</v>
      </c>
    </row>
    <row r="866" spans="1:115" x14ac:dyDescent="0.25">
      <c r="A866" t="s">
        <v>3320</v>
      </c>
      <c r="B866" t="s">
        <v>3321</v>
      </c>
      <c r="F866" t="s">
        <v>216</v>
      </c>
      <c r="N866" t="s">
        <v>3322</v>
      </c>
      <c r="U866" t="s">
        <v>176</v>
      </c>
      <c r="Z866" s="14">
        <v>46037</v>
      </c>
      <c r="AA866" s="14">
        <v>46174</v>
      </c>
      <c r="AD866" s="14">
        <v>47299</v>
      </c>
      <c r="AL866" t="s">
        <v>624</v>
      </c>
      <c r="AN866">
        <v>34586250000</v>
      </c>
      <c r="AR866">
        <v>0</v>
      </c>
      <c r="AS866">
        <v>34586250000</v>
      </c>
      <c r="BA866" t="s">
        <v>178</v>
      </c>
      <c r="BB866" t="s">
        <v>179</v>
      </c>
      <c r="BC866" t="s">
        <v>125</v>
      </c>
      <c r="DF866" s="15" t="s">
        <v>9308</v>
      </c>
      <c r="DG866" t="s">
        <v>126</v>
      </c>
      <c r="DH866" t="s">
        <v>127</v>
      </c>
      <c r="DI866" t="s">
        <v>150</v>
      </c>
      <c r="DJ866" t="s">
        <v>181</v>
      </c>
      <c r="DK866">
        <v>60000000</v>
      </c>
    </row>
    <row r="867" spans="1:115" x14ac:dyDescent="0.25">
      <c r="A867" t="s">
        <v>3323</v>
      </c>
      <c r="B867" t="s">
        <v>3324</v>
      </c>
      <c r="F867" t="s">
        <v>190</v>
      </c>
      <c r="I867" t="s">
        <v>3325</v>
      </c>
      <c r="N867" t="s">
        <v>3326</v>
      </c>
      <c r="U867" t="s">
        <v>176</v>
      </c>
      <c r="Z867" s="14">
        <v>46142</v>
      </c>
      <c r="AA867" s="14">
        <v>46189</v>
      </c>
      <c r="AD867" s="14">
        <v>48029</v>
      </c>
      <c r="AL867" t="s">
        <v>624</v>
      </c>
      <c r="AN867">
        <v>93500000000</v>
      </c>
      <c r="AR867">
        <v>11000000000</v>
      </c>
      <c r="AS867">
        <v>82500000000</v>
      </c>
      <c r="AY867" t="s">
        <v>557</v>
      </c>
      <c r="AZ867" t="s">
        <v>859</v>
      </c>
      <c r="BA867" t="s">
        <v>178</v>
      </c>
      <c r="BB867" t="s">
        <v>179</v>
      </c>
      <c r="BC867" t="s">
        <v>125</v>
      </c>
      <c r="BK867" t="s">
        <v>559</v>
      </c>
      <c r="BM867" t="s">
        <v>560</v>
      </c>
      <c r="BN867" t="s">
        <v>561</v>
      </c>
      <c r="BO867" t="s">
        <v>989</v>
      </c>
      <c r="BP867">
        <v>3.8</v>
      </c>
      <c r="BQ867" t="s">
        <v>902</v>
      </c>
      <c r="DF867" s="15" t="s">
        <v>9308</v>
      </c>
      <c r="DG867" t="s">
        <v>317</v>
      </c>
      <c r="DH867" t="s">
        <v>201</v>
      </c>
      <c r="DI867" t="s">
        <v>279</v>
      </c>
      <c r="DJ867" t="s">
        <v>372</v>
      </c>
      <c r="DK867">
        <v>170000000</v>
      </c>
    </row>
    <row r="868" spans="1:115" x14ac:dyDescent="0.25">
      <c r="A868" t="s">
        <v>3327</v>
      </c>
      <c r="B868" t="s">
        <v>3139</v>
      </c>
      <c r="F868" t="s">
        <v>190</v>
      </c>
      <c r="I868" t="s">
        <v>1453</v>
      </c>
      <c r="N868" t="s">
        <v>3140</v>
      </c>
      <c r="U868" t="s">
        <v>176</v>
      </c>
      <c r="Z868" s="14">
        <v>45310</v>
      </c>
      <c r="AA868" s="14">
        <v>45427</v>
      </c>
      <c r="AD868" s="14">
        <v>46741</v>
      </c>
      <c r="AL868" t="s">
        <v>122</v>
      </c>
      <c r="AN868">
        <v>19678710000</v>
      </c>
      <c r="AR868">
        <v>0</v>
      </c>
      <c r="AS868">
        <v>19678710000</v>
      </c>
      <c r="AY868" t="s">
        <v>557</v>
      </c>
      <c r="AZ868" t="s">
        <v>558</v>
      </c>
      <c r="BA868" t="s">
        <v>337</v>
      </c>
      <c r="BB868" t="s">
        <v>338</v>
      </c>
      <c r="BC868" t="s">
        <v>242</v>
      </c>
      <c r="BK868" t="s">
        <v>860</v>
      </c>
      <c r="BM868" t="s">
        <v>861</v>
      </c>
      <c r="BN868" t="s">
        <v>862</v>
      </c>
      <c r="BO868" t="s">
        <v>863</v>
      </c>
      <c r="BP868">
        <v>2.2999999999999998</v>
      </c>
      <c r="BQ868" t="s">
        <v>864</v>
      </c>
      <c r="DF868" s="15" t="s">
        <v>9308</v>
      </c>
      <c r="DG868" t="s">
        <v>126</v>
      </c>
      <c r="DH868" t="s">
        <v>127</v>
      </c>
      <c r="DI868" t="s">
        <v>150</v>
      </c>
      <c r="DJ868" t="s">
        <v>326</v>
      </c>
      <c r="DK868">
        <v>33000000</v>
      </c>
    </row>
    <row r="869" spans="1:115" x14ac:dyDescent="0.25">
      <c r="DF869" s="15" t="s">
        <v>9509</v>
      </c>
    </row>
    <row r="870" spans="1:115" x14ac:dyDescent="0.25">
      <c r="DF870" s="15" t="s">
        <v>9509</v>
      </c>
    </row>
    <row r="871" spans="1:115" x14ac:dyDescent="0.25">
      <c r="DF871" s="15" t="s">
        <v>9509</v>
      </c>
    </row>
    <row r="872" spans="1:115" x14ac:dyDescent="0.25">
      <c r="DF872" s="15" t="s">
        <v>9509</v>
      </c>
    </row>
    <row r="873" spans="1:115" x14ac:dyDescent="0.25">
      <c r="DF873" s="15" t="s">
        <v>9509</v>
      </c>
    </row>
    <row r="874" spans="1:115" x14ac:dyDescent="0.25">
      <c r="DF874" s="15" t="s">
        <v>9509</v>
      </c>
    </row>
    <row r="875" spans="1:115" x14ac:dyDescent="0.25">
      <c r="DF875" s="15" t="s">
        <v>9509</v>
      </c>
    </row>
    <row r="876" spans="1:115" x14ac:dyDescent="0.25">
      <c r="DF876" s="15" t="s">
        <v>9509</v>
      </c>
    </row>
    <row r="877" spans="1:115" x14ac:dyDescent="0.25">
      <c r="DF877" s="15" t="s">
        <v>9509</v>
      </c>
    </row>
    <row r="878" spans="1:115" x14ac:dyDescent="0.25">
      <c r="DF878" s="15" t="s">
        <v>9509</v>
      </c>
    </row>
    <row r="879" spans="1:115" x14ac:dyDescent="0.25">
      <c r="DF879" s="15" t="s">
        <v>9509</v>
      </c>
    </row>
    <row r="880" spans="1:115" x14ac:dyDescent="0.25">
      <c r="DF880" s="15" t="s">
        <v>9509</v>
      </c>
    </row>
    <row r="881" spans="110:110" x14ac:dyDescent="0.25">
      <c r="DF881" s="15" t="s">
        <v>9509</v>
      </c>
    </row>
    <row r="882" spans="110:110" x14ac:dyDescent="0.25">
      <c r="DF882" s="15" t="s">
        <v>9509</v>
      </c>
    </row>
    <row r="883" spans="110:110" x14ac:dyDescent="0.25">
      <c r="DF883" s="15" t="s">
        <v>9509</v>
      </c>
    </row>
    <row r="884" spans="110:110" x14ac:dyDescent="0.25">
      <c r="DF884" s="15" t="s">
        <v>9509</v>
      </c>
    </row>
    <row r="885" spans="110:110" x14ac:dyDescent="0.25">
      <c r="DF885" s="15" t="s">
        <v>9509</v>
      </c>
    </row>
    <row r="886" spans="110:110" x14ac:dyDescent="0.25">
      <c r="DF886" s="15" t="s">
        <v>9509</v>
      </c>
    </row>
    <row r="887" spans="110:110" x14ac:dyDescent="0.25">
      <c r="DF887" s="15" t="s">
        <v>9509</v>
      </c>
    </row>
    <row r="888" spans="110:110" x14ac:dyDescent="0.25">
      <c r="DF888" s="15" t="s">
        <v>9509</v>
      </c>
    </row>
    <row r="889" spans="110:110" x14ac:dyDescent="0.25">
      <c r="DF889" s="15" t="s">
        <v>9509</v>
      </c>
    </row>
    <row r="890" spans="110:110" x14ac:dyDescent="0.25">
      <c r="DF890" s="15" t="s">
        <v>9509</v>
      </c>
    </row>
    <row r="891" spans="110:110" x14ac:dyDescent="0.25">
      <c r="DF891" s="15" t="s">
        <v>9509</v>
      </c>
    </row>
    <row r="892" spans="110:110" x14ac:dyDescent="0.25">
      <c r="DF892" s="15" t="s">
        <v>9509</v>
      </c>
    </row>
    <row r="893" spans="110:110" x14ac:dyDescent="0.25">
      <c r="DF893" s="15" t="s">
        <v>9509</v>
      </c>
    </row>
    <row r="894" spans="110:110" x14ac:dyDescent="0.25">
      <c r="DF894" s="15" t="s">
        <v>9509</v>
      </c>
    </row>
    <row r="895" spans="110:110" x14ac:dyDescent="0.25">
      <c r="DF895" s="15" t="s">
        <v>9509</v>
      </c>
    </row>
    <row r="896" spans="110:110" x14ac:dyDescent="0.25">
      <c r="DF896" s="15" t="s">
        <v>9509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291"/>
  <sheetViews>
    <sheetView topLeftCell="A60" workbookViewId="0">
      <selection activeCell="H75" sqref="H75"/>
    </sheetView>
  </sheetViews>
  <sheetFormatPr baseColWidth="10" defaultRowHeight="15" x14ac:dyDescent="0.25"/>
  <cols>
    <col min="1" max="1" width="5" bestFit="1" customWidth="1"/>
    <col min="2" max="2" width="11.5703125" bestFit="1" customWidth="1"/>
    <col min="3" max="3" width="16.85546875" bestFit="1" customWidth="1"/>
    <col min="4" max="4" width="20.140625" bestFit="1" customWidth="1"/>
    <col min="5" max="5" width="29.140625" bestFit="1" customWidth="1"/>
  </cols>
  <sheetData>
    <row r="1" spans="1:5" ht="36" customHeight="1" x14ac:dyDescent="0.25">
      <c r="A1" s="16" t="s">
        <v>3328</v>
      </c>
      <c r="B1" s="17" t="s">
        <v>3329</v>
      </c>
      <c r="C1" s="17" t="s">
        <v>22</v>
      </c>
      <c r="D1" s="17" t="s">
        <v>23</v>
      </c>
      <c r="E1" s="17" t="s">
        <v>3330</v>
      </c>
    </row>
    <row r="2" spans="1:5" ht="24" customHeight="1" x14ac:dyDescent="0.25">
      <c r="A2" s="16">
        <v>1</v>
      </c>
      <c r="B2" s="18" t="s">
        <v>3331</v>
      </c>
      <c r="C2" s="18" t="s">
        <v>3332</v>
      </c>
      <c r="D2" s="18" t="s">
        <v>3333</v>
      </c>
      <c r="E2" s="18" t="s">
        <v>3334</v>
      </c>
    </row>
    <row r="3" spans="1:5" ht="24" customHeight="1" x14ac:dyDescent="0.25">
      <c r="A3" s="16">
        <v>2</v>
      </c>
      <c r="B3" s="18" t="s">
        <v>3331</v>
      </c>
      <c r="C3" s="18" t="s">
        <v>3332</v>
      </c>
      <c r="D3" s="18" t="s">
        <v>3333</v>
      </c>
      <c r="E3" s="18" t="s">
        <v>3335</v>
      </c>
    </row>
    <row r="4" spans="1:5" ht="24" customHeight="1" x14ac:dyDescent="0.25">
      <c r="A4" s="16">
        <v>3</v>
      </c>
      <c r="B4" s="18" t="s">
        <v>3331</v>
      </c>
      <c r="C4" s="18" t="s">
        <v>3332</v>
      </c>
      <c r="D4" s="18" t="s">
        <v>3333</v>
      </c>
      <c r="E4" s="18" t="s">
        <v>3336</v>
      </c>
    </row>
    <row r="5" spans="1:5" ht="24" customHeight="1" x14ac:dyDescent="0.25">
      <c r="A5" s="16">
        <v>4</v>
      </c>
      <c r="B5" s="18" t="s">
        <v>3331</v>
      </c>
      <c r="C5" s="18" t="s">
        <v>3332</v>
      </c>
      <c r="D5" s="18" t="s">
        <v>3333</v>
      </c>
      <c r="E5" s="18" t="s">
        <v>3337</v>
      </c>
    </row>
    <row r="6" spans="1:5" ht="24" customHeight="1" x14ac:dyDescent="0.25">
      <c r="A6" s="16">
        <v>5</v>
      </c>
      <c r="B6" s="18" t="s">
        <v>3331</v>
      </c>
      <c r="C6" s="18" t="s">
        <v>3332</v>
      </c>
      <c r="D6" s="18" t="s">
        <v>3333</v>
      </c>
      <c r="E6" s="18" t="s">
        <v>3338</v>
      </c>
    </row>
    <row r="7" spans="1:5" ht="24" customHeight="1" x14ac:dyDescent="0.25">
      <c r="A7" s="16">
        <v>6</v>
      </c>
      <c r="B7" s="18" t="s">
        <v>3331</v>
      </c>
      <c r="C7" s="18" t="s">
        <v>3332</v>
      </c>
      <c r="D7" s="18" t="s">
        <v>3333</v>
      </c>
      <c r="E7" s="18" t="s">
        <v>3339</v>
      </c>
    </row>
    <row r="8" spans="1:5" ht="24" customHeight="1" x14ac:dyDescent="0.25">
      <c r="A8" s="16">
        <v>7</v>
      </c>
      <c r="B8" s="18" t="s">
        <v>3331</v>
      </c>
      <c r="C8" s="18" t="s">
        <v>3332</v>
      </c>
      <c r="D8" s="18" t="s">
        <v>3333</v>
      </c>
      <c r="E8" s="18" t="s">
        <v>3340</v>
      </c>
    </row>
    <row r="9" spans="1:5" ht="24" customHeight="1" x14ac:dyDescent="0.25">
      <c r="A9" s="16">
        <v>8</v>
      </c>
      <c r="B9" s="18" t="s">
        <v>3331</v>
      </c>
      <c r="C9" s="18" t="s">
        <v>3332</v>
      </c>
      <c r="D9" s="18" t="s">
        <v>3333</v>
      </c>
      <c r="E9" s="18" t="s">
        <v>3341</v>
      </c>
    </row>
    <row r="10" spans="1:5" ht="24" customHeight="1" x14ac:dyDescent="0.25">
      <c r="A10" s="16">
        <v>9</v>
      </c>
      <c r="B10" s="18" t="s">
        <v>3331</v>
      </c>
      <c r="C10" s="18" t="s">
        <v>3332</v>
      </c>
      <c r="D10" s="18" t="s">
        <v>3333</v>
      </c>
      <c r="E10" s="18" t="s">
        <v>3342</v>
      </c>
    </row>
    <row r="11" spans="1:5" ht="24" customHeight="1" x14ac:dyDescent="0.25">
      <c r="A11" s="16">
        <v>10</v>
      </c>
      <c r="B11" s="18" t="s">
        <v>3331</v>
      </c>
      <c r="C11" s="18" t="s">
        <v>3332</v>
      </c>
      <c r="D11" s="18" t="s">
        <v>3333</v>
      </c>
      <c r="E11" s="18" t="s">
        <v>3343</v>
      </c>
    </row>
    <row r="12" spans="1:5" ht="24" customHeight="1" x14ac:dyDescent="0.25">
      <c r="A12" s="16">
        <v>11</v>
      </c>
      <c r="B12" s="18" t="s">
        <v>3331</v>
      </c>
      <c r="C12" s="18" t="s">
        <v>3332</v>
      </c>
      <c r="D12" s="18" t="s">
        <v>3333</v>
      </c>
      <c r="E12" s="18" t="s">
        <v>3344</v>
      </c>
    </row>
    <row r="13" spans="1:5" ht="24" customHeight="1" x14ac:dyDescent="0.25">
      <c r="A13" s="16">
        <v>12</v>
      </c>
      <c r="B13" s="18" t="s">
        <v>3331</v>
      </c>
      <c r="C13" s="18" t="s">
        <v>3332</v>
      </c>
      <c r="D13" s="18" t="s">
        <v>3333</v>
      </c>
      <c r="E13" s="18" t="s">
        <v>3345</v>
      </c>
    </row>
    <row r="14" spans="1:5" ht="24" customHeight="1" x14ac:dyDescent="0.25">
      <c r="A14" s="16">
        <v>13</v>
      </c>
      <c r="B14" s="18" t="s">
        <v>3331</v>
      </c>
      <c r="C14" s="18" t="s">
        <v>3332</v>
      </c>
      <c r="D14" s="18" t="s">
        <v>3333</v>
      </c>
      <c r="E14" s="18" t="s">
        <v>3346</v>
      </c>
    </row>
    <row r="15" spans="1:5" ht="24" customHeight="1" x14ac:dyDescent="0.25">
      <c r="A15" s="16">
        <v>14</v>
      </c>
      <c r="B15" s="18" t="s">
        <v>3331</v>
      </c>
      <c r="C15" s="18" t="s">
        <v>3332</v>
      </c>
      <c r="D15" s="18" t="s">
        <v>3333</v>
      </c>
      <c r="E15" s="18" t="s">
        <v>3347</v>
      </c>
    </row>
    <row r="16" spans="1:5" x14ac:dyDescent="0.25">
      <c r="A16" s="16">
        <v>15</v>
      </c>
      <c r="B16" s="18" t="s">
        <v>3331</v>
      </c>
      <c r="C16" s="18" t="s">
        <v>3332</v>
      </c>
      <c r="D16" s="18" t="s">
        <v>3348</v>
      </c>
      <c r="E16" s="18" t="s">
        <v>3349</v>
      </c>
    </row>
    <row r="17" spans="1:5" x14ac:dyDescent="0.25">
      <c r="A17" s="16">
        <v>16</v>
      </c>
      <c r="B17" s="18" t="s">
        <v>3331</v>
      </c>
      <c r="C17" s="18" t="s">
        <v>3332</v>
      </c>
      <c r="D17" s="18" t="s">
        <v>3348</v>
      </c>
      <c r="E17" s="18" t="s">
        <v>3350</v>
      </c>
    </row>
    <row r="18" spans="1:5" ht="24" customHeight="1" x14ac:dyDescent="0.25">
      <c r="A18" s="16">
        <v>17</v>
      </c>
      <c r="B18" s="18" t="s">
        <v>3331</v>
      </c>
      <c r="C18" s="18" t="s">
        <v>3332</v>
      </c>
      <c r="D18" s="18" t="s">
        <v>3348</v>
      </c>
      <c r="E18" s="18" t="s">
        <v>3351</v>
      </c>
    </row>
    <row r="19" spans="1:5" x14ac:dyDescent="0.25">
      <c r="A19" s="16">
        <v>18</v>
      </c>
      <c r="B19" s="18" t="s">
        <v>3331</v>
      </c>
      <c r="C19" s="18" t="s">
        <v>3332</v>
      </c>
      <c r="D19" s="18" t="s">
        <v>3352</v>
      </c>
      <c r="E19" s="18" t="s">
        <v>3353</v>
      </c>
    </row>
    <row r="20" spans="1:5" x14ac:dyDescent="0.25">
      <c r="A20" s="16">
        <v>19</v>
      </c>
      <c r="B20" s="18" t="s">
        <v>3331</v>
      </c>
      <c r="C20" s="18" t="s">
        <v>3332</v>
      </c>
      <c r="D20" s="18" t="s">
        <v>3352</v>
      </c>
      <c r="E20" s="18" t="s">
        <v>3354</v>
      </c>
    </row>
    <row r="21" spans="1:5" x14ac:dyDescent="0.25">
      <c r="A21" s="16">
        <v>20</v>
      </c>
      <c r="B21" s="18" t="s">
        <v>3331</v>
      </c>
      <c r="C21" s="18" t="s">
        <v>3332</v>
      </c>
      <c r="D21" s="18" t="s">
        <v>3352</v>
      </c>
      <c r="E21" s="18" t="s">
        <v>3355</v>
      </c>
    </row>
    <row r="22" spans="1:5" ht="24" customHeight="1" x14ac:dyDescent="0.25">
      <c r="A22" s="16">
        <v>21</v>
      </c>
      <c r="B22" s="18" t="s">
        <v>3331</v>
      </c>
      <c r="C22" s="18" t="s">
        <v>3332</v>
      </c>
      <c r="D22" s="18" t="s">
        <v>3352</v>
      </c>
      <c r="E22" s="18" t="s">
        <v>3356</v>
      </c>
    </row>
    <row r="23" spans="1:5" x14ac:dyDescent="0.25">
      <c r="A23" s="16">
        <v>22</v>
      </c>
      <c r="B23" s="18" t="s">
        <v>3331</v>
      </c>
      <c r="C23" s="18" t="s">
        <v>3332</v>
      </c>
      <c r="D23" s="18" t="s">
        <v>3352</v>
      </c>
      <c r="E23" s="18" t="s">
        <v>3357</v>
      </c>
    </row>
    <row r="24" spans="1:5" ht="24" customHeight="1" x14ac:dyDescent="0.25">
      <c r="A24" s="16">
        <v>23</v>
      </c>
      <c r="B24" s="18" t="s">
        <v>3331</v>
      </c>
      <c r="C24" s="18" t="s">
        <v>3332</v>
      </c>
      <c r="D24" s="18" t="s">
        <v>3352</v>
      </c>
      <c r="E24" s="18" t="s">
        <v>3358</v>
      </c>
    </row>
    <row r="25" spans="1:5" x14ac:dyDescent="0.25">
      <c r="A25" s="16">
        <v>24</v>
      </c>
      <c r="B25" s="18" t="s">
        <v>3331</v>
      </c>
      <c r="C25" s="18" t="s">
        <v>3332</v>
      </c>
      <c r="D25" s="18" t="s">
        <v>3352</v>
      </c>
      <c r="E25" s="18" t="s">
        <v>3359</v>
      </c>
    </row>
    <row r="26" spans="1:5" x14ac:dyDescent="0.25">
      <c r="A26" s="16">
        <v>25</v>
      </c>
      <c r="B26" s="18" t="s">
        <v>3331</v>
      </c>
      <c r="C26" s="18" t="s">
        <v>3332</v>
      </c>
      <c r="D26" s="18" t="s">
        <v>3352</v>
      </c>
      <c r="E26" s="18" t="s">
        <v>3360</v>
      </c>
    </row>
    <row r="27" spans="1:5" ht="24" customHeight="1" x14ac:dyDescent="0.25">
      <c r="A27" s="16">
        <v>26</v>
      </c>
      <c r="B27" s="18" t="s">
        <v>3331</v>
      </c>
      <c r="C27" s="18" t="s">
        <v>3332</v>
      </c>
      <c r="D27" s="18" t="s">
        <v>3352</v>
      </c>
      <c r="E27" s="18" t="s">
        <v>3361</v>
      </c>
    </row>
    <row r="28" spans="1:5" x14ac:dyDescent="0.25">
      <c r="A28" s="16">
        <v>27</v>
      </c>
      <c r="B28" s="18" t="s">
        <v>3331</v>
      </c>
      <c r="C28" s="18" t="s">
        <v>3332</v>
      </c>
      <c r="D28" s="18" t="s">
        <v>3352</v>
      </c>
      <c r="E28" s="18" t="s">
        <v>3362</v>
      </c>
    </row>
    <row r="29" spans="1:5" x14ac:dyDescent="0.25">
      <c r="A29" s="16">
        <v>28</v>
      </c>
      <c r="B29" s="18" t="s">
        <v>3331</v>
      </c>
      <c r="C29" s="18" t="s">
        <v>3332</v>
      </c>
      <c r="D29" s="18" t="s">
        <v>3352</v>
      </c>
      <c r="E29" s="18" t="s">
        <v>3363</v>
      </c>
    </row>
    <row r="30" spans="1:5" ht="24" customHeight="1" x14ac:dyDescent="0.25">
      <c r="A30" s="16">
        <v>29</v>
      </c>
      <c r="B30" s="18" t="s">
        <v>3331</v>
      </c>
      <c r="C30" s="18" t="s">
        <v>3332</v>
      </c>
      <c r="D30" s="18" t="s">
        <v>3352</v>
      </c>
      <c r="E30" s="18" t="s">
        <v>3364</v>
      </c>
    </row>
    <row r="31" spans="1:5" x14ac:dyDescent="0.25">
      <c r="A31" s="16">
        <v>30</v>
      </c>
      <c r="B31" s="18" t="s">
        <v>3331</v>
      </c>
      <c r="C31" s="18" t="s">
        <v>3332</v>
      </c>
      <c r="D31" s="18" t="s">
        <v>3352</v>
      </c>
      <c r="E31" s="18" t="s">
        <v>3365</v>
      </c>
    </row>
    <row r="32" spans="1:5" x14ac:dyDescent="0.25">
      <c r="A32" s="16">
        <v>31</v>
      </c>
      <c r="B32" s="18" t="s">
        <v>3331</v>
      </c>
      <c r="C32" s="18" t="s">
        <v>3332</v>
      </c>
      <c r="D32" s="18" t="s">
        <v>3366</v>
      </c>
      <c r="E32" s="18" t="s">
        <v>3367</v>
      </c>
    </row>
    <row r="33" spans="1:5" x14ac:dyDescent="0.25">
      <c r="A33" s="16">
        <v>32</v>
      </c>
      <c r="B33" s="18" t="s">
        <v>3331</v>
      </c>
      <c r="C33" s="18" t="s">
        <v>3332</v>
      </c>
      <c r="D33" s="18" t="s">
        <v>3366</v>
      </c>
      <c r="E33" s="18" t="s">
        <v>3368</v>
      </c>
    </row>
    <row r="34" spans="1:5" ht="24" customHeight="1" x14ac:dyDescent="0.25">
      <c r="A34" s="16">
        <v>33</v>
      </c>
      <c r="B34" s="18" t="s">
        <v>3331</v>
      </c>
      <c r="C34" s="18" t="s">
        <v>3332</v>
      </c>
      <c r="D34" s="18" t="s">
        <v>3366</v>
      </c>
      <c r="E34" s="18" t="s">
        <v>3369</v>
      </c>
    </row>
    <row r="35" spans="1:5" ht="24" customHeight="1" x14ac:dyDescent="0.25">
      <c r="A35" s="16">
        <v>34</v>
      </c>
      <c r="B35" s="18" t="s">
        <v>3331</v>
      </c>
      <c r="C35" s="18" t="s">
        <v>3332</v>
      </c>
      <c r="D35" s="18" t="s">
        <v>3366</v>
      </c>
      <c r="E35" s="18" t="s">
        <v>3370</v>
      </c>
    </row>
    <row r="36" spans="1:5" ht="24" customHeight="1" x14ac:dyDescent="0.25">
      <c r="A36" s="16">
        <v>35</v>
      </c>
      <c r="B36" s="18" t="s">
        <v>3331</v>
      </c>
      <c r="C36" s="18" t="s">
        <v>3332</v>
      </c>
      <c r="D36" s="18" t="s">
        <v>3366</v>
      </c>
      <c r="E36" s="18" t="s">
        <v>3371</v>
      </c>
    </row>
    <row r="37" spans="1:5" x14ac:dyDescent="0.25">
      <c r="A37" s="16">
        <v>36</v>
      </c>
      <c r="B37" s="18" t="s">
        <v>3331</v>
      </c>
      <c r="C37" s="18" t="s">
        <v>3332</v>
      </c>
      <c r="D37" s="18" t="s">
        <v>3366</v>
      </c>
      <c r="E37" s="18" t="s">
        <v>3372</v>
      </c>
    </row>
    <row r="38" spans="1:5" ht="24" customHeight="1" x14ac:dyDescent="0.25">
      <c r="A38" s="16">
        <v>37</v>
      </c>
      <c r="B38" s="18" t="s">
        <v>3331</v>
      </c>
      <c r="C38" s="18" t="s">
        <v>3332</v>
      </c>
      <c r="D38" s="18" t="s">
        <v>3366</v>
      </c>
      <c r="E38" s="18" t="s">
        <v>3373</v>
      </c>
    </row>
    <row r="39" spans="1:5" ht="24" customHeight="1" x14ac:dyDescent="0.25">
      <c r="A39" s="16">
        <v>38</v>
      </c>
      <c r="B39" s="18" t="s">
        <v>3331</v>
      </c>
      <c r="C39" s="18" t="s">
        <v>3332</v>
      </c>
      <c r="D39" s="18" t="s">
        <v>3366</v>
      </c>
      <c r="E39" s="18" t="s">
        <v>3374</v>
      </c>
    </row>
    <row r="40" spans="1:5" x14ac:dyDescent="0.25">
      <c r="A40" s="16">
        <v>39</v>
      </c>
      <c r="B40" s="18" t="s">
        <v>3331</v>
      </c>
      <c r="C40" s="18" t="s">
        <v>3332</v>
      </c>
      <c r="D40" s="18" t="s">
        <v>3366</v>
      </c>
      <c r="E40" s="18" t="s">
        <v>3375</v>
      </c>
    </row>
    <row r="41" spans="1:5" x14ac:dyDescent="0.25">
      <c r="A41" s="16">
        <v>40</v>
      </c>
      <c r="B41" s="18" t="s">
        <v>3331</v>
      </c>
      <c r="C41" s="18" t="s">
        <v>3332</v>
      </c>
      <c r="D41" s="18" t="s">
        <v>3376</v>
      </c>
      <c r="E41" s="18" t="s">
        <v>3377</v>
      </c>
    </row>
    <row r="42" spans="1:5" x14ac:dyDescent="0.25">
      <c r="A42" s="16">
        <v>41</v>
      </c>
      <c r="B42" s="18" t="s">
        <v>3331</v>
      </c>
      <c r="C42" s="18" t="s">
        <v>3332</v>
      </c>
      <c r="D42" s="18" t="s">
        <v>3376</v>
      </c>
      <c r="E42" s="18" t="s">
        <v>3378</v>
      </c>
    </row>
    <row r="43" spans="1:5" x14ac:dyDescent="0.25">
      <c r="A43" s="16">
        <v>42</v>
      </c>
      <c r="B43" s="18" t="s">
        <v>3331</v>
      </c>
      <c r="C43" s="18" t="s">
        <v>3332</v>
      </c>
      <c r="D43" s="18" t="s">
        <v>3376</v>
      </c>
      <c r="E43" s="18" t="s">
        <v>3379</v>
      </c>
    </row>
    <row r="44" spans="1:5" x14ac:dyDescent="0.25">
      <c r="A44" s="16">
        <v>43</v>
      </c>
      <c r="B44" s="18" t="s">
        <v>3331</v>
      </c>
      <c r="C44" s="18" t="s">
        <v>3332</v>
      </c>
      <c r="D44" s="18" t="s">
        <v>3376</v>
      </c>
      <c r="E44" s="18" t="s">
        <v>3380</v>
      </c>
    </row>
    <row r="45" spans="1:5" x14ac:dyDescent="0.25">
      <c r="A45" s="16">
        <v>44</v>
      </c>
      <c r="B45" s="18" t="s">
        <v>3331</v>
      </c>
      <c r="C45" s="18" t="s">
        <v>3332</v>
      </c>
      <c r="D45" s="18" t="s">
        <v>3376</v>
      </c>
      <c r="E45" s="18" t="s">
        <v>3381</v>
      </c>
    </row>
    <row r="46" spans="1:5" x14ac:dyDescent="0.25">
      <c r="A46" s="16">
        <v>45</v>
      </c>
      <c r="B46" s="18" t="s">
        <v>3331</v>
      </c>
      <c r="C46" s="18" t="s">
        <v>3332</v>
      </c>
      <c r="D46" s="18" t="s">
        <v>3376</v>
      </c>
      <c r="E46" s="18" t="s">
        <v>3382</v>
      </c>
    </row>
    <row r="47" spans="1:5" ht="24" customHeight="1" x14ac:dyDescent="0.25">
      <c r="A47" s="16">
        <v>46</v>
      </c>
      <c r="B47" s="18" t="s">
        <v>3331</v>
      </c>
      <c r="C47" s="18" t="s">
        <v>3332</v>
      </c>
      <c r="D47" s="18" t="s">
        <v>3376</v>
      </c>
      <c r="E47" s="18" t="s">
        <v>3383</v>
      </c>
    </row>
    <row r="48" spans="1:5" x14ac:dyDescent="0.25">
      <c r="A48" s="16">
        <v>47</v>
      </c>
      <c r="B48" s="18" t="s">
        <v>3331</v>
      </c>
      <c r="C48" s="18" t="s">
        <v>3332</v>
      </c>
      <c r="D48" s="18" t="s">
        <v>3384</v>
      </c>
      <c r="E48" s="18" t="s">
        <v>3385</v>
      </c>
    </row>
    <row r="49" spans="1:5" x14ac:dyDescent="0.25">
      <c r="A49" s="16">
        <v>48</v>
      </c>
      <c r="B49" s="18" t="s">
        <v>3331</v>
      </c>
      <c r="C49" s="18" t="s">
        <v>3332</v>
      </c>
      <c r="D49" s="18" t="s">
        <v>3384</v>
      </c>
      <c r="E49" s="18" t="s">
        <v>3386</v>
      </c>
    </row>
    <row r="50" spans="1:5" x14ac:dyDescent="0.25">
      <c r="A50" s="16">
        <v>49</v>
      </c>
      <c r="B50" s="18" t="s">
        <v>3331</v>
      </c>
      <c r="C50" s="18" t="s">
        <v>3332</v>
      </c>
      <c r="D50" s="18" t="s">
        <v>3384</v>
      </c>
      <c r="E50" s="18" t="s">
        <v>3387</v>
      </c>
    </row>
    <row r="51" spans="1:5" ht="24" customHeight="1" x14ac:dyDescent="0.25">
      <c r="A51" s="16">
        <v>50</v>
      </c>
      <c r="B51" s="18" t="s">
        <v>3331</v>
      </c>
      <c r="C51" s="18" t="s">
        <v>3332</v>
      </c>
      <c r="D51" s="18" t="s">
        <v>3384</v>
      </c>
      <c r="E51" s="18" t="s">
        <v>3388</v>
      </c>
    </row>
    <row r="52" spans="1:5" x14ac:dyDescent="0.25">
      <c r="A52" s="16">
        <v>51</v>
      </c>
      <c r="B52" s="18" t="s">
        <v>3331</v>
      </c>
      <c r="C52" s="18" t="s">
        <v>3332</v>
      </c>
      <c r="D52" s="18" t="s">
        <v>3384</v>
      </c>
      <c r="E52" s="18" t="s">
        <v>3389</v>
      </c>
    </row>
    <row r="53" spans="1:5" x14ac:dyDescent="0.25">
      <c r="A53" s="16">
        <v>52</v>
      </c>
      <c r="B53" s="18" t="s">
        <v>3331</v>
      </c>
      <c r="C53" s="18" t="s">
        <v>3332</v>
      </c>
      <c r="D53" s="18" t="s">
        <v>3384</v>
      </c>
      <c r="E53" s="18" t="s">
        <v>3390</v>
      </c>
    </row>
    <row r="54" spans="1:5" ht="36" customHeight="1" x14ac:dyDescent="0.25">
      <c r="A54" s="16">
        <v>53</v>
      </c>
      <c r="B54" s="18" t="s">
        <v>3331</v>
      </c>
      <c r="C54" s="18" t="s">
        <v>3332</v>
      </c>
      <c r="D54" s="18" t="s">
        <v>3384</v>
      </c>
      <c r="E54" s="18" t="s">
        <v>3391</v>
      </c>
    </row>
    <row r="55" spans="1:5" x14ac:dyDescent="0.25">
      <c r="A55" s="16">
        <v>54</v>
      </c>
      <c r="B55" s="18" t="s">
        <v>3331</v>
      </c>
      <c r="C55" s="18" t="s">
        <v>3332</v>
      </c>
      <c r="D55" s="18" t="s">
        <v>3392</v>
      </c>
      <c r="E55" s="18" t="s">
        <v>3393</v>
      </c>
    </row>
    <row r="56" spans="1:5" x14ac:dyDescent="0.25">
      <c r="A56" s="16">
        <v>55</v>
      </c>
      <c r="B56" s="18" t="s">
        <v>3331</v>
      </c>
      <c r="C56" s="18" t="s">
        <v>3332</v>
      </c>
      <c r="D56" s="18" t="s">
        <v>3392</v>
      </c>
      <c r="E56" s="18" t="s">
        <v>3394</v>
      </c>
    </row>
    <row r="57" spans="1:5" x14ac:dyDescent="0.25">
      <c r="A57" s="16">
        <v>56</v>
      </c>
      <c r="B57" s="18" t="s">
        <v>3331</v>
      </c>
      <c r="C57" s="18" t="s">
        <v>3332</v>
      </c>
      <c r="D57" s="18" t="s">
        <v>3392</v>
      </c>
      <c r="E57" s="18" t="s">
        <v>3395</v>
      </c>
    </row>
    <row r="58" spans="1:5" x14ac:dyDescent="0.25">
      <c r="A58" s="16">
        <v>57</v>
      </c>
      <c r="B58" s="18" t="s">
        <v>3331</v>
      </c>
      <c r="C58" s="18" t="s">
        <v>3332</v>
      </c>
      <c r="D58" s="18" t="s">
        <v>3392</v>
      </c>
      <c r="E58" s="18" t="s">
        <v>3396</v>
      </c>
    </row>
    <row r="59" spans="1:5" x14ac:dyDescent="0.25">
      <c r="A59" s="16">
        <v>58</v>
      </c>
      <c r="B59" s="18" t="s">
        <v>3331</v>
      </c>
      <c r="C59" s="18" t="s">
        <v>3332</v>
      </c>
      <c r="D59" s="18" t="s">
        <v>3392</v>
      </c>
      <c r="E59" s="18" t="s">
        <v>3397</v>
      </c>
    </row>
    <row r="60" spans="1:5" x14ac:dyDescent="0.25">
      <c r="A60" s="16">
        <v>59</v>
      </c>
      <c r="B60" s="18" t="s">
        <v>3331</v>
      </c>
      <c r="C60" s="18" t="s">
        <v>3332</v>
      </c>
      <c r="D60" s="18" t="s">
        <v>3392</v>
      </c>
      <c r="E60" s="18" t="s">
        <v>3398</v>
      </c>
    </row>
    <row r="61" spans="1:5" x14ac:dyDescent="0.25">
      <c r="A61" s="16">
        <v>60</v>
      </c>
      <c r="B61" s="18" t="s">
        <v>3331</v>
      </c>
      <c r="C61" s="18" t="s">
        <v>3332</v>
      </c>
      <c r="D61" s="18" t="s">
        <v>3392</v>
      </c>
      <c r="E61" s="18" t="s">
        <v>3399</v>
      </c>
    </row>
    <row r="62" spans="1:5" x14ac:dyDescent="0.25">
      <c r="A62" s="16">
        <v>61</v>
      </c>
      <c r="B62" s="18" t="s">
        <v>3331</v>
      </c>
      <c r="C62" s="18" t="s">
        <v>3332</v>
      </c>
      <c r="D62" s="18" t="s">
        <v>3400</v>
      </c>
      <c r="E62" s="18" t="s">
        <v>3401</v>
      </c>
    </row>
    <row r="63" spans="1:5" x14ac:dyDescent="0.25">
      <c r="A63" s="16">
        <v>62</v>
      </c>
      <c r="B63" s="18" t="s">
        <v>3331</v>
      </c>
      <c r="C63" s="18" t="s">
        <v>3332</v>
      </c>
      <c r="D63" s="18" t="s">
        <v>3400</v>
      </c>
      <c r="E63" s="18" t="s">
        <v>3402</v>
      </c>
    </row>
    <row r="64" spans="1:5" x14ac:dyDescent="0.25">
      <c r="A64" s="16">
        <v>63</v>
      </c>
      <c r="B64" s="18" t="s">
        <v>3331</v>
      </c>
      <c r="C64" s="18" t="s">
        <v>3332</v>
      </c>
      <c r="D64" s="18" t="s">
        <v>3400</v>
      </c>
      <c r="E64" s="18" t="s">
        <v>3403</v>
      </c>
    </row>
    <row r="65" spans="1:5" x14ac:dyDescent="0.25">
      <c r="A65" s="16">
        <v>64</v>
      </c>
      <c r="B65" s="18" t="s">
        <v>3331</v>
      </c>
      <c r="C65" s="18" t="s">
        <v>3332</v>
      </c>
      <c r="D65" s="18" t="s">
        <v>3400</v>
      </c>
      <c r="E65" s="18" t="s">
        <v>3404</v>
      </c>
    </row>
    <row r="66" spans="1:5" x14ac:dyDescent="0.25">
      <c r="A66" s="16">
        <v>65</v>
      </c>
      <c r="B66" s="18" t="s">
        <v>3331</v>
      </c>
      <c r="C66" s="18" t="s">
        <v>3332</v>
      </c>
      <c r="D66" s="18" t="s">
        <v>3405</v>
      </c>
      <c r="E66" s="18" t="s">
        <v>3406</v>
      </c>
    </row>
    <row r="67" spans="1:5" x14ac:dyDescent="0.25">
      <c r="A67" s="16">
        <v>66</v>
      </c>
      <c r="B67" s="18" t="s">
        <v>3331</v>
      </c>
      <c r="C67" s="18" t="s">
        <v>3332</v>
      </c>
      <c r="D67" s="18" t="s">
        <v>3405</v>
      </c>
      <c r="E67" s="18" t="s">
        <v>3407</v>
      </c>
    </row>
    <row r="68" spans="1:5" ht="24" customHeight="1" x14ac:dyDescent="0.25">
      <c r="A68" s="16">
        <v>67</v>
      </c>
      <c r="B68" s="18" t="s">
        <v>3331</v>
      </c>
      <c r="C68" s="18" t="s">
        <v>3332</v>
      </c>
      <c r="D68" s="18" t="s">
        <v>3405</v>
      </c>
      <c r="E68" s="18" t="s">
        <v>3408</v>
      </c>
    </row>
    <row r="69" spans="1:5" x14ac:dyDescent="0.25">
      <c r="A69" s="16">
        <v>68</v>
      </c>
      <c r="B69" s="18" t="s">
        <v>3331</v>
      </c>
      <c r="C69" s="18" t="s">
        <v>3332</v>
      </c>
      <c r="D69" s="18" t="s">
        <v>3405</v>
      </c>
      <c r="E69" s="18" t="s">
        <v>3409</v>
      </c>
    </row>
    <row r="70" spans="1:5" x14ac:dyDescent="0.25">
      <c r="A70" s="16">
        <v>69</v>
      </c>
      <c r="B70" s="18" t="s">
        <v>3331</v>
      </c>
      <c r="C70" s="18" t="s">
        <v>3332</v>
      </c>
      <c r="D70" s="18" t="s">
        <v>3405</v>
      </c>
      <c r="E70" s="18" t="s">
        <v>3410</v>
      </c>
    </row>
    <row r="71" spans="1:5" x14ac:dyDescent="0.25">
      <c r="A71" s="16">
        <v>70</v>
      </c>
      <c r="B71" s="18" t="s">
        <v>3331</v>
      </c>
      <c r="C71" s="18" t="s">
        <v>3332</v>
      </c>
      <c r="D71" s="18" t="s">
        <v>3405</v>
      </c>
      <c r="E71" s="18" t="s">
        <v>3411</v>
      </c>
    </row>
    <row r="72" spans="1:5" ht="24" customHeight="1" x14ac:dyDescent="0.25">
      <c r="A72" s="16">
        <v>71</v>
      </c>
      <c r="B72" s="18" t="s">
        <v>3331</v>
      </c>
      <c r="C72" s="18" t="s">
        <v>3332</v>
      </c>
      <c r="D72" s="18" t="s">
        <v>3405</v>
      </c>
      <c r="E72" s="18" t="s">
        <v>3412</v>
      </c>
    </row>
    <row r="73" spans="1:5" x14ac:dyDescent="0.25">
      <c r="A73" s="16">
        <v>72</v>
      </c>
      <c r="B73" s="18" t="s">
        <v>3331</v>
      </c>
      <c r="C73" s="18" t="s">
        <v>3332</v>
      </c>
      <c r="D73" s="18" t="s">
        <v>3405</v>
      </c>
      <c r="E73" s="18" t="s">
        <v>3413</v>
      </c>
    </row>
    <row r="74" spans="1:5" x14ac:dyDescent="0.25">
      <c r="A74" s="16">
        <v>73</v>
      </c>
      <c r="B74" s="18" t="s">
        <v>3331</v>
      </c>
      <c r="C74" s="18" t="s">
        <v>3332</v>
      </c>
      <c r="D74" s="18" t="s">
        <v>3405</v>
      </c>
      <c r="E74" s="18" t="s">
        <v>3414</v>
      </c>
    </row>
    <row r="75" spans="1:5" ht="36" customHeight="1" x14ac:dyDescent="0.25">
      <c r="A75" s="16">
        <v>74</v>
      </c>
      <c r="B75" s="18" t="s">
        <v>3331</v>
      </c>
      <c r="C75" s="18" t="s">
        <v>3332</v>
      </c>
      <c r="D75" s="18" t="s">
        <v>3405</v>
      </c>
      <c r="E75" s="18" t="s">
        <v>3415</v>
      </c>
    </row>
    <row r="76" spans="1:5" x14ac:dyDescent="0.25">
      <c r="A76" s="16">
        <v>75</v>
      </c>
      <c r="B76" s="18" t="s">
        <v>3331</v>
      </c>
      <c r="C76" s="18" t="s">
        <v>3332</v>
      </c>
      <c r="D76" s="18" t="s">
        <v>3405</v>
      </c>
      <c r="E76" s="18" t="s">
        <v>3416</v>
      </c>
    </row>
    <row r="77" spans="1:5" x14ac:dyDescent="0.25">
      <c r="A77" s="16">
        <v>76</v>
      </c>
      <c r="B77" s="18" t="s">
        <v>3331</v>
      </c>
      <c r="C77" s="18" t="s">
        <v>3332</v>
      </c>
      <c r="D77" s="18" t="s">
        <v>3405</v>
      </c>
      <c r="E77" s="18" t="s">
        <v>3417</v>
      </c>
    </row>
    <row r="78" spans="1:5" ht="24" customHeight="1" x14ac:dyDescent="0.25">
      <c r="A78" s="16">
        <v>77</v>
      </c>
      <c r="B78" s="18" t="s">
        <v>3331</v>
      </c>
      <c r="C78" s="18" t="s">
        <v>3332</v>
      </c>
      <c r="D78" s="18" t="s">
        <v>3418</v>
      </c>
      <c r="E78" s="18" t="s">
        <v>3419</v>
      </c>
    </row>
    <row r="79" spans="1:5" x14ac:dyDescent="0.25">
      <c r="A79" s="16">
        <v>78</v>
      </c>
      <c r="B79" s="18" t="s">
        <v>3331</v>
      </c>
      <c r="C79" s="18" t="s">
        <v>3332</v>
      </c>
      <c r="D79" s="18" t="s">
        <v>3418</v>
      </c>
      <c r="E79" s="18" t="s">
        <v>3420</v>
      </c>
    </row>
    <row r="80" spans="1:5" ht="36" customHeight="1" x14ac:dyDescent="0.25">
      <c r="A80" s="16">
        <v>79</v>
      </c>
      <c r="B80" s="18" t="s">
        <v>3331</v>
      </c>
      <c r="C80" s="18" t="s">
        <v>3332</v>
      </c>
      <c r="D80" s="18" t="s">
        <v>3418</v>
      </c>
      <c r="E80" s="18" t="s">
        <v>3421</v>
      </c>
    </row>
    <row r="81" spans="1:5" x14ac:dyDescent="0.25">
      <c r="A81" s="16">
        <v>80</v>
      </c>
      <c r="B81" s="18" t="s">
        <v>3331</v>
      </c>
      <c r="C81" s="18" t="s">
        <v>3332</v>
      </c>
      <c r="D81" s="18" t="s">
        <v>3418</v>
      </c>
      <c r="E81" s="18" t="s">
        <v>3422</v>
      </c>
    </row>
    <row r="82" spans="1:5" x14ac:dyDescent="0.25">
      <c r="A82" s="16">
        <v>81</v>
      </c>
      <c r="B82" s="18" t="s">
        <v>3331</v>
      </c>
      <c r="C82" s="18" t="s">
        <v>3332</v>
      </c>
      <c r="D82" s="18" t="s">
        <v>3418</v>
      </c>
      <c r="E82" s="18" t="s">
        <v>3423</v>
      </c>
    </row>
    <row r="83" spans="1:5" ht="24" customHeight="1" x14ac:dyDescent="0.25">
      <c r="A83" s="16">
        <v>82</v>
      </c>
      <c r="B83" s="18" t="s">
        <v>3331</v>
      </c>
      <c r="C83" s="18" t="s">
        <v>3332</v>
      </c>
      <c r="D83" s="18" t="s">
        <v>3418</v>
      </c>
      <c r="E83" s="18" t="s">
        <v>3424</v>
      </c>
    </row>
    <row r="84" spans="1:5" ht="24" customHeight="1" x14ac:dyDescent="0.25">
      <c r="A84" s="16">
        <v>83</v>
      </c>
      <c r="B84" s="18" t="s">
        <v>3331</v>
      </c>
      <c r="C84" s="18" t="s">
        <v>3425</v>
      </c>
      <c r="D84" s="18" t="s">
        <v>3426</v>
      </c>
      <c r="E84" s="18" t="s">
        <v>3427</v>
      </c>
    </row>
    <row r="85" spans="1:5" x14ac:dyDescent="0.25">
      <c r="A85" s="16">
        <v>84</v>
      </c>
      <c r="B85" s="18" t="s">
        <v>3331</v>
      </c>
      <c r="C85" s="18" t="s">
        <v>3425</v>
      </c>
      <c r="D85" s="18" t="s">
        <v>3426</v>
      </c>
      <c r="E85" s="18" t="s">
        <v>3428</v>
      </c>
    </row>
    <row r="86" spans="1:5" x14ac:dyDescent="0.25">
      <c r="A86" s="16">
        <v>85</v>
      </c>
      <c r="B86" s="18" t="s">
        <v>3331</v>
      </c>
      <c r="C86" s="18" t="s">
        <v>3425</v>
      </c>
      <c r="D86" s="18" t="s">
        <v>3426</v>
      </c>
      <c r="E86" s="18" t="s">
        <v>3429</v>
      </c>
    </row>
    <row r="87" spans="1:5" ht="36" customHeight="1" x14ac:dyDescent="0.25">
      <c r="A87" s="16">
        <v>86</v>
      </c>
      <c r="B87" s="18" t="s">
        <v>3331</v>
      </c>
      <c r="C87" s="18" t="s">
        <v>3425</v>
      </c>
      <c r="D87" s="18" t="s">
        <v>3426</v>
      </c>
      <c r="E87" s="18" t="s">
        <v>3430</v>
      </c>
    </row>
    <row r="88" spans="1:5" ht="24" customHeight="1" x14ac:dyDescent="0.25">
      <c r="A88" s="16">
        <v>87</v>
      </c>
      <c r="B88" s="18" t="s">
        <v>3331</v>
      </c>
      <c r="C88" s="18" t="s">
        <v>3425</v>
      </c>
      <c r="D88" s="18" t="s">
        <v>3426</v>
      </c>
      <c r="E88" s="18" t="s">
        <v>3431</v>
      </c>
    </row>
    <row r="89" spans="1:5" ht="36" customHeight="1" x14ac:dyDescent="0.25">
      <c r="A89" s="16">
        <v>88</v>
      </c>
      <c r="B89" s="18" t="s">
        <v>3331</v>
      </c>
      <c r="C89" s="18" t="s">
        <v>3425</v>
      </c>
      <c r="D89" s="18" t="s">
        <v>3426</v>
      </c>
      <c r="E89" s="18" t="s">
        <v>3432</v>
      </c>
    </row>
    <row r="90" spans="1:5" ht="24" customHeight="1" x14ac:dyDescent="0.25">
      <c r="A90" s="16">
        <v>89</v>
      </c>
      <c r="B90" s="18" t="s">
        <v>3331</v>
      </c>
      <c r="C90" s="18" t="s">
        <v>3425</v>
      </c>
      <c r="D90" s="18" t="s">
        <v>3426</v>
      </c>
      <c r="E90" s="18" t="s">
        <v>3433</v>
      </c>
    </row>
    <row r="91" spans="1:5" x14ac:dyDescent="0.25">
      <c r="A91" s="16">
        <v>90</v>
      </c>
      <c r="B91" s="18" t="s">
        <v>3331</v>
      </c>
      <c r="C91" s="18" t="s">
        <v>3425</v>
      </c>
      <c r="D91" s="18" t="s">
        <v>3426</v>
      </c>
      <c r="E91" s="18" t="s">
        <v>3434</v>
      </c>
    </row>
    <row r="92" spans="1:5" ht="24" customHeight="1" x14ac:dyDescent="0.25">
      <c r="A92" s="16">
        <v>91</v>
      </c>
      <c r="B92" s="18" t="s">
        <v>3331</v>
      </c>
      <c r="C92" s="18" t="s">
        <v>3425</v>
      </c>
      <c r="D92" s="18" t="s">
        <v>3426</v>
      </c>
      <c r="E92" s="18" t="s">
        <v>3435</v>
      </c>
    </row>
    <row r="93" spans="1:5" x14ac:dyDescent="0.25">
      <c r="A93" s="16">
        <v>92</v>
      </c>
      <c r="B93" s="18" t="s">
        <v>3331</v>
      </c>
      <c r="C93" s="18" t="s">
        <v>3425</v>
      </c>
      <c r="D93" s="18" t="s">
        <v>3426</v>
      </c>
      <c r="E93" s="18" t="s">
        <v>3436</v>
      </c>
    </row>
    <row r="94" spans="1:5" x14ac:dyDescent="0.25">
      <c r="A94" s="16">
        <v>93</v>
      </c>
      <c r="B94" s="18" t="s">
        <v>3331</v>
      </c>
      <c r="C94" s="18" t="s">
        <v>3425</v>
      </c>
      <c r="D94" s="18" t="s">
        <v>3437</v>
      </c>
      <c r="E94" s="18" t="s">
        <v>3438</v>
      </c>
    </row>
    <row r="95" spans="1:5" ht="24" customHeight="1" x14ac:dyDescent="0.25">
      <c r="A95" s="16">
        <v>94</v>
      </c>
      <c r="B95" s="18" t="s">
        <v>3331</v>
      </c>
      <c r="C95" s="18" t="s">
        <v>3425</v>
      </c>
      <c r="D95" s="18" t="s">
        <v>3437</v>
      </c>
      <c r="E95" s="18" t="s">
        <v>3439</v>
      </c>
    </row>
    <row r="96" spans="1:5" ht="24" customHeight="1" x14ac:dyDescent="0.25">
      <c r="A96" s="16">
        <v>95</v>
      </c>
      <c r="B96" s="18" t="s">
        <v>3331</v>
      </c>
      <c r="C96" s="18" t="s">
        <v>3425</v>
      </c>
      <c r="D96" s="18" t="s">
        <v>3437</v>
      </c>
      <c r="E96" s="18" t="s">
        <v>3440</v>
      </c>
    </row>
    <row r="97" spans="1:5" x14ac:dyDescent="0.25">
      <c r="A97" s="16">
        <v>96</v>
      </c>
      <c r="B97" s="18" t="s">
        <v>3331</v>
      </c>
      <c r="C97" s="18" t="s">
        <v>3425</v>
      </c>
      <c r="D97" s="18" t="s">
        <v>3437</v>
      </c>
      <c r="E97" s="18" t="s">
        <v>3441</v>
      </c>
    </row>
    <row r="98" spans="1:5" ht="24" customHeight="1" x14ac:dyDescent="0.25">
      <c r="A98" s="16">
        <v>97</v>
      </c>
      <c r="B98" s="18" t="s">
        <v>3331</v>
      </c>
      <c r="C98" s="18" t="s">
        <v>3425</v>
      </c>
      <c r="D98" s="18" t="s">
        <v>3437</v>
      </c>
      <c r="E98" s="18" t="s">
        <v>3442</v>
      </c>
    </row>
    <row r="99" spans="1:5" ht="24" customHeight="1" x14ac:dyDescent="0.25">
      <c r="A99" s="16">
        <v>98</v>
      </c>
      <c r="B99" s="18" t="s">
        <v>3331</v>
      </c>
      <c r="C99" s="18" t="s">
        <v>3425</v>
      </c>
      <c r="D99" s="18" t="s">
        <v>3437</v>
      </c>
      <c r="E99" s="18" t="s">
        <v>3443</v>
      </c>
    </row>
    <row r="100" spans="1:5" ht="24" customHeight="1" x14ac:dyDescent="0.25">
      <c r="A100" s="16">
        <v>99</v>
      </c>
      <c r="B100" s="18" t="s">
        <v>3331</v>
      </c>
      <c r="C100" s="18" t="s">
        <v>3425</v>
      </c>
      <c r="D100" s="18" t="s">
        <v>3437</v>
      </c>
      <c r="E100" s="18" t="s">
        <v>3444</v>
      </c>
    </row>
    <row r="101" spans="1:5" ht="24" customHeight="1" x14ac:dyDescent="0.25">
      <c r="A101" s="16">
        <v>100</v>
      </c>
      <c r="B101" s="18" t="s">
        <v>3331</v>
      </c>
      <c r="C101" s="18" t="s">
        <v>3425</v>
      </c>
      <c r="D101" s="18" t="s">
        <v>3437</v>
      </c>
      <c r="E101" s="18" t="s">
        <v>3445</v>
      </c>
    </row>
    <row r="102" spans="1:5" x14ac:dyDescent="0.25">
      <c r="A102" s="16">
        <v>101</v>
      </c>
      <c r="B102" s="18" t="s">
        <v>3331</v>
      </c>
      <c r="C102" s="18" t="s">
        <v>3425</v>
      </c>
      <c r="D102" s="18" t="s">
        <v>3437</v>
      </c>
      <c r="E102" s="18" t="s">
        <v>3446</v>
      </c>
    </row>
    <row r="103" spans="1:5" x14ac:dyDescent="0.25">
      <c r="A103" s="16">
        <v>102</v>
      </c>
      <c r="B103" s="18" t="s">
        <v>3331</v>
      </c>
      <c r="C103" s="18" t="s">
        <v>3425</v>
      </c>
      <c r="D103" s="18" t="s">
        <v>3437</v>
      </c>
      <c r="E103" s="18" t="s">
        <v>3447</v>
      </c>
    </row>
    <row r="104" spans="1:5" ht="24" customHeight="1" x14ac:dyDescent="0.25">
      <c r="A104" s="16">
        <v>103</v>
      </c>
      <c r="B104" s="18" t="s">
        <v>3331</v>
      </c>
      <c r="C104" s="18" t="s">
        <v>3425</v>
      </c>
      <c r="D104" s="18" t="s">
        <v>3437</v>
      </c>
      <c r="E104" s="18" t="s">
        <v>3448</v>
      </c>
    </row>
    <row r="105" spans="1:5" ht="24" customHeight="1" x14ac:dyDescent="0.25">
      <c r="A105" s="16">
        <v>104</v>
      </c>
      <c r="B105" s="18" t="s">
        <v>3331</v>
      </c>
      <c r="C105" s="18" t="s">
        <v>3425</v>
      </c>
      <c r="D105" s="18" t="s">
        <v>3437</v>
      </c>
      <c r="E105" s="18" t="s">
        <v>3449</v>
      </c>
    </row>
    <row r="106" spans="1:5" x14ac:dyDescent="0.25">
      <c r="A106" s="16">
        <v>105</v>
      </c>
      <c r="B106" s="18" t="s">
        <v>3331</v>
      </c>
      <c r="C106" s="18" t="s">
        <v>3425</v>
      </c>
      <c r="D106" s="18" t="s">
        <v>3437</v>
      </c>
      <c r="E106" s="18" t="s">
        <v>3450</v>
      </c>
    </row>
    <row r="107" spans="1:5" ht="24" customHeight="1" x14ac:dyDescent="0.25">
      <c r="A107" s="16">
        <v>106</v>
      </c>
      <c r="B107" s="18" t="s">
        <v>3331</v>
      </c>
      <c r="C107" s="18" t="s">
        <v>3425</v>
      </c>
      <c r="D107" s="18" t="s">
        <v>3437</v>
      </c>
      <c r="E107" s="18" t="s">
        <v>3451</v>
      </c>
    </row>
    <row r="108" spans="1:5" ht="24" customHeight="1" x14ac:dyDescent="0.25">
      <c r="A108" s="16">
        <v>107</v>
      </c>
      <c r="B108" s="18" t="s">
        <v>3331</v>
      </c>
      <c r="C108" s="18" t="s">
        <v>3425</v>
      </c>
      <c r="D108" s="18" t="s">
        <v>3437</v>
      </c>
      <c r="E108" s="18" t="s">
        <v>3452</v>
      </c>
    </row>
    <row r="109" spans="1:5" ht="24" customHeight="1" x14ac:dyDescent="0.25">
      <c r="A109" s="16">
        <v>108</v>
      </c>
      <c r="B109" s="18" t="s">
        <v>3331</v>
      </c>
      <c r="C109" s="18" t="s">
        <v>3425</v>
      </c>
      <c r="D109" s="18" t="s">
        <v>3437</v>
      </c>
      <c r="E109" s="18" t="s">
        <v>3453</v>
      </c>
    </row>
    <row r="110" spans="1:5" x14ac:dyDescent="0.25">
      <c r="A110" s="16">
        <v>109</v>
      </c>
      <c r="B110" s="18" t="s">
        <v>3331</v>
      </c>
      <c r="C110" s="18" t="s">
        <v>3425</v>
      </c>
      <c r="D110" s="18" t="s">
        <v>3454</v>
      </c>
      <c r="E110" s="18" t="s">
        <v>3455</v>
      </c>
    </row>
    <row r="111" spans="1:5" ht="36" customHeight="1" x14ac:dyDescent="0.25">
      <c r="A111" s="16">
        <v>110</v>
      </c>
      <c r="B111" s="18" t="s">
        <v>3331</v>
      </c>
      <c r="C111" s="18" t="s">
        <v>3425</v>
      </c>
      <c r="D111" s="18" t="s">
        <v>3454</v>
      </c>
      <c r="E111" s="18" t="s">
        <v>3456</v>
      </c>
    </row>
    <row r="112" spans="1:5" x14ac:dyDescent="0.25">
      <c r="A112" s="16">
        <v>111</v>
      </c>
      <c r="B112" s="18" t="s">
        <v>3331</v>
      </c>
      <c r="C112" s="18" t="s">
        <v>3425</v>
      </c>
      <c r="D112" s="18" t="s">
        <v>3454</v>
      </c>
      <c r="E112" s="18" t="s">
        <v>3457</v>
      </c>
    </row>
    <row r="113" spans="1:5" x14ac:dyDescent="0.25">
      <c r="A113" s="16">
        <v>112</v>
      </c>
      <c r="B113" s="18" t="s">
        <v>3331</v>
      </c>
      <c r="C113" s="18" t="s">
        <v>3425</v>
      </c>
      <c r="D113" s="18" t="s">
        <v>3454</v>
      </c>
      <c r="E113" s="18" t="s">
        <v>3458</v>
      </c>
    </row>
    <row r="114" spans="1:5" x14ac:dyDescent="0.25">
      <c r="A114" s="16">
        <v>113</v>
      </c>
      <c r="B114" s="18" t="s">
        <v>3331</v>
      </c>
      <c r="C114" s="18" t="s">
        <v>3425</v>
      </c>
      <c r="D114" s="18" t="s">
        <v>3454</v>
      </c>
      <c r="E114" s="18" t="s">
        <v>3459</v>
      </c>
    </row>
    <row r="115" spans="1:5" ht="24" customHeight="1" x14ac:dyDescent="0.25">
      <c r="A115" s="16">
        <v>114</v>
      </c>
      <c r="B115" s="18" t="s">
        <v>3331</v>
      </c>
      <c r="C115" s="18" t="s">
        <v>3425</v>
      </c>
      <c r="D115" s="18" t="s">
        <v>3454</v>
      </c>
      <c r="E115" s="18" t="s">
        <v>3460</v>
      </c>
    </row>
    <row r="116" spans="1:5" x14ac:dyDescent="0.25">
      <c r="A116" s="16">
        <v>115</v>
      </c>
      <c r="B116" s="18" t="s">
        <v>3331</v>
      </c>
      <c r="C116" s="18" t="s">
        <v>3425</v>
      </c>
      <c r="D116" s="18" t="s">
        <v>3454</v>
      </c>
      <c r="E116" s="18" t="s">
        <v>3461</v>
      </c>
    </row>
    <row r="117" spans="1:5" ht="24" customHeight="1" x14ac:dyDescent="0.25">
      <c r="A117" s="16">
        <v>116</v>
      </c>
      <c r="B117" s="18" t="s">
        <v>3331</v>
      </c>
      <c r="C117" s="18" t="s">
        <v>3425</v>
      </c>
      <c r="D117" s="18" t="s">
        <v>3454</v>
      </c>
      <c r="E117" s="18" t="s">
        <v>3462</v>
      </c>
    </row>
    <row r="118" spans="1:5" ht="24" customHeight="1" x14ac:dyDescent="0.25">
      <c r="A118" s="16">
        <v>117</v>
      </c>
      <c r="B118" s="18" t="s">
        <v>3331</v>
      </c>
      <c r="C118" s="18" t="s">
        <v>3425</v>
      </c>
      <c r="D118" s="18" t="s">
        <v>3454</v>
      </c>
      <c r="E118" s="18" t="s">
        <v>3463</v>
      </c>
    </row>
    <row r="119" spans="1:5" x14ac:dyDescent="0.25">
      <c r="A119" s="16">
        <v>118</v>
      </c>
      <c r="B119" s="18" t="s">
        <v>3331</v>
      </c>
      <c r="C119" s="18" t="s">
        <v>3425</v>
      </c>
      <c r="D119" s="18" t="s">
        <v>3454</v>
      </c>
      <c r="E119" s="18" t="s">
        <v>3464</v>
      </c>
    </row>
    <row r="120" spans="1:5" x14ac:dyDescent="0.25">
      <c r="A120" s="16">
        <v>119</v>
      </c>
      <c r="B120" s="18" t="s">
        <v>3331</v>
      </c>
      <c r="C120" s="18" t="s">
        <v>3425</v>
      </c>
      <c r="D120" s="18" t="s">
        <v>3425</v>
      </c>
      <c r="E120" s="18" t="s">
        <v>3465</v>
      </c>
    </row>
    <row r="121" spans="1:5" ht="24" customHeight="1" x14ac:dyDescent="0.25">
      <c r="A121" s="16">
        <v>120</v>
      </c>
      <c r="B121" s="18" t="s">
        <v>3331</v>
      </c>
      <c r="C121" s="18" t="s">
        <v>3425</v>
      </c>
      <c r="D121" s="18" t="s">
        <v>3425</v>
      </c>
      <c r="E121" s="18" t="s">
        <v>3466</v>
      </c>
    </row>
    <row r="122" spans="1:5" x14ac:dyDescent="0.25">
      <c r="A122" s="16">
        <v>121</v>
      </c>
      <c r="B122" s="18" t="s">
        <v>3331</v>
      </c>
      <c r="C122" s="18" t="s">
        <v>3425</v>
      </c>
      <c r="D122" s="18" t="s">
        <v>3425</v>
      </c>
      <c r="E122" s="18" t="s">
        <v>3467</v>
      </c>
    </row>
    <row r="123" spans="1:5" x14ac:dyDescent="0.25">
      <c r="A123" s="16">
        <v>122</v>
      </c>
      <c r="B123" s="18" t="s">
        <v>3331</v>
      </c>
      <c r="C123" s="18" t="s">
        <v>3425</v>
      </c>
      <c r="D123" s="18" t="s">
        <v>3425</v>
      </c>
      <c r="E123" s="18" t="s">
        <v>3468</v>
      </c>
    </row>
    <row r="124" spans="1:5" x14ac:dyDescent="0.25">
      <c r="A124" s="16">
        <v>123</v>
      </c>
      <c r="B124" s="18" t="s">
        <v>3331</v>
      </c>
      <c r="C124" s="18" t="s">
        <v>3425</v>
      </c>
      <c r="D124" s="18" t="s">
        <v>3425</v>
      </c>
      <c r="E124" s="18" t="s">
        <v>3469</v>
      </c>
    </row>
    <row r="125" spans="1:5" ht="24" customHeight="1" x14ac:dyDescent="0.25">
      <c r="A125" s="16">
        <v>124</v>
      </c>
      <c r="B125" s="18" t="s">
        <v>3331</v>
      </c>
      <c r="C125" s="18" t="s">
        <v>3425</v>
      </c>
      <c r="D125" s="18" t="s">
        <v>3425</v>
      </c>
      <c r="E125" s="18" t="s">
        <v>3470</v>
      </c>
    </row>
    <row r="126" spans="1:5" x14ac:dyDescent="0.25">
      <c r="A126" s="16">
        <v>125</v>
      </c>
      <c r="B126" s="18" t="s">
        <v>3331</v>
      </c>
      <c r="C126" s="18" t="s">
        <v>3425</v>
      </c>
      <c r="D126" s="18" t="s">
        <v>3425</v>
      </c>
      <c r="E126" s="18" t="s">
        <v>3471</v>
      </c>
    </row>
    <row r="127" spans="1:5" ht="24" customHeight="1" x14ac:dyDescent="0.25">
      <c r="A127" s="16">
        <v>126</v>
      </c>
      <c r="B127" s="18" t="s">
        <v>3331</v>
      </c>
      <c r="C127" s="18" t="s">
        <v>3425</v>
      </c>
      <c r="D127" s="18" t="s">
        <v>3425</v>
      </c>
      <c r="E127" s="18" t="s">
        <v>3472</v>
      </c>
    </row>
    <row r="128" spans="1:5" ht="24" customHeight="1" x14ac:dyDescent="0.25">
      <c r="A128" s="16">
        <v>127</v>
      </c>
      <c r="B128" s="18" t="s">
        <v>3331</v>
      </c>
      <c r="C128" s="18" t="s">
        <v>3425</v>
      </c>
      <c r="D128" s="18" t="s">
        <v>3425</v>
      </c>
      <c r="E128" s="18" t="s">
        <v>3473</v>
      </c>
    </row>
    <row r="129" spans="1:5" ht="24" customHeight="1" x14ac:dyDescent="0.25">
      <c r="A129" s="16">
        <v>128</v>
      </c>
      <c r="B129" s="18" t="s">
        <v>3331</v>
      </c>
      <c r="C129" s="18" t="s">
        <v>3425</v>
      </c>
      <c r="D129" s="18" t="s">
        <v>3425</v>
      </c>
      <c r="E129" s="18" t="s">
        <v>3474</v>
      </c>
    </row>
    <row r="130" spans="1:5" x14ac:dyDescent="0.25">
      <c r="A130" s="16">
        <v>129</v>
      </c>
      <c r="B130" s="18" t="s">
        <v>3331</v>
      </c>
      <c r="C130" s="18" t="s">
        <v>3425</v>
      </c>
      <c r="D130" s="18" t="s">
        <v>3425</v>
      </c>
      <c r="E130" s="18" t="s">
        <v>3475</v>
      </c>
    </row>
    <row r="131" spans="1:5" ht="24" customHeight="1" x14ac:dyDescent="0.25">
      <c r="A131" s="16">
        <v>130</v>
      </c>
      <c r="B131" s="18" t="s">
        <v>3331</v>
      </c>
      <c r="C131" s="18" t="s">
        <v>3425</v>
      </c>
      <c r="D131" s="18" t="s">
        <v>3425</v>
      </c>
      <c r="E131" s="18" t="s">
        <v>3476</v>
      </c>
    </row>
    <row r="132" spans="1:5" ht="24" customHeight="1" x14ac:dyDescent="0.25">
      <c r="A132" s="16">
        <v>131</v>
      </c>
      <c r="B132" s="18" t="s">
        <v>3331</v>
      </c>
      <c r="C132" s="18" t="s">
        <v>3425</v>
      </c>
      <c r="D132" s="18" t="s">
        <v>3425</v>
      </c>
      <c r="E132" s="18" t="s">
        <v>3477</v>
      </c>
    </row>
    <row r="133" spans="1:5" ht="24" customHeight="1" x14ac:dyDescent="0.25">
      <c r="A133" s="16">
        <v>132</v>
      </c>
      <c r="B133" s="18" t="s">
        <v>3331</v>
      </c>
      <c r="C133" s="18" t="s">
        <v>3425</v>
      </c>
      <c r="D133" s="18" t="s">
        <v>3478</v>
      </c>
      <c r="E133" s="18" t="s">
        <v>3479</v>
      </c>
    </row>
    <row r="134" spans="1:5" ht="24" customHeight="1" x14ac:dyDescent="0.25">
      <c r="A134" s="16">
        <v>133</v>
      </c>
      <c r="B134" s="18" t="s">
        <v>3331</v>
      </c>
      <c r="C134" s="18" t="s">
        <v>3425</v>
      </c>
      <c r="D134" s="18" t="s">
        <v>3478</v>
      </c>
      <c r="E134" s="18" t="s">
        <v>3480</v>
      </c>
    </row>
    <row r="135" spans="1:5" ht="24" customHeight="1" x14ac:dyDescent="0.25">
      <c r="A135" s="16">
        <v>134</v>
      </c>
      <c r="B135" s="18" t="s">
        <v>3331</v>
      </c>
      <c r="C135" s="18" t="s">
        <v>3425</v>
      </c>
      <c r="D135" s="18" t="s">
        <v>3478</v>
      </c>
      <c r="E135" s="18" t="s">
        <v>3481</v>
      </c>
    </row>
    <row r="136" spans="1:5" ht="24" customHeight="1" x14ac:dyDescent="0.25">
      <c r="A136" s="16">
        <v>135</v>
      </c>
      <c r="B136" s="18" t="s">
        <v>3331</v>
      </c>
      <c r="C136" s="18" t="s">
        <v>3425</v>
      </c>
      <c r="D136" s="18" t="s">
        <v>3478</v>
      </c>
      <c r="E136" s="18" t="s">
        <v>3482</v>
      </c>
    </row>
    <row r="137" spans="1:5" ht="24" customHeight="1" x14ac:dyDescent="0.25">
      <c r="A137" s="16">
        <v>136</v>
      </c>
      <c r="B137" s="18" t="s">
        <v>3331</v>
      </c>
      <c r="C137" s="18" t="s">
        <v>3425</v>
      </c>
      <c r="D137" s="18" t="s">
        <v>3478</v>
      </c>
      <c r="E137" s="18" t="s">
        <v>3483</v>
      </c>
    </row>
    <row r="138" spans="1:5" ht="24" customHeight="1" x14ac:dyDescent="0.25">
      <c r="A138" s="16">
        <v>137</v>
      </c>
      <c r="B138" s="18" t="s">
        <v>3331</v>
      </c>
      <c r="C138" s="18" t="s">
        <v>3425</v>
      </c>
      <c r="D138" s="18" t="s">
        <v>3478</v>
      </c>
      <c r="E138" s="18" t="s">
        <v>3484</v>
      </c>
    </row>
    <row r="139" spans="1:5" ht="24" customHeight="1" x14ac:dyDescent="0.25">
      <c r="A139" s="16">
        <v>138</v>
      </c>
      <c r="B139" s="18" t="s">
        <v>3331</v>
      </c>
      <c r="C139" s="18" t="s">
        <v>3425</v>
      </c>
      <c r="D139" s="18" t="s">
        <v>3478</v>
      </c>
      <c r="E139" s="18" t="s">
        <v>3485</v>
      </c>
    </row>
    <row r="140" spans="1:5" ht="24" customHeight="1" x14ac:dyDescent="0.25">
      <c r="A140" s="16">
        <v>139</v>
      </c>
      <c r="B140" s="18" t="s">
        <v>3331</v>
      </c>
      <c r="C140" s="18" t="s">
        <v>3425</v>
      </c>
      <c r="D140" s="18" t="s">
        <v>3478</v>
      </c>
      <c r="E140" s="18" t="s">
        <v>3486</v>
      </c>
    </row>
    <row r="141" spans="1:5" ht="24" customHeight="1" x14ac:dyDescent="0.25">
      <c r="A141" s="16">
        <v>140</v>
      </c>
      <c r="B141" s="18" t="s">
        <v>3331</v>
      </c>
      <c r="C141" s="18" t="s">
        <v>3425</v>
      </c>
      <c r="D141" s="18" t="s">
        <v>3478</v>
      </c>
      <c r="E141" s="18" t="s">
        <v>3487</v>
      </c>
    </row>
    <row r="142" spans="1:5" x14ac:dyDescent="0.25">
      <c r="A142" s="16">
        <v>141</v>
      </c>
      <c r="B142" s="18" t="s">
        <v>3331</v>
      </c>
      <c r="C142" s="18" t="s">
        <v>3488</v>
      </c>
      <c r="D142" s="18" t="s">
        <v>3489</v>
      </c>
      <c r="E142" s="18" t="s">
        <v>3490</v>
      </c>
    </row>
    <row r="143" spans="1:5" x14ac:dyDescent="0.25">
      <c r="A143" s="16">
        <v>142</v>
      </c>
      <c r="B143" s="18" t="s">
        <v>3331</v>
      </c>
      <c r="C143" s="18" t="s">
        <v>3488</v>
      </c>
      <c r="D143" s="18" t="s">
        <v>3489</v>
      </c>
      <c r="E143" s="18" t="s">
        <v>3491</v>
      </c>
    </row>
    <row r="144" spans="1:5" ht="36" customHeight="1" x14ac:dyDescent="0.25">
      <c r="A144" s="16">
        <v>143</v>
      </c>
      <c r="B144" s="18" t="s">
        <v>3331</v>
      </c>
      <c r="C144" s="18" t="s">
        <v>3488</v>
      </c>
      <c r="D144" s="18" t="s">
        <v>3489</v>
      </c>
      <c r="E144" s="18" t="s">
        <v>3492</v>
      </c>
    </row>
    <row r="145" spans="1:5" ht="24" customHeight="1" x14ac:dyDescent="0.25">
      <c r="A145" s="16">
        <v>144</v>
      </c>
      <c r="B145" s="18" t="s">
        <v>3331</v>
      </c>
      <c r="C145" s="18" t="s">
        <v>3488</v>
      </c>
      <c r="D145" s="18" t="s">
        <v>3489</v>
      </c>
      <c r="E145" s="18" t="s">
        <v>3493</v>
      </c>
    </row>
    <row r="146" spans="1:5" x14ac:dyDescent="0.25">
      <c r="A146" s="16">
        <v>145</v>
      </c>
      <c r="B146" s="18" t="s">
        <v>3331</v>
      </c>
      <c r="C146" s="18" t="s">
        <v>3488</v>
      </c>
      <c r="D146" s="18" t="s">
        <v>3489</v>
      </c>
      <c r="E146" s="18" t="s">
        <v>3494</v>
      </c>
    </row>
    <row r="147" spans="1:5" x14ac:dyDescent="0.25">
      <c r="A147" s="16">
        <v>146</v>
      </c>
      <c r="B147" s="18" t="s">
        <v>3331</v>
      </c>
      <c r="C147" s="18" t="s">
        <v>3488</v>
      </c>
      <c r="D147" s="18" t="s">
        <v>3489</v>
      </c>
      <c r="E147" s="18" t="s">
        <v>3495</v>
      </c>
    </row>
    <row r="148" spans="1:5" x14ac:dyDescent="0.25">
      <c r="A148" s="16">
        <v>147</v>
      </c>
      <c r="B148" s="18" t="s">
        <v>3331</v>
      </c>
      <c r="C148" s="18" t="s">
        <v>3488</v>
      </c>
      <c r="D148" s="18" t="s">
        <v>3489</v>
      </c>
      <c r="E148" s="18" t="s">
        <v>3496</v>
      </c>
    </row>
    <row r="149" spans="1:5" ht="24" customHeight="1" x14ac:dyDescent="0.25">
      <c r="A149" s="16">
        <v>148</v>
      </c>
      <c r="B149" s="18" t="s">
        <v>3331</v>
      </c>
      <c r="C149" s="18" t="s">
        <v>3488</v>
      </c>
      <c r="D149" s="18" t="s">
        <v>3489</v>
      </c>
      <c r="E149" s="18" t="s">
        <v>3497</v>
      </c>
    </row>
    <row r="150" spans="1:5" x14ac:dyDescent="0.25">
      <c r="A150" s="16">
        <v>149</v>
      </c>
      <c r="B150" s="18" t="s">
        <v>3331</v>
      </c>
      <c r="C150" s="18" t="s">
        <v>3488</v>
      </c>
      <c r="D150" s="18" t="s">
        <v>3489</v>
      </c>
      <c r="E150" s="18" t="s">
        <v>3498</v>
      </c>
    </row>
    <row r="151" spans="1:5" ht="24" customHeight="1" x14ac:dyDescent="0.25">
      <c r="A151" s="16">
        <v>150</v>
      </c>
      <c r="B151" s="18" t="s">
        <v>3331</v>
      </c>
      <c r="C151" s="18" t="s">
        <v>3488</v>
      </c>
      <c r="D151" s="18" t="s">
        <v>3499</v>
      </c>
      <c r="E151" s="18" t="s">
        <v>3401</v>
      </c>
    </row>
    <row r="152" spans="1:5" ht="24" customHeight="1" x14ac:dyDescent="0.25">
      <c r="A152" s="16">
        <v>151</v>
      </c>
      <c r="B152" s="18" t="s">
        <v>3331</v>
      </c>
      <c r="C152" s="18" t="s">
        <v>3488</v>
      </c>
      <c r="D152" s="18" t="s">
        <v>3499</v>
      </c>
      <c r="E152" s="18" t="s">
        <v>3500</v>
      </c>
    </row>
    <row r="153" spans="1:5" ht="24" customHeight="1" x14ac:dyDescent="0.25">
      <c r="A153" s="16">
        <v>152</v>
      </c>
      <c r="B153" s="18" t="s">
        <v>3331</v>
      </c>
      <c r="C153" s="18" t="s">
        <v>3488</v>
      </c>
      <c r="D153" s="18" t="s">
        <v>3499</v>
      </c>
      <c r="E153" s="18" t="s">
        <v>3501</v>
      </c>
    </row>
    <row r="154" spans="1:5" ht="24" customHeight="1" x14ac:dyDescent="0.25">
      <c r="A154" s="16">
        <v>153</v>
      </c>
      <c r="B154" s="18" t="s">
        <v>3331</v>
      </c>
      <c r="C154" s="18" t="s">
        <v>3488</v>
      </c>
      <c r="D154" s="18" t="s">
        <v>3499</v>
      </c>
      <c r="E154" s="18" t="s">
        <v>3502</v>
      </c>
    </row>
    <row r="155" spans="1:5" ht="24" customHeight="1" x14ac:dyDescent="0.25">
      <c r="A155" s="16">
        <v>154</v>
      </c>
      <c r="B155" s="18" t="s">
        <v>3331</v>
      </c>
      <c r="C155" s="18" t="s">
        <v>3488</v>
      </c>
      <c r="D155" s="18" t="s">
        <v>3499</v>
      </c>
      <c r="E155" s="18" t="s">
        <v>3503</v>
      </c>
    </row>
    <row r="156" spans="1:5" ht="24" customHeight="1" x14ac:dyDescent="0.25">
      <c r="A156" s="16">
        <v>155</v>
      </c>
      <c r="B156" s="18" t="s">
        <v>3331</v>
      </c>
      <c r="C156" s="18" t="s">
        <v>3488</v>
      </c>
      <c r="D156" s="18" t="s">
        <v>3499</v>
      </c>
      <c r="E156" s="18" t="s">
        <v>3504</v>
      </c>
    </row>
    <row r="157" spans="1:5" ht="24" customHeight="1" x14ac:dyDescent="0.25">
      <c r="A157" s="16">
        <v>156</v>
      </c>
      <c r="B157" s="18" t="s">
        <v>3331</v>
      </c>
      <c r="C157" s="18" t="s">
        <v>3488</v>
      </c>
      <c r="D157" s="18" t="s">
        <v>3499</v>
      </c>
      <c r="E157" s="18" t="s">
        <v>3505</v>
      </c>
    </row>
    <row r="158" spans="1:5" ht="24" customHeight="1" x14ac:dyDescent="0.25">
      <c r="A158" s="16">
        <v>157</v>
      </c>
      <c r="B158" s="18" t="s">
        <v>3331</v>
      </c>
      <c r="C158" s="18" t="s">
        <v>3488</v>
      </c>
      <c r="D158" s="18" t="s">
        <v>3488</v>
      </c>
      <c r="E158" s="18" t="s">
        <v>3506</v>
      </c>
    </row>
    <row r="159" spans="1:5" x14ac:dyDescent="0.25">
      <c r="A159" s="16">
        <v>158</v>
      </c>
      <c r="B159" s="18" t="s">
        <v>3331</v>
      </c>
      <c r="C159" s="18" t="s">
        <v>3488</v>
      </c>
      <c r="D159" s="18" t="s">
        <v>3488</v>
      </c>
      <c r="E159" s="18" t="s">
        <v>3507</v>
      </c>
    </row>
    <row r="160" spans="1:5" ht="24" customHeight="1" x14ac:dyDescent="0.25">
      <c r="A160" s="16">
        <v>159</v>
      </c>
      <c r="B160" s="18" t="s">
        <v>3331</v>
      </c>
      <c r="C160" s="18" t="s">
        <v>3488</v>
      </c>
      <c r="D160" s="18" t="s">
        <v>3488</v>
      </c>
      <c r="E160" s="18" t="s">
        <v>3508</v>
      </c>
    </row>
    <row r="161" spans="1:5" ht="24" customHeight="1" x14ac:dyDescent="0.25">
      <c r="A161" s="16">
        <v>160</v>
      </c>
      <c r="B161" s="18" t="s">
        <v>3331</v>
      </c>
      <c r="C161" s="18" t="s">
        <v>3488</v>
      </c>
      <c r="D161" s="18" t="s">
        <v>3488</v>
      </c>
      <c r="E161" s="18" t="s">
        <v>3509</v>
      </c>
    </row>
    <row r="162" spans="1:5" ht="24" customHeight="1" x14ac:dyDescent="0.25">
      <c r="A162" s="16">
        <v>161</v>
      </c>
      <c r="B162" s="18" t="s">
        <v>3331</v>
      </c>
      <c r="C162" s="18" t="s">
        <v>3488</v>
      </c>
      <c r="D162" s="18" t="s">
        <v>3488</v>
      </c>
      <c r="E162" s="18" t="s">
        <v>3510</v>
      </c>
    </row>
    <row r="163" spans="1:5" ht="24" customHeight="1" x14ac:dyDescent="0.25">
      <c r="A163" s="16">
        <v>162</v>
      </c>
      <c r="B163" s="18" t="s">
        <v>3331</v>
      </c>
      <c r="C163" s="18" t="s">
        <v>3488</v>
      </c>
      <c r="D163" s="18" t="s">
        <v>3488</v>
      </c>
      <c r="E163" s="18" t="s">
        <v>3511</v>
      </c>
    </row>
    <row r="164" spans="1:5" ht="24" customHeight="1" x14ac:dyDescent="0.25">
      <c r="A164" s="16">
        <v>163</v>
      </c>
      <c r="B164" s="18" t="s">
        <v>3331</v>
      </c>
      <c r="C164" s="18" t="s">
        <v>3488</v>
      </c>
      <c r="D164" s="18" t="s">
        <v>3512</v>
      </c>
      <c r="E164" s="18" t="s">
        <v>3513</v>
      </c>
    </row>
    <row r="165" spans="1:5" x14ac:dyDescent="0.25">
      <c r="A165" s="16">
        <v>164</v>
      </c>
      <c r="B165" s="18" t="s">
        <v>3331</v>
      </c>
      <c r="C165" s="18" t="s">
        <v>3488</v>
      </c>
      <c r="D165" s="18" t="s">
        <v>3512</v>
      </c>
      <c r="E165" s="18" t="s">
        <v>3514</v>
      </c>
    </row>
    <row r="166" spans="1:5" ht="24" customHeight="1" x14ac:dyDescent="0.25">
      <c r="A166" s="16">
        <v>165</v>
      </c>
      <c r="B166" s="18" t="s">
        <v>3331</v>
      </c>
      <c r="C166" s="18" t="s">
        <v>3488</v>
      </c>
      <c r="D166" s="18" t="s">
        <v>3512</v>
      </c>
      <c r="E166" s="18" t="s">
        <v>3515</v>
      </c>
    </row>
    <row r="167" spans="1:5" ht="24" customHeight="1" x14ac:dyDescent="0.25">
      <c r="A167" s="16">
        <v>166</v>
      </c>
      <c r="B167" s="18" t="s">
        <v>3331</v>
      </c>
      <c r="C167" s="18" t="s">
        <v>3488</v>
      </c>
      <c r="D167" s="18" t="s">
        <v>3512</v>
      </c>
      <c r="E167" s="18" t="s">
        <v>3516</v>
      </c>
    </row>
    <row r="168" spans="1:5" ht="24" customHeight="1" x14ac:dyDescent="0.25">
      <c r="A168" s="16">
        <v>167</v>
      </c>
      <c r="B168" s="18" t="s">
        <v>3331</v>
      </c>
      <c r="C168" s="18" t="s">
        <v>3488</v>
      </c>
      <c r="D168" s="18" t="s">
        <v>3512</v>
      </c>
      <c r="E168" s="18" t="s">
        <v>3517</v>
      </c>
    </row>
    <row r="169" spans="1:5" x14ac:dyDescent="0.25">
      <c r="A169" s="16">
        <v>168</v>
      </c>
      <c r="B169" s="18" t="s">
        <v>3331</v>
      </c>
      <c r="C169" s="18" t="s">
        <v>3488</v>
      </c>
      <c r="D169" s="18" t="s">
        <v>3512</v>
      </c>
      <c r="E169" s="18" t="s">
        <v>3518</v>
      </c>
    </row>
    <row r="170" spans="1:5" x14ac:dyDescent="0.25">
      <c r="A170" s="16">
        <v>169</v>
      </c>
      <c r="B170" s="18" t="s">
        <v>3331</v>
      </c>
      <c r="C170" s="18" t="s">
        <v>3488</v>
      </c>
      <c r="D170" s="18" t="s">
        <v>3512</v>
      </c>
      <c r="E170" s="18" t="s">
        <v>3519</v>
      </c>
    </row>
    <row r="171" spans="1:5" x14ac:dyDescent="0.25">
      <c r="A171" s="16">
        <v>170</v>
      </c>
      <c r="B171" s="18" t="s">
        <v>3331</v>
      </c>
      <c r="C171" s="18" t="s">
        <v>3488</v>
      </c>
      <c r="D171" s="18" t="s">
        <v>3520</v>
      </c>
      <c r="E171" s="18" t="s">
        <v>3521</v>
      </c>
    </row>
    <row r="172" spans="1:5" x14ac:dyDescent="0.25">
      <c r="A172" s="16">
        <v>171</v>
      </c>
      <c r="B172" s="18" t="s">
        <v>3331</v>
      </c>
      <c r="C172" s="18" t="s">
        <v>3488</v>
      </c>
      <c r="D172" s="18" t="s">
        <v>3520</v>
      </c>
      <c r="E172" s="18" t="s">
        <v>3522</v>
      </c>
    </row>
    <row r="173" spans="1:5" x14ac:dyDescent="0.25">
      <c r="A173" s="16">
        <v>172</v>
      </c>
      <c r="B173" s="18" t="s">
        <v>3331</v>
      </c>
      <c r="C173" s="18" t="s">
        <v>3488</v>
      </c>
      <c r="D173" s="18" t="s">
        <v>3520</v>
      </c>
      <c r="E173" s="18" t="s">
        <v>3523</v>
      </c>
    </row>
    <row r="174" spans="1:5" ht="36" customHeight="1" x14ac:dyDescent="0.25">
      <c r="A174" s="16">
        <v>173</v>
      </c>
      <c r="B174" s="18" t="s">
        <v>3331</v>
      </c>
      <c r="C174" s="18" t="s">
        <v>3488</v>
      </c>
      <c r="D174" s="18" t="s">
        <v>3520</v>
      </c>
      <c r="E174" s="18" t="s">
        <v>3524</v>
      </c>
    </row>
    <row r="175" spans="1:5" ht="24" customHeight="1" x14ac:dyDescent="0.25">
      <c r="A175" s="16">
        <v>174</v>
      </c>
      <c r="B175" s="18" t="s">
        <v>3331</v>
      </c>
      <c r="C175" s="18" t="s">
        <v>3488</v>
      </c>
      <c r="D175" s="18" t="s">
        <v>3520</v>
      </c>
      <c r="E175" s="18" t="s">
        <v>3525</v>
      </c>
    </row>
    <row r="176" spans="1:5" ht="24" customHeight="1" x14ac:dyDescent="0.25">
      <c r="A176" s="16">
        <v>175</v>
      </c>
      <c r="B176" s="18" t="s">
        <v>3331</v>
      </c>
      <c r="C176" s="18" t="s">
        <v>3488</v>
      </c>
      <c r="D176" s="18" t="s">
        <v>3520</v>
      </c>
      <c r="E176" s="18" t="s">
        <v>3526</v>
      </c>
    </row>
    <row r="177" spans="1:5" x14ac:dyDescent="0.25">
      <c r="A177" s="16">
        <v>176</v>
      </c>
      <c r="B177" s="18" t="s">
        <v>3331</v>
      </c>
      <c r="C177" s="18" t="s">
        <v>3488</v>
      </c>
      <c r="D177" s="18" t="s">
        <v>3520</v>
      </c>
      <c r="E177" s="18" t="s">
        <v>3527</v>
      </c>
    </row>
    <row r="178" spans="1:5" x14ac:dyDescent="0.25">
      <c r="A178" s="16">
        <v>177</v>
      </c>
      <c r="B178" s="18" t="s">
        <v>3331</v>
      </c>
      <c r="C178" s="18" t="s">
        <v>3488</v>
      </c>
      <c r="D178" s="18" t="s">
        <v>3520</v>
      </c>
      <c r="E178" s="18" t="s">
        <v>3528</v>
      </c>
    </row>
    <row r="179" spans="1:5" x14ac:dyDescent="0.25">
      <c r="A179" s="16">
        <v>178</v>
      </c>
      <c r="B179" s="18" t="s">
        <v>3331</v>
      </c>
      <c r="C179" s="18" t="s">
        <v>3529</v>
      </c>
      <c r="D179" s="18" t="s">
        <v>3529</v>
      </c>
      <c r="E179" s="18" t="s">
        <v>3530</v>
      </c>
    </row>
    <row r="180" spans="1:5" x14ac:dyDescent="0.25">
      <c r="A180" s="16">
        <v>179</v>
      </c>
      <c r="B180" s="18" t="s">
        <v>3331</v>
      </c>
      <c r="C180" s="18" t="s">
        <v>3529</v>
      </c>
      <c r="D180" s="18" t="s">
        <v>3529</v>
      </c>
      <c r="E180" s="18" t="s">
        <v>3531</v>
      </c>
    </row>
    <row r="181" spans="1:5" x14ac:dyDescent="0.25">
      <c r="A181" s="16">
        <v>180</v>
      </c>
      <c r="B181" s="18" t="s">
        <v>3331</v>
      </c>
      <c r="C181" s="18" t="s">
        <v>3529</v>
      </c>
      <c r="D181" s="18" t="s">
        <v>3529</v>
      </c>
      <c r="E181" s="18" t="s">
        <v>3532</v>
      </c>
    </row>
    <row r="182" spans="1:5" x14ac:dyDescent="0.25">
      <c r="A182" s="16">
        <v>181</v>
      </c>
      <c r="B182" s="18" t="s">
        <v>3331</v>
      </c>
      <c r="C182" s="18" t="s">
        <v>3529</v>
      </c>
      <c r="D182" s="18" t="s">
        <v>3529</v>
      </c>
      <c r="E182" s="18" t="s">
        <v>3533</v>
      </c>
    </row>
    <row r="183" spans="1:5" ht="24" customHeight="1" x14ac:dyDescent="0.25">
      <c r="A183" s="16">
        <v>182</v>
      </c>
      <c r="B183" s="18" t="s">
        <v>3331</v>
      </c>
      <c r="C183" s="18" t="s">
        <v>3529</v>
      </c>
      <c r="D183" s="18" t="s">
        <v>3529</v>
      </c>
      <c r="E183" s="18" t="s">
        <v>3534</v>
      </c>
    </row>
    <row r="184" spans="1:5" x14ac:dyDescent="0.25">
      <c r="A184" s="16">
        <v>183</v>
      </c>
      <c r="B184" s="18" t="s">
        <v>3331</v>
      </c>
      <c r="C184" s="18" t="s">
        <v>3529</v>
      </c>
      <c r="D184" s="18" t="s">
        <v>3529</v>
      </c>
      <c r="E184" s="18" t="s">
        <v>3535</v>
      </c>
    </row>
    <row r="185" spans="1:5" x14ac:dyDescent="0.25">
      <c r="A185" s="16">
        <v>184</v>
      </c>
      <c r="B185" s="18" t="s">
        <v>3331</v>
      </c>
      <c r="C185" s="18" t="s">
        <v>3529</v>
      </c>
      <c r="D185" s="18" t="s">
        <v>3529</v>
      </c>
      <c r="E185" s="18" t="s">
        <v>3536</v>
      </c>
    </row>
    <row r="186" spans="1:5" x14ac:dyDescent="0.25">
      <c r="A186" s="16">
        <v>185</v>
      </c>
      <c r="B186" s="18" t="s">
        <v>3331</v>
      </c>
      <c r="C186" s="18" t="s">
        <v>3529</v>
      </c>
      <c r="D186" s="18" t="s">
        <v>3529</v>
      </c>
      <c r="E186" s="18" t="s">
        <v>3537</v>
      </c>
    </row>
    <row r="187" spans="1:5" x14ac:dyDescent="0.25">
      <c r="A187" s="16">
        <v>186</v>
      </c>
      <c r="B187" s="18" t="s">
        <v>3331</v>
      </c>
      <c r="C187" s="18" t="s">
        <v>3529</v>
      </c>
      <c r="D187" s="18" t="s">
        <v>3529</v>
      </c>
      <c r="E187" s="18" t="s">
        <v>3538</v>
      </c>
    </row>
    <row r="188" spans="1:5" x14ac:dyDescent="0.25">
      <c r="A188" s="16">
        <v>187</v>
      </c>
      <c r="B188" s="18" t="s">
        <v>3331</v>
      </c>
      <c r="C188" s="18" t="s">
        <v>3529</v>
      </c>
      <c r="D188" s="18" t="s">
        <v>3529</v>
      </c>
      <c r="E188" s="18" t="s">
        <v>3539</v>
      </c>
    </row>
    <row r="189" spans="1:5" ht="24" customHeight="1" x14ac:dyDescent="0.25">
      <c r="A189" s="16">
        <v>188</v>
      </c>
      <c r="B189" s="18" t="s">
        <v>3331</v>
      </c>
      <c r="C189" s="18" t="s">
        <v>3529</v>
      </c>
      <c r="D189" s="18" t="s">
        <v>3529</v>
      </c>
      <c r="E189" s="18" t="s">
        <v>3540</v>
      </c>
    </row>
    <row r="190" spans="1:5" ht="24" customHeight="1" x14ac:dyDescent="0.25">
      <c r="A190" s="16">
        <v>189</v>
      </c>
      <c r="B190" s="18" t="s">
        <v>3331</v>
      </c>
      <c r="C190" s="18" t="s">
        <v>3529</v>
      </c>
      <c r="D190" s="18" t="s">
        <v>3529</v>
      </c>
      <c r="E190" s="18" t="s">
        <v>3541</v>
      </c>
    </row>
    <row r="191" spans="1:5" ht="24" customHeight="1" x14ac:dyDescent="0.25">
      <c r="A191" s="16">
        <v>190</v>
      </c>
      <c r="B191" s="18" t="s">
        <v>3331</v>
      </c>
      <c r="C191" s="18" t="s">
        <v>3529</v>
      </c>
      <c r="D191" s="18" t="s">
        <v>3529</v>
      </c>
      <c r="E191" s="18" t="s">
        <v>3542</v>
      </c>
    </row>
    <row r="192" spans="1:5" x14ac:dyDescent="0.25">
      <c r="A192" s="16">
        <v>191</v>
      </c>
      <c r="B192" s="18" t="s">
        <v>3331</v>
      </c>
      <c r="C192" s="18" t="s">
        <v>3529</v>
      </c>
      <c r="D192" s="18" t="s">
        <v>3529</v>
      </c>
      <c r="E192" s="18" t="s">
        <v>3543</v>
      </c>
    </row>
    <row r="193" spans="1:5" ht="24" customHeight="1" x14ac:dyDescent="0.25">
      <c r="A193" s="16">
        <v>192</v>
      </c>
      <c r="B193" s="18" t="s">
        <v>3331</v>
      </c>
      <c r="C193" s="18" t="s">
        <v>3529</v>
      </c>
      <c r="D193" s="18" t="s">
        <v>3529</v>
      </c>
      <c r="E193" s="18" t="s">
        <v>3544</v>
      </c>
    </row>
    <row r="194" spans="1:5" x14ac:dyDescent="0.25">
      <c r="A194" s="16">
        <v>193</v>
      </c>
      <c r="B194" s="18" t="s">
        <v>3331</v>
      </c>
      <c r="C194" s="18" t="s">
        <v>3529</v>
      </c>
      <c r="D194" s="18" t="s">
        <v>3529</v>
      </c>
      <c r="E194" s="18" t="s">
        <v>3545</v>
      </c>
    </row>
    <row r="195" spans="1:5" x14ac:dyDescent="0.25">
      <c r="A195" s="16">
        <v>194</v>
      </c>
      <c r="B195" s="18" t="s">
        <v>3331</v>
      </c>
      <c r="C195" s="18" t="s">
        <v>3529</v>
      </c>
      <c r="D195" s="18" t="s">
        <v>3529</v>
      </c>
      <c r="E195" s="18" t="s">
        <v>3546</v>
      </c>
    </row>
    <row r="196" spans="1:5" ht="24" customHeight="1" x14ac:dyDescent="0.25">
      <c r="A196" s="16">
        <v>195</v>
      </c>
      <c r="B196" s="18" t="s">
        <v>3331</v>
      </c>
      <c r="C196" s="18" t="s">
        <v>3529</v>
      </c>
      <c r="D196" s="18" t="s">
        <v>3529</v>
      </c>
      <c r="E196" s="18" t="s">
        <v>3547</v>
      </c>
    </row>
    <row r="197" spans="1:5" x14ac:dyDescent="0.25">
      <c r="A197" s="16">
        <v>196</v>
      </c>
      <c r="B197" s="18" t="s">
        <v>3331</v>
      </c>
      <c r="C197" s="18" t="s">
        <v>3529</v>
      </c>
      <c r="D197" s="18" t="s">
        <v>3548</v>
      </c>
      <c r="E197" s="18" t="s">
        <v>3549</v>
      </c>
    </row>
    <row r="198" spans="1:5" ht="24" customHeight="1" x14ac:dyDescent="0.25">
      <c r="A198" s="16">
        <v>197</v>
      </c>
      <c r="B198" s="18" t="s">
        <v>3331</v>
      </c>
      <c r="C198" s="18" t="s">
        <v>3529</v>
      </c>
      <c r="D198" s="18" t="s">
        <v>3548</v>
      </c>
      <c r="E198" s="18" t="s">
        <v>3550</v>
      </c>
    </row>
    <row r="199" spans="1:5" ht="24" customHeight="1" x14ac:dyDescent="0.25">
      <c r="A199" s="16">
        <v>198</v>
      </c>
      <c r="B199" s="18" t="s">
        <v>3331</v>
      </c>
      <c r="C199" s="18" t="s">
        <v>3529</v>
      </c>
      <c r="D199" s="18" t="s">
        <v>3548</v>
      </c>
      <c r="E199" s="18" t="s">
        <v>3551</v>
      </c>
    </row>
    <row r="200" spans="1:5" ht="24" customHeight="1" x14ac:dyDescent="0.25">
      <c r="A200" s="16">
        <v>199</v>
      </c>
      <c r="B200" s="18" t="s">
        <v>3331</v>
      </c>
      <c r="C200" s="18" t="s">
        <v>3529</v>
      </c>
      <c r="D200" s="18" t="s">
        <v>3548</v>
      </c>
      <c r="E200" s="18" t="s">
        <v>3552</v>
      </c>
    </row>
    <row r="201" spans="1:5" x14ac:dyDescent="0.25">
      <c r="A201" s="16">
        <v>200</v>
      </c>
      <c r="B201" s="18" t="s">
        <v>3331</v>
      </c>
      <c r="C201" s="18" t="s">
        <v>3529</v>
      </c>
      <c r="D201" s="18" t="s">
        <v>3548</v>
      </c>
      <c r="E201" s="18" t="s">
        <v>3553</v>
      </c>
    </row>
    <row r="202" spans="1:5" ht="24" customHeight="1" x14ac:dyDescent="0.25">
      <c r="A202" s="16">
        <v>201</v>
      </c>
      <c r="B202" s="18" t="s">
        <v>3331</v>
      </c>
      <c r="C202" s="18" t="s">
        <v>3529</v>
      </c>
      <c r="D202" s="18" t="s">
        <v>3548</v>
      </c>
      <c r="E202" s="18" t="s">
        <v>3554</v>
      </c>
    </row>
    <row r="203" spans="1:5" x14ac:dyDescent="0.25">
      <c r="A203" s="16">
        <v>202</v>
      </c>
      <c r="B203" s="18" t="s">
        <v>3331</v>
      </c>
      <c r="C203" s="18" t="s">
        <v>3529</v>
      </c>
      <c r="D203" s="18" t="s">
        <v>3548</v>
      </c>
      <c r="E203" s="18" t="s">
        <v>3555</v>
      </c>
    </row>
    <row r="204" spans="1:5" ht="24" customHeight="1" x14ac:dyDescent="0.25">
      <c r="A204" s="16">
        <v>203</v>
      </c>
      <c r="B204" s="18" t="s">
        <v>3331</v>
      </c>
      <c r="C204" s="18" t="s">
        <v>3529</v>
      </c>
      <c r="D204" s="18" t="s">
        <v>3548</v>
      </c>
      <c r="E204" s="18" t="s">
        <v>3556</v>
      </c>
    </row>
    <row r="205" spans="1:5" x14ac:dyDescent="0.25">
      <c r="A205" s="16">
        <v>204</v>
      </c>
      <c r="B205" s="18" t="s">
        <v>3331</v>
      </c>
      <c r="C205" s="18" t="s">
        <v>3529</v>
      </c>
      <c r="D205" s="18" t="s">
        <v>3548</v>
      </c>
      <c r="E205" s="18" t="s">
        <v>3557</v>
      </c>
    </row>
    <row r="206" spans="1:5" x14ac:dyDescent="0.25">
      <c r="A206" s="16">
        <v>205</v>
      </c>
      <c r="B206" s="18" t="s">
        <v>3331</v>
      </c>
      <c r="C206" s="18" t="s">
        <v>3529</v>
      </c>
      <c r="D206" s="18" t="s">
        <v>3548</v>
      </c>
      <c r="E206" s="18" t="s">
        <v>3558</v>
      </c>
    </row>
    <row r="207" spans="1:5" x14ac:dyDescent="0.25">
      <c r="A207" s="16">
        <v>206</v>
      </c>
      <c r="B207" s="18" t="s">
        <v>3331</v>
      </c>
      <c r="C207" s="18" t="s">
        <v>3529</v>
      </c>
      <c r="D207" s="18" t="s">
        <v>3548</v>
      </c>
      <c r="E207" s="18" t="s">
        <v>3559</v>
      </c>
    </row>
    <row r="208" spans="1:5" ht="24" customHeight="1" x14ac:dyDescent="0.25">
      <c r="A208" s="16">
        <v>207</v>
      </c>
      <c r="B208" s="18" t="s">
        <v>3331</v>
      </c>
      <c r="C208" s="18" t="s">
        <v>3529</v>
      </c>
      <c r="D208" s="18" t="s">
        <v>3548</v>
      </c>
      <c r="E208" s="18" t="s">
        <v>3560</v>
      </c>
    </row>
    <row r="209" spans="1:5" x14ac:dyDescent="0.25">
      <c r="A209" s="16">
        <v>208</v>
      </c>
      <c r="B209" s="18" t="s">
        <v>3331</v>
      </c>
      <c r="C209" s="18" t="s">
        <v>3529</v>
      </c>
      <c r="D209" s="18" t="s">
        <v>3548</v>
      </c>
      <c r="E209" s="18" t="s">
        <v>3561</v>
      </c>
    </row>
    <row r="210" spans="1:5" ht="24" customHeight="1" x14ac:dyDescent="0.25">
      <c r="A210" s="16">
        <v>209</v>
      </c>
      <c r="B210" s="18" t="s">
        <v>3331</v>
      </c>
      <c r="C210" s="18" t="s">
        <v>3529</v>
      </c>
      <c r="D210" s="18" t="s">
        <v>3548</v>
      </c>
      <c r="E210" s="18" t="s">
        <v>3562</v>
      </c>
    </row>
    <row r="211" spans="1:5" ht="24" customHeight="1" x14ac:dyDescent="0.25">
      <c r="A211" s="16">
        <v>210</v>
      </c>
      <c r="B211" s="18" t="s">
        <v>3331</v>
      </c>
      <c r="C211" s="18" t="s">
        <v>3529</v>
      </c>
      <c r="D211" s="18" t="s">
        <v>3548</v>
      </c>
      <c r="E211" s="18" t="s">
        <v>3563</v>
      </c>
    </row>
    <row r="212" spans="1:5" x14ac:dyDescent="0.25">
      <c r="A212" s="16">
        <v>211</v>
      </c>
      <c r="B212" s="18" t="s">
        <v>3331</v>
      </c>
      <c r="C212" s="18" t="s">
        <v>3529</v>
      </c>
      <c r="D212" s="18" t="s">
        <v>3548</v>
      </c>
      <c r="E212" s="18" t="s">
        <v>3564</v>
      </c>
    </row>
    <row r="213" spans="1:5" ht="36" customHeight="1" x14ac:dyDescent="0.25">
      <c r="A213" s="16">
        <v>212</v>
      </c>
      <c r="B213" s="18" t="s">
        <v>3331</v>
      </c>
      <c r="C213" s="18" t="s">
        <v>3529</v>
      </c>
      <c r="D213" s="18" t="s">
        <v>3548</v>
      </c>
      <c r="E213" s="18" t="s">
        <v>3565</v>
      </c>
    </row>
    <row r="214" spans="1:5" x14ac:dyDescent="0.25">
      <c r="A214" s="16">
        <v>213</v>
      </c>
      <c r="B214" s="18" t="s">
        <v>3331</v>
      </c>
      <c r="C214" s="18" t="s">
        <v>3529</v>
      </c>
      <c r="D214" s="18" t="s">
        <v>3548</v>
      </c>
      <c r="E214" s="18" t="s">
        <v>3566</v>
      </c>
    </row>
    <row r="215" spans="1:5" ht="24" customHeight="1" x14ac:dyDescent="0.25">
      <c r="A215" s="16">
        <v>214</v>
      </c>
      <c r="B215" s="18" t="s">
        <v>3331</v>
      </c>
      <c r="C215" s="18" t="s">
        <v>3529</v>
      </c>
      <c r="D215" s="18" t="s">
        <v>3548</v>
      </c>
      <c r="E215" s="18" t="s">
        <v>3567</v>
      </c>
    </row>
    <row r="216" spans="1:5" x14ac:dyDescent="0.25">
      <c r="A216" s="16">
        <v>215</v>
      </c>
      <c r="B216" s="18" t="s">
        <v>3331</v>
      </c>
      <c r="C216" s="18" t="s">
        <v>3529</v>
      </c>
      <c r="D216" s="18" t="s">
        <v>3568</v>
      </c>
      <c r="E216" s="18" t="s">
        <v>3569</v>
      </c>
    </row>
    <row r="217" spans="1:5" ht="24" customHeight="1" x14ac:dyDescent="0.25">
      <c r="A217" s="16">
        <v>216</v>
      </c>
      <c r="B217" s="18" t="s">
        <v>3331</v>
      </c>
      <c r="C217" s="18" t="s">
        <v>3529</v>
      </c>
      <c r="D217" s="18" t="s">
        <v>3568</v>
      </c>
      <c r="E217" s="18" t="s">
        <v>3570</v>
      </c>
    </row>
    <row r="218" spans="1:5" ht="24" customHeight="1" x14ac:dyDescent="0.25">
      <c r="A218" s="16">
        <v>217</v>
      </c>
      <c r="B218" s="18" t="s">
        <v>3331</v>
      </c>
      <c r="C218" s="18" t="s">
        <v>3529</v>
      </c>
      <c r="D218" s="18" t="s">
        <v>3568</v>
      </c>
      <c r="E218" s="18" t="s">
        <v>3571</v>
      </c>
    </row>
    <row r="219" spans="1:5" ht="24" customHeight="1" x14ac:dyDescent="0.25">
      <c r="A219" s="16">
        <v>218</v>
      </c>
      <c r="B219" s="18" t="s">
        <v>3331</v>
      </c>
      <c r="C219" s="18" t="s">
        <v>3529</v>
      </c>
      <c r="D219" s="18" t="s">
        <v>3568</v>
      </c>
      <c r="E219" s="18" t="s">
        <v>3572</v>
      </c>
    </row>
    <row r="220" spans="1:5" x14ac:dyDescent="0.25">
      <c r="A220" s="16">
        <v>219</v>
      </c>
      <c r="B220" s="18" t="s">
        <v>3331</v>
      </c>
      <c r="C220" s="18" t="s">
        <v>3529</v>
      </c>
      <c r="D220" s="18" t="s">
        <v>3568</v>
      </c>
      <c r="E220" s="18" t="s">
        <v>3573</v>
      </c>
    </row>
    <row r="221" spans="1:5" x14ac:dyDescent="0.25">
      <c r="A221" s="16">
        <v>220</v>
      </c>
      <c r="B221" s="18" t="s">
        <v>3331</v>
      </c>
      <c r="C221" s="18" t="s">
        <v>3529</v>
      </c>
      <c r="D221" s="18" t="s">
        <v>3568</v>
      </c>
      <c r="E221" s="18" t="s">
        <v>3574</v>
      </c>
    </row>
    <row r="222" spans="1:5" x14ac:dyDescent="0.25">
      <c r="A222" s="16">
        <v>221</v>
      </c>
      <c r="B222" s="18" t="s">
        <v>3331</v>
      </c>
      <c r="C222" s="18" t="s">
        <v>3529</v>
      </c>
      <c r="D222" s="18" t="s">
        <v>3568</v>
      </c>
      <c r="E222" s="18" t="s">
        <v>3575</v>
      </c>
    </row>
    <row r="223" spans="1:5" ht="24" customHeight="1" x14ac:dyDescent="0.25">
      <c r="A223" s="16">
        <v>222</v>
      </c>
      <c r="B223" s="18" t="s">
        <v>3331</v>
      </c>
      <c r="C223" s="18" t="s">
        <v>3529</v>
      </c>
      <c r="D223" s="18" t="s">
        <v>3568</v>
      </c>
      <c r="E223" s="18" t="s">
        <v>3576</v>
      </c>
    </row>
    <row r="224" spans="1:5" ht="24" customHeight="1" x14ac:dyDescent="0.25">
      <c r="A224" s="16">
        <v>223</v>
      </c>
      <c r="B224" s="18" t="s">
        <v>3331</v>
      </c>
      <c r="C224" s="18" t="s">
        <v>3529</v>
      </c>
      <c r="D224" s="18" t="s">
        <v>3568</v>
      </c>
      <c r="E224" s="18" t="s">
        <v>3577</v>
      </c>
    </row>
    <row r="225" spans="1:5" x14ac:dyDescent="0.25">
      <c r="A225" s="16">
        <v>224</v>
      </c>
      <c r="B225" s="18" t="s">
        <v>3331</v>
      </c>
      <c r="C225" s="18" t="s">
        <v>3529</v>
      </c>
      <c r="D225" s="18" t="s">
        <v>3568</v>
      </c>
      <c r="E225" s="18" t="s">
        <v>3578</v>
      </c>
    </row>
    <row r="226" spans="1:5" ht="24" customHeight="1" x14ac:dyDescent="0.25">
      <c r="A226" s="16">
        <v>225</v>
      </c>
      <c r="B226" s="18" t="s">
        <v>3331</v>
      </c>
      <c r="C226" s="18" t="s">
        <v>3529</v>
      </c>
      <c r="D226" s="18" t="s">
        <v>3568</v>
      </c>
      <c r="E226" s="18" t="s">
        <v>3579</v>
      </c>
    </row>
    <row r="227" spans="1:5" x14ac:dyDescent="0.25">
      <c r="A227" s="16">
        <v>226</v>
      </c>
      <c r="B227" s="18" t="s">
        <v>3331</v>
      </c>
      <c r="C227" s="18" t="s">
        <v>3529</v>
      </c>
      <c r="D227" s="18" t="s">
        <v>3568</v>
      </c>
      <c r="E227" s="18" t="s">
        <v>3580</v>
      </c>
    </row>
    <row r="228" spans="1:5" ht="24" customHeight="1" x14ac:dyDescent="0.25">
      <c r="A228" s="16">
        <v>227</v>
      </c>
      <c r="B228" s="18" t="s">
        <v>3331</v>
      </c>
      <c r="C228" s="18" t="s">
        <v>3529</v>
      </c>
      <c r="D228" s="18" t="s">
        <v>3568</v>
      </c>
      <c r="E228" s="18" t="s">
        <v>3581</v>
      </c>
    </row>
    <row r="229" spans="1:5" x14ac:dyDescent="0.25">
      <c r="A229" s="16">
        <v>228</v>
      </c>
      <c r="B229" s="18" t="s">
        <v>3331</v>
      </c>
      <c r="C229" s="18" t="s">
        <v>3529</v>
      </c>
      <c r="D229" s="18" t="s">
        <v>3582</v>
      </c>
      <c r="E229" s="18" t="s">
        <v>3583</v>
      </c>
    </row>
    <row r="230" spans="1:5" x14ac:dyDescent="0.25">
      <c r="A230" s="16">
        <v>229</v>
      </c>
      <c r="B230" s="18" t="s">
        <v>3331</v>
      </c>
      <c r="C230" s="18" t="s">
        <v>3529</v>
      </c>
      <c r="D230" s="18" t="s">
        <v>3582</v>
      </c>
      <c r="E230" s="18" t="s">
        <v>3584</v>
      </c>
    </row>
    <row r="231" spans="1:5" x14ac:dyDescent="0.25">
      <c r="A231" s="16">
        <v>230</v>
      </c>
      <c r="B231" s="18" t="s">
        <v>3331</v>
      </c>
      <c r="C231" s="18" t="s">
        <v>3529</v>
      </c>
      <c r="D231" s="18" t="s">
        <v>3582</v>
      </c>
      <c r="E231" s="18" t="s">
        <v>3585</v>
      </c>
    </row>
    <row r="232" spans="1:5" ht="24" customHeight="1" x14ac:dyDescent="0.25">
      <c r="A232" s="16">
        <v>231</v>
      </c>
      <c r="B232" s="18" t="s">
        <v>3331</v>
      </c>
      <c r="C232" s="18" t="s">
        <v>3529</v>
      </c>
      <c r="D232" s="18" t="s">
        <v>3582</v>
      </c>
      <c r="E232" s="18" t="s">
        <v>3586</v>
      </c>
    </row>
    <row r="233" spans="1:5" x14ac:dyDescent="0.25">
      <c r="A233" s="16">
        <v>232</v>
      </c>
      <c r="B233" s="18" t="s">
        <v>3331</v>
      </c>
      <c r="C233" s="18" t="s">
        <v>3529</v>
      </c>
      <c r="D233" s="18" t="s">
        <v>3582</v>
      </c>
      <c r="E233" s="18" t="s">
        <v>3587</v>
      </c>
    </row>
    <row r="234" spans="1:5" x14ac:dyDescent="0.25">
      <c r="A234" s="16">
        <v>233</v>
      </c>
      <c r="B234" s="18" t="s">
        <v>3331</v>
      </c>
      <c r="C234" s="18" t="s">
        <v>3529</v>
      </c>
      <c r="D234" s="18" t="s">
        <v>3582</v>
      </c>
      <c r="E234" s="18" t="s">
        <v>3588</v>
      </c>
    </row>
    <row r="235" spans="1:5" ht="24" customHeight="1" x14ac:dyDescent="0.25">
      <c r="A235" s="16">
        <v>234</v>
      </c>
      <c r="B235" s="18" t="s">
        <v>3331</v>
      </c>
      <c r="C235" s="18" t="s">
        <v>3529</v>
      </c>
      <c r="D235" s="18" t="s">
        <v>3582</v>
      </c>
      <c r="E235" s="18" t="s">
        <v>3589</v>
      </c>
    </row>
    <row r="236" spans="1:5" ht="24" customHeight="1" x14ac:dyDescent="0.25">
      <c r="A236" s="16">
        <v>235</v>
      </c>
      <c r="B236" s="18" t="s">
        <v>3331</v>
      </c>
      <c r="C236" s="18" t="s">
        <v>3529</v>
      </c>
      <c r="D236" s="18" t="s">
        <v>3582</v>
      </c>
      <c r="E236" s="18" t="s">
        <v>3590</v>
      </c>
    </row>
    <row r="237" spans="1:5" ht="24" customHeight="1" x14ac:dyDescent="0.25">
      <c r="A237" s="16">
        <v>236</v>
      </c>
      <c r="B237" s="18" t="s">
        <v>3331</v>
      </c>
      <c r="C237" s="18" t="s">
        <v>3529</v>
      </c>
      <c r="D237" s="18" t="s">
        <v>3582</v>
      </c>
      <c r="E237" s="18" t="s">
        <v>3591</v>
      </c>
    </row>
    <row r="238" spans="1:5" ht="24" customHeight="1" x14ac:dyDescent="0.25">
      <c r="A238" s="16">
        <v>237</v>
      </c>
      <c r="B238" s="18" t="s">
        <v>3331</v>
      </c>
      <c r="C238" s="18" t="s">
        <v>3529</v>
      </c>
      <c r="D238" s="18" t="s">
        <v>3582</v>
      </c>
      <c r="E238" s="18" t="s">
        <v>3592</v>
      </c>
    </row>
    <row r="239" spans="1:5" ht="24" customHeight="1" x14ac:dyDescent="0.25">
      <c r="A239" s="16">
        <v>238</v>
      </c>
      <c r="B239" s="18" t="s">
        <v>3331</v>
      </c>
      <c r="C239" s="18" t="s">
        <v>3529</v>
      </c>
      <c r="D239" s="18" t="s">
        <v>3582</v>
      </c>
      <c r="E239" s="18" t="s">
        <v>3593</v>
      </c>
    </row>
    <row r="240" spans="1:5" ht="36" customHeight="1" x14ac:dyDescent="0.25">
      <c r="A240" s="16">
        <v>239</v>
      </c>
      <c r="B240" s="18" t="s">
        <v>3331</v>
      </c>
      <c r="C240" s="18" t="s">
        <v>3529</v>
      </c>
      <c r="D240" s="18" t="s">
        <v>3582</v>
      </c>
      <c r="E240" s="18" t="s">
        <v>3594</v>
      </c>
    </row>
    <row r="241" spans="1:5" ht="24" customHeight="1" x14ac:dyDescent="0.25">
      <c r="A241" s="16">
        <v>240</v>
      </c>
      <c r="B241" s="18" t="s">
        <v>3331</v>
      </c>
      <c r="C241" s="18" t="s">
        <v>3529</v>
      </c>
      <c r="D241" s="18" t="s">
        <v>3582</v>
      </c>
      <c r="E241" s="18" t="s">
        <v>3595</v>
      </c>
    </row>
    <row r="242" spans="1:5" x14ac:dyDescent="0.25">
      <c r="A242" s="16">
        <v>241</v>
      </c>
      <c r="B242" s="18" t="s">
        <v>3331</v>
      </c>
      <c r="C242" s="18" t="s">
        <v>3529</v>
      </c>
      <c r="D242" s="18" t="s">
        <v>3582</v>
      </c>
      <c r="E242" s="18" t="s">
        <v>3596</v>
      </c>
    </row>
    <row r="243" spans="1:5" x14ac:dyDescent="0.25">
      <c r="A243" s="16">
        <v>242</v>
      </c>
      <c r="B243" s="18" t="s">
        <v>3331</v>
      </c>
      <c r="C243" s="18" t="s">
        <v>3529</v>
      </c>
      <c r="D243" s="18" t="s">
        <v>3582</v>
      </c>
      <c r="E243" s="18" t="s">
        <v>3597</v>
      </c>
    </row>
    <row r="244" spans="1:5" x14ac:dyDescent="0.25">
      <c r="A244" s="16">
        <v>243</v>
      </c>
      <c r="B244" s="18" t="s">
        <v>3331</v>
      </c>
      <c r="C244" s="18" t="s">
        <v>3529</v>
      </c>
      <c r="D244" s="18" t="s">
        <v>3598</v>
      </c>
      <c r="E244" s="18" t="s">
        <v>3599</v>
      </c>
    </row>
    <row r="245" spans="1:5" ht="24" customHeight="1" x14ac:dyDescent="0.25">
      <c r="A245" s="16">
        <v>244</v>
      </c>
      <c r="B245" s="18" t="s">
        <v>3331</v>
      </c>
      <c r="C245" s="18" t="s">
        <v>3529</v>
      </c>
      <c r="D245" s="18" t="s">
        <v>3598</v>
      </c>
      <c r="E245" s="18" t="s">
        <v>3600</v>
      </c>
    </row>
    <row r="246" spans="1:5" x14ac:dyDescent="0.25">
      <c r="A246" s="16">
        <v>245</v>
      </c>
      <c r="B246" s="18" t="s">
        <v>3331</v>
      </c>
      <c r="C246" s="18" t="s">
        <v>3529</v>
      </c>
      <c r="D246" s="18" t="s">
        <v>3598</v>
      </c>
      <c r="E246" s="18" t="s">
        <v>3601</v>
      </c>
    </row>
    <row r="247" spans="1:5" x14ac:dyDescent="0.25">
      <c r="A247" s="16">
        <v>246</v>
      </c>
      <c r="B247" s="18" t="s">
        <v>3331</v>
      </c>
      <c r="C247" s="18" t="s">
        <v>3529</v>
      </c>
      <c r="D247" s="18" t="s">
        <v>3598</v>
      </c>
      <c r="E247" s="18" t="s">
        <v>3602</v>
      </c>
    </row>
    <row r="248" spans="1:5" x14ac:dyDescent="0.25">
      <c r="A248" s="16">
        <v>247</v>
      </c>
      <c r="B248" s="18" t="s">
        <v>3331</v>
      </c>
      <c r="C248" s="18" t="s">
        <v>3529</v>
      </c>
      <c r="D248" s="18" t="s">
        <v>3598</v>
      </c>
      <c r="E248" s="18" t="s">
        <v>3603</v>
      </c>
    </row>
    <row r="249" spans="1:5" x14ac:dyDescent="0.25">
      <c r="A249" s="16">
        <v>248</v>
      </c>
      <c r="B249" s="18" t="s">
        <v>3331</v>
      </c>
      <c r="C249" s="18" t="s">
        <v>3529</v>
      </c>
      <c r="D249" s="18" t="s">
        <v>3598</v>
      </c>
      <c r="E249" s="18" t="s">
        <v>3604</v>
      </c>
    </row>
    <row r="250" spans="1:5" x14ac:dyDescent="0.25">
      <c r="A250" s="16">
        <v>249</v>
      </c>
      <c r="B250" s="18" t="s">
        <v>3331</v>
      </c>
      <c r="C250" s="18" t="s">
        <v>3529</v>
      </c>
      <c r="D250" s="18" t="s">
        <v>3598</v>
      </c>
      <c r="E250" s="18" t="s">
        <v>3605</v>
      </c>
    </row>
    <row r="251" spans="1:5" x14ac:dyDescent="0.25">
      <c r="A251" s="16">
        <v>250</v>
      </c>
      <c r="B251" s="18" t="s">
        <v>3331</v>
      </c>
      <c r="C251" s="18" t="s">
        <v>3529</v>
      </c>
      <c r="D251" s="18" t="s">
        <v>3606</v>
      </c>
      <c r="E251" s="18" t="s">
        <v>3607</v>
      </c>
    </row>
    <row r="252" spans="1:5" x14ac:dyDescent="0.25">
      <c r="A252" s="16">
        <v>251</v>
      </c>
      <c r="B252" s="18" t="s">
        <v>3331</v>
      </c>
      <c r="C252" s="18" t="s">
        <v>3529</v>
      </c>
      <c r="D252" s="18" t="s">
        <v>3606</v>
      </c>
      <c r="E252" s="18" t="s">
        <v>3608</v>
      </c>
    </row>
    <row r="253" spans="1:5" x14ac:dyDescent="0.25">
      <c r="A253" s="16">
        <v>252</v>
      </c>
      <c r="B253" s="18" t="s">
        <v>3331</v>
      </c>
      <c r="C253" s="18" t="s">
        <v>3529</v>
      </c>
      <c r="D253" s="18" t="s">
        <v>3606</v>
      </c>
      <c r="E253" s="18" t="s">
        <v>3609</v>
      </c>
    </row>
    <row r="254" spans="1:5" ht="36" customHeight="1" x14ac:dyDescent="0.25">
      <c r="A254" s="16">
        <v>253</v>
      </c>
      <c r="B254" s="18" t="s">
        <v>3331</v>
      </c>
      <c r="C254" s="18" t="s">
        <v>3529</v>
      </c>
      <c r="D254" s="18" t="s">
        <v>3606</v>
      </c>
      <c r="E254" s="18" t="s">
        <v>3610</v>
      </c>
    </row>
    <row r="255" spans="1:5" x14ac:dyDescent="0.25">
      <c r="A255" s="16">
        <v>254</v>
      </c>
      <c r="B255" s="18" t="s">
        <v>3331</v>
      </c>
      <c r="C255" s="18" t="s">
        <v>3529</v>
      </c>
      <c r="D255" s="18" t="s">
        <v>3606</v>
      </c>
      <c r="E255" s="18" t="s">
        <v>3611</v>
      </c>
    </row>
    <row r="256" spans="1:5" x14ac:dyDescent="0.25">
      <c r="A256" s="16">
        <v>255</v>
      </c>
      <c r="B256" s="18" t="s">
        <v>3331</v>
      </c>
      <c r="C256" s="18" t="s">
        <v>3529</v>
      </c>
      <c r="D256" s="18" t="s">
        <v>3612</v>
      </c>
      <c r="E256" s="18" t="s">
        <v>3613</v>
      </c>
    </row>
    <row r="257" spans="1:5" x14ac:dyDescent="0.25">
      <c r="A257" s="16">
        <v>256</v>
      </c>
      <c r="B257" s="18" t="s">
        <v>3331</v>
      </c>
      <c r="C257" s="18" t="s">
        <v>3529</v>
      </c>
      <c r="D257" s="18" t="s">
        <v>3612</v>
      </c>
      <c r="E257" s="18" t="s">
        <v>3614</v>
      </c>
    </row>
    <row r="258" spans="1:5" ht="24" customHeight="1" x14ac:dyDescent="0.25">
      <c r="A258" s="16">
        <v>257</v>
      </c>
      <c r="B258" s="18" t="s">
        <v>3331</v>
      </c>
      <c r="C258" s="18" t="s">
        <v>3529</v>
      </c>
      <c r="D258" s="18" t="s">
        <v>3612</v>
      </c>
      <c r="E258" s="18" t="s">
        <v>3615</v>
      </c>
    </row>
    <row r="259" spans="1:5" ht="24" customHeight="1" x14ac:dyDescent="0.25">
      <c r="A259" s="16">
        <v>258</v>
      </c>
      <c r="B259" s="18" t="s">
        <v>3331</v>
      </c>
      <c r="C259" s="18" t="s">
        <v>3529</v>
      </c>
      <c r="D259" s="18" t="s">
        <v>3612</v>
      </c>
      <c r="E259" s="18" t="s">
        <v>3616</v>
      </c>
    </row>
    <row r="260" spans="1:5" ht="36" customHeight="1" x14ac:dyDescent="0.25">
      <c r="A260" s="16">
        <v>259</v>
      </c>
      <c r="B260" s="18" t="s">
        <v>3331</v>
      </c>
      <c r="C260" s="18" t="s">
        <v>3529</v>
      </c>
      <c r="D260" s="18" t="s">
        <v>3612</v>
      </c>
      <c r="E260" s="18" t="s">
        <v>3617</v>
      </c>
    </row>
    <row r="261" spans="1:5" x14ac:dyDescent="0.25">
      <c r="A261" s="16">
        <v>260</v>
      </c>
      <c r="B261" s="18" t="s">
        <v>3331</v>
      </c>
      <c r="C261" s="18" t="s">
        <v>3529</v>
      </c>
      <c r="D261" s="18" t="s">
        <v>3612</v>
      </c>
      <c r="E261" s="18" t="s">
        <v>3618</v>
      </c>
    </row>
    <row r="262" spans="1:5" x14ac:dyDescent="0.25">
      <c r="A262" s="16">
        <v>261</v>
      </c>
      <c r="B262" s="18" t="s">
        <v>3331</v>
      </c>
      <c r="C262" s="18" t="s">
        <v>3529</v>
      </c>
      <c r="D262" s="18" t="s">
        <v>3612</v>
      </c>
      <c r="E262" s="18" t="s">
        <v>3619</v>
      </c>
    </row>
    <row r="263" spans="1:5" ht="24" customHeight="1" x14ac:dyDescent="0.25">
      <c r="A263" s="16">
        <v>262</v>
      </c>
      <c r="B263" s="18" t="s">
        <v>3331</v>
      </c>
      <c r="C263" s="18" t="s">
        <v>3529</v>
      </c>
      <c r="D263" s="18" t="s">
        <v>3612</v>
      </c>
      <c r="E263" s="18" t="s">
        <v>3620</v>
      </c>
    </row>
    <row r="264" spans="1:5" ht="24" customHeight="1" x14ac:dyDescent="0.25">
      <c r="A264" s="16">
        <v>263</v>
      </c>
      <c r="B264" s="18" t="s">
        <v>3331</v>
      </c>
      <c r="C264" s="18" t="s">
        <v>3529</v>
      </c>
      <c r="D264" s="18" t="s">
        <v>3621</v>
      </c>
      <c r="E264" s="18" t="s">
        <v>3622</v>
      </c>
    </row>
    <row r="265" spans="1:5" ht="24" customHeight="1" x14ac:dyDescent="0.25">
      <c r="A265" s="16">
        <v>264</v>
      </c>
      <c r="B265" s="18" t="s">
        <v>3331</v>
      </c>
      <c r="C265" s="18" t="s">
        <v>3529</v>
      </c>
      <c r="D265" s="18" t="s">
        <v>3621</v>
      </c>
      <c r="E265" s="18" t="s">
        <v>3623</v>
      </c>
    </row>
    <row r="266" spans="1:5" ht="24" customHeight="1" x14ac:dyDescent="0.25">
      <c r="A266" s="16">
        <v>265</v>
      </c>
      <c r="B266" s="18" t="s">
        <v>3331</v>
      </c>
      <c r="C266" s="18" t="s">
        <v>3529</v>
      </c>
      <c r="D266" s="18" t="s">
        <v>3621</v>
      </c>
      <c r="E266" s="18" t="s">
        <v>3624</v>
      </c>
    </row>
    <row r="267" spans="1:5" ht="24" customHeight="1" x14ac:dyDescent="0.25">
      <c r="A267" s="16">
        <v>266</v>
      </c>
      <c r="B267" s="18" t="s">
        <v>3331</v>
      </c>
      <c r="C267" s="18" t="s">
        <v>3529</v>
      </c>
      <c r="D267" s="18" t="s">
        <v>3621</v>
      </c>
      <c r="E267" s="18" t="s">
        <v>3625</v>
      </c>
    </row>
    <row r="268" spans="1:5" ht="24" customHeight="1" x14ac:dyDescent="0.25">
      <c r="A268" s="16">
        <v>267</v>
      </c>
      <c r="B268" s="18" t="s">
        <v>3331</v>
      </c>
      <c r="C268" s="18" t="s">
        <v>3529</v>
      </c>
      <c r="D268" s="18" t="s">
        <v>3621</v>
      </c>
      <c r="E268" s="18" t="s">
        <v>3626</v>
      </c>
    </row>
    <row r="269" spans="1:5" ht="24" customHeight="1" x14ac:dyDescent="0.25">
      <c r="A269" s="16">
        <v>268</v>
      </c>
      <c r="B269" s="18" t="s">
        <v>3331</v>
      </c>
      <c r="C269" s="18" t="s">
        <v>3529</v>
      </c>
      <c r="D269" s="18" t="s">
        <v>3621</v>
      </c>
      <c r="E269" s="18" t="s">
        <v>3627</v>
      </c>
    </row>
    <row r="270" spans="1:5" ht="24" customHeight="1" x14ac:dyDescent="0.25">
      <c r="A270" s="16">
        <v>269</v>
      </c>
      <c r="B270" s="18" t="s">
        <v>3331</v>
      </c>
      <c r="C270" s="18" t="s">
        <v>3529</v>
      </c>
      <c r="D270" s="18" t="s">
        <v>3621</v>
      </c>
      <c r="E270" s="18" t="s">
        <v>3628</v>
      </c>
    </row>
    <row r="271" spans="1:5" ht="24" customHeight="1" x14ac:dyDescent="0.25">
      <c r="A271" s="16">
        <v>270</v>
      </c>
      <c r="B271" s="18" t="s">
        <v>3331</v>
      </c>
      <c r="C271" s="18" t="s">
        <v>3529</v>
      </c>
      <c r="D271" s="18" t="s">
        <v>3621</v>
      </c>
      <c r="E271" s="18" t="s">
        <v>3629</v>
      </c>
    </row>
    <row r="272" spans="1:5" ht="36" customHeight="1" x14ac:dyDescent="0.25">
      <c r="A272" s="16">
        <v>271</v>
      </c>
      <c r="B272" s="18" t="s">
        <v>3331</v>
      </c>
      <c r="C272" s="18" t="s">
        <v>3529</v>
      </c>
      <c r="D272" s="18" t="s">
        <v>3621</v>
      </c>
      <c r="E272" s="18" t="s">
        <v>3630</v>
      </c>
    </row>
    <row r="273" spans="1:5" ht="36" customHeight="1" x14ac:dyDescent="0.25">
      <c r="A273" s="16">
        <v>272</v>
      </c>
      <c r="B273" s="18" t="s">
        <v>3331</v>
      </c>
      <c r="C273" s="18" t="s">
        <v>3529</v>
      </c>
      <c r="D273" s="18" t="s">
        <v>3621</v>
      </c>
      <c r="E273" s="18" t="s">
        <v>3631</v>
      </c>
    </row>
    <row r="274" spans="1:5" ht="36" customHeight="1" x14ac:dyDescent="0.25">
      <c r="A274" s="16">
        <v>273</v>
      </c>
      <c r="B274" s="18" t="s">
        <v>3331</v>
      </c>
      <c r="C274" s="18" t="s">
        <v>3529</v>
      </c>
      <c r="D274" s="18" t="s">
        <v>3621</v>
      </c>
      <c r="E274" s="18" t="s">
        <v>3632</v>
      </c>
    </row>
    <row r="275" spans="1:5" x14ac:dyDescent="0.25">
      <c r="A275" s="16">
        <v>274</v>
      </c>
      <c r="B275" s="18" t="s">
        <v>3331</v>
      </c>
      <c r="C275" s="18" t="s">
        <v>3529</v>
      </c>
      <c r="D275" s="18" t="s">
        <v>3633</v>
      </c>
      <c r="E275" s="18" t="s">
        <v>3634</v>
      </c>
    </row>
    <row r="276" spans="1:5" x14ac:dyDescent="0.25">
      <c r="A276" s="16">
        <v>275</v>
      </c>
      <c r="B276" s="18" t="s">
        <v>3331</v>
      </c>
      <c r="C276" s="18" t="s">
        <v>3529</v>
      </c>
      <c r="D276" s="18" t="s">
        <v>3633</v>
      </c>
      <c r="E276" s="18" t="s">
        <v>3635</v>
      </c>
    </row>
    <row r="277" spans="1:5" ht="24" customHeight="1" x14ac:dyDescent="0.25">
      <c r="A277" s="16">
        <v>276</v>
      </c>
      <c r="B277" s="18" t="s">
        <v>3331</v>
      </c>
      <c r="C277" s="18" t="s">
        <v>3529</v>
      </c>
      <c r="D277" s="18" t="s">
        <v>3633</v>
      </c>
      <c r="E277" s="18" t="s">
        <v>3636</v>
      </c>
    </row>
    <row r="278" spans="1:5" x14ac:dyDescent="0.25">
      <c r="A278" s="16">
        <v>277</v>
      </c>
      <c r="B278" s="18" t="s">
        <v>3331</v>
      </c>
      <c r="C278" s="18" t="s">
        <v>3529</v>
      </c>
      <c r="D278" s="18" t="s">
        <v>3633</v>
      </c>
      <c r="E278" s="18" t="s">
        <v>3637</v>
      </c>
    </row>
    <row r="279" spans="1:5" x14ac:dyDescent="0.25">
      <c r="A279" s="16">
        <v>278</v>
      </c>
      <c r="B279" s="18" t="s">
        <v>3331</v>
      </c>
      <c r="C279" s="18" t="s">
        <v>3529</v>
      </c>
      <c r="D279" s="18" t="s">
        <v>3633</v>
      </c>
      <c r="E279" s="18" t="s">
        <v>3638</v>
      </c>
    </row>
    <row r="280" spans="1:5" x14ac:dyDescent="0.25">
      <c r="A280" s="16">
        <v>279</v>
      </c>
      <c r="B280" s="18" t="s">
        <v>3331</v>
      </c>
      <c r="C280" s="18" t="s">
        <v>3529</v>
      </c>
      <c r="D280" s="18" t="s">
        <v>3633</v>
      </c>
      <c r="E280" s="18" t="s">
        <v>3639</v>
      </c>
    </row>
    <row r="281" spans="1:5" x14ac:dyDescent="0.25">
      <c r="A281" s="16">
        <v>280</v>
      </c>
      <c r="B281" s="18" t="s">
        <v>3331</v>
      </c>
      <c r="C281" s="18" t="s">
        <v>3529</v>
      </c>
      <c r="D281" s="18" t="s">
        <v>3640</v>
      </c>
      <c r="E281" s="18" t="s">
        <v>3641</v>
      </c>
    </row>
    <row r="282" spans="1:5" ht="36" customHeight="1" x14ac:dyDescent="0.25">
      <c r="A282" s="16">
        <v>281</v>
      </c>
      <c r="B282" s="18" t="s">
        <v>3331</v>
      </c>
      <c r="C282" s="18" t="s">
        <v>3529</v>
      </c>
      <c r="D282" s="18" t="s">
        <v>3640</v>
      </c>
      <c r="E282" s="18" t="s">
        <v>3642</v>
      </c>
    </row>
    <row r="283" spans="1:5" x14ac:dyDescent="0.25">
      <c r="A283" s="16">
        <v>282</v>
      </c>
      <c r="B283" s="18" t="s">
        <v>3331</v>
      </c>
      <c r="C283" s="18" t="s">
        <v>3529</v>
      </c>
      <c r="D283" s="18" t="s">
        <v>3640</v>
      </c>
      <c r="E283" s="18" t="s">
        <v>3643</v>
      </c>
    </row>
    <row r="284" spans="1:5" ht="24" customHeight="1" x14ac:dyDescent="0.25">
      <c r="A284" s="16">
        <v>283</v>
      </c>
      <c r="B284" s="18" t="s">
        <v>3331</v>
      </c>
      <c r="C284" s="18" t="s">
        <v>3529</v>
      </c>
      <c r="D284" s="18" t="s">
        <v>3640</v>
      </c>
      <c r="E284" s="18" t="s">
        <v>3644</v>
      </c>
    </row>
    <row r="285" spans="1:5" ht="24" customHeight="1" x14ac:dyDescent="0.25">
      <c r="A285" s="16">
        <v>284</v>
      </c>
      <c r="B285" s="18" t="s">
        <v>3331</v>
      </c>
      <c r="C285" s="18" t="s">
        <v>3529</v>
      </c>
      <c r="D285" s="18" t="s">
        <v>3640</v>
      </c>
      <c r="E285" s="18" t="s">
        <v>3645</v>
      </c>
    </row>
    <row r="286" spans="1:5" x14ac:dyDescent="0.25">
      <c r="A286" s="16">
        <v>285</v>
      </c>
      <c r="B286" s="18" t="s">
        <v>3331</v>
      </c>
      <c r="C286" s="18" t="s">
        <v>3529</v>
      </c>
      <c r="D286" s="18" t="s">
        <v>3640</v>
      </c>
      <c r="E286" s="18" t="s">
        <v>3646</v>
      </c>
    </row>
    <row r="287" spans="1:5" ht="24" customHeight="1" x14ac:dyDescent="0.25">
      <c r="A287" s="16">
        <v>286</v>
      </c>
      <c r="B287" s="18" t="s">
        <v>3331</v>
      </c>
      <c r="C287" s="18" t="s">
        <v>3529</v>
      </c>
      <c r="D287" s="18" t="s">
        <v>3640</v>
      </c>
      <c r="E287" s="18" t="s">
        <v>3647</v>
      </c>
    </row>
    <row r="288" spans="1:5" ht="24" customHeight="1" x14ac:dyDescent="0.25">
      <c r="A288" s="16">
        <v>287</v>
      </c>
      <c r="B288" s="18" t="s">
        <v>3331</v>
      </c>
      <c r="C288" s="18" t="s">
        <v>3529</v>
      </c>
      <c r="D288" s="18" t="s">
        <v>3640</v>
      </c>
      <c r="E288" s="18" t="s">
        <v>3648</v>
      </c>
    </row>
    <row r="289" spans="1:5" ht="24" customHeight="1" x14ac:dyDescent="0.25">
      <c r="A289" s="16">
        <v>288</v>
      </c>
      <c r="B289" s="18" t="s">
        <v>3331</v>
      </c>
      <c r="C289" s="18" t="s">
        <v>3529</v>
      </c>
      <c r="D289" s="18" t="s">
        <v>3640</v>
      </c>
      <c r="E289" s="18" t="s">
        <v>3649</v>
      </c>
    </row>
    <row r="290" spans="1:5" ht="24" customHeight="1" x14ac:dyDescent="0.25">
      <c r="A290" s="16">
        <v>289</v>
      </c>
      <c r="B290" s="18" t="s">
        <v>3331</v>
      </c>
      <c r="C290" s="18" t="s">
        <v>3529</v>
      </c>
      <c r="D290" s="18" t="s">
        <v>3640</v>
      </c>
      <c r="E290" s="18" t="s">
        <v>3650</v>
      </c>
    </row>
    <row r="291" spans="1:5" x14ac:dyDescent="0.25">
      <c r="A291" s="16">
        <v>290</v>
      </c>
      <c r="B291" s="18" t="s">
        <v>3331</v>
      </c>
      <c r="C291" s="18" t="s">
        <v>3651</v>
      </c>
      <c r="D291" s="18" t="s">
        <v>3652</v>
      </c>
      <c r="E291" s="18" t="s">
        <v>3653</v>
      </c>
    </row>
    <row r="292" spans="1:5" ht="24" customHeight="1" x14ac:dyDescent="0.25">
      <c r="A292" s="16">
        <v>291</v>
      </c>
      <c r="B292" s="18" t="s">
        <v>3331</v>
      </c>
      <c r="C292" s="18" t="s">
        <v>3651</v>
      </c>
      <c r="D292" s="18" t="s">
        <v>3652</v>
      </c>
      <c r="E292" s="18" t="s">
        <v>3654</v>
      </c>
    </row>
    <row r="293" spans="1:5" ht="24" customHeight="1" x14ac:dyDescent="0.25">
      <c r="A293" s="16">
        <v>292</v>
      </c>
      <c r="B293" s="18" t="s">
        <v>3331</v>
      </c>
      <c r="C293" s="18" t="s">
        <v>3651</v>
      </c>
      <c r="D293" s="18" t="s">
        <v>3652</v>
      </c>
      <c r="E293" s="18" t="s">
        <v>3655</v>
      </c>
    </row>
    <row r="294" spans="1:5" ht="24" customHeight="1" x14ac:dyDescent="0.25">
      <c r="A294" s="16">
        <v>293</v>
      </c>
      <c r="B294" s="18" t="s">
        <v>3331</v>
      </c>
      <c r="C294" s="18" t="s">
        <v>3651</v>
      </c>
      <c r="D294" s="18" t="s">
        <v>3652</v>
      </c>
      <c r="E294" s="18" t="s">
        <v>3656</v>
      </c>
    </row>
    <row r="295" spans="1:5" x14ac:dyDescent="0.25">
      <c r="A295" s="16">
        <v>294</v>
      </c>
      <c r="B295" s="18" t="s">
        <v>3331</v>
      </c>
      <c r="C295" s="18" t="s">
        <v>3651</v>
      </c>
      <c r="D295" s="18" t="s">
        <v>3652</v>
      </c>
      <c r="E295" s="18" t="s">
        <v>3657</v>
      </c>
    </row>
    <row r="296" spans="1:5" x14ac:dyDescent="0.25">
      <c r="A296" s="16">
        <v>295</v>
      </c>
      <c r="B296" s="18" t="s">
        <v>3331</v>
      </c>
      <c r="C296" s="18" t="s">
        <v>3651</v>
      </c>
      <c r="D296" s="18" t="s">
        <v>3652</v>
      </c>
      <c r="E296" s="18" t="s">
        <v>3658</v>
      </c>
    </row>
    <row r="297" spans="1:5" ht="24" customHeight="1" x14ac:dyDescent="0.25">
      <c r="A297" s="16">
        <v>296</v>
      </c>
      <c r="B297" s="18" t="s">
        <v>3331</v>
      </c>
      <c r="C297" s="18" t="s">
        <v>3651</v>
      </c>
      <c r="D297" s="18" t="s">
        <v>3652</v>
      </c>
      <c r="E297" s="18" t="s">
        <v>3659</v>
      </c>
    </row>
    <row r="298" spans="1:5" x14ac:dyDescent="0.25">
      <c r="A298" s="16">
        <v>297</v>
      </c>
      <c r="B298" s="18" t="s">
        <v>3331</v>
      </c>
      <c r="C298" s="18" t="s">
        <v>3651</v>
      </c>
      <c r="D298" s="18" t="s">
        <v>3652</v>
      </c>
      <c r="E298" s="18" t="s">
        <v>3660</v>
      </c>
    </row>
    <row r="299" spans="1:5" x14ac:dyDescent="0.25">
      <c r="A299" s="16">
        <v>298</v>
      </c>
      <c r="B299" s="18" t="s">
        <v>3331</v>
      </c>
      <c r="C299" s="18" t="s">
        <v>3651</v>
      </c>
      <c r="D299" s="18" t="s">
        <v>3652</v>
      </c>
      <c r="E299" s="18" t="s">
        <v>3661</v>
      </c>
    </row>
    <row r="300" spans="1:5" x14ac:dyDescent="0.25">
      <c r="A300" s="16">
        <v>299</v>
      </c>
      <c r="B300" s="18" t="s">
        <v>3331</v>
      </c>
      <c r="C300" s="18" t="s">
        <v>3651</v>
      </c>
      <c r="D300" s="18" t="s">
        <v>3652</v>
      </c>
      <c r="E300" s="18" t="s">
        <v>3662</v>
      </c>
    </row>
    <row r="301" spans="1:5" x14ac:dyDescent="0.25">
      <c r="A301" s="16">
        <v>300</v>
      </c>
      <c r="B301" s="18" t="s">
        <v>3331</v>
      </c>
      <c r="C301" s="18" t="s">
        <v>3651</v>
      </c>
      <c r="D301" s="18" t="s">
        <v>3652</v>
      </c>
      <c r="E301" s="18" t="s">
        <v>3663</v>
      </c>
    </row>
    <row r="302" spans="1:5" x14ac:dyDescent="0.25">
      <c r="A302" s="16">
        <v>301</v>
      </c>
      <c r="B302" s="18" t="s">
        <v>3331</v>
      </c>
      <c r="C302" s="18" t="s">
        <v>3651</v>
      </c>
      <c r="D302" s="18" t="s">
        <v>3652</v>
      </c>
      <c r="E302" s="18" t="s">
        <v>3664</v>
      </c>
    </row>
    <row r="303" spans="1:5" x14ac:dyDescent="0.25">
      <c r="A303" s="16">
        <v>302</v>
      </c>
      <c r="B303" s="18" t="s">
        <v>3331</v>
      </c>
      <c r="C303" s="18" t="s">
        <v>3651</v>
      </c>
      <c r="D303" s="18" t="s">
        <v>3652</v>
      </c>
      <c r="E303" s="18" t="s">
        <v>3665</v>
      </c>
    </row>
    <row r="304" spans="1:5" ht="24" customHeight="1" x14ac:dyDescent="0.25">
      <c r="A304" s="16">
        <v>303</v>
      </c>
      <c r="B304" s="18" t="s">
        <v>3331</v>
      </c>
      <c r="C304" s="18" t="s">
        <v>3651</v>
      </c>
      <c r="D304" s="18" t="s">
        <v>3652</v>
      </c>
      <c r="E304" s="18" t="s">
        <v>3666</v>
      </c>
    </row>
    <row r="305" spans="1:5" x14ac:dyDescent="0.25">
      <c r="A305" s="16">
        <v>304</v>
      </c>
      <c r="B305" s="18" t="s">
        <v>3331</v>
      </c>
      <c r="C305" s="18" t="s">
        <v>3651</v>
      </c>
      <c r="D305" s="18" t="s">
        <v>3652</v>
      </c>
      <c r="E305" s="18" t="s">
        <v>3667</v>
      </c>
    </row>
    <row r="306" spans="1:5" ht="24" customHeight="1" x14ac:dyDescent="0.25">
      <c r="A306" s="16">
        <v>305</v>
      </c>
      <c r="B306" s="18" t="s">
        <v>3331</v>
      </c>
      <c r="C306" s="18" t="s">
        <v>3651</v>
      </c>
      <c r="D306" s="18" t="s">
        <v>3652</v>
      </c>
      <c r="E306" s="18" t="s">
        <v>3668</v>
      </c>
    </row>
    <row r="307" spans="1:5" x14ac:dyDescent="0.25">
      <c r="A307" s="16">
        <v>306</v>
      </c>
      <c r="B307" s="18" t="s">
        <v>3331</v>
      </c>
      <c r="C307" s="18" t="s">
        <v>3651</v>
      </c>
      <c r="D307" s="18" t="s">
        <v>3652</v>
      </c>
      <c r="E307" s="18" t="s">
        <v>3669</v>
      </c>
    </row>
    <row r="308" spans="1:5" ht="24" customHeight="1" x14ac:dyDescent="0.25">
      <c r="A308" s="16">
        <v>307</v>
      </c>
      <c r="B308" s="18" t="s">
        <v>3331</v>
      </c>
      <c r="C308" s="18" t="s">
        <v>3651</v>
      </c>
      <c r="D308" s="18" t="s">
        <v>3652</v>
      </c>
      <c r="E308" s="18" t="s">
        <v>3670</v>
      </c>
    </row>
    <row r="309" spans="1:5" x14ac:dyDescent="0.25">
      <c r="A309" s="16">
        <v>308</v>
      </c>
      <c r="B309" s="18" t="s">
        <v>3331</v>
      </c>
      <c r="C309" s="18" t="s">
        <v>3651</v>
      </c>
      <c r="D309" s="18" t="s">
        <v>3651</v>
      </c>
      <c r="E309" s="18" t="s">
        <v>3671</v>
      </c>
    </row>
    <row r="310" spans="1:5" ht="24" customHeight="1" x14ac:dyDescent="0.25">
      <c r="A310" s="16">
        <v>309</v>
      </c>
      <c r="B310" s="18" t="s">
        <v>3331</v>
      </c>
      <c r="C310" s="18" t="s">
        <v>3651</v>
      </c>
      <c r="D310" s="18" t="s">
        <v>3651</v>
      </c>
      <c r="E310" s="18" t="s">
        <v>3672</v>
      </c>
    </row>
    <row r="311" spans="1:5" ht="24" customHeight="1" x14ac:dyDescent="0.25">
      <c r="A311" s="16">
        <v>310</v>
      </c>
      <c r="B311" s="18" t="s">
        <v>3331</v>
      </c>
      <c r="C311" s="18" t="s">
        <v>3651</v>
      </c>
      <c r="D311" s="18" t="s">
        <v>3651</v>
      </c>
      <c r="E311" s="18" t="s">
        <v>3673</v>
      </c>
    </row>
    <row r="312" spans="1:5" x14ac:dyDescent="0.25">
      <c r="A312" s="16">
        <v>311</v>
      </c>
      <c r="B312" s="18" t="s">
        <v>3331</v>
      </c>
      <c r="C312" s="18" t="s">
        <v>3651</v>
      </c>
      <c r="D312" s="18" t="s">
        <v>3651</v>
      </c>
      <c r="E312" s="18" t="s">
        <v>3674</v>
      </c>
    </row>
    <row r="313" spans="1:5" x14ac:dyDescent="0.25">
      <c r="A313" s="16">
        <v>312</v>
      </c>
      <c r="B313" s="18" t="s">
        <v>3331</v>
      </c>
      <c r="C313" s="18" t="s">
        <v>3651</v>
      </c>
      <c r="D313" s="18" t="s">
        <v>3651</v>
      </c>
      <c r="E313" s="18" t="s">
        <v>3675</v>
      </c>
    </row>
    <row r="314" spans="1:5" x14ac:dyDescent="0.25">
      <c r="A314" s="16">
        <v>313</v>
      </c>
      <c r="B314" s="18" t="s">
        <v>3331</v>
      </c>
      <c r="C314" s="18" t="s">
        <v>3651</v>
      </c>
      <c r="D314" s="18" t="s">
        <v>3651</v>
      </c>
      <c r="E314" s="18" t="s">
        <v>3676</v>
      </c>
    </row>
    <row r="315" spans="1:5" ht="24" customHeight="1" x14ac:dyDescent="0.25">
      <c r="A315" s="16">
        <v>314</v>
      </c>
      <c r="B315" s="18" t="s">
        <v>3331</v>
      </c>
      <c r="C315" s="18" t="s">
        <v>3651</v>
      </c>
      <c r="D315" s="18" t="s">
        <v>3651</v>
      </c>
      <c r="E315" s="18" t="s">
        <v>3677</v>
      </c>
    </row>
    <row r="316" spans="1:5" x14ac:dyDescent="0.25">
      <c r="A316" s="16">
        <v>315</v>
      </c>
      <c r="B316" s="18" t="s">
        <v>3331</v>
      </c>
      <c r="C316" s="18" t="s">
        <v>3651</v>
      </c>
      <c r="D316" s="18" t="s">
        <v>3651</v>
      </c>
      <c r="E316" s="18" t="s">
        <v>3678</v>
      </c>
    </row>
    <row r="317" spans="1:5" x14ac:dyDescent="0.25">
      <c r="A317" s="16">
        <v>316</v>
      </c>
      <c r="B317" s="18" t="s">
        <v>3331</v>
      </c>
      <c r="C317" s="18" t="s">
        <v>3651</v>
      </c>
      <c r="D317" s="18" t="s">
        <v>3651</v>
      </c>
      <c r="E317" s="18" t="s">
        <v>3679</v>
      </c>
    </row>
    <row r="318" spans="1:5" ht="24" customHeight="1" x14ac:dyDescent="0.25">
      <c r="A318" s="16">
        <v>317</v>
      </c>
      <c r="B318" s="18" t="s">
        <v>3331</v>
      </c>
      <c r="C318" s="18" t="s">
        <v>3651</v>
      </c>
      <c r="D318" s="18" t="s">
        <v>3680</v>
      </c>
      <c r="E318" s="18" t="s">
        <v>3681</v>
      </c>
    </row>
    <row r="319" spans="1:5" x14ac:dyDescent="0.25">
      <c r="A319" s="16">
        <v>318</v>
      </c>
      <c r="B319" s="18" t="s">
        <v>3331</v>
      </c>
      <c r="C319" s="18" t="s">
        <v>3651</v>
      </c>
      <c r="D319" s="18" t="s">
        <v>3680</v>
      </c>
      <c r="E319" s="18" t="s">
        <v>3682</v>
      </c>
    </row>
    <row r="320" spans="1:5" x14ac:dyDescent="0.25">
      <c r="A320" s="16">
        <v>319</v>
      </c>
      <c r="B320" s="18" t="s">
        <v>3331</v>
      </c>
      <c r="C320" s="18" t="s">
        <v>3651</v>
      </c>
      <c r="D320" s="18" t="s">
        <v>3680</v>
      </c>
      <c r="E320" s="18" t="s">
        <v>3683</v>
      </c>
    </row>
    <row r="321" spans="1:5" x14ac:dyDescent="0.25">
      <c r="A321" s="16">
        <v>320</v>
      </c>
      <c r="B321" s="18" t="s">
        <v>3331</v>
      </c>
      <c r="C321" s="18" t="s">
        <v>3651</v>
      </c>
      <c r="D321" s="18" t="s">
        <v>3680</v>
      </c>
      <c r="E321" s="18" t="s">
        <v>3684</v>
      </c>
    </row>
    <row r="322" spans="1:5" x14ac:dyDescent="0.25">
      <c r="A322" s="16">
        <v>321</v>
      </c>
      <c r="B322" s="18" t="s">
        <v>3331</v>
      </c>
      <c r="C322" s="18" t="s">
        <v>3651</v>
      </c>
      <c r="D322" s="18" t="s">
        <v>3680</v>
      </c>
      <c r="E322" s="18" t="s">
        <v>3685</v>
      </c>
    </row>
    <row r="323" spans="1:5" x14ac:dyDescent="0.25">
      <c r="A323" s="16">
        <v>322</v>
      </c>
      <c r="B323" s="18" t="s">
        <v>3331</v>
      </c>
      <c r="C323" s="18" t="s">
        <v>3651</v>
      </c>
      <c r="D323" s="18" t="s">
        <v>3680</v>
      </c>
      <c r="E323" s="18" t="s">
        <v>3686</v>
      </c>
    </row>
    <row r="324" spans="1:5" x14ac:dyDescent="0.25">
      <c r="A324" s="16">
        <v>323</v>
      </c>
      <c r="B324" s="18" t="s">
        <v>3331</v>
      </c>
      <c r="C324" s="18" t="s">
        <v>3651</v>
      </c>
      <c r="D324" s="18" t="s">
        <v>3680</v>
      </c>
      <c r="E324" s="18" t="s">
        <v>3687</v>
      </c>
    </row>
    <row r="325" spans="1:5" x14ac:dyDescent="0.25">
      <c r="A325" s="16">
        <v>324</v>
      </c>
      <c r="B325" s="18" t="s">
        <v>3331</v>
      </c>
      <c r="C325" s="18" t="s">
        <v>3651</v>
      </c>
      <c r="D325" s="18" t="s">
        <v>3680</v>
      </c>
      <c r="E325" s="18" t="s">
        <v>3688</v>
      </c>
    </row>
    <row r="326" spans="1:5" ht="24" customHeight="1" x14ac:dyDescent="0.25">
      <c r="A326" s="16">
        <v>325</v>
      </c>
      <c r="B326" s="18" t="s">
        <v>3331</v>
      </c>
      <c r="C326" s="18" t="s">
        <v>3651</v>
      </c>
      <c r="D326" s="18" t="s">
        <v>3689</v>
      </c>
      <c r="E326" s="18" t="s">
        <v>3690</v>
      </c>
    </row>
    <row r="327" spans="1:5" x14ac:dyDescent="0.25">
      <c r="A327" s="16">
        <v>326</v>
      </c>
      <c r="B327" s="18" t="s">
        <v>3331</v>
      </c>
      <c r="C327" s="18" t="s">
        <v>3651</v>
      </c>
      <c r="D327" s="18" t="s">
        <v>3689</v>
      </c>
      <c r="E327" s="18" t="s">
        <v>3691</v>
      </c>
    </row>
    <row r="328" spans="1:5" x14ac:dyDescent="0.25">
      <c r="A328" s="16">
        <v>327</v>
      </c>
      <c r="B328" s="18" t="s">
        <v>3331</v>
      </c>
      <c r="C328" s="18" t="s">
        <v>3651</v>
      </c>
      <c r="D328" s="18" t="s">
        <v>3689</v>
      </c>
      <c r="E328" s="18" t="s">
        <v>3692</v>
      </c>
    </row>
    <row r="329" spans="1:5" x14ac:dyDescent="0.25">
      <c r="A329" s="16">
        <v>328</v>
      </c>
      <c r="B329" s="18" t="s">
        <v>3331</v>
      </c>
      <c r="C329" s="18" t="s">
        <v>3651</v>
      </c>
      <c r="D329" s="18" t="s">
        <v>3689</v>
      </c>
      <c r="E329" s="18" t="s">
        <v>3693</v>
      </c>
    </row>
    <row r="330" spans="1:5" ht="24" customHeight="1" x14ac:dyDescent="0.25">
      <c r="A330" s="16">
        <v>329</v>
      </c>
      <c r="B330" s="18" t="s">
        <v>3331</v>
      </c>
      <c r="C330" s="18" t="s">
        <v>3651</v>
      </c>
      <c r="D330" s="18" t="s">
        <v>3689</v>
      </c>
      <c r="E330" s="18" t="s">
        <v>3694</v>
      </c>
    </row>
    <row r="331" spans="1:5" x14ac:dyDescent="0.25">
      <c r="A331" s="16">
        <v>330</v>
      </c>
      <c r="B331" s="18" t="s">
        <v>3331</v>
      </c>
      <c r="C331" s="18" t="s">
        <v>3651</v>
      </c>
      <c r="D331" s="18" t="s">
        <v>3689</v>
      </c>
      <c r="E331" s="18" t="s">
        <v>3695</v>
      </c>
    </row>
    <row r="332" spans="1:5" ht="24" customHeight="1" x14ac:dyDescent="0.25">
      <c r="A332" s="16">
        <v>331</v>
      </c>
      <c r="B332" s="18" t="s">
        <v>3331</v>
      </c>
      <c r="C332" s="18" t="s">
        <v>3651</v>
      </c>
      <c r="D332" s="18" t="s">
        <v>3689</v>
      </c>
      <c r="E332" s="18" t="s">
        <v>3696</v>
      </c>
    </row>
    <row r="333" spans="1:5" ht="24" customHeight="1" x14ac:dyDescent="0.25">
      <c r="A333" s="16">
        <v>332</v>
      </c>
      <c r="B333" s="18" t="s">
        <v>3331</v>
      </c>
      <c r="C333" s="18" t="s">
        <v>3651</v>
      </c>
      <c r="D333" s="18" t="s">
        <v>3689</v>
      </c>
      <c r="E333" s="18" t="s">
        <v>3697</v>
      </c>
    </row>
    <row r="334" spans="1:5" ht="24" customHeight="1" x14ac:dyDescent="0.25">
      <c r="A334" s="16">
        <v>333</v>
      </c>
      <c r="B334" s="18" t="s">
        <v>3331</v>
      </c>
      <c r="C334" s="18" t="s">
        <v>3651</v>
      </c>
      <c r="D334" s="18" t="s">
        <v>3689</v>
      </c>
      <c r="E334" s="18" t="s">
        <v>3698</v>
      </c>
    </row>
    <row r="335" spans="1:5" x14ac:dyDescent="0.25">
      <c r="A335" s="16">
        <v>334</v>
      </c>
      <c r="B335" s="18" t="s">
        <v>3331</v>
      </c>
      <c r="C335" s="18" t="s">
        <v>3651</v>
      </c>
      <c r="D335" s="18" t="s">
        <v>3689</v>
      </c>
      <c r="E335" s="18" t="s">
        <v>3699</v>
      </c>
    </row>
    <row r="336" spans="1:5" ht="24" customHeight="1" x14ac:dyDescent="0.25">
      <c r="A336" s="16">
        <v>335</v>
      </c>
      <c r="B336" s="18" t="s">
        <v>3331</v>
      </c>
      <c r="C336" s="18" t="s">
        <v>3651</v>
      </c>
      <c r="D336" s="18" t="s">
        <v>3689</v>
      </c>
      <c r="E336" s="18" t="s">
        <v>3700</v>
      </c>
    </row>
    <row r="337" spans="1:5" ht="24" customHeight="1" x14ac:dyDescent="0.25">
      <c r="A337" s="16">
        <v>336</v>
      </c>
      <c r="B337" s="18" t="s">
        <v>3331</v>
      </c>
      <c r="C337" s="18" t="s">
        <v>3651</v>
      </c>
      <c r="D337" s="18" t="s">
        <v>3689</v>
      </c>
      <c r="E337" s="18" t="s">
        <v>3701</v>
      </c>
    </row>
    <row r="338" spans="1:5" ht="24" customHeight="1" x14ac:dyDescent="0.25">
      <c r="A338" s="16">
        <v>337</v>
      </c>
      <c r="B338" s="18" t="s">
        <v>3331</v>
      </c>
      <c r="C338" s="18" t="s">
        <v>3651</v>
      </c>
      <c r="D338" s="18" t="s">
        <v>3689</v>
      </c>
      <c r="E338" s="18" t="s">
        <v>3702</v>
      </c>
    </row>
    <row r="339" spans="1:5" ht="24" customHeight="1" x14ac:dyDescent="0.25">
      <c r="A339" s="16">
        <v>338</v>
      </c>
      <c r="B339" s="18" t="s">
        <v>3331</v>
      </c>
      <c r="C339" s="18" t="s">
        <v>3651</v>
      </c>
      <c r="D339" s="18" t="s">
        <v>3689</v>
      </c>
      <c r="E339" s="18" t="s">
        <v>3703</v>
      </c>
    </row>
    <row r="340" spans="1:5" ht="24" customHeight="1" x14ac:dyDescent="0.25">
      <c r="A340" s="16">
        <v>339</v>
      </c>
      <c r="B340" s="18" t="s">
        <v>3331</v>
      </c>
      <c r="C340" s="18" t="s">
        <v>3651</v>
      </c>
      <c r="D340" s="18" t="s">
        <v>3689</v>
      </c>
      <c r="E340" s="18" t="s">
        <v>3704</v>
      </c>
    </row>
    <row r="341" spans="1:5" x14ac:dyDescent="0.25">
      <c r="A341" s="16">
        <v>340</v>
      </c>
      <c r="B341" s="18" t="s">
        <v>3331</v>
      </c>
      <c r="C341" s="18" t="s">
        <v>3651</v>
      </c>
      <c r="D341" s="18" t="s">
        <v>3689</v>
      </c>
      <c r="E341" s="18" t="s">
        <v>3705</v>
      </c>
    </row>
    <row r="342" spans="1:5" ht="24" customHeight="1" x14ac:dyDescent="0.25">
      <c r="A342" s="16">
        <v>341</v>
      </c>
      <c r="B342" s="18" t="s">
        <v>3331</v>
      </c>
      <c r="C342" s="18" t="s">
        <v>3651</v>
      </c>
      <c r="D342" s="18" t="s">
        <v>3689</v>
      </c>
      <c r="E342" s="18" t="s">
        <v>3706</v>
      </c>
    </row>
    <row r="343" spans="1:5" ht="36" customHeight="1" x14ac:dyDescent="0.25">
      <c r="A343" s="16">
        <v>342</v>
      </c>
      <c r="B343" s="18" t="s">
        <v>3331</v>
      </c>
      <c r="C343" s="18" t="s">
        <v>3651</v>
      </c>
      <c r="D343" s="18" t="s">
        <v>3707</v>
      </c>
      <c r="E343" s="18" t="s">
        <v>3708</v>
      </c>
    </row>
    <row r="344" spans="1:5" ht="36" customHeight="1" x14ac:dyDescent="0.25">
      <c r="A344" s="16">
        <v>343</v>
      </c>
      <c r="B344" s="18" t="s">
        <v>3331</v>
      </c>
      <c r="C344" s="18" t="s">
        <v>3651</v>
      </c>
      <c r="D344" s="18" t="s">
        <v>3707</v>
      </c>
      <c r="E344" s="18" t="s">
        <v>3709</v>
      </c>
    </row>
    <row r="345" spans="1:5" ht="36" customHeight="1" x14ac:dyDescent="0.25">
      <c r="A345" s="16">
        <v>344</v>
      </c>
      <c r="B345" s="18" t="s">
        <v>3331</v>
      </c>
      <c r="C345" s="18" t="s">
        <v>3651</v>
      </c>
      <c r="D345" s="18" t="s">
        <v>3707</v>
      </c>
      <c r="E345" s="18" t="s">
        <v>3710</v>
      </c>
    </row>
    <row r="346" spans="1:5" ht="36" customHeight="1" x14ac:dyDescent="0.25">
      <c r="A346" s="16">
        <v>345</v>
      </c>
      <c r="B346" s="18" t="s">
        <v>3331</v>
      </c>
      <c r="C346" s="18" t="s">
        <v>3651</v>
      </c>
      <c r="D346" s="18" t="s">
        <v>3707</v>
      </c>
      <c r="E346" s="18" t="s">
        <v>3711</v>
      </c>
    </row>
    <row r="347" spans="1:5" ht="36" customHeight="1" x14ac:dyDescent="0.25">
      <c r="A347" s="16">
        <v>346</v>
      </c>
      <c r="B347" s="18" t="s">
        <v>3331</v>
      </c>
      <c r="C347" s="18" t="s">
        <v>3651</v>
      </c>
      <c r="D347" s="18" t="s">
        <v>3707</v>
      </c>
      <c r="E347" s="18" t="s">
        <v>3712</v>
      </c>
    </row>
    <row r="348" spans="1:5" ht="36" customHeight="1" x14ac:dyDescent="0.25">
      <c r="A348" s="16">
        <v>347</v>
      </c>
      <c r="B348" s="18" t="s">
        <v>3331</v>
      </c>
      <c r="C348" s="18" t="s">
        <v>3651</v>
      </c>
      <c r="D348" s="18" t="s">
        <v>3707</v>
      </c>
      <c r="E348" s="18" t="s">
        <v>3713</v>
      </c>
    </row>
    <row r="349" spans="1:5" ht="36" customHeight="1" x14ac:dyDescent="0.25">
      <c r="A349" s="16">
        <v>348</v>
      </c>
      <c r="B349" s="18" t="s">
        <v>3331</v>
      </c>
      <c r="C349" s="18" t="s">
        <v>3651</v>
      </c>
      <c r="D349" s="18" t="s">
        <v>3707</v>
      </c>
      <c r="E349" s="18" t="s">
        <v>3714</v>
      </c>
    </row>
    <row r="350" spans="1:5" x14ac:dyDescent="0.25">
      <c r="A350" s="16">
        <v>349</v>
      </c>
      <c r="B350" s="18" t="s">
        <v>3331</v>
      </c>
      <c r="C350" s="18" t="s">
        <v>3651</v>
      </c>
      <c r="D350" s="18" t="s">
        <v>3715</v>
      </c>
      <c r="E350" s="18" t="s">
        <v>3716</v>
      </c>
    </row>
    <row r="351" spans="1:5" x14ac:dyDescent="0.25">
      <c r="A351" s="16">
        <v>350</v>
      </c>
      <c r="B351" s="18" t="s">
        <v>3331</v>
      </c>
      <c r="C351" s="18" t="s">
        <v>3651</v>
      </c>
      <c r="D351" s="18" t="s">
        <v>3715</v>
      </c>
      <c r="E351" s="18" t="s">
        <v>3717</v>
      </c>
    </row>
    <row r="352" spans="1:5" x14ac:dyDescent="0.25">
      <c r="A352" s="16">
        <v>351</v>
      </c>
      <c r="B352" s="18" t="s">
        <v>3331</v>
      </c>
      <c r="C352" s="18" t="s">
        <v>3651</v>
      </c>
      <c r="D352" s="18" t="s">
        <v>3715</v>
      </c>
      <c r="E352" s="18" t="s">
        <v>3718</v>
      </c>
    </row>
    <row r="353" spans="1:5" x14ac:dyDescent="0.25">
      <c r="A353" s="16">
        <v>352</v>
      </c>
      <c r="B353" s="18" t="s">
        <v>3331</v>
      </c>
      <c r="C353" s="18" t="s">
        <v>3651</v>
      </c>
      <c r="D353" s="18" t="s">
        <v>3715</v>
      </c>
      <c r="E353" s="18" t="s">
        <v>3719</v>
      </c>
    </row>
    <row r="354" spans="1:5" x14ac:dyDescent="0.25">
      <c r="A354" s="16">
        <v>353</v>
      </c>
      <c r="B354" s="18" t="s">
        <v>3331</v>
      </c>
      <c r="C354" s="18" t="s">
        <v>3651</v>
      </c>
      <c r="D354" s="18" t="s">
        <v>3715</v>
      </c>
      <c r="E354" s="18" t="s">
        <v>3720</v>
      </c>
    </row>
    <row r="355" spans="1:5" ht="24" customHeight="1" x14ac:dyDescent="0.25">
      <c r="A355" s="16">
        <v>354</v>
      </c>
      <c r="B355" s="18" t="s">
        <v>3331</v>
      </c>
      <c r="C355" s="18" t="s">
        <v>3651</v>
      </c>
      <c r="D355" s="18" t="s">
        <v>3715</v>
      </c>
      <c r="E355" s="18" t="s">
        <v>3721</v>
      </c>
    </row>
    <row r="356" spans="1:5" x14ac:dyDescent="0.25">
      <c r="A356" s="16">
        <v>355</v>
      </c>
      <c r="B356" s="18" t="s">
        <v>3331</v>
      </c>
      <c r="C356" s="18" t="s">
        <v>3651</v>
      </c>
      <c r="D356" s="18" t="s">
        <v>3715</v>
      </c>
      <c r="E356" s="18" t="s">
        <v>3722</v>
      </c>
    </row>
    <row r="357" spans="1:5" x14ac:dyDescent="0.25">
      <c r="A357" s="16">
        <v>356</v>
      </c>
      <c r="B357" s="18" t="s">
        <v>3331</v>
      </c>
      <c r="C357" s="18" t="s">
        <v>3723</v>
      </c>
      <c r="D357" s="18" t="s">
        <v>3724</v>
      </c>
      <c r="E357" s="18" t="s">
        <v>3725</v>
      </c>
    </row>
    <row r="358" spans="1:5" x14ac:dyDescent="0.25">
      <c r="A358" s="16">
        <v>357</v>
      </c>
      <c r="B358" s="18" t="s">
        <v>3331</v>
      </c>
      <c r="C358" s="18" t="s">
        <v>3723</v>
      </c>
      <c r="D358" s="18" t="s">
        <v>3724</v>
      </c>
      <c r="E358" s="18" t="s">
        <v>3726</v>
      </c>
    </row>
    <row r="359" spans="1:5" x14ac:dyDescent="0.25">
      <c r="A359" s="16">
        <v>358</v>
      </c>
      <c r="B359" s="18" t="s">
        <v>3331</v>
      </c>
      <c r="C359" s="18" t="s">
        <v>3723</v>
      </c>
      <c r="D359" s="18" t="s">
        <v>3724</v>
      </c>
      <c r="E359" s="18" t="s">
        <v>3727</v>
      </c>
    </row>
    <row r="360" spans="1:5" x14ac:dyDescent="0.25">
      <c r="A360" s="16">
        <v>359</v>
      </c>
      <c r="B360" s="18" t="s">
        <v>3331</v>
      </c>
      <c r="C360" s="18" t="s">
        <v>3723</v>
      </c>
      <c r="D360" s="18" t="s">
        <v>3724</v>
      </c>
      <c r="E360" s="18" t="s">
        <v>3728</v>
      </c>
    </row>
    <row r="361" spans="1:5" x14ac:dyDescent="0.25">
      <c r="A361" s="16">
        <v>360</v>
      </c>
      <c r="B361" s="18" t="s">
        <v>3331</v>
      </c>
      <c r="C361" s="18" t="s">
        <v>3723</v>
      </c>
      <c r="D361" s="18" t="s">
        <v>3724</v>
      </c>
      <c r="E361" s="18" t="s">
        <v>3729</v>
      </c>
    </row>
    <row r="362" spans="1:5" x14ac:dyDescent="0.25">
      <c r="A362" s="16">
        <v>361</v>
      </c>
      <c r="B362" s="18" t="s">
        <v>3331</v>
      </c>
      <c r="C362" s="18" t="s">
        <v>3723</v>
      </c>
      <c r="D362" s="18" t="s">
        <v>3724</v>
      </c>
      <c r="E362" s="18" t="s">
        <v>3730</v>
      </c>
    </row>
    <row r="363" spans="1:5" x14ac:dyDescent="0.25">
      <c r="A363" s="16">
        <v>362</v>
      </c>
      <c r="B363" s="18" t="s">
        <v>3331</v>
      </c>
      <c r="C363" s="18" t="s">
        <v>3723</v>
      </c>
      <c r="D363" s="18" t="s">
        <v>3731</v>
      </c>
      <c r="E363" s="18" t="s">
        <v>3732</v>
      </c>
    </row>
    <row r="364" spans="1:5" x14ac:dyDescent="0.25">
      <c r="A364" s="16">
        <v>363</v>
      </c>
      <c r="B364" s="18" t="s">
        <v>3331</v>
      </c>
      <c r="C364" s="18" t="s">
        <v>3723</v>
      </c>
      <c r="D364" s="18" t="s">
        <v>3731</v>
      </c>
      <c r="E364" s="18" t="s">
        <v>3733</v>
      </c>
    </row>
    <row r="365" spans="1:5" x14ac:dyDescent="0.25">
      <c r="A365" s="16">
        <v>364</v>
      </c>
      <c r="B365" s="18" t="s">
        <v>3331</v>
      </c>
      <c r="C365" s="18" t="s">
        <v>3723</v>
      </c>
      <c r="D365" s="18" t="s">
        <v>3731</v>
      </c>
      <c r="E365" s="18" t="s">
        <v>3734</v>
      </c>
    </row>
    <row r="366" spans="1:5" x14ac:dyDescent="0.25">
      <c r="A366" s="16">
        <v>365</v>
      </c>
      <c r="B366" s="18" t="s">
        <v>3331</v>
      </c>
      <c r="C366" s="18" t="s">
        <v>3723</v>
      </c>
      <c r="D366" s="18" t="s">
        <v>3731</v>
      </c>
      <c r="E366" s="18" t="s">
        <v>3735</v>
      </c>
    </row>
    <row r="367" spans="1:5" ht="24" customHeight="1" x14ac:dyDescent="0.25">
      <c r="A367" s="16">
        <v>366</v>
      </c>
      <c r="B367" s="18" t="s">
        <v>3331</v>
      </c>
      <c r="C367" s="18" t="s">
        <v>3723</v>
      </c>
      <c r="D367" s="18" t="s">
        <v>3731</v>
      </c>
      <c r="E367" s="18" t="s">
        <v>3736</v>
      </c>
    </row>
    <row r="368" spans="1:5" x14ac:dyDescent="0.25">
      <c r="A368" s="16">
        <v>367</v>
      </c>
      <c r="B368" s="18" t="s">
        <v>3331</v>
      </c>
      <c r="C368" s="18" t="s">
        <v>3723</v>
      </c>
      <c r="D368" s="18" t="s">
        <v>3731</v>
      </c>
      <c r="E368" s="18" t="s">
        <v>3737</v>
      </c>
    </row>
    <row r="369" spans="1:5" ht="24" customHeight="1" x14ac:dyDescent="0.25">
      <c r="A369" s="16">
        <v>368</v>
      </c>
      <c r="B369" s="18" t="s">
        <v>3331</v>
      </c>
      <c r="C369" s="18" t="s">
        <v>3723</v>
      </c>
      <c r="D369" s="18" t="s">
        <v>3738</v>
      </c>
      <c r="E369" s="18" t="s">
        <v>3739</v>
      </c>
    </row>
    <row r="370" spans="1:5" ht="36" customHeight="1" x14ac:dyDescent="0.25">
      <c r="A370" s="16">
        <v>369</v>
      </c>
      <c r="B370" s="18" t="s">
        <v>3331</v>
      </c>
      <c r="C370" s="18" t="s">
        <v>3723</v>
      </c>
      <c r="D370" s="18" t="s">
        <v>3738</v>
      </c>
      <c r="E370" s="18" t="s">
        <v>3740</v>
      </c>
    </row>
    <row r="371" spans="1:5" x14ac:dyDescent="0.25">
      <c r="A371" s="16">
        <v>370</v>
      </c>
      <c r="B371" s="18" t="s">
        <v>3331</v>
      </c>
      <c r="C371" s="18" t="s">
        <v>3723</v>
      </c>
      <c r="D371" s="18" t="s">
        <v>3738</v>
      </c>
      <c r="E371" s="18" t="s">
        <v>3741</v>
      </c>
    </row>
    <row r="372" spans="1:5" ht="24" customHeight="1" x14ac:dyDescent="0.25">
      <c r="A372" s="16">
        <v>371</v>
      </c>
      <c r="B372" s="18" t="s">
        <v>3331</v>
      </c>
      <c r="C372" s="18" t="s">
        <v>3723</v>
      </c>
      <c r="D372" s="18" t="s">
        <v>3738</v>
      </c>
      <c r="E372" s="18" t="s">
        <v>3742</v>
      </c>
    </row>
    <row r="373" spans="1:5" x14ac:dyDescent="0.25">
      <c r="A373" s="16">
        <v>372</v>
      </c>
      <c r="B373" s="18" t="s">
        <v>3331</v>
      </c>
      <c r="C373" s="18" t="s">
        <v>3723</v>
      </c>
      <c r="D373" s="18" t="s">
        <v>3738</v>
      </c>
      <c r="E373" s="18" t="s">
        <v>3743</v>
      </c>
    </row>
    <row r="374" spans="1:5" x14ac:dyDescent="0.25">
      <c r="A374" s="16">
        <v>373</v>
      </c>
      <c r="B374" s="18" t="s">
        <v>3331</v>
      </c>
      <c r="C374" s="18" t="s">
        <v>3723</v>
      </c>
      <c r="D374" s="18" t="s">
        <v>3738</v>
      </c>
      <c r="E374" s="18" t="s">
        <v>3744</v>
      </c>
    </row>
    <row r="375" spans="1:5" x14ac:dyDescent="0.25">
      <c r="A375" s="16">
        <v>374</v>
      </c>
      <c r="B375" s="18" t="s">
        <v>3331</v>
      </c>
      <c r="C375" s="18" t="s">
        <v>3723</v>
      </c>
      <c r="D375" s="18" t="s">
        <v>3738</v>
      </c>
      <c r="E375" s="18" t="s">
        <v>3745</v>
      </c>
    </row>
    <row r="376" spans="1:5" x14ac:dyDescent="0.25">
      <c r="A376" s="16">
        <v>375</v>
      </c>
      <c r="B376" s="18" t="s">
        <v>3331</v>
      </c>
      <c r="C376" s="18" t="s">
        <v>3723</v>
      </c>
      <c r="D376" s="18" t="s">
        <v>3738</v>
      </c>
      <c r="E376" s="18" t="s">
        <v>3746</v>
      </c>
    </row>
    <row r="377" spans="1:5" x14ac:dyDescent="0.25">
      <c r="A377" s="16">
        <v>376</v>
      </c>
      <c r="B377" s="18" t="s">
        <v>3331</v>
      </c>
      <c r="C377" s="18" t="s">
        <v>3723</v>
      </c>
      <c r="D377" s="18" t="s">
        <v>3738</v>
      </c>
      <c r="E377" s="18" t="s">
        <v>3747</v>
      </c>
    </row>
    <row r="378" spans="1:5" x14ac:dyDescent="0.25">
      <c r="A378" s="16">
        <v>377</v>
      </c>
      <c r="B378" s="18" t="s">
        <v>3331</v>
      </c>
      <c r="C378" s="18" t="s">
        <v>3723</v>
      </c>
      <c r="D378" s="18" t="s">
        <v>3738</v>
      </c>
      <c r="E378" s="18" t="s">
        <v>3748</v>
      </c>
    </row>
    <row r="379" spans="1:5" x14ac:dyDescent="0.25">
      <c r="A379" s="16">
        <v>378</v>
      </c>
      <c r="B379" s="18" t="s">
        <v>3331</v>
      </c>
      <c r="C379" s="18" t="s">
        <v>3723</v>
      </c>
      <c r="D379" s="18" t="s">
        <v>3723</v>
      </c>
      <c r="E379" s="18" t="s">
        <v>3749</v>
      </c>
    </row>
    <row r="380" spans="1:5" x14ac:dyDescent="0.25">
      <c r="A380" s="16">
        <v>379</v>
      </c>
      <c r="B380" s="18" t="s">
        <v>3331</v>
      </c>
      <c r="C380" s="18" t="s">
        <v>3723</v>
      </c>
      <c r="D380" s="18" t="s">
        <v>3723</v>
      </c>
      <c r="E380" s="18" t="s">
        <v>3750</v>
      </c>
    </row>
    <row r="381" spans="1:5" x14ac:dyDescent="0.25">
      <c r="A381" s="16">
        <v>380</v>
      </c>
      <c r="B381" s="18" t="s">
        <v>3331</v>
      </c>
      <c r="C381" s="18" t="s">
        <v>3723</v>
      </c>
      <c r="D381" s="18" t="s">
        <v>3723</v>
      </c>
      <c r="E381" s="18" t="s">
        <v>3751</v>
      </c>
    </row>
    <row r="382" spans="1:5" ht="24" customHeight="1" x14ac:dyDescent="0.25">
      <c r="A382" s="16">
        <v>381</v>
      </c>
      <c r="B382" s="18" t="s">
        <v>3331</v>
      </c>
      <c r="C382" s="18" t="s">
        <v>3723</v>
      </c>
      <c r="D382" s="18" t="s">
        <v>3723</v>
      </c>
      <c r="E382" s="18" t="s">
        <v>3752</v>
      </c>
    </row>
    <row r="383" spans="1:5" x14ac:dyDescent="0.25">
      <c r="A383" s="16">
        <v>382</v>
      </c>
      <c r="B383" s="18" t="s">
        <v>3331</v>
      </c>
      <c r="C383" s="18" t="s">
        <v>3723</v>
      </c>
      <c r="D383" s="18" t="s">
        <v>3723</v>
      </c>
      <c r="E383" s="18" t="s">
        <v>3753</v>
      </c>
    </row>
    <row r="384" spans="1:5" x14ac:dyDescent="0.25">
      <c r="A384" s="16">
        <v>383</v>
      </c>
      <c r="B384" s="18" t="s">
        <v>3331</v>
      </c>
      <c r="C384" s="18" t="s">
        <v>3723</v>
      </c>
      <c r="D384" s="18" t="s">
        <v>3723</v>
      </c>
      <c r="E384" s="18" t="s">
        <v>3754</v>
      </c>
    </row>
    <row r="385" spans="1:5" x14ac:dyDescent="0.25">
      <c r="A385" s="16">
        <v>384</v>
      </c>
      <c r="B385" s="18" t="s">
        <v>3331</v>
      </c>
      <c r="C385" s="18" t="s">
        <v>3723</v>
      </c>
      <c r="D385" s="18" t="s">
        <v>3723</v>
      </c>
      <c r="E385" s="18" t="s">
        <v>3755</v>
      </c>
    </row>
    <row r="386" spans="1:5" ht="24" customHeight="1" x14ac:dyDescent="0.25">
      <c r="A386" s="16">
        <v>385</v>
      </c>
      <c r="B386" s="18" t="s">
        <v>3331</v>
      </c>
      <c r="C386" s="18" t="s">
        <v>3723</v>
      </c>
      <c r="D386" s="18" t="s">
        <v>3723</v>
      </c>
      <c r="E386" s="18" t="s">
        <v>3756</v>
      </c>
    </row>
    <row r="387" spans="1:5" x14ac:dyDescent="0.25">
      <c r="A387" s="16">
        <v>386</v>
      </c>
      <c r="B387" s="18" t="s">
        <v>3331</v>
      </c>
      <c r="C387" s="18" t="s">
        <v>3723</v>
      </c>
      <c r="D387" s="18" t="s">
        <v>3723</v>
      </c>
      <c r="E387" s="18" t="s">
        <v>3757</v>
      </c>
    </row>
    <row r="388" spans="1:5" ht="24" customHeight="1" x14ac:dyDescent="0.25">
      <c r="A388" s="16">
        <v>387</v>
      </c>
      <c r="B388" s="18" t="s">
        <v>3331</v>
      </c>
      <c r="C388" s="18" t="s">
        <v>3723</v>
      </c>
      <c r="D388" s="18" t="s">
        <v>3723</v>
      </c>
      <c r="E388" s="18" t="s">
        <v>3758</v>
      </c>
    </row>
    <row r="389" spans="1:5" x14ac:dyDescent="0.25">
      <c r="A389" s="16">
        <v>388</v>
      </c>
      <c r="B389" s="18" t="s">
        <v>3331</v>
      </c>
      <c r="C389" s="18" t="s">
        <v>3723</v>
      </c>
      <c r="D389" s="18" t="s">
        <v>3759</v>
      </c>
      <c r="E389" s="18" t="s">
        <v>3760</v>
      </c>
    </row>
    <row r="390" spans="1:5" x14ac:dyDescent="0.25">
      <c r="A390" s="16">
        <v>389</v>
      </c>
      <c r="B390" s="18" t="s">
        <v>3331</v>
      </c>
      <c r="C390" s="18" t="s">
        <v>3723</v>
      </c>
      <c r="D390" s="18" t="s">
        <v>3759</v>
      </c>
      <c r="E390" s="18" t="s">
        <v>3761</v>
      </c>
    </row>
    <row r="391" spans="1:5" x14ac:dyDescent="0.25">
      <c r="A391" s="16">
        <v>390</v>
      </c>
      <c r="B391" s="18" t="s">
        <v>3331</v>
      </c>
      <c r="C391" s="18" t="s">
        <v>3723</v>
      </c>
      <c r="D391" s="18" t="s">
        <v>3759</v>
      </c>
      <c r="E391" s="18" t="s">
        <v>3762</v>
      </c>
    </row>
    <row r="392" spans="1:5" x14ac:dyDescent="0.25">
      <c r="A392" s="16">
        <v>391</v>
      </c>
      <c r="B392" s="18" t="s">
        <v>3331</v>
      </c>
      <c r="C392" s="18" t="s">
        <v>3723</v>
      </c>
      <c r="D392" s="18" t="s">
        <v>3759</v>
      </c>
      <c r="E392" s="18" t="s">
        <v>3763</v>
      </c>
    </row>
    <row r="393" spans="1:5" x14ac:dyDescent="0.25">
      <c r="A393" s="16">
        <v>392</v>
      </c>
      <c r="B393" s="18" t="s">
        <v>3331</v>
      </c>
      <c r="C393" s="18" t="s">
        <v>3723</v>
      </c>
      <c r="D393" s="18" t="s">
        <v>3759</v>
      </c>
      <c r="E393" s="18" t="s">
        <v>3764</v>
      </c>
    </row>
    <row r="394" spans="1:5" x14ac:dyDescent="0.25">
      <c r="A394" s="16">
        <v>393</v>
      </c>
      <c r="B394" s="18" t="s">
        <v>3331</v>
      </c>
      <c r="C394" s="18" t="s">
        <v>3723</v>
      </c>
      <c r="D394" s="18" t="s">
        <v>3759</v>
      </c>
      <c r="E394" s="18" t="s">
        <v>3765</v>
      </c>
    </row>
    <row r="395" spans="1:5" x14ac:dyDescent="0.25">
      <c r="A395" s="16">
        <v>394</v>
      </c>
      <c r="B395" s="18" t="s">
        <v>3331</v>
      </c>
      <c r="C395" s="18" t="s">
        <v>3723</v>
      </c>
      <c r="D395" s="18" t="s">
        <v>3759</v>
      </c>
      <c r="E395" s="18" t="s">
        <v>3766</v>
      </c>
    </row>
    <row r="396" spans="1:5" x14ac:dyDescent="0.25">
      <c r="A396" s="16">
        <v>395</v>
      </c>
      <c r="B396" s="18" t="s">
        <v>3331</v>
      </c>
      <c r="C396" s="18" t="s">
        <v>3723</v>
      </c>
      <c r="D396" s="18" t="s">
        <v>3759</v>
      </c>
      <c r="E396" s="18" t="s">
        <v>3767</v>
      </c>
    </row>
    <row r="397" spans="1:5" ht="24" customHeight="1" x14ac:dyDescent="0.25">
      <c r="A397" s="16">
        <v>402</v>
      </c>
      <c r="B397" s="18" t="s">
        <v>3768</v>
      </c>
      <c r="C397" s="18" t="s">
        <v>3769</v>
      </c>
      <c r="D397" s="18" t="s">
        <v>3769</v>
      </c>
      <c r="E397" s="18" t="s">
        <v>3770</v>
      </c>
    </row>
    <row r="398" spans="1:5" ht="24" customHeight="1" x14ac:dyDescent="0.25">
      <c r="A398" s="16">
        <v>403</v>
      </c>
      <c r="B398" s="18" t="s">
        <v>3768</v>
      </c>
      <c r="C398" s="18" t="s">
        <v>3769</v>
      </c>
      <c r="D398" s="18" t="s">
        <v>3769</v>
      </c>
      <c r="E398" s="18" t="s">
        <v>3771</v>
      </c>
    </row>
    <row r="399" spans="1:5" ht="24" customHeight="1" x14ac:dyDescent="0.25">
      <c r="A399" s="16">
        <v>404</v>
      </c>
      <c r="B399" s="18" t="s">
        <v>3768</v>
      </c>
      <c r="C399" s="18" t="s">
        <v>3769</v>
      </c>
      <c r="D399" s="18" t="s">
        <v>3769</v>
      </c>
      <c r="E399" s="18" t="s">
        <v>3772</v>
      </c>
    </row>
    <row r="400" spans="1:5" ht="36" customHeight="1" x14ac:dyDescent="0.25">
      <c r="A400" s="16">
        <v>405</v>
      </c>
      <c r="B400" s="18" t="s">
        <v>3768</v>
      </c>
      <c r="C400" s="18" t="s">
        <v>3769</v>
      </c>
      <c r="D400" s="18" t="s">
        <v>3769</v>
      </c>
      <c r="E400" s="18" t="s">
        <v>3773</v>
      </c>
    </row>
    <row r="401" spans="1:5" ht="36" customHeight="1" x14ac:dyDescent="0.25">
      <c r="A401" s="16">
        <v>406</v>
      </c>
      <c r="B401" s="18" t="s">
        <v>3768</v>
      </c>
      <c r="C401" s="18" t="s">
        <v>3769</v>
      </c>
      <c r="D401" s="18" t="s">
        <v>3769</v>
      </c>
      <c r="E401" s="18" t="s">
        <v>3774</v>
      </c>
    </row>
    <row r="402" spans="1:5" ht="24" customHeight="1" x14ac:dyDescent="0.25">
      <c r="A402" s="16">
        <v>407</v>
      </c>
      <c r="B402" s="18" t="s">
        <v>3768</v>
      </c>
      <c r="C402" s="18" t="s">
        <v>3769</v>
      </c>
      <c r="D402" s="18" t="s">
        <v>3769</v>
      </c>
      <c r="E402" s="18" t="s">
        <v>3775</v>
      </c>
    </row>
    <row r="403" spans="1:5" ht="24" customHeight="1" x14ac:dyDescent="0.25">
      <c r="A403" s="16">
        <v>408</v>
      </c>
      <c r="B403" s="18" t="s">
        <v>3768</v>
      </c>
      <c r="C403" s="18" t="s">
        <v>3769</v>
      </c>
      <c r="D403" s="18" t="s">
        <v>3769</v>
      </c>
      <c r="E403" s="18" t="s">
        <v>3776</v>
      </c>
    </row>
    <row r="404" spans="1:5" ht="36" customHeight="1" x14ac:dyDescent="0.25">
      <c r="A404" s="16">
        <v>409</v>
      </c>
      <c r="B404" s="18" t="s">
        <v>3768</v>
      </c>
      <c r="C404" s="18" t="s">
        <v>3769</v>
      </c>
      <c r="D404" s="18" t="s">
        <v>3769</v>
      </c>
      <c r="E404" s="18" t="s">
        <v>3777</v>
      </c>
    </row>
    <row r="405" spans="1:5" ht="24" customHeight="1" x14ac:dyDescent="0.25">
      <c r="A405" s="16">
        <v>410</v>
      </c>
      <c r="B405" s="18" t="s">
        <v>3768</v>
      </c>
      <c r="C405" s="18" t="s">
        <v>3769</v>
      </c>
      <c r="D405" s="18" t="s">
        <v>3769</v>
      </c>
      <c r="E405" s="18" t="s">
        <v>3778</v>
      </c>
    </row>
    <row r="406" spans="1:5" ht="24" customHeight="1" x14ac:dyDescent="0.25">
      <c r="A406" s="16">
        <v>411</v>
      </c>
      <c r="B406" s="18" t="s">
        <v>3768</v>
      </c>
      <c r="C406" s="18" t="s">
        <v>3769</v>
      </c>
      <c r="D406" s="18" t="s">
        <v>3769</v>
      </c>
      <c r="E406" s="18" t="s">
        <v>3779</v>
      </c>
    </row>
    <row r="407" spans="1:5" ht="36" customHeight="1" x14ac:dyDescent="0.25">
      <c r="A407" s="16">
        <v>412</v>
      </c>
      <c r="B407" s="18" t="s">
        <v>3768</v>
      </c>
      <c r="C407" s="18" t="s">
        <v>3769</v>
      </c>
      <c r="D407" s="18" t="s">
        <v>3769</v>
      </c>
      <c r="E407" s="18" t="s">
        <v>3780</v>
      </c>
    </row>
    <row r="408" spans="1:5" ht="24" customHeight="1" x14ac:dyDescent="0.25">
      <c r="A408" s="16">
        <v>413</v>
      </c>
      <c r="B408" s="18" t="s">
        <v>3768</v>
      </c>
      <c r="C408" s="18" t="s">
        <v>3769</v>
      </c>
      <c r="D408" s="18" t="s">
        <v>3769</v>
      </c>
      <c r="E408" s="18" t="s">
        <v>3781</v>
      </c>
    </row>
    <row r="409" spans="1:5" ht="24" customHeight="1" x14ac:dyDescent="0.25">
      <c r="A409" s="16">
        <v>414</v>
      </c>
      <c r="B409" s="18" t="s">
        <v>3768</v>
      </c>
      <c r="C409" s="18" t="s">
        <v>3769</v>
      </c>
      <c r="D409" s="18" t="s">
        <v>3769</v>
      </c>
      <c r="E409" s="18" t="s">
        <v>3782</v>
      </c>
    </row>
    <row r="410" spans="1:5" ht="24" customHeight="1" x14ac:dyDescent="0.25">
      <c r="A410" s="16">
        <v>415</v>
      </c>
      <c r="B410" s="18" t="s">
        <v>3768</v>
      </c>
      <c r="C410" s="18" t="s">
        <v>3769</v>
      </c>
      <c r="D410" s="18" t="s">
        <v>3769</v>
      </c>
      <c r="E410" s="18" t="s">
        <v>3783</v>
      </c>
    </row>
    <row r="411" spans="1:5" ht="24" customHeight="1" x14ac:dyDescent="0.25">
      <c r="A411" s="16">
        <v>416</v>
      </c>
      <c r="B411" s="18" t="s">
        <v>3768</v>
      </c>
      <c r="C411" s="18" t="s">
        <v>3769</v>
      </c>
      <c r="D411" s="18" t="s">
        <v>3769</v>
      </c>
      <c r="E411" s="18" t="s">
        <v>3784</v>
      </c>
    </row>
    <row r="412" spans="1:5" ht="24" customHeight="1" x14ac:dyDescent="0.25">
      <c r="A412" s="16">
        <v>417</v>
      </c>
      <c r="B412" s="18" t="s">
        <v>3768</v>
      </c>
      <c r="C412" s="18" t="s">
        <v>3769</v>
      </c>
      <c r="D412" s="18" t="s">
        <v>3769</v>
      </c>
      <c r="E412" s="18" t="s">
        <v>3785</v>
      </c>
    </row>
    <row r="413" spans="1:5" ht="36" customHeight="1" x14ac:dyDescent="0.25">
      <c r="A413" s="16">
        <v>418</v>
      </c>
      <c r="B413" s="18" t="s">
        <v>3768</v>
      </c>
      <c r="C413" s="18" t="s">
        <v>3769</v>
      </c>
      <c r="D413" s="18" t="s">
        <v>3769</v>
      </c>
      <c r="E413" s="18" t="s">
        <v>3786</v>
      </c>
    </row>
    <row r="414" spans="1:5" ht="24" customHeight="1" x14ac:dyDescent="0.25">
      <c r="A414" s="16">
        <v>419</v>
      </c>
      <c r="B414" s="18" t="s">
        <v>3768</v>
      </c>
      <c r="C414" s="18" t="s">
        <v>3769</v>
      </c>
      <c r="D414" s="18" t="s">
        <v>3769</v>
      </c>
      <c r="E414" s="18" t="s">
        <v>3787</v>
      </c>
    </row>
    <row r="415" spans="1:5" ht="24" customHeight="1" x14ac:dyDescent="0.25">
      <c r="A415" s="16">
        <v>420</v>
      </c>
      <c r="B415" s="18" t="s">
        <v>3768</v>
      </c>
      <c r="C415" s="18" t="s">
        <v>3769</v>
      </c>
      <c r="D415" s="18" t="s">
        <v>3769</v>
      </c>
      <c r="E415" s="18" t="s">
        <v>3788</v>
      </c>
    </row>
    <row r="416" spans="1:5" ht="24" customHeight="1" x14ac:dyDescent="0.25">
      <c r="A416" s="16">
        <v>421</v>
      </c>
      <c r="B416" s="18" t="s">
        <v>3768</v>
      </c>
      <c r="C416" s="18" t="s">
        <v>3769</v>
      </c>
      <c r="D416" s="18" t="s">
        <v>3769</v>
      </c>
      <c r="E416" s="18" t="s">
        <v>3789</v>
      </c>
    </row>
    <row r="417" spans="1:5" ht="24" customHeight="1" x14ac:dyDescent="0.25">
      <c r="A417" s="16">
        <v>422</v>
      </c>
      <c r="B417" s="18" t="s">
        <v>3768</v>
      </c>
      <c r="C417" s="18" t="s">
        <v>3769</v>
      </c>
      <c r="D417" s="18" t="s">
        <v>3769</v>
      </c>
      <c r="E417" s="18" t="s">
        <v>3790</v>
      </c>
    </row>
    <row r="418" spans="1:5" ht="24" customHeight="1" x14ac:dyDescent="0.25">
      <c r="A418" s="16">
        <v>423</v>
      </c>
      <c r="B418" s="18" t="s">
        <v>3768</v>
      </c>
      <c r="C418" s="18" t="s">
        <v>3769</v>
      </c>
      <c r="D418" s="18" t="s">
        <v>3769</v>
      </c>
      <c r="E418" s="18" t="s">
        <v>3791</v>
      </c>
    </row>
    <row r="419" spans="1:5" ht="24" customHeight="1" x14ac:dyDescent="0.25">
      <c r="A419" s="16">
        <v>424</v>
      </c>
      <c r="B419" s="18" t="s">
        <v>3768</v>
      </c>
      <c r="C419" s="18" t="s">
        <v>3769</v>
      </c>
      <c r="D419" s="18" t="s">
        <v>3792</v>
      </c>
      <c r="E419" s="18" t="s">
        <v>3793</v>
      </c>
    </row>
    <row r="420" spans="1:5" ht="24" customHeight="1" x14ac:dyDescent="0.25">
      <c r="A420" s="16">
        <v>425</v>
      </c>
      <c r="B420" s="18" t="s">
        <v>3768</v>
      </c>
      <c r="C420" s="18" t="s">
        <v>3769</v>
      </c>
      <c r="D420" s="18" t="s">
        <v>3792</v>
      </c>
      <c r="E420" s="18" t="s">
        <v>3794</v>
      </c>
    </row>
    <row r="421" spans="1:5" ht="24" customHeight="1" x14ac:dyDescent="0.25">
      <c r="A421" s="16">
        <v>426</v>
      </c>
      <c r="B421" s="18" t="s">
        <v>3768</v>
      </c>
      <c r="C421" s="18" t="s">
        <v>3769</v>
      </c>
      <c r="D421" s="18" t="s">
        <v>3792</v>
      </c>
      <c r="E421" s="18" t="s">
        <v>3795</v>
      </c>
    </row>
    <row r="422" spans="1:5" ht="24" customHeight="1" x14ac:dyDescent="0.25">
      <c r="A422" s="16">
        <v>427</v>
      </c>
      <c r="B422" s="18" t="s">
        <v>3768</v>
      </c>
      <c r="C422" s="18" t="s">
        <v>3769</v>
      </c>
      <c r="D422" s="18" t="s">
        <v>3792</v>
      </c>
      <c r="E422" s="18" t="s">
        <v>3796</v>
      </c>
    </row>
    <row r="423" spans="1:5" ht="24" customHeight="1" x14ac:dyDescent="0.25">
      <c r="A423" s="16">
        <v>428</v>
      </c>
      <c r="B423" s="18" t="s">
        <v>3768</v>
      </c>
      <c r="C423" s="18" t="s">
        <v>3769</v>
      </c>
      <c r="D423" s="18" t="s">
        <v>3792</v>
      </c>
      <c r="E423" s="18" t="s">
        <v>3797</v>
      </c>
    </row>
    <row r="424" spans="1:5" ht="24" customHeight="1" x14ac:dyDescent="0.25">
      <c r="A424" s="16">
        <v>429</v>
      </c>
      <c r="B424" s="18" t="s">
        <v>3768</v>
      </c>
      <c r="C424" s="18" t="s">
        <v>3769</v>
      </c>
      <c r="D424" s="18" t="s">
        <v>3792</v>
      </c>
      <c r="E424" s="18" t="s">
        <v>3798</v>
      </c>
    </row>
    <row r="425" spans="1:5" ht="24" customHeight="1" x14ac:dyDescent="0.25">
      <c r="A425" s="16">
        <v>430</v>
      </c>
      <c r="B425" s="18" t="s">
        <v>3768</v>
      </c>
      <c r="C425" s="18" t="s">
        <v>3769</v>
      </c>
      <c r="D425" s="18" t="s">
        <v>3792</v>
      </c>
      <c r="E425" s="18" t="s">
        <v>3799</v>
      </c>
    </row>
    <row r="426" spans="1:5" ht="24" customHeight="1" x14ac:dyDescent="0.25">
      <c r="A426" s="16">
        <v>431</v>
      </c>
      <c r="B426" s="18" t="s">
        <v>3768</v>
      </c>
      <c r="C426" s="18" t="s">
        <v>3769</v>
      </c>
      <c r="D426" s="18" t="s">
        <v>3792</v>
      </c>
      <c r="E426" s="18" t="s">
        <v>3800</v>
      </c>
    </row>
    <row r="427" spans="1:5" ht="36" customHeight="1" x14ac:dyDescent="0.25">
      <c r="A427" s="16">
        <v>432</v>
      </c>
      <c r="B427" s="18" t="s">
        <v>3768</v>
      </c>
      <c r="C427" s="18" t="s">
        <v>3769</v>
      </c>
      <c r="D427" s="18" t="s">
        <v>3792</v>
      </c>
      <c r="E427" s="18" t="s">
        <v>3801</v>
      </c>
    </row>
    <row r="428" spans="1:5" ht="24" customHeight="1" x14ac:dyDescent="0.25">
      <c r="A428" s="16">
        <v>433</v>
      </c>
      <c r="B428" s="18" t="s">
        <v>3768</v>
      </c>
      <c r="C428" s="18" t="s">
        <v>3769</v>
      </c>
      <c r="D428" s="18" t="s">
        <v>3802</v>
      </c>
      <c r="E428" s="18" t="s">
        <v>3803</v>
      </c>
    </row>
    <row r="429" spans="1:5" ht="24" customHeight="1" x14ac:dyDescent="0.25">
      <c r="A429" s="16">
        <v>434</v>
      </c>
      <c r="B429" s="18" t="s">
        <v>3768</v>
      </c>
      <c r="C429" s="18" t="s">
        <v>3769</v>
      </c>
      <c r="D429" s="18" t="s">
        <v>3802</v>
      </c>
      <c r="E429" s="18" t="s">
        <v>3804</v>
      </c>
    </row>
    <row r="430" spans="1:5" ht="24" customHeight="1" x14ac:dyDescent="0.25">
      <c r="A430" s="16">
        <v>435</v>
      </c>
      <c r="B430" s="18" t="s">
        <v>3768</v>
      </c>
      <c r="C430" s="18" t="s">
        <v>3769</v>
      </c>
      <c r="D430" s="18" t="s">
        <v>3802</v>
      </c>
      <c r="E430" s="18" t="s">
        <v>3805</v>
      </c>
    </row>
    <row r="431" spans="1:5" ht="24" customHeight="1" x14ac:dyDescent="0.25">
      <c r="A431" s="16">
        <v>436</v>
      </c>
      <c r="B431" s="18" t="s">
        <v>3768</v>
      </c>
      <c r="C431" s="18" t="s">
        <v>3769</v>
      </c>
      <c r="D431" s="18" t="s">
        <v>3802</v>
      </c>
      <c r="E431" s="18" t="s">
        <v>3806</v>
      </c>
    </row>
    <row r="432" spans="1:5" ht="24" customHeight="1" x14ac:dyDescent="0.25">
      <c r="A432" s="16">
        <v>437</v>
      </c>
      <c r="B432" s="18" t="s">
        <v>3768</v>
      </c>
      <c r="C432" s="18" t="s">
        <v>3769</v>
      </c>
      <c r="D432" s="18" t="s">
        <v>3802</v>
      </c>
      <c r="E432" s="18" t="s">
        <v>3807</v>
      </c>
    </row>
    <row r="433" spans="1:5" ht="24" customHeight="1" x14ac:dyDescent="0.25">
      <c r="A433" s="16">
        <v>438</v>
      </c>
      <c r="B433" s="18" t="s">
        <v>3768</v>
      </c>
      <c r="C433" s="18" t="s">
        <v>3769</v>
      </c>
      <c r="D433" s="18" t="s">
        <v>3802</v>
      </c>
      <c r="E433" s="18" t="s">
        <v>3808</v>
      </c>
    </row>
    <row r="434" spans="1:5" ht="24" customHeight="1" x14ac:dyDescent="0.25">
      <c r="A434" s="16">
        <v>439</v>
      </c>
      <c r="B434" s="18" t="s">
        <v>3768</v>
      </c>
      <c r="C434" s="18" t="s">
        <v>3769</v>
      </c>
      <c r="D434" s="18" t="s">
        <v>3802</v>
      </c>
      <c r="E434" s="18" t="s">
        <v>3809</v>
      </c>
    </row>
    <row r="435" spans="1:5" ht="24" customHeight="1" x14ac:dyDescent="0.25">
      <c r="A435" s="16">
        <v>440</v>
      </c>
      <c r="B435" s="18" t="s">
        <v>3768</v>
      </c>
      <c r="C435" s="18" t="s">
        <v>3769</v>
      </c>
      <c r="D435" s="18" t="s">
        <v>3802</v>
      </c>
      <c r="E435" s="18" t="s">
        <v>3810</v>
      </c>
    </row>
    <row r="436" spans="1:5" ht="24" customHeight="1" x14ac:dyDescent="0.25">
      <c r="A436" s="16">
        <v>441</v>
      </c>
      <c r="B436" s="18" t="s">
        <v>3768</v>
      </c>
      <c r="C436" s="18" t="s">
        <v>3769</v>
      </c>
      <c r="D436" s="18" t="s">
        <v>3802</v>
      </c>
      <c r="E436" s="18" t="s">
        <v>3811</v>
      </c>
    </row>
    <row r="437" spans="1:5" ht="24" customHeight="1" x14ac:dyDescent="0.25">
      <c r="A437" s="16">
        <v>442</v>
      </c>
      <c r="B437" s="18" t="s">
        <v>3768</v>
      </c>
      <c r="C437" s="18" t="s">
        <v>3769</v>
      </c>
      <c r="D437" s="18" t="s">
        <v>3802</v>
      </c>
      <c r="E437" s="18" t="s">
        <v>3812</v>
      </c>
    </row>
    <row r="438" spans="1:5" ht="24" customHeight="1" x14ac:dyDescent="0.25">
      <c r="A438" s="16">
        <v>443</v>
      </c>
      <c r="B438" s="18" t="s">
        <v>3768</v>
      </c>
      <c r="C438" s="18" t="s">
        <v>3769</v>
      </c>
      <c r="D438" s="18" t="s">
        <v>3813</v>
      </c>
      <c r="E438" s="18" t="s">
        <v>3814</v>
      </c>
    </row>
    <row r="439" spans="1:5" ht="24" customHeight="1" x14ac:dyDescent="0.25">
      <c r="A439" s="16">
        <v>444</v>
      </c>
      <c r="B439" s="18" t="s">
        <v>3768</v>
      </c>
      <c r="C439" s="18" t="s">
        <v>3769</v>
      </c>
      <c r="D439" s="18" t="s">
        <v>3813</v>
      </c>
      <c r="E439" s="18" t="s">
        <v>3815</v>
      </c>
    </row>
    <row r="440" spans="1:5" ht="36" customHeight="1" x14ac:dyDescent="0.25">
      <c r="A440" s="16">
        <v>445</v>
      </c>
      <c r="B440" s="18" t="s">
        <v>3768</v>
      </c>
      <c r="C440" s="18" t="s">
        <v>3769</v>
      </c>
      <c r="D440" s="18" t="s">
        <v>3813</v>
      </c>
      <c r="E440" s="18" t="s">
        <v>3816</v>
      </c>
    </row>
    <row r="441" spans="1:5" ht="36" customHeight="1" x14ac:dyDescent="0.25">
      <c r="A441" s="16">
        <v>446</v>
      </c>
      <c r="B441" s="18" t="s">
        <v>3768</v>
      </c>
      <c r="C441" s="18" t="s">
        <v>3769</v>
      </c>
      <c r="D441" s="18" t="s">
        <v>3813</v>
      </c>
      <c r="E441" s="18" t="s">
        <v>3817</v>
      </c>
    </row>
    <row r="442" spans="1:5" ht="36" customHeight="1" x14ac:dyDescent="0.25">
      <c r="A442" s="16">
        <v>447</v>
      </c>
      <c r="B442" s="18" t="s">
        <v>3768</v>
      </c>
      <c r="C442" s="18" t="s">
        <v>3769</v>
      </c>
      <c r="D442" s="18" t="s">
        <v>3813</v>
      </c>
      <c r="E442" s="18" t="s">
        <v>3818</v>
      </c>
    </row>
    <row r="443" spans="1:5" ht="24" customHeight="1" x14ac:dyDescent="0.25">
      <c r="A443" s="16">
        <v>448</v>
      </c>
      <c r="B443" s="18" t="s">
        <v>3768</v>
      </c>
      <c r="C443" s="18" t="s">
        <v>3769</v>
      </c>
      <c r="D443" s="18" t="s">
        <v>3813</v>
      </c>
      <c r="E443" s="18" t="s">
        <v>3819</v>
      </c>
    </row>
    <row r="444" spans="1:5" ht="36" customHeight="1" x14ac:dyDescent="0.25">
      <c r="A444" s="16">
        <v>449</v>
      </c>
      <c r="B444" s="18" t="s">
        <v>3768</v>
      </c>
      <c r="C444" s="18" t="s">
        <v>3769</v>
      </c>
      <c r="D444" s="18" t="s">
        <v>3813</v>
      </c>
      <c r="E444" s="18" t="s">
        <v>3820</v>
      </c>
    </row>
    <row r="445" spans="1:5" ht="24" customHeight="1" x14ac:dyDescent="0.25">
      <c r="A445" s="16">
        <v>450</v>
      </c>
      <c r="B445" s="18" t="s">
        <v>3768</v>
      </c>
      <c r="C445" s="18" t="s">
        <v>3769</v>
      </c>
      <c r="D445" s="18" t="s">
        <v>3813</v>
      </c>
      <c r="E445" s="18" t="s">
        <v>3821</v>
      </c>
    </row>
    <row r="446" spans="1:5" ht="24" customHeight="1" x14ac:dyDescent="0.25">
      <c r="A446" s="16">
        <v>451</v>
      </c>
      <c r="B446" s="18" t="s">
        <v>3768</v>
      </c>
      <c r="C446" s="18" t="s">
        <v>3769</v>
      </c>
      <c r="D446" s="18" t="s">
        <v>3813</v>
      </c>
      <c r="E446" s="18" t="s">
        <v>3822</v>
      </c>
    </row>
    <row r="447" spans="1:5" ht="24" customHeight="1" x14ac:dyDescent="0.25">
      <c r="A447" s="16">
        <v>452</v>
      </c>
      <c r="B447" s="18" t="s">
        <v>3768</v>
      </c>
      <c r="C447" s="18" t="s">
        <v>3769</v>
      </c>
      <c r="D447" s="18" t="s">
        <v>3813</v>
      </c>
      <c r="E447" s="18" t="s">
        <v>3823</v>
      </c>
    </row>
    <row r="448" spans="1:5" ht="24" customHeight="1" x14ac:dyDescent="0.25">
      <c r="A448" s="16">
        <v>453</v>
      </c>
      <c r="B448" s="18" t="s">
        <v>3768</v>
      </c>
      <c r="C448" s="18" t="s">
        <v>3769</v>
      </c>
      <c r="D448" s="18" t="s">
        <v>3824</v>
      </c>
      <c r="E448" s="18" t="s">
        <v>3825</v>
      </c>
    </row>
    <row r="449" spans="1:5" ht="24" customHeight="1" x14ac:dyDescent="0.25">
      <c r="A449" s="16">
        <v>454</v>
      </c>
      <c r="B449" s="18" t="s">
        <v>3768</v>
      </c>
      <c r="C449" s="18" t="s">
        <v>3769</v>
      </c>
      <c r="D449" s="18" t="s">
        <v>3824</v>
      </c>
      <c r="E449" s="18" t="s">
        <v>3826</v>
      </c>
    </row>
    <row r="450" spans="1:5" ht="24" customHeight="1" x14ac:dyDescent="0.25">
      <c r="A450" s="16">
        <v>455</v>
      </c>
      <c r="B450" s="18" t="s">
        <v>3768</v>
      </c>
      <c r="C450" s="18" t="s">
        <v>3769</v>
      </c>
      <c r="D450" s="18" t="s">
        <v>3824</v>
      </c>
      <c r="E450" s="18" t="s">
        <v>3827</v>
      </c>
    </row>
    <row r="451" spans="1:5" ht="24" customHeight="1" x14ac:dyDescent="0.25">
      <c r="A451" s="16">
        <v>456</v>
      </c>
      <c r="B451" s="18" t="s">
        <v>3768</v>
      </c>
      <c r="C451" s="18" t="s">
        <v>3769</v>
      </c>
      <c r="D451" s="18" t="s">
        <v>3824</v>
      </c>
      <c r="E451" s="18" t="s">
        <v>3828</v>
      </c>
    </row>
    <row r="452" spans="1:5" ht="24" customHeight="1" x14ac:dyDescent="0.25">
      <c r="A452" s="16">
        <v>457</v>
      </c>
      <c r="B452" s="18" t="s">
        <v>3768</v>
      </c>
      <c r="C452" s="18" t="s">
        <v>3769</v>
      </c>
      <c r="D452" s="18" t="s">
        <v>3824</v>
      </c>
      <c r="E452" s="18" t="s">
        <v>3829</v>
      </c>
    </row>
    <row r="453" spans="1:5" ht="24" customHeight="1" x14ac:dyDescent="0.25">
      <c r="A453" s="16">
        <v>458</v>
      </c>
      <c r="B453" s="18" t="s">
        <v>3768</v>
      </c>
      <c r="C453" s="18" t="s">
        <v>3769</v>
      </c>
      <c r="D453" s="18" t="s">
        <v>3824</v>
      </c>
      <c r="E453" s="18" t="s">
        <v>3830</v>
      </c>
    </row>
    <row r="454" spans="1:5" ht="24" customHeight="1" x14ac:dyDescent="0.25">
      <c r="A454" s="16">
        <v>459</v>
      </c>
      <c r="B454" s="18" t="s">
        <v>3768</v>
      </c>
      <c r="C454" s="18" t="s">
        <v>3769</v>
      </c>
      <c r="D454" s="18" t="s">
        <v>3824</v>
      </c>
      <c r="E454" s="18" t="s">
        <v>3831</v>
      </c>
    </row>
    <row r="455" spans="1:5" ht="36" customHeight="1" x14ac:dyDescent="0.25">
      <c r="A455" s="16">
        <v>460</v>
      </c>
      <c r="B455" s="18" t="s">
        <v>3768</v>
      </c>
      <c r="C455" s="18" t="s">
        <v>3769</v>
      </c>
      <c r="D455" s="18" t="s">
        <v>3824</v>
      </c>
      <c r="E455" s="18" t="s">
        <v>3832</v>
      </c>
    </row>
    <row r="456" spans="1:5" ht="24" customHeight="1" x14ac:dyDescent="0.25">
      <c r="A456" s="16">
        <v>461</v>
      </c>
      <c r="B456" s="18" t="s">
        <v>3768</v>
      </c>
      <c r="C456" s="18" t="s">
        <v>3769</v>
      </c>
      <c r="D456" s="18" t="s">
        <v>3824</v>
      </c>
      <c r="E456" s="18" t="s">
        <v>3833</v>
      </c>
    </row>
    <row r="457" spans="1:5" ht="24" customHeight="1" x14ac:dyDescent="0.25">
      <c r="A457" s="16">
        <v>462</v>
      </c>
      <c r="B457" s="18" t="s">
        <v>3768</v>
      </c>
      <c r="C457" s="18" t="s">
        <v>3769</v>
      </c>
      <c r="D457" s="18" t="s">
        <v>3824</v>
      </c>
      <c r="E457" s="18" t="s">
        <v>3834</v>
      </c>
    </row>
    <row r="458" spans="1:5" ht="36" customHeight="1" x14ac:dyDescent="0.25">
      <c r="A458" s="16">
        <v>463</v>
      </c>
      <c r="B458" s="18" t="s">
        <v>3768</v>
      </c>
      <c r="C458" s="18" t="s">
        <v>3769</v>
      </c>
      <c r="D458" s="18" t="s">
        <v>3824</v>
      </c>
      <c r="E458" s="18" t="s">
        <v>3835</v>
      </c>
    </row>
    <row r="459" spans="1:5" ht="36" customHeight="1" x14ac:dyDescent="0.25">
      <c r="A459" s="16">
        <v>464</v>
      </c>
      <c r="B459" s="18" t="s">
        <v>3768</v>
      </c>
      <c r="C459" s="18" t="s">
        <v>3769</v>
      </c>
      <c r="D459" s="18" t="s">
        <v>3824</v>
      </c>
      <c r="E459" s="18" t="s">
        <v>3836</v>
      </c>
    </row>
    <row r="460" spans="1:5" ht="24" customHeight="1" x14ac:dyDescent="0.25">
      <c r="A460" s="16">
        <v>465</v>
      </c>
      <c r="B460" s="18" t="s">
        <v>3768</v>
      </c>
      <c r="C460" s="18" t="s">
        <v>3769</v>
      </c>
      <c r="D460" s="18" t="s">
        <v>3824</v>
      </c>
      <c r="E460" s="18" t="s">
        <v>3837</v>
      </c>
    </row>
    <row r="461" spans="1:5" ht="24" customHeight="1" x14ac:dyDescent="0.25">
      <c r="A461" s="16">
        <v>466</v>
      </c>
      <c r="B461" s="18" t="s">
        <v>3768</v>
      </c>
      <c r="C461" s="18" t="s">
        <v>3769</v>
      </c>
      <c r="D461" s="18" t="s">
        <v>3824</v>
      </c>
      <c r="E461" s="18" t="s">
        <v>3838</v>
      </c>
    </row>
    <row r="462" spans="1:5" ht="24" customHeight="1" x14ac:dyDescent="0.25">
      <c r="A462" s="16">
        <v>467</v>
      </c>
      <c r="B462" s="18" t="s">
        <v>3768</v>
      </c>
      <c r="C462" s="18" t="s">
        <v>3769</v>
      </c>
      <c r="D462" s="18" t="s">
        <v>3824</v>
      </c>
      <c r="E462" s="18" t="s">
        <v>3839</v>
      </c>
    </row>
    <row r="463" spans="1:5" ht="24" customHeight="1" x14ac:dyDescent="0.25">
      <c r="A463" s="16">
        <v>468</v>
      </c>
      <c r="B463" s="18" t="s">
        <v>3768</v>
      </c>
      <c r="C463" s="18" t="s">
        <v>3769</v>
      </c>
      <c r="D463" s="18" t="s">
        <v>3840</v>
      </c>
      <c r="E463" s="18" t="s">
        <v>3841</v>
      </c>
    </row>
    <row r="464" spans="1:5" ht="24" customHeight="1" x14ac:dyDescent="0.25">
      <c r="A464" s="16">
        <v>469</v>
      </c>
      <c r="B464" s="18" t="s">
        <v>3768</v>
      </c>
      <c r="C464" s="18" t="s">
        <v>3769</v>
      </c>
      <c r="D464" s="18" t="s">
        <v>3840</v>
      </c>
      <c r="E464" s="18" t="s">
        <v>3842</v>
      </c>
    </row>
    <row r="465" spans="1:5" ht="24" customHeight="1" x14ac:dyDescent="0.25">
      <c r="A465" s="16">
        <v>470</v>
      </c>
      <c r="B465" s="18" t="s">
        <v>3768</v>
      </c>
      <c r="C465" s="18" t="s">
        <v>3769</v>
      </c>
      <c r="D465" s="18" t="s">
        <v>3840</v>
      </c>
      <c r="E465" s="18" t="s">
        <v>3843</v>
      </c>
    </row>
    <row r="466" spans="1:5" ht="36" customHeight="1" x14ac:dyDescent="0.25">
      <c r="A466" s="16">
        <v>471</v>
      </c>
      <c r="B466" s="18" t="s">
        <v>3768</v>
      </c>
      <c r="C466" s="18" t="s">
        <v>3769</v>
      </c>
      <c r="D466" s="18" t="s">
        <v>3840</v>
      </c>
      <c r="E466" s="18" t="s">
        <v>3844</v>
      </c>
    </row>
    <row r="467" spans="1:5" ht="24" customHeight="1" x14ac:dyDescent="0.25">
      <c r="A467" s="16">
        <v>472</v>
      </c>
      <c r="B467" s="18" t="s">
        <v>3768</v>
      </c>
      <c r="C467" s="18" t="s">
        <v>3769</v>
      </c>
      <c r="D467" s="18" t="s">
        <v>3840</v>
      </c>
      <c r="E467" s="18" t="s">
        <v>3845</v>
      </c>
    </row>
    <row r="468" spans="1:5" ht="24" customHeight="1" x14ac:dyDescent="0.25">
      <c r="A468" s="16">
        <v>473</v>
      </c>
      <c r="B468" s="18" t="s">
        <v>3768</v>
      </c>
      <c r="C468" s="18" t="s">
        <v>3769</v>
      </c>
      <c r="D468" s="18" t="s">
        <v>3840</v>
      </c>
      <c r="E468" s="18" t="s">
        <v>3846</v>
      </c>
    </row>
    <row r="469" spans="1:5" ht="24" customHeight="1" x14ac:dyDescent="0.25">
      <c r="A469" s="16">
        <v>474</v>
      </c>
      <c r="B469" s="18" t="s">
        <v>3768</v>
      </c>
      <c r="C469" s="18" t="s">
        <v>3769</v>
      </c>
      <c r="D469" s="18" t="s">
        <v>3840</v>
      </c>
      <c r="E469" s="18" t="s">
        <v>3847</v>
      </c>
    </row>
    <row r="470" spans="1:5" ht="24" customHeight="1" x14ac:dyDescent="0.25">
      <c r="A470" s="16">
        <v>475</v>
      </c>
      <c r="B470" s="18" t="s">
        <v>3768</v>
      </c>
      <c r="C470" s="18" t="s">
        <v>3769</v>
      </c>
      <c r="D470" s="18" t="s">
        <v>3840</v>
      </c>
      <c r="E470" s="18" t="s">
        <v>3848</v>
      </c>
    </row>
    <row r="471" spans="1:5" ht="24" customHeight="1" x14ac:dyDescent="0.25">
      <c r="A471" s="16">
        <v>476</v>
      </c>
      <c r="B471" s="18" t="s">
        <v>3768</v>
      </c>
      <c r="C471" s="18" t="s">
        <v>3769</v>
      </c>
      <c r="D471" s="18" t="s">
        <v>3840</v>
      </c>
      <c r="E471" s="18" t="s">
        <v>3849</v>
      </c>
    </row>
    <row r="472" spans="1:5" ht="24" customHeight="1" x14ac:dyDescent="0.25">
      <c r="A472" s="16">
        <v>477</v>
      </c>
      <c r="B472" s="18" t="s">
        <v>3768</v>
      </c>
      <c r="C472" s="18" t="s">
        <v>3769</v>
      </c>
      <c r="D472" s="18" t="s">
        <v>3840</v>
      </c>
      <c r="E472" s="18" t="s">
        <v>3850</v>
      </c>
    </row>
    <row r="473" spans="1:5" ht="24" customHeight="1" x14ac:dyDescent="0.25">
      <c r="A473" s="16">
        <v>478</v>
      </c>
      <c r="B473" s="18" t="s">
        <v>3768</v>
      </c>
      <c r="C473" s="18" t="s">
        <v>3769</v>
      </c>
      <c r="D473" s="18" t="s">
        <v>3840</v>
      </c>
      <c r="E473" s="18" t="s">
        <v>3851</v>
      </c>
    </row>
    <row r="474" spans="1:5" ht="36" customHeight="1" x14ac:dyDescent="0.25">
      <c r="A474" s="16">
        <v>479</v>
      </c>
      <c r="B474" s="18" t="s">
        <v>3768</v>
      </c>
      <c r="C474" s="18" t="s">
        <v>3769</v>
      </c>
      <c r="D474" s="18" t="s">
        <v>3840</v>
      </c>
      <c r="E474" s="18" t="s">
        <v>3852</v>
      </c>
    </row>
    <row r="475" spans="1:5" ht="36" customHeight="1" x14ac:dyDescent="0.25">
      <c r="A475" s="16">
        <v>480</v>
      </c>
      <c r="B475" s="18" t="s">
        <v>3768</v>
      </c>
      <c r="C475" s="18" t="s">
        <v>3769</v>
      </c>
      <c r="D475" s="18" t="s">
        <v>3840</v>
      </c>
      <c r="E475" s="18" t="s">
        <v>3853</v>
      </c>
    </row>
    <row r="476" spans="1:5" ht="24" customHeight="1" x14ac:dyDescent="0.25">
      <c r="A476" s="16">
        <v>481</v>
      </c>
      <c r="B476" s="18" t="s">
        <v>3768</v>
      </c>
      <c r="C476" s="18" t="s">
        <v>3769</v>
      </c>
      <c r="D476" s="18" t="s">
        <v>3854</v>
      </c>
      <c r="E476" s="18" t="s">
        <v>3855</v>
      </c>
    </row>
    <row r="477" spans="1:5" ht="24" customHeight="1" x14ac:dyDescent="0.25">
      <c r="A477" s="16">
        <v>482</v>
      </c>
      <c r="B477" s="18" t="s">
        <v>3768</v>
      </c>
      <c r="C477" s="18" t="s">
        <v>3769</v>
      </c>
      <c r="D477" s="18" t="s">
        <v>3854</v>
      </c>
      <c r="E477" s="18" t="s">
        <v>3856</v>
      </c>
    </row>
    <row r="478" spans="1:5" ht="36" customHeight="1" x14ac:dyDescent="0.25">
      <c r="A478" s="16">
        <v>483</v>
      </c>
      <c r="B478" s="18" t="s">
        <v>3768</v>
      </c>
      <c r="C478" s="18" t="s">
        <v>3769</v>
      </c>
      <c r="D478" s="18" t="s">
        <v>3854</v>
      </c>
      <c r="E478" s="18" t="s">
        <v>3857</v>
      </c>
    </row>
    <row r="479" spans="1:5" ht="24" customHeight="1" x14ac:dyDescent="0.25">
      <c r="A479" s="16">
        <v>484</v>
      </c>
      <c r="B479" s="18" t="s">
        <v>3768</v>
      </c>
      <c r="C479" s="18" t="s">
        <v>3769</v>
      </c>
      <c r="D479" s="18" t="s">
        <v>3854</v>
      </c>
      <c r="E479" s="18" t="s">
        <v>3858</v>
      </c>
    </row>
    <row r="480" spans="1:5" ht="24" customHeight="1" x14ac:dyDescent="0.25">
      <c r="A480" s="16">
        <v>485</v>
      </c>
      <c r="B480" s="18" t="s">
        <v>3768</v>
      </c>
      <c r="C480" s="18" t="s">
        <v>3769</v>
      </c>
      <c r="D480" s="18" t="s">
        <v>3854</v>
      </c>
      <c r="E480" s="18" t="s">
        <v>3859</v>
      </c>
    </row>
    <row r="481" spans="1:5" ht="24" customHeight="1" x14ac:dyDescent="0.25">
      <c r="A481" s="16">
        <v>486</v>
      </c>
      <c r="B481" s="18" t="s">
        <v>3768</v>
      </c>
      <c r="C481" s="18" t="s">
        <v>3769</v>
      </c>
      <c r="D481" s="18" t="s">
        <v>3854</v>
      </c>
      <c r="E481" s="18" t="s">
        <v>3860</v>
      </c>
    </row>
    <row r="482" spans="1:5" ht="24" customHeight="1" x14ac:dyDescent="0.25">
      <c r="A482" s="16">
        <v>487</v>
      </c>
      <c r="B482" s="18" t="s">
        <v>3768</v>
      </c>
      <c r="C482" s="18" t="s">
        <v>3769</v>
      </c>
      <c r="D482" s="18" t="s">
        <v>3854</v>
      </c>
      <c r="E482" s="18" t="s">
        <v>3861</v>
      </c>
    </row>
    <row r="483" spans="1:5" ht="24" customHeight="1" x14ac:dyDescent="0.25">
      <c r="A483" s="16">
        <v>488</v>
      </c>
      <c r="B483" s="18" t="s">
        <v>3768</v>
      </c>
      <c r="C483" s="18" t="s">
        <v>3769</v>
      </c>
      <c r="D483" s="18" t="s">
        <v>3854</v>
      </c>
      <c r="E483" s="18" t="s">
        <v>3862</v>
      </c>
    </row>
    <row r="484" spans="1:5" ht="36" customHeight="1" x14ac:dyDescent="0.25">
      <c r="A484" s="16">
        <v>489</v>
      </c>
      <c r="B484" s="18" t="s">
        <v>3768</v>
      </c>
      <c r="C484" s="18" t="s">
        <v>3769</v>
      </c>
      <c r="D484" s="18" t="s">
        <v>3854</v>
      </c>
      <c r="E484" s="18" t="s">
        <v>3863</v>
      </c>
    </row>
    <row r="485" spans="1:5" ht="36" customHeight="1" x14ac:dyDescent="0.25">
      <c r="A485" s="16">
        <v>490</v>
      </c>
      <c r="B485" s="18" t="s">
        <v>3768</v>
      </c>
      <c r="C485" s="18" t="s">
        <v>3769</v>
      </c>
      <c r="D485" s="18" t="s">
        <v>3854</v>
      </c>
      <c r="E485" s="18" t="s">
        <v>3864</v>
      </c>
    </row>
    <row r="486" spans="1:5" ht="24" customHeight="1" x14ac:dyDescent="0.25">
      <c r="A486" s="16">
        <v>491</v>
      </c>
      <c r="B486" s="18" t="s">
        <v>3768</v>
      </c>
      <c r="C486" s="18" t="s">
        <v>3769</v>
      </c>
      <c r="D486" s="18" t="s">
        <v>3854</v>
      </c>
      <c r="E486" s="18" t="s">
        <v>3865</v>
      </c>
    </row>
    <row r="487" spans="1:5" ht="24" customHeight="1" x14ac:dyDescent="0.25">
      <c r="A487" s="16">
        <v>492</v>
      </c>
      <c r="B487" s="18" t="s">
        <v>3768</v>
      </c>
      <c r="C487" s="18" t="s">
        <v>3769</v>
      </c>
      <c r="D487" s="18" t="s">
        <v>3854</v>
      </c>
      <c r="E487" s="18" t="s">
        <v>3866</v>
      </c>
    </row>
    <row r="488" spans="1:5" ht="24" customHeight="1" x14ac:dyDescent="0.25">
      <c r="A488" s="16">
        <v>493</v>
      </c>
      <c r="B488" s="18" t="s">
        <v>3768</v>
      </c>
      <c r="C488" s="18" t="s">
        <v>3769</v>
      </c>
      <c r="D488" s="18" t="s">
        <v>3854</v>
      </c>
      <c r="E488" s="18" t="s">
        <v>3867</v>
      </c>
    </row>
    <row r="489" spans="1:5" ht="24" customHeight="1" x14ac:dyDescent="0.25">
      <c r="A489" s="16">
        <v>494</v>
      </c>
      <c r="B489" s="18" t="s">
        <v>3768</v>
      </c>
      <c r="C489" s="18" t="s">
        <v>3769</v>
      </c>
      <c r="D489" s="18" t="s">
        <v>3854</v>
      </c>
      <c r="E489" s="18" t="s">
        <v>3868</v>
      </c>
    </row>
    <row r="490" spans="1:5" x14ac:dyDescent="0.25">
      <c r="A490" s="16">
        <v>495</v>
      </c>
      <c r="B490" s="18" t="s">
        <v>3768</v>
      </c>
      <c r="C490" s="18" t="s">
        <v>3869</v>
      </c>
      <c r="D490" s="18" t="s">
        <v>3869</v>
      </c>
      <c r="E490" s="18" t="s">
        <v>3870</v>
      </c>
    </row>
    <row r="491" spans="1:5" x14ac:dyDescent="0.25">
      <c r="A491" s="16">
        <v>496</v>
      </c>
      <c r="B491" s="18" t="s">
        <v>3768</v>
      </c>
      <c r="C491" s="18" t="s">
        <v>3869</v>
      </c>
      <c r="D491" s="18" t="s">
        <v>3869</v>
      </c>
      <c r="E491" s="18" t="s">
        <v>3871</v>
      </c>
    </row>
    <row r="492" spans="1:5" x14ac:dyDescent="0.25">
      <c r="A492" s="16">
        <v>497</v>
      </c>
      <c r="B492" s="18" t="s">
        <v>3768</v>
      </c>
      <c r="C492" s="18" t="s">
        <v>3869</v>
      </c>
      <c r="D492" s="18" t="s">
        <v>3869</v>
      </c>
      <c r="E492" s="18" t="s">
        <v>3872</v>
      </c>
    </row>
    <row r="493" spans="1:5" ht="24" customHeight="1" x14ac:dyDescent="0.25">
      <c r="A493" s="16">
        <v>498</v>
      </c>
      <c r="B493" s="18" t="s">
        <v>3768</v>
      </c>
      <c r="C493" s="18" t="s">
        <v>3869</v>
      </c>
      <c r="D493" s="18" t="s">
        <v>3869</v>
      </c>
      <c r="E493" s="18" t="s">
        <v>3873</v>
      </c>
    </row>
    <row r="494" spans="1:5" x14ac:dyDescent="0.25">
      <c r="A494" s="16">
        <v>499</v>
      </c>
      <c r="B494" s="18" t="s">
        <v>3768</v>
      </c>
      <c r="C494" s="18" t="s">
        <v>3869</v>
      </c>
      <c r="D494" s="18" t="s">
        <v>3869</v>
      </c>
      <c r="E494" s="18" t="s">
        <v>3874</v>
      </c>
    </row>
    <row r="495" spans="1:5" x14ac:dyDescent="0.25">
      <c r="A495" s="16">
        <v>500</v>
      </c>
      <c r="B495" s="18" t="s">
        <v>3768</v>
      </c>
      <c r="C495" s="18" t="s">
        <v>3869</v>
      </c>
      <c r="D495" s="18" t="s">
        <v>3869</v>
      </c>
      <c r="E495" s="18" t="s">
        <v>3875</v>
      </c>
    </row>
    <row r="496" spans="1:5" x14ac:dyDescent="0.25">
      <c r="A496" s="16">
        <v>501</v>
      </c>
      <c r="B496" s="18" t="s">
        <v>3768</v>
      </c>
      <c r="C496" s="18" t="s">
        <v>3869</v>
      </c>
      <c r="D496" s="18" t="s">
        <v>3869</v>
      </c>
      <c r="E496" s="18" t="s">
        <v>3876</v>
      </c>
    </row>
    <row r="497" spans="1:5" x14ac:dyDescent="0.25">
      <c r="A497" s="16">
        <v>502</v>
      </c>
      <c r="B497" s="18" t="s">
        <v>3768</v>
      </c>
      <c r="C497" s="18" t="s">
        <v>3869</v>
      </c>
      <c r="D497" s="18" t="s">
        <v>3869</v>
      </c>
      <c r="E497" s="18" t="s">
        <v>3877</v>
      </c>
    </row>
    <row r="498" spans="1:5" ht="24" customHeight="1" x14ac:dyDescent="0.25">
      <c r="A498" s="16">
        <v>503</v>
      </c>
      <c r="B498" s="18" t="s">
        <v>3768</v>
      </c>
      <c r="C498" s="18" t="s">
        <v>3869</v>
      </c>
      <c r="D498" s="18" t="s">
        <v>3869</v>
      </c>
      <c r="E498" s="18" t="s">
        <v>3878</v>
      </c>
    </row>
    <row r="499" spans="1:5" x14ac:dyDescent="0.25">
      <c r="A499" s="16">
        <v>504</v>
      </c>
      <c r="B499" s="18" t="s">
        <v>3768</v>
      </c>
      <c r="C499" s="18" t="s">
        <v>3869</v>
      </c>
      <c r="D499" s="18" t="s">
        <v>3869</v>
      </c>
      <c r="E499" s="18" t="s">
        <v>3879</v>
      </c>
    </row>
    <row r="500" spans="1:5" x14ac:dyDescent="0.25">
      <c r="A500" s="16">
        <v>505</v>
      </c>
      <c r="B500" s="18" t="s">
        <v>3768</v>
      </c>
      <c r="C500" s="18" t="s">
        <v>3869</v>
      </c>
      <c r="D500" s="18" t="s">
        <v>3869</v>
      </c>
      <c r="E500" s="18" t="s">
        <v>3880</v>
      </c>
    </row>
    <row r="501" spans="1:5" x14ac:dyDescent="0.25">
      <c r="A501" s="16">
        <v>506</v>
      </c>
      <c r="B501" s="18" t="s">
        <v>3768</v>
      </c>
      <c r="C501" s="18" t="s">
        <v>3869</v>
      </c>
      <c r="D501" s="18" t="s">
        <v>3869</v>
      </c>
      <c r="E501" s="18" t="s">
        <v>3881</v>
      </c>
    </row>
    <row r="502" spans="1:5" x14ac:dyDescent="0.25">
      <c r="A502" s="16">
        <v>507</v>
      </c>
      <c r="B502" s="18" t="s">
        <v>3768</v>
      </c>
      <c r="C502" s="18" t="s">
        <v>3869</v>
      </c>
      <c r="D502" s="18" t="s">
        <v>3882</v>
      </c>
      <c r="E502" s="18" t="s">
        <v>3883</v>
      </c>
    </row>
    <row r="503" spans="1:5" x14ac:dyDescent="0.25">
      <c r="A503" s="16">
        <v>508</v>
      </c>
      <c r="B503" s="18" t="s">
        <v>3768</v>
      </c>
      <c r="C503" s="18" t="s">
        <v>3869</v>
      </c>
      <c r="D503" s="18" t="s">
        <v>3882</v>
      </c>
      <c r="E503" s="18" t="s">
        <v>3884</v>
      </c>
    </row>
    <row r="504" spans="1:5" x14ac:dyDescent="0.25">
      <c r="A504" s="16">
        <v>509</v>
      </c>
      <c r="B504" s="18" t="s">
        <v>3768</v>
      </c>
      <c r="C504" s="18" t="s">
        <v>3869</v>
      </c>
      <c r="D504" s="18" t="s">
        <v>3882</v>
      </c>
      <c r="E504" s="18" t="s">
        <v>3885</v>
      </c>
    </row>
    <row r="505" spans="1:5" x14ac:dyDescent="0.25">
      <c r="A505" s="16">
        <v>510</v>
      </c>
      <c r="B505" s="18" t="s">
        <v>3768</v>
      </c>
      <c r="C505" s="18" t="s">
        <v>3869</v>
      </c>
      <c r="D505" s="18" t="s">
        <v>3882</v>
      </c>
      <c r="E505" s="18" t="s">
        <v>3886</v>
      </c>
    </row>
    <row r="506" spans="1:5" x14ac:dyDescent="0.25">
      <c r="A506" s="16">
        <v>511</v>
      </c>
      <c r="B506" s="18" t="s">
        <v>3768</v>
      </c>
      <c r="C506" s="18" t="s">
        <v>3869</v>
      </c>
      <c r="D506" s="18" t="s">
        <v>3882</v>
      </c>
      <c r="E506" s="18" t="s">
        <v>3887</v>
      </c>
    </row>
    <row r="507" spans="1:5" x14ac:dyDescent="0.25">
      <c r="A507" s="16">
        <v>512</v>
      </c>
      <c r="B507" s="18" t="s">
        <v>3768</v>
      </c>
      <c r="C507" s="18" t="s">
        <v>3869</v>
      </c>
      <c r="D507" s="18" t="s">
        <v>3888</v>
      </c>
      <c r="E507" s="18" t="s">
        <v>3889</v>
      </c>
    </row>
    <row r="508" spans="1:5" x14ac:dyDescent="0.25">
      <c r="A508" s="16">
        <v>513</v>
      </c>
      <c r="B508" s="18" t="s">
        <v>3768</v>
      </c>
      <c r="C508" s="18" t="s">
        <v>3869</v>
      </c>
      <c r="D508" s="18" t="s">
        <v>3888</v>
      </c>
      <c r="E508" s="18" t="s">
        <v>3890</v>
      </c>
    </row>
    <row r="509" spans="1:5" x14ac:dyDescent="0.25">
      <c r="A509" s="16">
        <v>514</v>
      </c>
      <c r="B509" s="18" t="s">
        <v>3768</v>
      </c>
      <c r="C509" s="18" t="s">
        <v>3869</v>
      </c>
      <c r="D509" s="18" t="s">
        <v>3888</v>
      </c>
      <c r="E509" s="18" t="s">
        <v>3891</v>
      </c>
    </row>
    <row r="510" spans="1:5" x14ac:dyDescent="0.25">
      <c r="A510" s="16">
        <v>515</v>
      </c>
      <c r="B510" s="18" t="s">
        <v>3768</v>
      </c>
      <c r="C510" s="18" t="s">
        <v>3869</v>
      </c>
      <c r="D510" s="18" t="s">
        <v>3888</v>
      </c>
      <c r="E510" s="18" t="s">
        <v>3892</v>
      </c>
    </row>
    <row r="511" spans="1:5" ht="24" customHeight="1" x14ac:dyDescent="0.25">
      <c r="A511" s="16">
        <v>516</v>
      </c>
      <c r="B511" s="18" t="s">
        <v>3768</v>
      </c>
      <c r="C511" s="18" t="s">
        <v>3869</v>
      </c>
      <c r="D511" s="18" t="s">
        <v>3888</v>
      </c>
      <c r="E511" s="18" t="s">
        <v>3893</v>
      </c>
    </row>
    <row r="512" spans="1:5" x14ac:dyDescent="0.25">
      <c r="A512" s="16">
        <v>517</v>
      </c>
      <c r="B512" s="18" t="s">
        <v>3768</v>
      </c>
      <c r="C512" s="18" t="s">
        <v>3869</v>
      </c>
      <c r="D512" s="18" t="s">
        <v>3888</v>
      </c>
      <c r="E512" s="18" t="s">
        <v>3894</v>
      </c>
    </row>
    <row r="513" spans="1:5" x14ac:dyDescent="0.25">
      <c r="A513" s="16">
        <v>518</v>
      </c>
      <c r="B513" s="18" t="s">
        <v>3768</v>
      </c>
      <c r="C513" s="18" t="s">
        <v>3869</v>
      </c>
      <c r="D513" s="18" t="s">
        <v>3888</v>
      </c>
      <c r="E513" s="18" t="s">
        <v>3895</v>
      </c>
    </row>
    <row r="514" spans="1:5" x14ac:dyDescent="0.25">
      <c r="A514" s="16">
        <v>519</v>
      </c>
      <c r="B514" s="18" t="s">
        <v>3768</v>
      </c>
      <c r="C514" s="18" t="s">
        <v>3869</v>
      </c>
      <c r="D514" s="18" t="s">
        <v>3896</v>
      </c>
      <c r="E514" s="18" t="s">
        <v>3897</v>
      </c>
    </row>
    <row r="515" spans="1:5" ht="24" customHeight="1" x14ac:dyDescent="0.25">
      <c r="A515" s="16">
        <v>520</v>
      </c>
      <c r="B515" s="18" t="s">
        <v>3768</v>
      </c>
      <c r="C515" s="18" t="s">
        <v>3869</v>
      </c>
      <c r="D515" s="18" t="s">
        <v>3896</v>
      </c>
      <c r="E515" s="18" t="s">
        <v>3898</v>
      </c>
    </row>
    <row r="516" spans="1:5" ht="24" customHeight="1" x14ac:dyDescent="0.25">
      <c r="A516" s="16">
        <v>521</v>
      </c>
      <c r="B516" s="18" t="s">
        <v>3768</v>
      </c>
      <c r="C516" s="18" t="s">
        <v>3869</v>
      </c>
      <c r="D516" s="18" t="s">
        <v>3896</v>
      </c>
      <c r="E516" s="18" t="s">
        <v>3899</v>
      </c>
    </row>
    <row r="517" spans="1:5" ht="24" customHeight="1" x14ac:dyDescent="0.25">
      <c r="A517" s="16">
        <v>522</v>
      </c>
      <c r="B517" s="18" t="s">
        <v>3768</v>
      </c>
      <c r="C517" s="18" t="s">
        <v>3869</v>
      </c>
      <c r="D517" s="18" t="s">
        <v>3896</v>
      </c>
      <c r="E517" s="18" t="s">
        <v>3900</v>
      </c>
    </row>
    <row r="518" spans="1:5" ht="36" customHeight="1" x14ac:dyDescent="0.25">
      <c r="A518" s="16">
        <v>523</v>
      </c>
      <c r="B518" s="18" t="s">
        <v>3768</v>
      </c>
      <c r="C518" s="18" t="s">
        <v>3869</v>
      </c>
      <c r="D518" s="18" t="s">
        <v>3896</v>
      </c>
      <c r="E518" s="18" t="s">
        <v>3901</v>
      </c>
    </row>
    <row r="519" spans="1:5" ht="24" customHeight="1" x14ac:dyDescent="0.25">
      <c r="A519" s="16">
        <v>524</v>
      </c>
      <c r="B519" s="18" t="s">
        <v>3768</v>
      </c>
      <c r="C519" s="18" t="s">
        <v>3869</v>
      </c>
      <c r="D519" s="18" t="s">
        <v>3896</v>
      </c>
      <c r="E519" s="18" t="s">
        <v>3902</v>
      </c>
    </row>
    <row r="520" spans="1:5" ht="24" customHeight="1" x14ac:dyDescent="0.25">
      <c r="A520" s="16">
        <v>525</v>
      </c>
      <c r="B520" s="18" t="s">
        <v>3768</v>
      </c>
      <c r="C520" s="18" t="s">
        <v>3869</v>
      </c>
      <c r="D520" s="18" t="s">
        <v>3896</v>
      </c>
      <c r="E520" s="18" t="s">
        <v>3903</v>
      </c>
    </row>
    <row r="521" spans="1:5" ht="24" customHeight="1" x14ac:dyDescent="0.25">
      <c r="A521" s="16">
        <v>526</v>
      </c>
      <c r="B521" s="18" t="s">
        <v>3768</v>
      </c>
      <c r="C521" s="18" t="s">
        <v>3869</v>
      </c>
      <c r="D521" s="18" t="s">
        <v>3896</v>
      </c>
      <c r="E521" s="18" t="s">
        <v>3904</v>
      </c>
    </row>
    <row r="522" spans="1:5" x14ac:dyDescent="0.25">
      <c r="A522" s="16">
        <v>527</v>
      </c>
      <c r="B522" s="18" t="s">
        <v>3768</v>
      </c>
      <c r="C522" s="18" t="s">
        <v>3869</v>
      </c>
      <c r="D522" s="18" t="s">
        <v>3896</v>
      </c>
      <c r="E522" s="18" t="s">
        <v>3905</v>
      </c>
    </row>
    <row r="523" spans="1:5" x14ac:dyDescent="0.25">
      <c r="A523" s="16">
        <v>528</v>
      </c>
      <c r="B523" s="18" t="s">
        <v>3768</v>
      </c>
      <c r="C523" s="18" t="s">
        <v>3869</v>
      </c>
      <c r="D523" s="18" t="s">
        <v>3896</v>
      </c>
      <c r="E523" s="18" t="s">
        <v>3906</v>
      </c>
    </row>
    <row r="524" spans="1:5" x14ac:dyDescent="0.25">
      <c r="A524" s="16">
        <v>529</v>
      </c>
      <c r="B524" s="18" t="s">
        <v>3768</v>
      </c>
      <c r="C524" s="18" t="s">
        <v>3907</v>
      </c>
      <c r="D524" s="18" t="s">
        <v>3908</v>
      </c>
      <c r="E524" s="18" t="s">
        <v>3909</v>
      </c>
    </row>
    <row r="525" spans="1:5" x14ac:dyDescent="0.25">
      <c r="A525" s="16">
        <v>530</v>
      </c>
      <c r="B525" s="18" t="s">
        <v>3768</v>
      </c>
      <c r="C525" s="18" t="s">
        <v>3907</v>
      </c>
      <c r="D525" s="18" t="s">
        <v>3908</v>
      </c>
      <c r="E525" s="18" t="s">
        <v>3910</v>
      </c>
    </row>
    <row r="526" spans="1:5" x14ac:dyDescent="0.25">
      <c r="A526" s="16">
        <v>531</v>
      </c>
      <c r="B526" s="18" t="s">
        <v>3768</v>
      </c>
      <c r="C526" s="18" t="s">
        <v>3907</v>
      </c>
      <c r="D526" s="18" t="s">
        <v>3908</v>
      </c>
      <c r="E526" s="18" t="s">
        <v>3911</v>
      </c>
    </row>
    <row r="527" spans="1:5" x14ac:dyDescent="0.25">
      <c r="A527" s="16">
        <v>532</v>
      </c>
      <c r="B527" s="18" t="s">
        <v>3768</v>
      </c>
      <c r="C527" s="18" t="s">
        <v>3907</v>
      </c>
      <c r="D527" s="18" t="s">
        <v>3908</v>
      </c>
      <c r="E527" s="18" t="s">
        <v>3912</v>
      </c>
    </row>
    <row r="528" spans="1:5" ht="24" customHeight="1" x14ac:dyDescent="0.25">
      <c r="A528" s="16">
        <v>533</v>
      </c>
      <c r="B528" s="18" t="s">
        <v>3768</v>
      </c>
      <c r="C528" s="18" t="s">
        <v>3907</v>
      </c>
      <c r="D528" s="18" t="s">
        <v>3908</v>
      </c>
      <c r="E528" s="18" t="s">
        <v>3913</v>
      </c>
    </row>
    <row r="529" spans="1:5" x14ac:dyDescent="0.25">
      <c r="A529" s="16">
        <v>534</v>
      </c>
      <c r="B529" s="18" t="s">
        <v>3768</v>
      </c>
      <c r="C529" s="18" t="s">
        <v>3907</v>
      </c>
      <c r="D529" s="18" t="s">
        <v>3908</v>
      </c>
      <c r="E529" s="18" t="s">
        <v>3914</v>
      </c>
    </row>
    <row r="530" spans="1:5" ht="24" customHeight="1" x14ac:dyDescent="0.25">
      <c r="A530" s="16">
        <v>535</v>
      </c>
      <c r="B530" s="18" t="s">
        <v>3768</v>
      </c>
      <c r="C530" s="18" t="s">
        <v>3907</v>
      </c>
      <c r="D530" s="18" t="s">
        <v>3908</v>
      </c>
      <c r="E530" s="18" t="s">
        <v>3915</v>
      </c>
    </row>
    <row r="531" spans="1:5" x14ac:dyDescent="0.25">
      <c r="A531" s="16">
        <v>536</v>
      </c>
      <c r="B531" s="18" t="s">
        <v>3768</v>
      </c>
      <c r="C531" s="18" t="s">
        <v>3907</v>
      </c>
      <c r="D531" s="18" t="s">
        <v>3908</v>
      </c>
      <c r="E531" s="18" t="s">
        <v>3916</v>
      </c>
    </row>
    <row r="532" spans="1:5" x14ac:dyDescent="0.25">
      <c r="A532" s="16">
        <v>537</v>
      </c>
      <c r="B532" s="18" t="s">
        <v>3768</v>
      </c>
      <c r="C532" s="18" t="s">
        <v>3907</v>
      </c>
      <c r="D532" s="18" t="s">
        <v>3908</v>
      </c>
      <c r="E532" s="18" t="s">
        <v>3917</v>
      </c>
    </row>
    <row r="533" spans="1:5" x14ac:dyDescent="0.25">
      <c r="A533" s="16">
        <v>538</v>
      </c>
      <c r="B533" s="18" t="s">
        <v>3768</v>
      </c>
      <c r="C533" s="18" t="s">
        <v>3907</v>
      </c>
      <c r="D533" s="18" t="s">
        <v>3908</v>
      </c>
      <c r="E533" s="18" t="s">
        <v>3918</v>
      </c>
    </row>
    <row r="534" spans="1:5" x14ac:dyDescent="0.25">
      <c r="A534" s="16">
        <v>539</v>
      </c>
      <c r="B534" s="18" t="s">
        <v>3768</v>
      </c>
      <c r="C534" s="18" t="s">
        <v>3907</v>
      </c>
      <c r="D534" s="18" t="s">
        <v>3908</v>
      </c>
      <c r="E534" s="18" t="s">
        <v>3919</v>
      </c>
    </row>
    <row r="535" spans="1:5" ht="24" customHeight="1" x14ac:dyDescent="0.25">
      <c r="A535" s="16">
        <v>540</v>
      </c>
      <c r="B535" s="18" t="s">
        <v>3768</v>
      </c>
      <c r="C535" s="18" t="s">
        <v>3907</v>
      </c>
      <c r="D535" s="18" t="s">
        <v>3908</v>
      </c>
      <c r="E535" s="18" t="s">
        <v>3920</v>
      </c>
    </row>
    <row r="536" spans="1:5" x14ac:dyDescent="0.25">
      <c r="A536" s="16">
        <v>541</v>
      </c>
      <c r="B536" s="18" t="s">
        <v>3768</v>
      </c>
      <c r="C536" s="18" t="s">
        <v>3907</v>
      </c>
      <c r="D536" s="18" t="s">
        <v>3908</v>
      </c>
      <c r="E536" s="18" t="s">
        <v>3921</v>
      </c>
    </row>
    <row r="537" spans="1:5" ht="36" customHeight="1" x14ac:dyDescent="0.25">
      <c r="A537" s="16">
        <v>542</v>
      </c>
      <c r="B537" s="18" t="s">
        <v>3768</v>
      </c>
      <c r="C537" s="18" t="s">
        <v>3907</v>
      </c>
      <c r="D537" s="18" t="s">
        <v>3908</v>
      </c>
      <c r="E537" s="18" t="s">
        <v>3922</v>
      </c>
    </row>
    <row r="538" spans="1:5" x14ac:dyDescent="0.25">
      <c r="A538" s="16">
        <v>543</v>
      </c>
      <c r="B538" s="18" t="s">
        <v>3768</v>
      </c>
      <c r="C538" s="18" t="s">
        <v>3907</v>
      </c>
      <c r="D538" s="18" t="s">
        <v>3908</v>
      </c>
      <c r="E538" s="18" t="s">
        <v>3923</v>
      </c>
    </row>
    <row r="539" spans="1:5" x14ac:dyDescent="0.25">
      <c r="A539" s="16">
        <v>544</v>
      </c>
      <c r="B539" s="18" t="s">
        <v>3768</v>
      </c>
      <c r="C539" s="18" t="s">
        <v>3907</v>
      </c>
      <c r="D539" s="18" t="s">
        <v>3908</v>
      </c>
      <c r="E539" s="18" t="s">
        <v>3924</v>
      </c>
    </row>
    <row r="540" spans="1:5" x14ac:dyDescent="0.25">
      <c r="A540" s="16">
        <v>545</v>
      </c>
      <c r="B540" s="18" t="s">
        <v>3768</v>
      </c>
      <c r="C540" s="18" t="s">
        <v>3907</v>
      </c>
      <c r="D540" s="18" t="s">
        <v>3908</v>
      </c>
      <c r="E540" s="18" t="s">
        <v>3925</v>
      </c>
    </row>
    <row r="541" spans="1:5" x14ac:dyDescent="0.25">
      <c r="A541" s="16">
        <v>546</v>
      </c>
      <c r="B541" s="18" t="s">
        <v>3768</v>
      </c>
      <c r="C541" s="18" t="s">
        <v>3907</v>
      </c>
      <c r="D541" s="18" t="s">
        <v>3908</v>
      </c>
      <c r="E541" s="18" t="s">
        <v>3926</v>
      </c>
    </row>
    <row r="542" spans="1:5" x14ac:dyDescent="0.25">
      <c r="A542" s="16">
        <v>547</v>
      </c>
      <c r="B542" s="18" t="s">
        <v>3768</v>
      </c>
      <c r="C542" s="18" t="s">
        <v>3907</v>
      </c>
      <c r="D542" s="18" t="s">
        <v>3927</v>
      </c>
      <c r="E542" s="18" t="s">
        <v>3928</v>
      </c>
    </row>
    <row r="543" spans="1:5" x14ac:dyDescent="0.25">
      <c r="A543" s="16">
        <v>548</v>
      </c>
      <c r="B543" s="18" t="s">
        <v>3768</v>
      </c>
      <c r="C543" s="18" t="s">
        <v>3907</v>
      </c>
      <c r="D543" s="18" t="s">
        <v>3927</v>
      </c>
      <c r="E543" s="18" t="s">
        <v>3929</v>
      </c>
    </row>
    <row r="544" spans="1:5" x14ac:dyDescent="0.25">
      <c r="A544" s="16">
        <v>549</v>
      </c>
      <c r="B544" s="18" t="s">
        <v>3768</v>
      </c>
      <c r="C544" s="18" t="s">
        <v>3907</v>
      </c>
      <c r="D544" s="18" t="s">
        <v>3927</v>
      </c>
      <c r="E544" s="18" t="s">
        <v>3930</v>
      </c>
    </row>
    <row r="545" spans="1:5" ht="36" customHeight="1" x14ac:dyDescent="0.25">
      <c r="A545" s="16">
        <v>550</v>
      </c>
      <c r="B545" s="18" t="s">
        <v>3768</v>
      </c>
      <c r="C545" s="18" t="s">
        <v>3907</v>
      </c>
      <c r="D545" s="18" t="s">
        <v>3927</v>
      </c>
      <c r="E545" s="18" t="s">
        <v>3931</v>
      </c>
    </row>
    <row r="546" spans="1:5" x14ac:dyDescent="0.25">
      <c r="A546" s="16">
        <v>551</v>
      </c>
      <c r="B546" s="18" t="s">
        <v>3768</v>
      </c>
      <c r="C546" s="18" t="s">
        <v>3907</v>
      </c>
      <c r="D546" s="18" t="s">
        <v>3927</v>
      </c>
      <c r="E546" s="18" t="s">
        <v>3932</v>
      </c>
    </row>
    <row r="547" spans="1:5" ht="24" customHeight="1" x14ac:dyDescent="0.25">
      <c r="A547" s="16">
        <v>552</v>
      </c>
      <c r="B547" s="18" t="s">
        <v>3768</v>
      </c>
      <c r="C547" s="18" t="s">
        <v>3907</v>
      </c>
      <c r="D547" s="18" t="s">
        <v>3927</v>
      </c>
      <c r="E547" s="18" t="s">
        <v>3933</v>
      </c>
    </row>
    <row r="548" spans="1:5" ht="24" customHeight="1" x14ac:dyDescent="0.25">
      <c r="A548" s="16">
        <v>553</v>
      </c>
      <c r="B548" s="18" t="s">
        <v>3768</v>
      </c>
      <c r="C548" s="18" t="s">
        <v>3907</v>
      </c>
      <c r="D548" s="18" t="s">
        <v>3927</v>
      </c>
      <c r="E548" s="18" t="s">
        <v>3934</v>
      </c>
    </row>
    <row r="549" spans="1:5" x14ac:dyDescent="0.25">
      <c r="A549" s="16">
        <v>554</v>
      </c>
      <c r="B549" s="18" t="s">
        <v>3768</v>
      </c>
      <c r="C549" s="18" t="s">
        <v>3907</v>
      </c>
      <c r="D549" s="18" t="s">
        <v>3927</v>
      </c>
      <c r="E549" s="18" t="s">
        <v>3935</v>
      </c>
    </row>
    <row r="550" spans="1:5" ht="36" customHeight="1" x14ac:dyDescent="0.25">
      <c r="A550" s="16">
        <v>555</v>
      </c>
      <c r="B550" s="18" t="s">
        <v>3768</v>
      </c>
      <c r="C550" s="18" t="s">
        <v>3907</v>
      </c>
      <c r="D550" s="18" t="s">
        <v>3927</v>
      </c>
      <c r="E550" s="18" t="s">
        <v>3936</v>
      </c>
    </row>
    <row r="551" spans="1:5" ht="24" customHeight="1" x14ac:dyDescent="0.25">
      <c r="A551" s="16">
        <v>556</v>
      </c>
      <c r="B551" s="18" t="s">
        <v>3768</v>
      </c>
      <c r="C551" s="18" t="s">
        <v>3907</v>
      </c>
      <c r="D551" s="18" t="s">
        <v>3927</v>
      </c>
      <c r="E551" s="18" t="s">
        <v>3937</v>
      </c>
    </row>
    <row r="552" spans="1:5" x14ac:dyDescent="0.25">
      <c r="A552" s="16">
        <v>557</v>
      </c>
      <c r="B552" s="18" t="s">
        <v>3768</v>
      </c>
      <c r="C552" s="18" t="s">
        <v>3907</v>
      </c>
      <c r="D552" s="18" t="s">
        <v>3927</v>
      </c>
      <c r="E552" s="18" t="s">
        <v>3938</v>
      </c>
    </row>
    <row r="553" spans="1:5" ht="24" customHeight="1" x14ac:dyDescent="0.25">
      <c r="A553" s="16">
        <v>558</v>
      </c>
      <c r="B553" s="18" t="s">
        <v>3768</v>
      </c>
      <c r="C553" s="18" t="s">
        <v>3907</v>
      </c>
      <c r="D553" s="18" t="s">
        <v>3927</v>
      </c>
      <c r="E553" s="18" t="s">
        <v>3939</v>
      </c>
    </row>
    <row r="554" spans="1:5" x14ac:dyDescent="0.25">
      <c r="A554" s="16">
        <v>559</v>
      </c>
      <c r="B554" s="18" t="s">
        <v>3768</v>
      </c>
      <c r="C554" s="18" t="s">
        <v>3907</v>
      </c>
      <c r="D554" s="18" t="s">
        <v>3907</v>
      </c>
      <c r="E554" s="18" t="s">
        <v>3940</v>
      </c>
    </row>
    <row r="555" spans="1:5" ht="36" customHeight="1" x14ac:dyDescent="0.25">
      <c r="A555" s="16">
        <v>560</v>
      </c>
      <c r="B555" s="18" t="s">
        <v>3768</v>
      </c>
      <c r="C555" s="18" t="s">
        <v>3907</v>
      </c>
      <c r="D555" s="18" t="s">
        <v>3907</v>
      </c>
      <c r="E555" s="18" t="s">
        <v>3941</v>
      </c>
    </row>
    <row r="556" spans="1:5" ht="24" customHeight="1" x14ac:dyDescent="0.25">
      <c r="A556" s="16">
        <v>561</v>
      </c>
      <c r="B556" s="18" t="s">
        <v>3768</v>
      </c>
      <c r="C556" s="18" t="s">
        <v>3907</v>
      </c>
      <c r="D556" s="18" t="s">
        <v>3907</v>
      </c>
      <c r="E556" s="18" t="s">
        <v>3942</v>
      </c>
    </row>
    <row r="557" spans="1:5" x14ac:dyDescent="0.25">
      <c r="A557" s="16">
        <v>562</v>
      </c>
      <c r="B557" s="18" t="s">
        <v>3768</v>
      </c>
      <c r="C557" s="18" t="s">
        <v>3907</v>
      </c>
      <c r="D557" s="18" t="s">
        <v>3907</v>
      </c>
      <c r="E557" s="18" t="s">
        <v>3943</v>
      </c>
    </row>
    <row r="558" spans="1:5" x14ac:dyDescent="0.25">
      <c r="A558" s="16">
        <v>563</v>
      </c>
      <c r="B558" s="18" t="s">
        <v>3768</v>
      </c>
      <c r="C558" s="18" t="s">
        <v>3907</v>
      </c>
      <c r="D558" s="18" t="s">
        <v>3907</v>
      </c>
      <c r="E558" s="18" t="s">
        <v>3944</v>
      </c>
    </row>
    <row r="559" spans="1:5" x14ac:dyDescent="0.25">
      <c r="A559" s="16">
        <v>564</v>
      </c>
      <c r="B559" s="18" t="s">
        <v>3768</v>
      </c>
      <c r="C559" s="18" t="s">
        <v>3907</v>
      </c>
      <c r="D559" s="18" t="s">
        <v>3907</v>
      </c>
      <c r="E559" s="18" t="s">
        <v>3945</v>
      </c>
    </row>
    <row r="560" spans="1:5" ht="24" customHeight="1" x14ac:dyDescent="0.25">
      <c r="A560" s="16">
        <v>565</v>
      </c>
      <c r="B560" s="18" t="s">
        <v>3768</v>
      </c>
      <c r="C560" s="18" t="s">
        <v>3907</v>
      </c>
      <c r="D560" s="18" t="s">
        <v>3907</v>
      </c>
      <c r="E560" s="18" t="s">
        <v>3946</v>
      </c>
    </row>
    <row r="561" spans="1:5" x14ac:dyDescent="0.25">
      <c r="A561" s="16">
        <v>566</v>
      </c>
      <c r="B561" s="18" t="s">
        <v>3768</v>
      </c>
      <c r="C561" s="18" t="s">
        <v>3907</v>
      </c>
      <c r="D561" s="18" t="s">
        <v>3907</v>
      </c>
      <c r="E561" s="18" t="s">
        <v>3947</v>
      </c>
    </row>
    <row r="562" spans="1:5" x14ac:dyDescent="0.25">
      <c r="A562" s="16">
        <v>567</v>
      </c>
      <c r="B562" s="18" t="s">
        <v>3768</v>
      </c>
      <c r="C562" s="18" t="s">
        <v>3907</v>
      </c>
      <c r="D562" s="18" t="s">
        <v>3907</v>
      </c>
      <c r="E562" s="18" t="s">
        <v>3948</v>
      </c>
    </row>
    <row r="563" spans="1:5" x14ac:dyDescent="0.25">
      <c r="A563" s="16">
        <v>568</v>
      </c>
      <c r="B563" s="18" t="s">
        <v>3768</v>
      </c>
      <c r="C563" s="18" t="s">
        <v>3907</v>
      </c>
      <c r="D563" s="18" t="s">
        <v>3907</v>
      </c>
      <c r="E563" s="18" t="s">
        <v>3949</v>
      </c>
    </row>
    <row r="564" spans="1:5" ht="24" customHeight="1" x14ac:dyDescent="0.25">
      <c r="A564" s="16">
        <v>569</v>
      </c>
      <c r="B564" s="18" t="s">
        <v>3768</v>
      </c>
      <c r="C564" s="18" t="s">
        <v>3907</v>
      </c>
      <c r="D564" s="18" t="s">
        <v>3907</v>
      </c>
      <c r="E564" s="18" t="s">
        <v>3950</v>
      </c>
    </row>
    <row r="565" spans="1:5" x14ac:dyDescent="0.25">
      <c r="A565" s="16">
        <v>570</v>
      </c>
      <c r="B565" s="18" t="s">
        <v>3768</v>
      </c>
      <c r="C565" s="18" t="s">
        <v>3907</v>
      </c>
      <c r="D565" s="18" t="s">
        <v>3907</v>
      </c>
      <c r="E565" s="18" t="s">
        <v>3951</v>
      </c>
    </row>
    <row r="566" spans="1:5" x14ac:dyDescent="0.25">
      <c r="A566" s="16">
        <v>571</v>
      </c>
      <c r="B566" s="18" t="s">
        <v>3768</v>
      </c>
      <c r="C566" s="18" t="s">
        <v>3907</v>
      </c>
      <c r="D566" s="18" t="s">
        <v>3907</v>
      </c>
      <c r="E566" s="18" t="s">
        <v>3952</v>
      </c>
    </row>
    <row r="567" spans="1:5" x14ac:dyDescent="0.25">
      <c r="A567" s="16">
        <v>572</v>
      </c>
      <c r="B567" s="18" t="s">
        <v>3768</v>
      </c>
      <c r="C567" s="18" t="s">
        <v>3907</v>
      </c>
      <c r="D567" s="18" t="s">
        <v>3907</v>
      </c>
      <c r="E567" s="18" t="s">
        <v>3953</v>
      </c>
    </row>
    <row r="568" spans="1:5" ht="24" customHeight="1" x14ac:dyDescent="0.25">
      <c r="A568" s="16">
        <v>573</v>
      </c>
      <c r="B568" s="18" t="s">
        <v>3768</v>
      </c>
      <c r="C568" s="18" t="s">
        <v>3907</v>
      </c>
      <c r="D568" s="18" t="s">
        <v>3907</v>
      </c>
      <c r="E568" s="18" t="s">
        <v>3954</v>
      </c>
    </row>
    <row r="569" spans="1:5" x14ac:dyDescent="0.25">
      <c r="A569" s="16">
        <v>574</v>
      </c>
      <c r="B569" s="18" t="s">
        <v>3768</v>
      </c>
      <c r="C569" s="18" t="s">
        <v>3907</v>
      </c>
      <c r="D569" s="18" t="s">
        <v>3907</v>
      </c>
      <c r="E569" s="18" t="s">
        <v>3955</v>
      </c>
    </row>
    <row r="570" spans="1:5" x14ac:dyDescent="0.25">
      <c r="A570" s="16">
        <v>575</v>
      </c>
      <c r="B570" s="18" t="s">
        <v>3768</v>
      </c>
      <c r="C570" s="18" t="s">
        <v>3907</v>
      </c>
      <c r="D570" s="18" t="s">
        <v>3956</v>
      </c>
      <c r="E570" s="18" t="s">
        <v>3957</v>
      </c>
    </row>
    <row r="571" spans="1:5" x14ac:dyDescent="0.25">
      <c r="A571" s="16">
        <v>576</v>
      </c>
      <c r="B571" s="18" t="s">
        <v>3768</v>
      </c>
      <c r="C571" s="18" t="s">
        <v>3907</v>
      </c>
      <c r="D571" s="18" t="s">
        <v>3956</v>
      </c>
      <c r="E571" s="18" t="s">
        <v>3958</v>
      </c>
    </row>
    <row r="572" spans="1:5" x14ac:dyDescent="0.25">
      <c r="A572" s="16">
        <v>577</v>
      </c>
      <c r="B572" s="18" t="s">
        <v>3768</v>
      </c>
      <c r="C572" s="18" t="s">
        <v>3907</v>
      </c>
      <c r="D572" s="18" t="s">
        <v>3956</v>
      </c>
      <c r="E572" s="18" t="s">
        <v>3959</v>
      </c>
    </row>
    <row r="573" spans="1:5" x14ac:dyDescent="0.25">
      <c r="A573" s="16">
        <v>578</v>
      </c>
      <c r="B573" s="18" t="s">
        <v>3768</v>
      </c>
      <c r="C573" s="18" t="s">
        <v>3907</v>
      </c>
      <c r="D573" s="18" t="s">
        <v>3956</v>
      </c>
      <c r="E573" s="18" t="s">
        <v>3960</v>
      </c>
    </row>
    <row r="574" spans="1:5" x14ac:dyDescent="0.25">
      <c r="A574" s="16">
        <v>579</v>
      </c>
      <c r="B574" s="18" t="s">
        <v>3768</v>
      </c>
      <c r="C574" s="18" t="s">
        <v>3907</v>
      </c>
      <c r="D574" s="18" t="s">
        <v>3956</v>
      </c>
      <c r="E574" s="18" t="s">
        <v>3961</v>
      </c>
    </row>
    <row r="575" spans="1:5" x14ac:dyDescent="0.25">
      <c r="A575" s="16">
        <v>580</v>
      </c>
      <c r="B575" s="18" t="s">
        <v>3768</v>
      </c>
      <c r="C575" s="18" t="s">
        <v>3907</v>
      </c>
      <c r="D575" s="18" t="s">
        <v>3956</v>
      </c>
      <c r="E575" s="18" t="s">
        <v>3962</v>
      </c>
    </row>
    <row r="576" spans="1:5" x14ac:dyDescent="0.25">
      <c r="A576" s="16">
        <v>581</v>
      </c>
      <c r="B576" s="18" t="s">
        <v>3768</v>
      </c>
      <c r="C576" s="18" t="s">
        <v>3907</v>
      </c>
      <c r="D576" s="18" t="s">
        <v>3956</v>
      </c>
      <c r="E576" s="18" t="s">
        <v>3963</v>
      </c>
    </row>
    <row r="577" spans="1:5" x14ac:dyDescent="0.25">
      <c r="A577" s="16">
        <v>582</v>
      </c>
      <c r="B577" s="18" t="s">
        <v>3768</v>
      </c>
      <c r="C577" s="18" t="s">
        <v>3907</v>
      </c>
      <c r="D577" s="18" t="s">
        <v>3956</v>
      </c>
      <c r="E577" s="18" t="s">
        <v>3964</v>
      </c>
    </row>
    <row r="578" spans="1:5" ht="24" customHeight="1" x14ac:dyDescent="0.25">
      <c r="A578" s="16">
        <v>583</v>
      </c>
      <c r="B578" s="18" t="s">
        <v>3768</v>
      </c>
      <c r="C578" s="18" t="s">
        <v>3907</v>
      </c>
      <c r="D578" s="18" t="s">
        <v>3956</v>
      </c>
      <c r="E578" s="18" t="s">
        <v>3965</v>
      </c>
    </row>
    <row r="579" spans="1:5" ht="24" customHeight="1" x14ac:dyDescent="0.25">
      <c r="A579" s="16">
        <v>584</v>
      </c>
      <c r="B579" s="18" t="s">
        <v>3768</v>
      </c>
      <c r="C579" s="18" t="s">
        <v>3907</v>
      </c>
      <c r="D579" s="18" t="s">
        <v>3956</v>
      </c>
      <c r="E579" s="18" t="s">
        <v>3966</v>
      </c>
    </row>
    <row r="580" spans="1:5" x14ac:dyDescent="0.25">
      <c r="A580" s="16">
        <v>585</v>
      </c>
      <c r="B580" s="18" t="s">
        <v>3768</v>
      </c>
      <c r="C580" s="18" t="s">
        <v>3907</v>
      </c>
      <c r="D580" s="18" t="s">
        <v>3967</v>
      </c>
      <c r="E580" s="18" t="s">
        <v>3968</v>
      </c>
    </row>
    <row r="581" spans="1:5" x14ac:dyDescent="0.25">
      <c r="A581" s="16">
        <v>586</v>
      </c>
      <c r="B581" s="18" t="s">
        <v>3768</v>
      </c>
      <c r="C581" s="18" t="s">
        <v>3907</v>
      </c>
      <c r="D581" s="18" t="s">
        <v>3967</v>
      </c>
      <c r="E581" s="18" t="s">
        <v>3969</v>
      </c>
    </row>
    <row r="582" spans="1:5" ht="24" customHeight="1" x14ac:dyDescent="0.25">
      <c r="A582" s="16">
        <v>587</v>
      </c>
      <c r="B582" s="18" t="s">
        <v>3768</v>
      </c>
      <c r="C582" s="18" t="s">
        <v>3907</v>
      </c>
      <c r="D582" s="18" t="s">
        <v>3967</v>
      </c>
      <c r="E582" s="18" t="s">
        <v>3970</v>
      </c>
    </row>
    <row r="583" spans="1:5" x14ac:dyDescent="0.25">
      <c r="A583" s="16">
        <v>588</v>
      </c>
      <c r="B583" s="18" t="s">
        <v>3768</v>
      </c>
      <c r="C583" s="18" t="s">
        <v>3907</v>
      </c>
      <c r="D583" s="18" t="s">
        <v>3967</v>
      </c>
      <c r="E583" s="18" t="s">
        <v>3971</v>
      </c>
    </row>
    <row r="584" spans="1:5" x14ac:dyDescent="0.25">
      <c r="A584" s="16">
        <v>589</v>
      </c>
      <c r="B584" s="18" t="s">
        <v>3768</v>
      </c>
      <c r="C584" s="18" t="s">
        <v>3907</v>
      </c>
      <c r="D584" s="18" t="s">
        <v>3967</v>
      </c>
      <c r="E584" s="18" t="s">
        <v>3972</v>
      </c>
    </row>
    <row r="585" spans="1:5" x14ac:dyDescent="0.25">
      <c r="A585" s="16">
        <v>590</v>
      </c>
      <c r="B585" s="18" t="s">
        <v>3768</v>
      </c>
      <c r="C585" s="18" t="s">
        <v>3907</v>
      </c>
      <c r="D585" s="18" t="s">
        <v>3967</v>
      </c>
      <c r="E585" s="18" t="s">
        <v>3973</v>
      </c>
    </row>
    <row r="586" spans="1:5" x14ac:dyDescent="0.25">
      <c r="A586" s="16">
        <v>591</v>
      </c>
      <c r="B586" s="18" t="s">
        <v>3768</v>
      </c>
      <c r="C586" s="18" t="s">
        <v>3907</v>
      </c>
      <c r="D586" s="18" t="s">
        <v>3967</v>
      </c>
      <c r="E586" s="18" t="s">
        <v>3974</v>
      </c>
    </row>
    <row r="587" spans="1:5" x14ac:dyDescent="0.25">
      <c r="A587" s="16">
        <v>592</v>
      </c>
      <c r="B587" s="18" t="s">
        <v>3768</v>
      </c>
      <c r="C587" s="18" t="s">
        <v>3907</v>
      </c>
      <c r="D587" s="18" t="s">
        <v>3967</v>
      </c>
      <c r="E587" s="18" t="s">
        <v>3975</v>
      </c>
    </row>
    <row r="588" spans="1:5" x14ac:dyDescent="0.25">
      <c r="A588" s="16">
        <v>593</v>
      </c>
      <c r="B588" s="18" t="s">
        <v>3768</v>
      </c>
      <c r="C588" s="18" t="s">
        <v>3907</v>
      </c>
      <c r="D588" s="18" t="s">
        <v>3967</v>
      </c>
      <c r="E588" s="18" t="s">
        <v>3976</v>
      </c>
    </row>
    <row r="589" spans="1:5" ht="36" customHeight="1" x14ac:dyDescent="0.25">
      <c r="A589" s="16">
        <v>594</v>
      </c>
      <c r="B589" s="18" t="s">
        <v>3768</v>
      </c>
      <c r="C589" s="18" t="s">
        <v>3907</v>
      </c>
      <c r="D589" s="18" t="s">
        <v>3967</v>
      </c>
      <c r="E589" s="18" t="s">
        <v>3977</v>
      </c>
    </row>
    <row r="590" spans="1:5" ht="24" customHeight="1" x14ac:dyDescent="0.25">
      <c r="A590" s="16">
        <v>595</v>
      </c>
      <c r="B590" s="18" t="s">
        <v>3768</v>
      </c>
      <c r="C590" s="18" t="s">
        <v>3907</v>
      </c>
      <c r="D590" s="18" t="s">
        <v>3967</v>
      </c>
      <c r="E590" s="18" t="s">
        <v>3978</v>
      </c>
    </row>
    <row r="591" spans="1:5" x14ac:dyDescent="0.25">
      <c r="A591" s="16">
        <v>596</v>
      </c>
      <c r="B591" s="18" t="s">
        <v>3768</v>
      </c>
      <c r="C591" s="18" t="s">
        <v>3907</v>
      </c>
      <c r="D591" s="18" t="s">
        <v>3967</v>
      </c>
      <c r="E591" s="18" t="s">
        <v>3979</v>
      </c>
    </row>
    <row r="592" spans="1:5" x14ac:dyDescent="0.25">
      <c r="A592" s="16">
        <v>597</v>
      </c>
      <c r="B592" s="18" t="s">
        <v>3768</v>
      </c>
      <c r="C592" s="18" t="s">
        <v>3907</v>
      </c>
      <c r="D592" s="18" t="s">
        <v>3967</v>
      </c>
      <c r="E592" s="18" t="s">
        <v>3980</v>
      </c>
    </row>
    <row r="593" spans="1:5" ht="24" customHeight="1" x14ac:dyDescent="0.25">
      <c r="A593" s="16">
        <v>598</v>
      </c>
      <c r="B593" s="18" t="s">
        <v>3768</v>
      </c>
      <c r="C593" s="18" t="s">
        <v>3907</v>
      </c>
      <c r="D593" s="18" t="s">
        <v>3967</v>
      </c>
      <c r="E593" s="18" t="s">
        <v>3981</v>
      </c>
    </row>
    <row r="594" spans="1:5" ht="24" customHeight="1" x14ac:dyDescent="0.25">
      <c r="A594" s="16">
        <v>599</v>
      </c>
      <c r="B594" s="18" t="s">
        <v>3768</v>
      </c>
      <c r="C594" s="18" t="s">
        <v>3907</v>
      </c>
      <c r="D594" s="18" t="s">
        <v>3982</v>
      </c>
      <c r="E594" s="18" t="s">
        <v>3983</v>
      </c>
    </row>
    <row r="595" spans="1:5" ht="24" customHeight="1" x14ac:dyDescent="0.25">
      <c r="A595" s="16">
        <v>600</v>
      </c>
      <c r="B595" s="18" t="s">
        <v>3768</v>
      </c>
      <c r="C595" s="18" t="s">
        <v>3907</v>
      </c>
      <c r="D595" s="18" t="s">
        <v>3982</v>
      </c>
      <c r="E595" s="18" t="s">
        <v>3984</v>
      </c>
    </row>
    <row r="596" spans="1:5" ht="36" customHeight="1" x14ac:dyDescent="0.25">
      <c r="A596" s="16">
        <v>601</v>
      </c>
      <c r="B596" s="18" t="s">
        <v>3768</v>
      </c>
      <c r="C596" s="18" t="s">
        <v>3907</v>
      </c>
      <c r="D596" s="18" t="s">
        <v>3982</v>
      </c>
      <c r="E596" s="18" t="s">
        <v>3985</v>
      </c>
    </row>
    <row r="597" spans="1:5" ht="24" customHeight="1" x14ac:dyDescent="0.25">
      <c r="A597" s="16">
        <v>602</v>
      </c>
      <c r="B597" s="18" t="s">
        <v>3768</v>
      </c>
      <c r="C597" s="18" t="s">
        <v>3907</v>
      </c>
      <c r="D597" s="18" t="s">
        <v>3982</v>
      </c>
      <c r="E597" s="18" t="s">
        <v>3986</v>
      </c>
    </row>
    <row r="598" spans="1:5" ht="36" customHeight="1" x14ac:dyDescent="0.25">
      <c r="A598" s="16">
        <v>603</v>
      </c>
      <c r="B598" s="18" t="s">
        <v>3768</v>
      </c>
      <c r="C598" s="18" t="s">
        <v>3907</v>
      </c>
      <c r="D598" s="18" t="s">
        <v>3982</v>
      </c>
      <c r="E598" s="18" t="s">
        <v>3987</v>
      </c>
    </row>
    <row r="599" spans="1:5" ht="24" customHeight="1" x14ac:dyDescent="0.25">
      <c r="A599" s="16">
        <v>604</v>
      </c>
      <c r="B599" s="18" t="s">
        <v>3768</v>
      </c>
      <c r="C599" s="18" t="s">
        <v>3907</v>
      </c>
      <c r="D599" s="18" t="s">
        <v>3982</v>
      </c>
      <c r="E599" s="18" t="s">
        <v>3988</v>
      </c>
    </row>
    <row r="600" spans="1:5" ht="24" customHeight="1" x14ac:dyDescent="0.25">
      <c r="A600" s="16">
        <v>605</v>
      </c>
      <c r="B600" s="18" t="s">
        <v>3768</v>
      </c>
      <c r="C600" s="18" t="s">
        <v>3907</v>
      </c>
      <c r="D600" s="18" t="s">
        <v>3982</v>
      </c>
      <c r="E600" s="18" t="s">
        <v>3989</v>
      </c>
    </row>
    <row r="601" spans="1:5" x14ac:dyDescent="0.25">
      <c r="A601" s="16">
        <v>606</v>
      </c>
      <c r="B601" s="18" t="s">
        <v>3768</v>
      </c>
      <c r="C601" s="18" t="s">
        <v>3990</v>
      </c>
      <c r="D601" s="18" t="s">
        <v>3991</v>
      </c>
      <c r="E601" s="18" t="s">
        <v>3992</v>
      </c>
    </row>
    <row r="602" spans="1:5" x14ac:dyDescent="0.25">
      <c r="A602" s="16">
        <v>607</v>
      </c>
      <c r="B602" s="18" t="s">
        <v>3768</v>
      </c>
      <c r="C602" s="18" t="s">
        <v>3990</v>
      </c>
      <c r="D602" s="18" t="s">
        <v>3991</v>
      </c>
      <c r="E602" s="18" t="s">
        <v>3993</v>
      </c>
    </row>
    <row r="603" spans="1:5" x14ac:dyDescent="0.25">
      <c r="A603" s="16">
        <v>608</v>
      </c>
      <c r="B603" s="18" t="s">
        <v>3768</v>
      </c>
      <c r="C603" s="18" t="s">
        <v>3990</v>
      </c>
      <c r="D603" s="18" t="s">
        <v>3991</v>
      </c>
      <c r="E603" s="18" t="s">
        <v>3994</v>
      </c>
    </row>
    <row r="604" spans="1:5" ht="36" customHeight="1" x14ac:dyDescent="0.25">
      <c r="A604" s="16">
        <v>609</v>
      </c>
      <c r="B604" s="18" t="s">
        <v>3768</v>
      </c>
      <c r="C604" s="18" t="s">
        <v>3990</v>
      </c>
      <c r="D604" s="18" t="s">
        <v>3991</v>
      </c>
      <c r="E604" s="18" t="s">
        <v>3995</v>
      </c>
    </row>
    <row r="605" spans="1:5" x14ac:dyDescent="0.25">
      <c r="A605" s="16">
        <v>610</v>
      </c>
      <c r="B605" s="18" t="s">
        <v>3768</v>
      </c>
      <c r="C605" s="18" t="s">
        <v>3990</v>
      </c>
      <c r="D605" s="18" t="s">
        <v>3991</v>
      </c>
      <c r="E605" s="18" t="s">
        <v>3996</v>
      </c>
    </row>
    <row r="606" spans="1:5" x14ac:dyDescent="0.25">
      <c r="A606" s="16">
        <v>611</v>
      </c>
      <c r="B606" s="18" t="s">
        <v>3768</v>
      </c>
      <c r="C606" s="18" t="s">
        <v>3990</v>
      </c>
      <c r="D606" s="18" t="s">
        <v>3991</v>
      </c>
      <c r="E606" s="18" t="s">
        <v>3997</v>
      </c>
    </row>
    <row r="607" spans="1:5" x14ac:dyDescent="0.25">
      <c r="A607" s="16">
        <v>612</v>
      </c>
      <c r="B607" s="18" t="s">
        <v>3768</v>
      </c>
      <c r="C607" s="18" t="s">
        <v>3990</v>
      </c>
      <c r="D607" s="18" t="s">
        <v>3991</v>
      </c>
      <c r="E607" s="18" t="s">
        <v>3998</v>
      </c>
    </row>
    <row r="608" spans="1:5" x14ac:dyDescent="0.25">
      <c r="A608" s="16">
        <v>613</v>
      </c>
      <c r="B608" s="18" t="s">
        <v>3768</v>
      </c>
      <c r="C608" s="18" t="s">
        <v>3990</v>
      </c>
      <c r="D608" s="18" t="s">
        <v>3991</v>
      </c>
      <c r="E608" s="18" t="s">
        <v>3999</v>
      </c>
    </row>
    <row r="609" spans="1:5" x14ac:dyDescent="0.25">
      <c r="A609" s="16">
        <v>614</v>
      </c>
      <c r="B609" s="18" t="s">
        <v>3768</v>
      </c>
      <c r="C609" s="18" t="s">
        <v>3990</v>
      </c>
      <c r="D609" s="18" t="s">
        <v>3991</v>
      </c>
      <c r="E609" s="18" t="s">
        <v>4000</v>
      </c>
    </row>
    <row r="610" spans="1:5" x14ac:dyDescent="0.25">
      <c r="A610" s="16">
        <v>615</v>
      </c>
      <c r="B610" s="18" t="s">
        <v>3768</v>
      </c>
      <c r="C610" s="18" t="s">
        <v>3990</v>
      </c>
      <c r="D610" s="18" t="s">
        <v>3991</v>
      </c>
      <c r="E610" s="18" t="s">
        <v>4001</v>
      </c>
    </row>
    <row r="611" spans="1:5" ht="24" customHeight="1" x14ac:dyDescent="0.25">
      <c r="A611" s="16">
        <v>616</v>
      </c>
      <c r="B611" s="18" t="s">
        <v>3768</v>
      </c>
      <c r="C611" s="18" t="s">
        <v>3990</v>
      </c>
      <c r="D611" s="18" t="s">
        <v>3991</v>
      </c>
      <c r="E611" s="18" t="s">
        <v>4002</v>
      </c>
    </row>
    <row r="612" spans="1:5" x14ac:dyDescent="0.25">
      <c r="A612" s="16">
        <v>617</v>
      </c>
      <c r="B612" s="18" t="s">
        <v>3768</v>
      </c>
      <c r="C612" s="18" t="s">
        <v>3990</v>
      </c>
      <c r="D612" s="18" t="s">
        <v>3991</v>
      </c>
      <c r="E612" s="18" t="s">
        <v>4003</v>
      </c>
    </row>
    <row r="613" spans="1:5" x14ac:dyDescent="0.25">
      <c r="A613" s="16">
        <v>618</v>
      </c>
      <c r="B613" s="18" t="s">
        <v>3768</v>
      </c>
      <c r="C613" s="18" t="s">
        <v>3990</v>
      </c>
      <c r="D613" s="18" t="s">
        <v>4004</v>
      </c>
      <c r="E613" s="18" t="s">
        <v>4005</v>
      </c>
    </row>
    <row r="614" spans="1:5" x14ac:dyDescent="0.25">
      <c r="A614" s="16">
        <v>619</v>
      </c>
      <c r="B614" s="18" t="s">
        <v>3768</v>
      </c>
      <c r="C614" s="18" t="s">
        <v>3990</v>
      </c>
      <c r="D614" s="18" t="s">
        <v>4004</v>
      </c>
      <c r="E614" s="18" t="s">
        <v>4006</v>
      </c>
    </row>
    <row r="615" spans="1:5" x14ac:dyDescent="0.25">
      <c r="A615" s="16">
        <v>620</v>
      </c>
      <c r="B615" s="18" t="s">
        <v>3768</v>
      </c>
      <c r="C615" s="18" t="s">
        <v>3990</v>
      </c>
      <c r="D615" s="18" t="s">
        <v>4004</v>
      </c>
      <c r="E615" s="18" t="s">
        <v>4007</v>
      </c>
    </row>
    <row r="616" spans="1:5" x14ac:dyDescent="0.25">
      <c r="A616" s="16">
        <v>621</v>
      </c>
      <c r="B616" s="18" t="s">
        <v>3768</v>
      </c>
      <c r="C616" s="18" t="s">
        <v>3990</v>
      </c>
      <c r="D616" s="18" t="s">
        <v>4004</v>
      </c>
      <c r="E616" s="18" t="s">
        <v>4008</v>
      </c>
    </row>
    <row r="617" spans="1:5" x14ac:dyDescent="0.25">
      <c r="A617" s="16">
        <v>622</v>
      </c>
      <c r="B617" s="18" t="s">
        <v>3768</v>
      </c>
      <c r="C617" s="18" t="s">
        <v>3990</v>
      </c>
      <c r="D617" s="18" t="s">
        <v>4004</v>
      </c>
      <c r="E617" s="18" t="s">
        <v>4009</v>
      </c>
    </row>
    <row r="618" spans="1:5" ht="24" customHeight="1" x14ac:dyDescent="0.25">
      <c r="A618" s="16">
        <v>623</v>
      </c>
      <c r="B618" s="18" t="s">
        <v>3768</v>
      </c>
      <c r="C618" s="18" t="s">
        <v>3990</v>
      </c>
      <c r="D618" s="18" t="s">
        <v>4004</v>
      </c>
      <c r="E618" s="18" t="s">
        <v>4010</v>
      </c>
    </row>
    <row r="619" spans="1:5" x14ac:dyDescent="0.25">
      <c r="A619" s="16">
        <v>624</v>
      </c>
      <c r="B619" s="18" t="s">
        <v>3768</v>
      </c>
      <c r="C619" s="18" t="s">
        <v>3990</v>
      </c>
      <c r="D619" s="18" t="s">
        <v>4004</v>
      </c>
      <c r="E619" s="18" t="s">
        <v>4011</v>
      </c>
    </row>
    <row r="620" spans="1:5" x14ac:dyDescent="0.25">
      <c r="A620" s="16">
        <v>625</v>
      </c>
      <c r="B620" s="18" t="s">
        <v>3768</v>
      </c>
      <c r="C620" s="18" t="s">
        <v>3990</v>
      </c>
      <c r="D620" s="18" t="s">
        <v>4004</v>
      </c>
      <c r="E620" s="18" t="s">
        <v>4012</v>
      </c>
    </row>
    <row r="621" spans="1:5" x14ac:dyDescent="0.25">
      <c r="A621" s="16">
        <v>626</v>
      </c>
      <c r="B621" s="18" t="s">
        <v>3768</v>
      </c>
      <c r="C621" s="18" t="s">
        <v>3990</v>
      </c>
      <c r="D621" s="18" t="s">
        <v>4004</v>
      </c>
      <c r="E621" s="18" t="s">
        <v>4013</v>
      </c>
    </row>
    <row r="622" spans="1:5" x14ac:dyDescent="0.25">
      <c r="A622" s="16">
        <v>627</v>
      </c>
      <c r="B622" s="18" t="s">
        <v>3768</v>
      </c>
      <c r="C622" s="18" t="s">
        <v>3990</v>
      </c>
      <c r="D622" s="18" t="s">
        <v>4004</v>
      </c>
      <c r="E622" s="18" t="s">
        <v>4014</v>
      </c>
    </row>
    <row r="623" spans="1:5" x14ac:dyDescent="0.25">
      <c r="A623" s="16">
        <v>628</v>
      </c>
      <c r="B623" s="18" t="s">
        <v>3768</v>
      </c>
      <c r="C623" s="18" t="s">
        <v>3990</v>
      </c>
      <c r="D623" s="18" t="s">
        <v>4015</v>
      </c>
      <c r="E623" s="18" t="s">
        <v>4016</v>
      </c>
    </row>
    <row r="624" spans="1:5" x14ac:dyDescent="0.25">
      <c r="A624" s="16">
        <v>629</v>
      </c>
      <c r="B624" s="18" t="s">
        <v>3768</v>
      </c>
      <c r="C624" s="18" t="s">
        <v>3990</v>
      </c>
      <c r="D624" s="18" t="s">
        <v>4015</v>
      </c>
      <c r="E624" s="18" t="s">
        <v>4017</v>
      </c>
    </row>
    <row r="625" spans="1:5" x14ac:dyDescent="0.25">
      <c r="A625" s="16">
        <v>630</v>
      </c>
      <c r="B625" s="18" t="s">
        <v>3768</v>
      </c>
      <c r="C625" s="18" t="s">
        <v>3990</v>
      </c>
      <c r="D625" s="18" t="s">
        <v>4015</v>
      </c>
      <c r="E625" s="18" t="s">
        <v>4018</v>
      </c>
    </row>
    <row r="626" spans="1:5" x14ac:dyDescent="0.25">
      <c r="A626" s="16">
        <v>631</v>
      </c>
      <c r="B626" s="18" t="s">
        <v>3768</v>
      </c>
      <c r="C626" s="18" t="s">
        <v>3990</v>
      </c>
      <c r="D626" s="18" t="s">
        <v>4015</v>
      </c>
      <c r="E626" s="18" t="s">
        <v>4019</v>
      </c>
    </row>
    <row r="627" spans="1:5" x14ac:dyDescent="0.25">
      <c r="A627" s="16">
        <v>632</v>
      </c>
      <c r="B627" s="18" t="s">
        <v>3768</v>
      </c>
      <c r="C627" s="18" t="s">
        <v>3990</v>
      </c>
      <c r="D627" s="18" t="s">
        <v>4015</v>
      </c>
      <c r="E627" s="18" t="s">
        <v>4020</v>
      </c>
    </row>
    <row r="628" spans="1:5" ht="36" customHeight="1" x14ac:dyDescent="0.25">
      <c r="A628" s="16">
        <v>633</v>
      </c>
      <c r="B628" s="18" t="s">
        <v>3768</v>
      </c>
      <c r="C628" s="18" t="s">
        <v>3990</v>
      </c>
      <c r="D628" s="18" t="s">
        <v>4015</v>
      </c>
      <c r="E628" s="18" t="s">
        <v>4021</v>
      </c>
    </row>
    <row r="629" spans="1:5" x14ac:dyDescent="0.25">
      <c r="A629" s="16">
        <v>634</v>
      </c>
      <c r="B629" s="18" t="s">
        <v>3768</v>
      </c>
      <c r="C629" s="18" t="s">
        <v>3990</v>
      </c>
      <c r="D629" s="18" t="s">
        <v>4015</v>
      </c>
      <c r="E629" s="18" t="s">
        <v>4022</v>
      </c>
    </row>
    <row r="630" spans="1:5" ht="36" customHeight="1" x14ac:dyDescent="0.25">
      <c r="A630" s="16">
        <v>635</v>
      </c>
      <c r="B630" s="18" t="s">
        <v>3768</v>
      </c>
      <c r="C630" s="18" t="s">
        <v>3990</v>
      </c>
      <c r="D630" s="18" t="s">
        <v>4015</v>
      </c>
      <c r="E630" s="18" t="s">
        <v>4023</v>
      </c>
    </row>
    <row r="631" spans="1:5" x14ac:dyDescent="0.25">
      <c r="A631" s="16">
        <v>636</v>
      </c>
      <c r="B631" s="18" t="s">
        <v>3768</v>
      </c>
      <c r="C631" s="18" t="s">
        <v>3990</v>
      </c>
      <c r="D631" s="18" t="s">
        <v>4015</v>
      </c>
      <c r="E631" s="18" t="s">
        <v>4024</v>
      </c>
    </row>
    <row r="632" spans="1:5" x14ac:dyDescent="0.25">
      <c r="A632" s="16">
        <v>637</v>
      </c>
      <c r="B632" s="18" t="s">
        <v>3768</v>
      </c>
      <c r="C632" s="18" t="s">
        <v>3990</v>
      </c>
      <c r="D632" s="18" t="s">
        <v>4015</v>
      </c>
      <c r="E632" s="18" t="s">
        <v>4025</v>
      </c>
    </row>
    <row r="633" spans="1:5" ht="24" customHeight="1" x14ac:dyDescent="0.25">
      <c r="A633" s="16">
        <v>638</v>
      </c>
      <c r="B633" s="18" t="s">
        <v>3768</v>
      </c>
      <c r="C633" s="18" t="s">
        <v>3990</v>
      </c>
      <c r="D633" s="18" t="s">
        <v>4015</v>
      </c>
      <c r="E633" s="18" t="s">
        <v>4026</v>
      </c>
    </row>
    <row r="634" spans="1:5" x14ac:dyDescent="0.25">
      <c r="A634" s="16">
        <v>639</v>
      </c>
      <c r="B634" s="18" t="s">
        <v>3768</v>
      </c>
      <c r="C634" s="18" t="s">
        <v>3990</v>
      </c>
      <c r="D634" s="18" t="s">
        <v>4015</v>
      </c>
      <c r="E634" s="18" t="s">
        <v>4027</v>
      </c>
    </row>
    <row r="635" spans="1:5" x14ac:dyDescent="0.25">
      <c r="A635" s="16">
        <v>640</v>
      </c>
      <c r="B635" s="18" t="s">
        <v>3768</v>
      </c>
      <c r="C635" s="18" t="s">
        <v>3990</v>
      </c>
      <c r="D635" s="18" t="s">
        <v>4015</v>
      </c>
      <c r="E635" s="18" t="s">
        <v>4028</v>
      </c>
    </row>
    <row r="636" spans="1:5" x14ac:dyDescent="0.25">
      <c r="A636" s="16">
        <v>641</v>
      </c>
      <c r="B636" s="18" t="s">
        <v>3768</v>
      </c>
      <c r="C636" s="18" t="s">
        <v>3990</v>
      </c>
      <c r="D636" s="18" t="s">
        <v>4015</v>
      </c>
      <c r="E636" s="18" t="s">
        <v>4029</v>
      </c>
    </row>
    <row r="637" spans="1:5" x14ac:dyDescent="0.25">
      <c r="A637" s="16">
        <v>642</v>
      </c>
      <c r="B637" s="18" t="s">
        <v>3768</v>
      </c>
      <c r="C637" s="18" t="s">
        <v>3990</v>
      </c>
      <c r="D637" s="18" t="s">
        <v>4015</v>
      </c>
      <c r="E637" s="18" t="s">
        <v>4030</v>
      </c>
    </row>
    <row r="638" spans="1:5" x14ac:dyDescent="0.25">
      <c r="A638" s="16">
        <v>643</v>
      </c>
      <c r="B638" s="18" t="s">
        <v>3768</v>
      </c>
      <c r="C638" s="18" t="s">
        <v>3990</v>
      </c>
      <c r="D638" s="18" t="s">
        <v>4015</v>
      </c>
      <c r="E638" s="18" t="s">
        <v>4031</v>
      </c>
    </row>
    <row r="639" spans="1:5" x14ac:dyDescent="0.25">
      <c r="A639" s="16">
        <v>644</v>
      </c>
      <c r="B639" s="18" t="s">
        <v>3768</v>
      </c>
      <c r="C639" s="18" t="s">
        <v>3990</v>
      </c>
      <c r="D639" s="18" t="s">
        <v>4015</v>
      </c>
      <c r="E639" s="18" t="s">
        <v>4032</v>
      </c>
    </row>
    <row r="640" spans="1:5" x14ac:dyDescent="0.25">
      <c r="A640" s="16">
        <v>645</v>
      </c>
      <c r="B640" s="18" t="s">
        <v>3768</v>
      </c>
      <c r="C640" s="18" t="s">
        <v>3990</v>
      </c>
      <c r="D640" s="18" t="s">
        <v>3990</v>
      </c>
      <c r="E640" s="18" t="s">
        <v>4033</v>
      </c>
    </row>
    <row r="641" spans="1:5" ht="24" customHeight="1" x14ac:dyDescent="0.25">
      <c r="A641" s="16">
        <v>646</v>
      </c>
      <c r="B641" s="18" t="s">
        <v>3768</v>
      </c>
      <c r="C641" s="18" t="s">
        <v>3990</v>
      </c>
      <c r="D641" s="18" t="s">
        <v>3990</v>
      </c>
      <c r="E641" s="18" t="s">
        <v>4034</v>
      </c>
    </row>
    <row r="642" spans="1:5" ht="24" customHeight="1" x14ac:dyDescent="0.25">
      <c r="A642" s="16">
        <v>647</v>
      </c>
      <c r="B642" s="18" t="s">
        <v>3768</v>
      </c>
      <c r="C642" s="18" t="s">
        <v>3990</v>
      </c>
      <c r="D642" s="18" t="s">
        <v>3990</v>
      </c>
      <c r="E642" s="18" t="s">
        <v>4035</v>
      </c>
    </row>
    <row r="643" spans="1:5" x14ac:dyDescent="0.25">
      <c r="A643" s="16">
        <v>648</v>
      </c>
      <c r="B643" s="18" t="s">
        <v>3768</v>
      </c>
      <c r="C643" s="18" t="s">
        <v>3990</v>
      </c>
      <c r="D643" s="18" t="s">
        <v>3990</v>
      </c>
      <c r="E643" s="18" t="s">
        <v>4036</v>
      </c>
    </row>
    <row r="644" spans="1:5" x14ac:dyDescent="0.25">
      <c r="A644" s="16">
        <v>649</v>
      </c>
      <c r="B644" s="18" t="s">
        <v>3768</v>
      </c>
      <c r="C644" s="18" t="s">
        <v>3990</v>
      </c>
      <c r="D644" s="18" t="s">
        <v>3990</v>
      </c>
      <c r="E644" s="18" t="s">
        <v>4037</v>
      </c>
    </row>
    <row r="645" spans="1:5" x14ac:dyDescent="0.25">
      <c r="A645" s="16">
        <v>650</v>
      </c>
      <c r="B645" s="18" t="s">
        <v>3768</v>
      </c>
      <c r="C645" s="18" t="s">
        <v>3990</v>
      </c>
      <c r="D645" s="18" t="s">
        <v>3990</v>
      </c>
      <c r="E645" s="18" t="s">
        <v>4038</v>
      </c>
    </row>
    <row r="646" spans="1:5" x14ac:dyDescent="0.25">
      <c r="A646" s="16">
        <v>651</v>
      </c>
      <c r="B646" s="18" t="s">
        <v>3768</v>
      </c>
      <c r="C646" s="18" t="s">
        <v>3990</v>
      </c>
      <c r="D646" s="18" t="s">
        <v>3990</v>
      </c>
      <c r="E646" s="18" t="s">
        <v>4039</v>
      </c>
    </row>
    <row r="647" spans="1:5" x14ac:dyDescent="0.25">
      <c r="A647" s="16">
        <v>652</v>
      </c>
      <c r="B647" s="18" t="s">
        <v>3768</v>
      </c>
      <c r="C647" s="18" t="s">
        <v>3990</v>
      </c>
      <c r="D647" s="18" t="s">
        <v>3990</v>
      </c>
      <c r="E647" s="18" t="s">
        <v>4040</v>
      </c>
    </row>
    <row r="648" spans="1:5" x14ac:dyDescent="0.25">
      <c r="A648" s="16">
        <v>653</v>
      </c>
      <c r="B648" s="18" t="s">
        <v>3768</v>
      </c>
      <c r="C648" s="18" t="s">
        <v>3990</v>
      </c>
      <c r="D648" s="18" t="s">
        <v>3990</v>
      </c>
      <c r="E648" s="18" t="s">
        <v>4041</v>
      </c>
    </row>
    <row r="649" spans="1:5" ht="36" customHeight="1" x14ac:dyDescent="0.25">
      <c r="A649" s="16">
        <v>654</v>
      </c>
      <c r="B649" s="18" t="s">
        <v>3768</v>
      </c>
      <c r="C649" s="18" t="s">
        <v>3990</v>
      </c>
      <c r="D649" s="18" t="s">
        <v>3990</v>
      </c>
      <c r="E649" s="18" t="s">
        <v>4042</v>
      </c>
    </row>
    <row r="650" spans="1:5" x14ac:dyDescent="0.25">
      <c r="A650" s="16">
        <v>655</v>
      </c>
      <c r="B650" s="18" t="s">
        <v>3768</v>
      </c>
      <c r="C650" s="18" t="s">
        <v>3990</v>
      </c>
      <c r="D650" s="18" t="s">
        <v>3990</v>
      </c>
      <c r="E650" s="18" t="s">
        <v>4043</v>
      </c>
    </row>
    <row r="651" spans="1:5" x14ac:dyDescent="0.25">
      <c r="A651" s="16">
        <v>656</v>
      </c>
      <c r="B651" s="18" t="s">
        <v>3768</v>
      </c>
      <c r="C651" s="18" t="s">
        <v>3990</v>
      </c>
      <c r="D651" s="18" t="s">
        <v>3990</v>
      </c>
      <c r="E651" s="18" t="s">
        <v>4044</v>
      </c>
    </row>
    <row r="652" spans="1:5" x14ac:dyDescent="0.25">
      <c r="A652" s="16">
        <v>657</v>
      </c>
      <c r="B652" s="18" t="s">
        <v>3768</v>
      </c>
      <c r="C652" s="18" t="s">
        <v>3990</v>
      </c>
      <c r="D652" s="18" t="s">
        <v>4045</v>
      </c>
      <c r="E652" s="18" t="s">
        <v>4046</v>
      </c>
    </row>
    <row r="653" spans="1:5" x14ac:dyDescent="0.25">
      <c r="A653" s="16">
        <v>658</v>
      </c>
      <c r="B653" s="18" t="s">
        <v>3768</v>
      </c>
      <c r="C653" s="18" t="s">
        <v>3990</v>
      </c>
      <c r="D653" s="18" t="s">
        <v>4045</v>
      </c>
      <c r="E653" s="18" t="s">
        <v>4047</v>
      </c>
    </row>
    <row r="654" spans="1:5" x14ac:dyDescent="0.25">
      <c r="A654" s="16">
        <v>659</v>
      </c>
      <c r="B654" s="18" t="s">
        <v>3768</v>
      </c>
      <c r="C654" s="18" t="s">
        <v>3990</v>
      </c>
      <c r="D654" s="18" t="s">
        <v>4045</v>
      </c>
      <c r="E654" s="18" t="s">
        <v>4048</v>
      </c>
    </row>
    <row r="655" spans="1:5" x14ac:dyDescent="0.25">
      <c r="A655" s="16">
        <v>660</v>
      </c>
      <c r="B655" s="18" t="s">
        <v>3768</v>
      </c>
      <c r="C655" s="18" t="s">
        <v>3990</v>
      </c>
      <c r="D655" s="18" t="s">
        <v>4045</v>
      </c>
      <c r="E655" s="18" t="s">
        <v>4049</v>
      </c>
    </row>
    <row r="656" spans="1:5" x14ac:dyDescent="0.25">
      <c r="A656" s="16">
        <v>661</v>
      </c>
      <c r="B656" s="18" t="s">
        <v>3768</v>
      </c>
      <c r="C656" s="18" t="s">
        <v>3990</v>
      </c>
      <c r="D656" s="18" t="s">
        <v>4045</v>
      </c>
      <c r="E656" s="18" t="s">
        <v>4050</v>
      </c>
    </row>
    <row r="657" spans="1:5" x14ac:dyDescent="0.25">
      <c r="A657" s="16">
        <v>662</v>
      </c>
      <c r="B657" s="18" t="s">
        <v>3768</v>
      </c>
      <c r="C657" s="18" t="s">
        <v>3990</v>
      </c>
      <c r="D657" s="18" t="s">
        <v>4045</v>
      </c>
      <c r="E657" s="18" t="s">
        <v>4051</v>
      </c>
    </row>
    <row r="658" spans="1:5" ht="24" customHeight="1" x14ac:dyDescent="0.25">
      <c r="A658" s="16">
        <v>663</v>
      </c>
      <c r="B658" s="18" t="s">
        <v>3768</v>
      </c>
      <c r="C658" s="18" t="s">
        <v>3990</v>
      </c>
      <c r="D658" s="18" t="s">
        <v>4045</v>
      </c>
      <c r="E658" s="18" t="s">
        <v>4052</v>
      </c>
    </row>
    <row r="659" spans="1:5" x14ac:dyDescent="0.25">
      <c r="A659" s="16">
        <v>664</v>
      </c>
      <c r="B659" s="18" t="s">
        <v>3768</v>
      </c>
      <c r="C659" s="18" t="s">
        <v>3990</v>
      </c>
      <c r="D659" s="18" t="s">
        <v>4045</v>
      </c>
      <c r="E659" s="18" t="s">
        <v>4053</v>
      </c>
    </row>
    <row r="660" spans="1:5" ht="24" customHeight="1" x14ac:dyDescent="0.25">
      <c r="A660" s="16">
        <v>665</v>
      </c>
      <c r="B660" s="18" t="s">
        <v>3768</v>
      </c>
      <c r="C660" s="18" t="s">
        <v>4054</v>
      </c>
      <c r="D660" s="18" t="s">
        <v>4055</v>
      </c>
      <c r="E660" s="18" t="s">
        <v>4056</v>
      </c>
    </row>
    <row r="661" spans="1:5" ht="24" customHeight="1" x14ac:dyDescent="0.25">
      <c r="A661" s="16">
        <v>666</v>
      </c>
      <c r="B661" s="18" t="s">
        <v>3768</v>
      </c>
      <c r="C661" s="18" t="s">
        <v>4054</v>
      </c>
      <c r="D661" s="18" t="s">
        <v>4055</v>
      </c>
      <c r="E661" s="18" t="s">
        <v>4057</v>
      </c>
    </row>
    <row r="662" spans="1:5" ht="24" customHeight="1" x14ac:dyDescent="0.25">
      <c r="A662" s="16">
        <v>667</v>
      </c>
      <c r="B662" s="18" t="s">
        <v>3768</v>
      </c>
      <c r="C662" s="18" t="s">
        <v>4054</v>
      </c>
      <c r="D662" s="18" t="s">
        <v>4055</v>
      </c>
      <c r="E662" s="18" t="s">
        <v>4058</v>
      </c>
    </row>
    <row r="663" spans="1:5" ht="24" customHeight="1" x14ac:dyDescent="0.25">
      <c r="A663" s="16">
        <v>668</v>
      </c>
      <c r="B663" s="18" t="s">
        <v>3768</v>
      </c>
      <c r="C663" s="18" t="s">
        <v>4054</v>
      </c>
      <c r="D663" s="18" t="s">
        <v>4055</v>
      </c>
      <c r="E663" s="18" t="s">
        <v>4059</v>
      </c>
    </row>
    <row r="664" spans="1:5" ht="24" customHeight="1" x14ac:dyDescent="0.25">
      <c r="A664" s="16">
        <v>669</v>
      </c>
      <c r="B664" s="18" t="s">
        <v>3768</v>
      </c>
      <c r="C664" s="18" t="s">
        <v>4054</v>
      </c>
      <c r="D664" s="18" t="s">
        <v>4055</v>
      </c>
      <c r="E664" s="18" t="s">
        <v>4060</v>
      </c>
    </row>
    <row r="665" spans="1:5" ht="24" customHeight="1" x14ac:dyDescent="0.25">
      <c r="A665" s="16">
        <v>670</v>
      </c>
      <c r="B665" s="18" t="s">
        <v>3768</v>
      </c>
      <c r="C665" s="18" t="s">
        <v>4054</v>
      </c>
      <c r="D665" s="18" t="s">
        <v>4055</v>
      </c>
      <c r="E665" s="18" t="s">
        <v>4061</v>
      </c>
    </row>
    <row r="666" spans="1:5" ht="24" customHeight="1" x14ac:dyDescent="0.25">
      <c r="A666" s="16">
        <v>671</v>
      </c>
      <c r="B666" s="18" t="s">
        <v>3768</v>
      </c>
      <c r="C666" s="18" t="s">
        <v>4054</v>
      </c>
      <c r="D666" s="18" t="s">
        <v>4055</v>
      </c>
      <c r="E666" s="18" t="s">
        <v>4062</v>
      </c>
    </row>
    <row r="667" spans="1:5" ht="24" customHeight="1" x14ac:dyDescent="0.25">
      <c r="A667" s="16">
        <v>672</v>
      </c>
      <c r="B667" s="18" t="s">
        <v>3768</v>
      </c>
      <c r="C667" s="18" t="s">
        <v>4054</v>
      </c>
      <c r="D667" s="18" t="s">
        <v>4055</v>
      </c>
      <c r="E667" s="18" t="s">
        <v>4063</v>
      </c>
    </row>
    <row r="668" spans="1:5" ht="24" customHeight="1" x14ac:dyDescent="0.25">
      <c r="A668" s="16">
        <v>673</v>
      </c>
      <c r="B668" s="18" t="s">
        <v>3768</v>
      </c>
      <c r="C668" s="18" t="s">
        <v>4054</v>
      </c>
      <c r="D668" s="18" t="s">
        <v>4055</v>
      </c>
      <c r="E668" s="18" t="s">
        <v>4064</v>
      </c>
    </row>
    <row r="669" spans="1:5" ht="24" customHeight="1" x14ac:dyDescent="0.25">
      <c r="A669" s="16">
        <v>674</v>
      </c>
      <c r="B669" s="18" t="s">
        <v>3768</v>
      </c>
      <c r="C669" s="18" t="s">
        <v>4054</v>
      </c>
      <c r="D669" s="18" t="s">
        <v>4055</v>
      </c>
      <c r="E669" s="18" t="s">
        <v>4065</v>
      </c>
    </row>
    <row r="670" spans="1:5" ht="24" customHeight="1" x14ac:dyDescent="0.25">
      <c r="A670" s="16">
        <v>675</v>
      </c>
      <c r="B670" s="18" t="s">
        <v>3768</v>
      </c>
      <c r="C670" s="18" t="s">
        <v>4054</v>
      </c>
      <c r="D670" s="18" t="s">
        <v>4055</v>
      </c>
      <c r="E670" s="18" t="s">
        <v>4066</v>
      </c>
    </row>
    <row r="671" spans="1:5" x14ac:dyDescent="0.25">
      <c r="A671" s="16">
        <v>676</v>
      </c>
      <c r="B671" s="18" t="s">
        <v>3768</v>
      </c>
      <c r="C671" s="18" t="s">
        <v>4054</v>
      </c>
      <c r="D671" s="18" t="s">
        <v>4067</v>
      </c>
      <c r="E671" s="18" t="s">
        <v>4068</v>
      </c>
    </row>
    <row r="672" spans="1:5" x14ac:dyDescent="0.25">
      <c r="A672" s="16">
        <v>677</v>
      </c>
      <c r="B672" s="18" t="s">
        <v>3768</v>
      </c>
      <c r="C672" s="18" t="s">
        <v>4054</v>
      </c>
      <c r="D672" s="18" t="s">
        <v>4067</v>
      </c>
      <c r="E672" s="18" t="s">
        <v>4069</v>
      </c>
    </row>
    <row r="673" spans="1:5" x14ac:dyDescent="0.25">
      <c r="A673" s="16">
        <v>678</v>
      </c>
      <c r="B673" s="18" t="s">
        <v>3768</v>
      </c>
      <c r="C673" s="18" t="s">
        <v>4054</v>
      </c>
      <c r="D673" s="18" t="s">
        <v>4067</v>
      </c>
      <c r="E673" s="18" t="s">
        <v>4070</v>
      </c>
    </row>
    <row r="674" spans="1:5" x14ac:dyDescent="0.25">
      <c r="A674" s="16">
        <v>679</v>
      </c>
      <c r="B674" s="18" t="s">
        <v>3768</v>
      </c>
      <c r="C674" s="18" t="s">
        <v>4054</v>
      </c>
      <c r="D674" s="18" t="s">
        <v>4067</v>
      </c>
      <c r="E674" s="18" t="s">
        <v>4071</v>
      </c>
    </row>
    <row r="675" spans="1:5" ht="24" customHeight="1" x14ac:dyDescent="0.25">
      <c r="A675" s="16">
        <v>680</v>
      </c>
      <c r="B675" s="18" t="s">
        <v>3768</v>
      </c>
      <c r="C675" s="18" t="s">
        <v>4054</v>
      </c>
      <c r="D675" s="18" t="s">
        <v>4067</v>
      </c>
      <c r="E675" s="18" t="s">
        <v>4072</v>
      </c>
    </row>
    <row r="676" spans="1:5" ht="36" customHeight="1" x14ac:dyDescent="0.25">
      <c r="A676" s="16">
        <v>681</v>
      </c>
      <c r="B676" s="18" t="s">
        <v>3768</v>
      </c>
      <c r="C676" s="18" t="s">
        <v>4054</v>
      </c>
      <c r="D676" s="18" t="s">
        <v>4067</v>
      </c>
      <c r="E676" s="18" t="s">
        <v>4073</v>
      </c>
    </row>
    <row r="677" spans="1:5" x14ac:dyDescent="0.25">
      <c r="A677" s="16">
        <v>682</v>
      </c>
      <c r="B677" s="18" t="s">
        <v>3768</v>
      </c>
      <c r="C677" s="18" t="s">
        <v>4054</v>
      </c>
      <c r="D677" s="18" t="s">
        <v>4067</v>
      </c>
      <c r="E677" s="18" t="s">
        <v>4074</v>
      </c>
    </row>
    <row r="678" spans="1:5" x14ac:dyDescent="0.25">
      <c r="A678" s="16">
        <v>683</v>
      </c>
      <c r="B678" s="18" t="s">
        <v>3768</v>
      </c>
      <c r="C678" s="18" t="s">
        <v>4054</v>
      </c>
      <c r="D678" s="18" t="s">
        <v>4075</v>
      </c>
      <c r="E678" s="18" t="s">
        <v>4076</v>
      </c>
    </row>
    <row r="679" spans="1:5" x14ac:dyDescent="0.25">
      <c r="A679" s="16">
        <v>684</v>
      </c>
      <c r="B679" s="18" t="s">
        <v>3768</v>
      </c>
      <c r="C679" s="18" t="s">
        <v>4054</v>
      </c>
      <c r="D679" s="18" t="s">
        <v>4075</v>
      </c>
      <c r="E679" s="18" t="s">
        <v>4077</v>
      </c>
    </row>
    <row r="680" spans="1:5" x14ac:dyDescent="0.25">
      <c r="A680" s="16">
        <v>685</v>
      </c>
      <c r="B680" s="18" t="s">
        <v>3768</v>
      </c>
      <c r="C680" s="18" t="s">
        <v>4054</v>
      </c>
      <c r="D680" s="18" t="s">
        <v>4075</v>
      </c>
      <c r="E680" s="18" t="s">
        <v>4078</v>
      </c>
    </row>
    <row r="681" spans="1:5" ht="24" customHeight="1" x14ac:dyDescent="0.25">
      <c r="A681" s="16">
        <v>686</v>
      </c>
      <c r="B681" s="18" t="s">
        <v>3768</v>
      </c>
      <c r="C681" s="18" t="s">
        <v>4054</v>
      </c>
      <c r="D681" s="18" t="s">
        <v>4054</v>
      </c>
      <c r="E681" s="18" t="s">
        <v>4079</v>
      </c>
    </row>
    <row r="682" spans="1:5" x14ac:dyDescent="0.25">
      <c r="A682" s="16">
        <v>687</v>
      </c>
      <c r="B682" s="18" t="s">
        <v>3768</v>
      </c>
      <c r="C682" s="18" t="s">
        <v>4054</v>
      </c>
      <c r="D682" s="18" t="s">
        <v>4054</v>
      </c>
      <c r="E682" s="18" t="s">
        <v>4080</v>
      </c>
    </row>
    <row r="683" spans="1:5" ht="36" customHeight="1" x14ac:dyDescent="0.25">
      <c r="A683" s="16">
        <v>688</v>
      </c>
      <c r="B683" s="18" t="s">
        <v>3768</v>
      </c>
      <c r="C683" s="18" t="s">
        <v>4054</v>
      </c>
      <c r="D683" s="18" t="s">
        <v>4054</v>
      </c>
      <c r="E683" s="18" t="s">
        <v>4081</v>
      </c>
    </row>
    <row r="684" spans="1:5" x14ac:dyDescent="0.25">
      <c r="A684" s="16">
        <v>689</v>
      </c>
      <c r="B684" s="18" t="s">
        <v>3768</v>
      </c>
      <c r="C684" s="18" t="s">
        <v>4054</v>
      </c>
      <c r="D684" s="18" t="s">
        <v>4054</v>
      </c>
      <c r="E684" s="18" t="s">
        <v>4082</v>
      </c>
    </row>
    <row r="685" spans="1:5" ht="24" customHeight="1" x14ac:dyDescent="0.25">
      <c r="A685" s="16">
        <v>690</v>
      </c>
      <c r="B685" s="18" t="s">
        <v>3768</v>
      </c>
      <c r="C685" s="18" t="s">
        <v>4054</v>
      </c>
      <c r="D685" s="18" t="s">
        <v>4054</v>
      </c>
      <c r="E685" s="18" t="s">
        <v>4083</v>
      </c>
    </row>
    <row r="686" spans="1:5" x14ac:dyDescent="0.25">
      <c r="A686" s="16">
        <v>691</v>
      </c>
      <c r="B686" s="18" t="s">
        <v>3768</v>
      </c>
      <c r="C686" s="18" t="s">
        <v>4054</v>
      </c>
      <c r="D686" s="18" t="s">
        <v>4054</v>
      </c>
      <c r="E686" s="18" t="s">
        <v>4084</v>
      </c>
    </row>
    <row r="687" spans="1:5" x14ac:dyDescent="0.25">
      <c r="A687" s="16">
        <v>692</v>
      </c>
      <c r="B687" s="18" t="s">
        <v>3768</v>
      </c>
      <c r="C687" s="18" t="s">
        <v>4054</v>
      </c>
      <c r="D687" s="18" t="s">
        <v>4054</v>
      </c>
      <c r="E687" s="18" t="s">
        <v>4085</v>
      </c>
    </row>
    <row r="688" spans="1:5" ht="24" customHeight="1" x14ac:dyDescent="0.25">
      <c r="A688" s="16">
        <v>693</v>
      </c>
      <c r="B688" s="18" t="s">
        <v>3768</v>
      </c>
      <c r="C688" s="18" t="s">
        <v>4054</v>
      </c>
      <c r="D688" s="18" t="s">
        <v>4054</v>
      </c>
      <c r="E688" s="18" t="s">
        <v>4086</v>
      </c>
    </row>
    <row r="689" spans="1:5" ht="24" customHeight="1" x14ac:dyDescent="0.25">
      <c r="A689" s="16">
        <v>694</v>
      </c>
      <c r="B689" s="18" t="s">
        <v>3768</v>
      </c>
      <c r="C689" s="18" t="s">
        <v>4054</v>
      </c>
      <c r="D689" s="18" t="s">
        <v>4054</v>
      </c>
      <c r="E689" s="18" t="s">
        <v>4087</v>
      </c>
    </row>
    <row r="690" spans="1:5" ht="24" customHeight="1" x14ac:dyDescent="0.25">
      <c r="A690" s="16">
        <v>695</v>
      </c>
      <c r="B690" s="18" t="s">
        <v>3768</v>
      </c>
      <c r="C690" s="18" t="s">
        <v>4054</v>
      </c>
      <c r="D690" s="18" t="s">
        <v>4054</v>
      </c>
      <c r="E690" s="18" t="s">
        <v>4088</v>
      </c>
    </row>
    <row r="691" spans="1:5" x14ac:dyDescent="0.25">
      <c r="A691" s="16">
        <v>696</v>
      </c>
      <c r="B691" s="18" t="s">
        <v>3768</v>
      </c>
      <c r="C691" s="18" t="s">
        <v>4054</v>
      </c>
      <c r="D691" s="18" t="s">
        <v>4054</v>
      </c>
      <c r="E691" s="18" t="s">
        <v>4089</v>
      </c>
    </row>
    <row r="692" spans="1:5" ht="24" customHeight="1" x14ac:dyDescent="0.25">
      <c r="A692" s="16">
        <v>697</v>
      </c>
      <c r="B692" s="18" t="s">
        <v>3768</v>
      </c>
      <c r="C692" s="18" t="s">
        <v>4054</v>
      </c>
      <c r="D692" s="18" t="s">
        <v>4054</v>
      </c>
      <c r="E692" s="18" t="s">
        <v>4090</v>
      </c>
    </row>
    <row r="693" spans="1:5" x14ac:dyDescent="0.25">
      <c r="A693" s="16">
        <v>698</v>
      </c>
      <c r="B693" s="18" t="s">
        <v>3768</v>
      </c>
      <c r="C693" s="18" t="s">
        <v>4054</v>
      </c>
      <c r="D693" s="18" t="s">
        <v>4054</v>
      </c>
      <c r="E693" s="18" t="s">
        <v>4091</v>
      </c>
    </row>
    <row r="694" spans="1:5" ht="24" customHeight="1" x14ac:dyDescent="0.25">
      <c r="A694" s="16">
        <v>699</v>
      </c>
      <c r="B694" s="18" t="s">
        <v>3768</v>
      </c>
      <c r="C694" s="18" t="s">
        <v>4054</v>
      </c>
      <c r="D694" s="18" t="s">
        <v>4054</v>
      </c>
      <c r="E694" s="18" t="s">
        <v>4092</v>
      </c>
    </row>
    <row r="695" spans="1:5" x14ac:dyDescent="0.25">
      <c r="A695" s="16">
        <v>700</v>
      </c>
      <c r="B695" s="18" t="s">
        <v>3768</v>
      </c>
      <c r="C695" s="18" t="s">
        <v>4054</v>
      </c>
      <c r="D695" s="18" t="s">
        <v>4054</v>
      </c>
      <c r="E695" s="18" t="s">
        <v>4093</v>
      </c>
    </row>
    <row r="696" spans="1:5" x14ac:dyDescent="0.25">
      <c r="A696" s="16">
        <v>701</v>
      </c>
      <c r="B696" s="18" t="s">
        <v>3768</v>
      </c>
      <c r="C696" s="18" t="s">
        <v>4054</v>
      </c>
      <c r="D696" s="18" t="s">
        <v>4054</v>
      </c>
      <c r="E696" s="18" t="s">
        <v>4094</v>
      </c>
    </row>
    <row r="697" spans="1:5" ht="24" customHeight="1" x14ac:dyDescent="0.25">
      <c r="A697" s="16">
        <v>702</v>
      </c>
      <c r="B697" s="18" t="s">
        <v>3768</v>
      </c>
      <c r="C697" s="18" t="s">
        <v>4054</v>
      </c>
      <c r="D697" s="18" t="s">
        <v>4054</v>
      </c>
      <c r="E697" s="18" t="s">
        <v>4095</v>
      </c>
    </row>
    <row r="698" spans="1:5" x14ac:dyDescent="0.25">
      <c r="A698" s="16">
        <v>703</v>
      </c>
      <c r="B698" s="18" t="s">
        <v>3768</v>
      </c>
      <c r="C698" s="18" t="s">
        <v>4054</v>
      </c>
      <c r="D698" s="18" t="s">
        <v>4054</v>
      </c>
      <c r="E698" s="18" t="s">
        <v>4096</v>
      </c>
    </row>
    <row r="699" spans="1:5" ht="24" customHeight="1" x14ac:dyDescent="0.25">
      <c r="A699" s="16">
        <v>704</v>
      </c>
      <c r="B699" s="18" t="s">
        <v>3768</v>
      </c>
      <c r="C699" s="18" t="s">
        <v>4054</v>
      </c>
      <c r="D699" s="18" t="s">
        <v>4054</v>
      </c>
      <c r="E699" s="18" t="s">
        <v>4097</v>
      </c>
    </row>
    <row r="700" spans="1:5" ht="24" customHeight="1" x14ac:dyDescent="0.25">
      <c r="A700" s="16">
        <v>705</v>
      </c>
      <c r="B700" s="18" t="s">
        <v>3768</v>
      </c>
      <c r="C700" s="18" t="s">
        <v>4054</v>
      </c>
      <c r="D700" s="18" t="s">
        <v>4054</v>
      </c>
      <c r="E700" s="18" t="s">
        <v>4098</v>
      </c>
    </row>
    <row r="701" spans="1:5" ht="24" customHeight="1" x14ac:dyDescent="0.25">
      <c r="A701" s="16">
        <v>706</v>
      </c>
      <c r="B701" s="18" t="s">
        <v>3768</v>
      </c>
      <c r="C701" s="18" t="s">
        <v>4054</v>
      </c>
      <c r="D701" s="18" t="s">
        <v>4054</v>
      </c>
      <c r="E701" s="18" t="s">
        <v>4099</v>
      </c>
    </row>
    <row r="702" spans="1:5" ht="24" customHeight="1" x14ac:dyDescent="0.25">
      <c r="A702" s="16">
        <v>707</v>
      </c>
      <c r="B702" s="18" t="s">
        <v>3768</v>
      </c>
      <c r="C702" s="18" t="s">
        <v>4054</v>
      </c>
      <c r="D702" s="18" t="s">
        <v>4054</v>
      </c>
      <c r="E702" s="18" t="s">
        <v>4100</v>
      </c>
    </row>
    <row r="703" spans="1:5" x14ac:dyDescent="0.25">
      <c r="A703" s="16">
        <v>708</v>
      </c>
      <c r="B703" s="18" t="s">
        <v>3768</v>
      </c>
      <c r="C703" s="18" t="s">
        <v>4101</v>
      </c>
      <c r="D703" s="18" t="s">
        <v>4102</v>
      </c>
      <c r="E703" s="18" t="s">
        <v>4103</v>
      </c>
    </row>
    <row r="704" spans="1:5" ht="24" customHeight="1" x14ac:dyDescent="0.25">
      <c r="A704" s="16">
        <v>709</v>
      </c>
      <c r="B704" s="18" t="s">
        <v>3768</v>
      </c>
      <c r="C704" s="18" t="s">
        <v>4101</v>
      </c>
      <c r="D704" s="18" t="s">
        <v>4102</v>
      </c>
      <c r="E704" s="18" t="s">
        <v>4104</v>
      </c>
    </row>
    <row r="705" spans="1:5" ht="24" customHeight="1" x14ac:dyDescent="0.25">
      <c r="A705" s="16">
        <v>710</v>
      </c>
      <c r="B705" s="18" t="s">
        <v>3768</v>
      </c>
      <c r="C705" s="18" t="s">
        <v>4101</v>
      </c>
      <c r="D705" s="18" t="s">
        <v>4102</v>
      </c>
      <c r="E705" s="18" t="s">
        <v>4105</v>
      </c>
    </row>
    <row r="706" spans="1:5" x14ac:dyDescent="0.25">
      <c r="A706" s="16">
        <v>711</v>
      </c>
      <c r="B706" s="18" t="s">
        <v>3768</v>
      </c>
      <c r="C706" s="18" t="s">
        <v>4101</v>
      </c>
      <c r="D706" s="18" t="s">
        <v>4102</v>
      </c>
      <c r="E706" s="18" t="s">
        <v>4106</v>
      </c>
    </row>
    <row r="707" spans="1:5" x14ac:dyDescent="0.25">
      <c r="A707" s="16">
        <v>712</v>
      </c>
      <c r="B707" s="18" t="s">
        <v>3768</v>
      </c>
      <c r="C707" s="18" t="s">
        <v>4101</v>
      </c>
      <c r="D707" s="18" t="s">
        <v>4102</v>
      </c>
      <c r="E707" s="18" t="s">
        <v>4107</v>
      </c>
    </row>
    <row r="708" spans="1:5" x14ac:dyDescent="0.25">
      <c r="A708" s="16">
        <v>713</v>
      </c>
      <c r="B708" s="18" t="s">
        <v>3768</v>
      </c>
      <c r="C708" s="18" t="s">
        <v>4101</v>
      </c>
      <c r="D708" s="18" t="s">
        <v>4102</v>
      </c>
      <c r="E708" s="18" t="s">
        <v>4108</v>
      </c>
    </row>
    <row r="709" spans="1:5" x14ac:dyDescent="0.25">
      <c r="A709" s="16">
        <v>714</v>
      </c>
      <c r="B709" s="18" t="s">
        <v>3768</v>
      </c>
      <c r="C709" s="18" t="s">
        <v>4101</v>
      </c>
      <c r="D709" s="18" t="s">
        <v>4102</v>
      </c>
      <c r="E709" s="18" t="s">
        <v>4109</v>
      </c>
    </row>
    <row r="710" spans="1:5" x14ac:dyDescent="0.25">
      <c r="A710" s="16">
        <v>715</v>
      </c>
      <c r="B710" s="18" t="s">
        <v>3768</v>
      </c>
      <c r="C710" s="18" t="s">
        <v>4101</v>
      </c>
      <c r="D710" s="18" t="s">
        <v>4102</v>
      </c>
      <c r="E710" s="18" t="s">
        <v>4110</v>
      </c>
    </row>
    <row r="711" spans="1:5" ht="24" customHeight="1" x14ac:dyDescent="0.25">
      <c r="A711" s="16">
        <v>716</v>
      </c>
      <c r="B711" s="18" t="s">
        <v>3768</v>
      </c>
      <c r="C711" s="18" t="s">
        <v>4101</v>
      </c>
      <c r="D711" s="18" t="s">
        <v>4102</v>
      </c>
      <c r="E711" s="18" t="s">
        <v>4111</v>
      </c>
    </row>
    <row r="712" spans="1:5" x14ac:dyDescent="0.25">
      <c r="A712" s="16">
        <v>717</v>
      </c>
      <c r="B712" s="18" t="s">
        <v>3768</v>
      </c>
      <c r="C712" s="18" t="s">
        <v>4101</v>
      </c>
      <c r="D712" s="18" t="s">
        <v>4102</v>
      </c>
      <c r="E712" s="18" t="s">
        <v>4112</v>
      </c>
    </row>
    <row r="713" spans="1:5" ht="24" customHeight="1" x14ac:dyDescent="0.25">
      <c r="A713" s="16">
        <v>718</v>
      </c>
      <c r="B713" s="18" t="s">
        <v>3768</v>
      </c>
      <c r="C713" s="18" t="s">
        <v>4101</v>
      </c>
      <c r="D713" s="18" t="s">
        <v>4113</v>
      </c>
      <c r="E713" s="18" t="s">
        <v>4114</v>
      </c>
    </row>
    <row r="714" spans="1:5" ht="24" customHeight="1" x14ac:dyDescent="0.25">
      <c r="A714" s="16">
        <v>719</v>
      </c>
      <c r="B714" s="18" t="s">
        <v>3768</v>
      </c>
      <c r="C714" s="18" t="s">
        <v>4101</v>
      </c>
      <c r="D714" s="18" t="s">
        <v>4113</v>
      </c>
      <c r="E714" s="18" t="s">
        <v>4115</v>
      </c>
    </row>
    <row r="715" spans="1:5" ht="24" customHeight="1" x14ac:dyDescent="0.25">
      <c r="A715" s="16">
        <v>720</v>
      </c>
      <c r="B715" s="18" t="s">
        <v>3768</v>
      </c>
      <c r="C715" s="18" t="s">
        <v>4101</v>
      </c>
      <c r="D715" s="18" t="s">
        <v>4113</v>
      </c>
      <c r="E715" s="18" t="s">
        <v>4116</v>
      </c>
    </row>
    <row r="716" spans="1:5" ht="24" customHeight="1" x14ac:dyDescent="0.25">
      <c r="A716" s="16">
        <v>721</v>
      </c>
      <c r="B716" s="18" t="s">
        <v>3768</v>
      </c>
      <c r="C716" s="18" t="s">
        <v>4101</v>
      </c>
      <c r="D716" s="18" t="s">
        <v>4113</v>
      </c>
      <c r="E716" s="18" t="s">
        <v>4117</v>
      </c>
    </row>
    <row r="717" spans="1:5" ht="24" customHeight="1" x14ac:dyDescent="0.25">
      <c r="A717" s="16">
        <v>722</v>
      </c>
      <c r="B717" s="18" t="s">
        <v>3768</v>
      </c>
      <c r="C717" s="18" t="s">
        <v>4101</v>
      </c>
      <c r="D717" s="18" t="s">
        <v>4113</v>
      </c>
      <c r="E717" s="18" t="s">
        <v>4118</v>
      </c>
    </row>
    <row r="718" spans="1:5" ht="24" customHeight="1" x14ac:dyDescent="0.25">
      <c r="A718" s="16">
        <v>723</v>
      </c>
      <c r="B718" s="18" t="s">
        <v>3768</v>
      </c>
      <c r="C718" s="18" t="s">
        <v>4101</v>
      </c>
      <c r="D718" s="18" t="s">
        <v>4113</v>
      </c>
      <c r="E718" s="18" t="s">
        <v>4119</v>
      </c>
    </row>
    <row r="719" spans="1:5" ht="24" customHeight="1" x14ac:dyDescent="0.25">
      <c r="A719" s="16">
        <v>724</v>
      </c>
      <c r="B719" s="18" t="s">
        <v>3768</v>
      </c>
      <c r="C719" s="18" t="s">
        <v>4101</v>
      </c>
      <c r="D719" s="18" t="s">
        <v>4113</v>
      </c>
      <c r="E719" s="18" t="s">
        <v>4120</v>
      </c>
    </row>
    <row r="720" spans="1:5" x14ac:dyDescent="0.25">
      <c r="A720" s="16">
        <v>725</v>
      </c>
      <c r="B720" s="18" t="s">
        <v>3768</v>
      </c>
      <c r="C720" s="18" t="s">
        <v>4101</v>
      </c>
      <c r="D720" s="18" t="s">
        <v>4121</v>
      </c>
      <c r="E720" s="18" t="s">
        <v>4122</v>
      </c>
    </row>
    <row r="721" spans="1:5" x14ac:dyDescent="0.25">
      <c r="A721" s="16">
        <v>726</v>
      </c>
      <c r="B721" s="18" t="s">
        <v>3768</v>
      </c>
      <c r="C721" s="18" t="s">
        <v>4101</v>
      </c>
      <c r="D721" s="18" t="s">
        <v>4121</v>
      </c>
      <c r="E721" s="18" t="s">
        <v>4123</v>
      </c>
    </row>
    <row r="722" spans="1:5" x14ac:dyDescent="0.25">
      <c r="A722" s="16">
        <v>727</v>
      </c>
      <c r="B722" s="18" t="s">
        <v>3768</v>
      </c>
      <c r="C722" s="18" t="s">
        <v>4101</v>
      </c>
      <c r="D722" s="18" t="s">
        <v>4121</v>
      </c>
      <c r="E722" s="18" t="s">
        <v>4124</v>
      </c>
    </row>
    <row r="723" spans="1:5" x14ac:dyDescent="0.25">
      <c r="A723" s="16">
        <v>728</v>
      </c>
      <c r="B723" s="18" t="s">
        <v>3768</v>
      </c>
      <c r="C723" s="18" t="s">
        <v>4101</v>
      </c>
      <c r="D723" s="18" t="s">
        <v>4121</v>
      </c>
      <c r="E723" s="18" t="s">
        <v>4125</v>
      </c>
    </row>
    <row r="724" spans="1:5" x14ac:dyDescent="0.25">
      <c r="A724" s="16">
        <v>729</v>
      </c>
      <c r="B724" s="18" t="s">
        <v>3768</v>
      </c>
      <c r="C724" s="18" t="s">
        <v>4101</v>
      </c>
      <c r="D724" s="18" t="s">
        <v>4121</v>
      </c>
      <c r="E724" s="18" t="s">
        <v>4126</v>
      </c>
    </row>
    <row r="725" spans="1:5" ht="36" customHeight="1" x14ac:dyDescent="0.25">
      <c r="A725" s="16">
        <v>730</v>
      </c>
      <c r="B725" s="18" t="s">
        <v>3768</v>
      </c>
      <c r="C725" s="18" t="s">
        <v>4101</v>
      </c>
      <c r="D725" s="18" t="s">
        <v>4121</v>
      </c>
      <c r="E725" s="18" t="s">
        <v>4127</v>
      </c>
    </row>
    <row r="726" spans="1:5" x14ac:dyDescent="0.25">
      <c r="A726" s="16">
        <v>731</v>
      </c>
      <c r="B726" s="18" t="s">
        <v>3768</v>
      </c>
      <c r="C726" s="18" t="s">
        <v>4101</v>
      </c>
      <c r="D726" s="18" t="s">
        <v>4121</v>
      </c>
      <c r="E726" s="18" t="s">
        <v>4128</v>
      </c>
    </row>
    <row r="727" spans="1:5" x14ac:dyDescent="0.25">
      <c r="A727" s="16">
        <v>732</v>
      </c>
      <c r="B727" s="18" t="s">
        <v>3768</v>
      </c>
      <c r="C727" s="18" t="s">
        <v>4101</v>
      </c>
      <c r="D727" s="18" t="s">
        <v>4121</v>
      </c>
      <c r="E727" s="18" t="s">
        <v>4129</v>
      </c>
    </row>
    <row r="728" spans="1:5" x14ac:dyDescent="0.25">
      <c r="A728" s="16">
        <v>733</v>
      </c>
      <c r="B728" s="18" t="s">
        <v>3768</v>
      </c>
      <c r="C728" s="18" t="s">
        <v>4101</v>
      </c>
      <c r="D728" s="18" t="s">
        <v>4130</v>
      </c>
      <c r="E728" s="18" t="s">
        <v>4131</v>
      </c>
    </row>
    <row r="729" spans="1:5" x14ac:dyDescent="0.25">
      <c r="A729" s="16">
        <v>734</v>
      </c>
      <c r="B729" s="18" t="s">
        <v>3768</v>
      </c>
      <c r="C729" s="18" t="s">
        <v>4101</v>
      </c>
      <c r="D729" s="18" t="s">
        <v>4130</v>
      </c>
      <c r="E729" s="18" t="s">
        <v>4132</v>
      </c>
    </row>
    <row r="730" spans="1:5" x14ac:dyDescent="0.25">
      <c r="A730" s="16">
        <v>735</v>
      </c>
      <c r="B730" s="18" t="s">
        <v>3768</v>
      </c>
      <c r="C730" s="18" t="s">
        <v>4101</v>
      </c>
      <c r="D730" s="18" t="s">
        <v>4130</v>
      </c>
      <c r="E730" s="18" t="s">
        <v>4133</v>
      </c>
    </row>
    <row r="731" spans="1:5" ht="24" customHeight="1" x14ac:dyDescent="0.25">
      <c r="A731" s="16">
        <v>736</v>
      </c>
      <c r="B731" s="18" t="s">
        <v>3768</v>
      </c>
      <c r="C731" s="18" t="s">
        <v>4101</v>
      </c>
      <c r="D731" s="18" t="s">
        <v>4130</v>
      </c>
      <c r="E731" s="18" t="s">
        <v>4134</v>
      </c>
    </row>
    <row r="732" spans="1:5" x14ac:dyDescent="0.25">
      <c r="A732" s="16">
        <v>737</v>
      </c>
      <c r="B732" s="18" t="s">
        <v>3768</v>
      </c>
      <c r="C732" s="18" t="s">
        <v>4101</v>
      </c>
      <c r="D732" s="18" t="s">
        <v>4130</v>
      </c>
      <c r="E732" s="18" t="s">
        <v>4135</v>
      </c>
    </row>
    <row r="733" spans="1:5" ht="36" customHeight="1" x14ac:dyDescent="0.25">
      <c r="A733" s="16">
        <v>738</v>
      </c>
      <c r="B733" s="18" t="s">
        <v>3768</v>
      </c>
      <c r="C733" s="18" t="s">
        <v>4101</v>
      </c>
      <c r="D733" s="18" t="s">
        <v>4130</v>
      </c>
      <c r="E733" s="18" t="s">
        <v>4136</v>
      </c>
    </row>
    <row r="734" spans="1:5" ht="24" customHeight="1" x14ac:dyDescent="0.25">
      <c r="A734" s="16">
        <v>739</v>
      </c>
      <c r="B734" s="18" t="s">
        <v>3768</v>
      </c>
      <c r="C734" s="18" t="s">
        <v>4101</v>
      </c>
      <c r="D734" s="18" t="s">
        <v>4130</v>
      </c>
      <c r="E734" s="18" t="s">
        <v>4137</v>
      </c>
    </row>
    <row r="735" spans="1:5" ht="36" customHeight="1" x14ac:dyDescent="0.25">
      <c r="A735" s="16">
        <v>740</v>
      </c>
      <c r="B735" s="18" t="s">
        <v>3768</v>
      </c>
      <c r="C735" s="18" t="s">
        <v>4101</v>
      </c>
      <c r="D735" s="18" t="s">
        <v>4130</v>
      </c>
      <c r="E735" s="18" t="s">
        <v>4138</v>
      </c>
    </row>
    <row r="736" spans="1:5" x14ac:dyDescent="0.25">
      <c r="A736" s="16">
        <v>741</v>
      </c>
      <c r="B736" s="18" t="s">
        <v>3768</v>
      </c>
      <c r="C736" s="18" t="s">
        <v>4101</v>
      </c>
      <c r="D736" s="18" t="s">
        <v>4130</v>
      </c>
      <c r="E736" s="18" t="s">
        <v>4139</v>
      </c>
    </row>
    <row r="737" spans="1:5" ht="24" customHeight="1" x14ac:dyDescent="0.25">
      <c r="A737" s="16">
        <v>742</v>
      </c>
      <c r="B737" s="18" t="s">
        <v>3768</v>
      </c>
      <c r="C737" s="18" t="s">
        <v>4101</v>
      </c>
      <c r="D737" s="18" t="s">
        <v>4130</v>
      </c>
      <c r="E737" s="18" t="s">
        <v>4140</v>
      </c>
    </row>
    <row r="738" spans="1:5" ht="24" customHeight="1" x14ac:dyDescent="0.25">
      <c r="A738" s="16">
        <v>743</v>
      </c>
      <c r="B738" s="18" t="s">
        <v>3768</v>
      </c>
      <c r="C738" s="18" t="s">
        <v>4101</v>
      </c>
      <c r="D738" s="18" t="s">
        <v>4130</v>
      </c>
      <c r="E738" s="18" t="s">
        <v>4141</v>
      </c>
    </row>
    <row r="739" spans="1:5" ht="24" customHeight="1" x14ac:dyDescent="0.25">
      <c r="A739" s="16">
        <v>744</v>
      </c>
      <c r="B739" s="18" t="s">
        <v>3768</v>
      </c>
      <c r="C739" s="18" t="s">
        <v>4101</v>
      </c>
      <c r="D739" s="18" t="s">
        <v>4130</v>
      </c>
      <c r="E739" s="18" t="s">
        <v>4142</v>
      </c>
    </row>
    <row r="740" spans="1:5" x14ac:dyDescent="0.25">
      <c r="A740" s="16">
        <v>745</v>
      </c>
      <c r="B740" s="18" t="s">
        <v>3768</v>
      </c>
      <c r="C740" s="18" t="s">
        <v>4101</v>
      </c>
      <c r="D740" s="18" t="s">
        <v>4130</v>
      </c>
      <c r="E740" s="18" t="s">
        <v>4143</v>
      </c>
    </row>
    <row r="741" spans="1:5" x14ac:dyDescent="0.25">
      <c r="A741" s="16">
        <v>746</v>
      </c>
      <c r="B741" s="18" t="s">
        <v>3768</v>
      </c>
      <c r="C741" s="18" t="s">
        <v>4101</v>
      </c>
      <c r="D741" s="18" t="s">
        <v>4130</v>
      </c>
      <c r="E741" s="18" t="s">
        <v>4144</v>
      </c>
    </row>
    <row r="742" spans="1:5" ht="36" customHeight="1" x14ac:dyDescent="0.25">
      <c r="A742" s="16">
        <v>747</v>
      </c>
      <c r="B742" s="18" t="s">
        <v>3768</v>
      </c>
      <c r="C742" s="18" t="s">
        <v>4101</v>
      </c>
      <c r="D742" s="18" t="s">
        <v>4130</v>
      </c>
      <c r="E742" s="18" t="s">
        <v>4145</v>
      </c>
    </row>
    <row r="743" spans="1:5" x14ac:dyDescent="0.25">
      <c r="A743" s="16">
        <v>748</v>
      </c>
      <c r="B743" s="18" t="s">
        <v>3768</v>
      </c>
      <c r="C743" s="18" t="s">
        <v>4101</v>
      </c>
      <c r="D743" s="18" t="s">
        <v>4101</v>
      </c>
      <c r="E743" s="18" t="s">
        <v>4146</v>
      </c>
    </row>
    <row r="744" spans="1:5" ht="24" customHeight="1" x14ac:dyDescent="0.25">
      <c r="A744" s="16">
        <v>749</v>
      </c>
      <c r="B744" s="18" t="s">
        <v>3768</v>
      </c>
      <c r="C744" s="18" t="s">
        <v>4101</v>
      </c>
      <c r="D744" s="18" t="s">
        <v>4101</v>
      </c>
      <c r="E744" s="18" t="s">
        <v>4147</v>
      </c>
    </row>
    <row r="745" spans="1:5" ht="24" customHeight="1" x14ac:dyDescent="0.25">
      <c r="A745" s="16">
        <v>750</v>
      </c>
      <c r="B745" s="18" t="s">
        <v>3768</v>
      </c>
      <c r="C745" s="18" t="s">
        <v>4101</v>
      </c>
      <c r="D745" s="18" t="s">
        <v>4101</v>
      </c>
      <c r="E745" s="18" t="s">
        <v>4148</v>
      </c>
    </row>
    <row r="746" spans="1:5" x14ac:dyDescent="0.25">
      <c r="A746" s="16">
        <v>751</v>
      </c>
      <c r="B746" s="18" t="s">
        <v>3768</v>
      </c>
      <c r="C746" s="18" t="s">
        <v>4101</v>
      </c>
      <c r="D746" s="18" t="s">
        <v>4101</v>
      </c>
      <c r="E746" s="18" t="s">
        <v>4149</v>
      </c>
    </row>
    <row r="747" spans="1:5" ht="24" customHeight="1" x14ac:dyDescent="0.25">
      <c r="A747" s="16">
        <v>752</v>
      </c>
      <c r="B747" s="18" t="s">
        <v>3768</v>
      </c>
      <c r="C747" s="18" t="s">
        <v>4101</v>
      </c>
      <c r="D747" s="18" t="s">
        <v>4101</v>
      </c>
      <c r="E747" s="18" t="s">
        <v>4150</v>
      </c>
    </row>
    <row r="748" spans="1:5" x14ac:dyDescent="0.25">
      <c r="A748" s="16">
        <v>753</v>
      </c>
      <c r="B748" s="18" t="s">
        <v>3768</v>
      </c>
      <c r="C748" s="18" t="s">
        <v>4101</v>
      </c>
      <c r="D748" s="18" t="s">
        <v>4101</v>
      </c>
      <c r="E748" s="18" t="s">
        <v>4151</v>
      </c>
    </row>
    <row r="749" spans="1:5" ht="24" customHeight="1" x14ac:dyDescent="0.25">
      <c r="A749" s="16">
        <v>754</v>
      </c>
      <c r="B749" s="18" t="s">
        <v>3768</v>
      </c>
      <c r="C749" s="18" t="s">
        <v>4101</v>
      </c>
      <c r="D749" s="18" t="s">
        <v>4101</v>
      </c>
      <c r="E749" s="18" t="s">
        <v>4152</v>
      </c>
    </row>
    <row r="750" spans="1:5" x14ac:dyDescent="0.25">
      <c r="A750" s="16">
        <v>755</v>
      </c>
      <c r="B750" s="18" t="s">
        <v>3768</v>
      </c>
      <c r="C750" s="18" t="s">
        <v>4101</v>
      </c>
      <c r="D750" s="18" t="s">
        <v>4101</v>
      </c>
      <c r="E750" s="18" t="s">
        <v>4153</v>
      </c>
    </row>
    <row r="751" spans="1:5" x14ac:dyDescent="0.25">
      <c r="A751" s="16">
        <v>756</v>
      </c>
      <c r="B751" s="18" t="s">
        <v>3768</v>
      </c>
      <c r="C751" s="18" t="s">
        <v>4101</v>
      </c>
      <c r="D751" s="18" t="s">
        <v>4101</v>
      </c>
      <c r="E751" s="18" t="s">
        <v>4154</v>
      </c>
    </row>
    <row r="752" spans="1:5" x14ac:dyDescent="0.25">
      <c r="A752" s="16">
        <v>757</v>
      </c>
      <c r="B752" s="18" t="s">
        <v>3768</v>
      </c>
      <c r="C752" s="18" t="s">
        <v>4101</v>
      </c>
      <c r="D752" s="18" t="s">
        <v>4101</v>
      </c>
      <c r="E752" s="18" t="s">
        <v>4155</v>
      </c>
    </row>
    <row r="753" spans="1:5" ht="24" customHeight="1" x14ac:dyDescent="0.25">
      <c r="A753" s="16">
        <v>758</v>
      </c>
      <c r="B753" s="18" t="s">
        <v>3768</v>
      </c>
      <c r="C753" s="18" t="s">
        <v>4101</v>
      </c>
      <c r="D753" s="18" t="s">
        <v>4101</v>
      </c>
      <c r="E753" s="18" t="s">
        <v>4156</v>
      </c>
    </row>
    <row r="754" spans="1:5" ht="36" customHeight="1" x14ac:dyDescent="0.25">
      <c r="A754" s="16">
        <v>759</v>
      </c>
      <c r="B754" s="18" t="s">
        <v>3768</v>
      </c>
      <c r="C754" s="18" t="s">
        <v>4101</v>
      </c>
      <c r="D754" s="18" t="s">
        <v>4101</v>
      </c>
      <c r="E754" s="18" t="s">
        <v>4157</v>
      </c>
    </row>
    <row r="755" spans="1:5" ht="36" customHeight="1" x14ac:dyDescent="0.25">
      <c r="A755" s="16">
        <v>760</v>
      </c>
      <c r="B755" s="18" t="s">
        <v>3768</v>
      </c>
      <c r="C755" s="18" t="s">
        <v>4101</v>
      </c>
      <c r="D755" s="18" t="s">
        <v>4101</v>
      </c>
      <c r="E755" s="18" t="s">
        <v>4158</v>
      </c>
    </row>
    <row r="756" spans="1:5" x14ac:dyDescent="0.25">
      <c r="A756" s="16">
        <v>761</v>
      </c>
      <c r="B756" s="18" t="s">
        <v>3768</v>
      </c>
      <c r="C756" s="18" t="s">
        <v>4101</v>
      </c>
      <c r="D756" s="18" t="s">
        <v>4101</v>
      </c>
      <c r="E756" s="18" t="s">
        <v>4159</v>
      </c>
    </row>
    <row r="757" spans="1:5" x14ac:dyDescent="0.25">
      <c r="A757" s="16">
        <v>762</v>
      </c>
      <c r="B757" s="18" t="s">
        <v>3768</v>
      </c>
      <c r="C757" s="18" t="s">
        <v>4101</v>
      </c>
      <c r="D757" s="18" t="s">
        <v>4101</v>
      </c>
      <c r="E757" s="18" t="s">
        <v>4160</v>
      </c>
    </row>
    <row r="758" spans="1:5" x14ac:dyDescent="0.25">
      <c r="A758" s="16">
        <v>763</v>
      </c>
      <c r="B758" s="18" t="s">
        <v>3768</v>
      </c>
      <c r="C758" s="18" t="s">
        <v>4101</v>
      </c>
      <c r="D758" s="18" t="s">
        <v>4101</v>
      </c>
      <c r="E758" s="18" t="s">
        <v>4161</v>
      </c>
    </row>
    <row r="759" spans="1:5" ht="24" customHeight="1" x14ac:dyDescent="0.25">
      <c r="A759" s="16">
        <v>764</v>
      </c>
      <c r="B759" s="18" t="s">
        <v>3768</v>
      </c>
      <c r="C759" s="18" t="s">
        <v>4101</v>
      </c>
      <c r="D759" s="18" t="s">
        <v>4162</v>
      </c>
      <c r="E759" s="18" t="s">
        <v>4163</v>
      </c>
    </row>
    <row r="760" spans="1:5" x14ac:dyDescent="0.25">
      <c r="A760" s="16">
        <v>765</v>
      </c>
      <c r="B760" s="18" t="s">
        <v>3768</v>
      </c>
      <c r="C760" s="18" t="s">
        <v>4101</v>
      </c>
      <c r="D760" s="18" t="s">
        <v>4162</v>
      </c>
      <c r="E760" s="18" t="s">
        <v>4164</v>
      </c>
    </row>
    <row r="761" spans="1:5" ht="24" customHeight="1" x14ac:dyDescent="0.25">
      <c r="A761" s="16">
        <v>766</v>
      </c>
      <c r="B761" s="18" t="s">
        <v>3768</v>
      </c>
      <c r="C761" s="18" t="s">
        <v>4101</v>
      </c>
      <c r="D761" s="18" t="s">
        <v>4162</v>
      </c>
      <c r="E761" s="18" t="s">
        <v>4165</v>
      </c>
    </row>
    <row r="762" spans="1:5" x14ac:dyDescent="0.25">
      <c r="A762" s="16">
        <v>767</v>
      </c>
      <c r="B762" s="18" t="s">
        <v>3768</v>
      </c>
      <c r="C762" s="18" t="s">
        <v>4101</v>
      </c>
      <c r="D762" s="18" t="s">
        <v>4162</v>
      </c>
      <c r="E762" s="18" t="s">
        <v>4166</v>
      </c>
    </row>
    <row r="763" spans="1:5" x14ac:dyDescent="0.25">
      <c r="A763" s="16">
        <v>768</v>
      </c>
      <c r="B763" s="18" t="s">
        <v>3768</v>
      </c>
      <c r="C763" s="18" t="s">
        <v>4101</v>
      </c>
      <c r="D763" s="18" t="s">
        <v>4162</v>
      </c>
      <c r="E763" s="18" t="s">
        <v>4167</v>
      </c>
    </row>
    <row r="764" spans="1:5" ht="24" customHeight="1" x14ac:dyDescent="0.25">
      <c r="A764" s="16">
        <v>769</v>
      </c>
      <c r="B764" s="18" t="s">
        <v>3768</v>
      </c>
      <c r="C764" s="18" t="s">
        <v>4101</v>
      </c>
      <c r="D764" s="18" t="s">
        <v>4162</v>
      </c>
      <c r="E764" s="18" t="s">
        <v>4168</v>
      </c>
    </row>
    <row r="765" spans="1:5" x14ac:dyDescent="0.25">
      <c r="A765" s="16">
        <v>770</v>
      </c>
      <c r="B765" s="18" t="s">
        <v>3768</v>
      </c>
      <c r="C765" s="18" t="s">
        <v>4101</v>
      </c>
      <c r="D765" s="18" t="s">
        <v>4162</v>
      </c>
      <c r="E765" s="18" t="s">
        <v>4169</v>
      </c>
    </row>
    <row r="766" spans="1:5" x14ac:dyDescent="0.25">
      <c r="A766" s="16">
        <v>771</v>
      </c>
      <c r="B766" s="18" t="s">
        <v>3768</v>
      </c>
      <c r="C766" s="18" t="s">
        <v>4101</v>
      </c>
      <c r="D766" s="18" t="s">
        <v>4162</v>
      </c>
      <c r="E766" s="18" t="s">
        <v>4170</v>
      </c>
    </row>
    <row r="767" spans="1:5" x14ac:dyDescent="0.25">
      <c r="A767" s="16">
        <v>772</v>
      </c>
      <c r="B767" s="18" t="s">
        <v>3768</v>
      </c>
      <c r="C767" s="18" t="s">
        <v>4101</v>
      </c>
      <c r="D767" s="18" t="s">
        <v>4162</v>
      </c>
      <c r="E767" s="18" t="s">
        <v>4171</v>
      </c>
    </row>
    <row r="768" spans="1:5" ht="24" customHeight="1" x14ac:dyDescent="0.25">
      <c r="A768" s="16">
        <v>773</v>
      </c>
      <c r="B768" s="18" t="s">
        <v>3768</v>
      </c>
      <c r="C768" s="18" t="s">
        <v>4101</v>
      </c>
      <c r="D768" s="18" t="s">
        <v>4162</v>
      </c>
      <c r="E768" s="18" t="s">
        <v>4172</v>
      </c>
    </row>
    <row r="769" spans="1:5" x14ac:dyDescent="0.25">
      <c r="A769" s="16">
        <v>774</v>
      </c>
      <c r="B769" s="18" t="s">
        <v>3768</v>
      </c>
      <c r="C769" s="18" t="s">
        <v>4101</v>
      </c>
      <c r="D769" s="18" t="s">
        <v>4162</v>
      </c>
      <c r="E769" s="18" t="s">
        <v>4173</v>
      </c>
    </row>
    <row r="770" spans="1:5" ht="24" customHeight="1" x14ac:dyDescent="0.25">
      <c r="A770" s="16">
        <v>775</v>
      </c>
      <c r="B770" s="18" t="s">
        <v>3768</v>
      </c>
      <c r="C770" s="18" t="s">
        <v>4101</v>
      </c>
      <c r="D770" s="18" t="s">
        <v>4162</v>
      </c>
      <c r="E770" s="18" t="s">
        <v>4174</v>
      </c>
    </row>
    <row r="771" spans="1:5" x14ac:dyDescent="0.25">
      <c r="A771" s="16">
        <v>776</v>
      </c>
      <c r="B771" s="18" t="s">
        <v>3768</v>
      </c>
      <c r="C771" s="18" t="s">
        <v>4101</v>
      </c>
      <c r="D771" s="18" t="s">
        <v>4162</v>
      </c>
      <c r="E771" s="18" t="s">
        <v>4175</v>
      </c>
    </row>
    <row r="772" spans="1:5" x14ac:dyDescent="0.25">
      <c r="A772" s="16">
        <v>777</v>
      </c>
      <c r="B772" s="18" t="s">
        <v>3768</v>
      </c>
      <c r="C772" s="18" t="s">
        <v>4101</v>
      </c>
      <c r="D772" s="18" t="s">
        <v>4162</v>
      </c>
      <c r="E772" s="18" t="s">
        <v>4176</v>
      </c>
    </row>
    <row r="773" spans="1:5" x14ac:dyDescent="0.25">
      <c r="A773" s="16">
        <v>778</v>
      </c>
      <c r="B773" s="18" t="s">
        <v>3768</v>
      </c>
      <c r="C773" s="18" t="s">
        <v>4101</v>
      </c>
      <c r="D773" s="18" t="s">
        <v>4162</v>
      </c>
      <c r="E773" s="18" t="s">
        <v>4177</v>
      </c>
    </row>
    <row r="774" spans="1:5" ht="24" customHeight="1" x14ac:dyDescent="0.25">
      <c r="A774" s="16">
        <v>779</v>
      </c>
      <c r="B774" s="18" t="s">
        <v>3768</v>
      </c>
      <c r="C774" s="18" t="s">
        <v>4101</v>
      </c>
      <c r="D774" s="18" t="s">
        <v>4162</v>
      </c>
      <c r="E774" s="18" t="s">
        <v>4178</v>
      </c>
    </row>
    <row r="775" spans="1:5" ht="24" customHeight="1" x14ac:dyDescent="0.25">
      <c r="A775" s="16">
        <v>780</v>
      </c>
      <c r="B775" s="18" t="s">
        <v>3768</v>
      </c>
      <c r="C775" s="18" t="s">
        <v>4179</v>
      </c>
      <c r="D775" s="18" t="s">
        <v>4180</v>
      </c>
      <c r="E775" s="18" t="s">
        <v>4181</v>
      </c>
    </row>
    <row r="776" spans="1:5" ht="24" customHeight="1" x14ac:dyDescent="0.25">
      <c r="A776" s="16">
        <v>781</v>
      </c>
      <c r="B776" s="18" t="s">
        <v>3768</v>
      </c>
      <c r="C776" s="18" t="s">
        <v>4179</v>
      </c>
      <c r="D776" s="18" t="s">
        <v>4180</v>
      </c>
      <c r="E776" s="18" t="s">
        <v>4182</v>
      </c>
    </row>
    <row r="777" spans="1:5" ht="24" customHeight="1" x14ac:dyDescent="0.25">
      <c r="A777" s="16">
        <v>782</v>
      </c>
      <c r="B777" s="18" t="s">
        <v>3768</v>
      </c>
      <c r="C777" s="18" t="s">
        <v>4179</v>
      </c>
      <c r="D777" s="18" t="s">
        <v>4180</v>
      </c>
      <c r="E777" s="18" t="s">
        <v>4183</v>
      </c>
    </row>
    <row r="778" spans="1:5" ht="36" customHeight="1" x14ac:dyDescent="0.25">
      <c r="A778" s="16">
        <v>783</v>
      </c>
      <c r="B778" s="18" t="s">
        <v>3768</v>
      </c>
      <c r="C778" s="18" t="s">
        <v>4179</v>
      </c>
      <c r="D778" s="18" t="s">
        <v>4180</v>
      </c>
      <c r="E778" s="18" t="s">
        <v>4184</v>
      </c>
    </row>
    <row r="779" spans="1:5" ht="36" customHeight="1" x14ac:dyDescent="0.25">
      <c r="A779" s="16">
        <v>784</v>
      </c>
      <c r="B779" s="18" t="s">
        <v>3768</v>
      </c>
      <c r="C779" s="18" t="s">
        <v>4179</v>
      </c>
      <c r="D779" s="18" t="s">
        <v>4180</v>
      </c>
      <c r="E779" s="18" t="s">
        <v>4185</v>
      </c>
    </row>
    <row r="780" spans="1:5" ht="24" customHeight="1" x14ac:dyDescent="0.25">
      <c r="A780" s="16">
        <v>785</v>
      </c>
      <c r="B780" s="18" t="s">
        <v>3768</v>
      </c>
      <c r="C780" s="18" t="s">
        <v>4179</v>
      </c>
      <c r="D780" s="18" t="s">
        <v>4180</v>
      </c>
      <c r="E780" s="18" t="s">
        <v>4186</v>
      </c>
    </row>
    <row r="781" spans="1:5" ht="36" customHeight="1" x14ac:dyDescent="0.25">
      <c r="A781" s="16">
        <v>786</v>
      </c>
      <c r="B781" s="18" t="s">
        <v>3768</v>
      </c>
      <c r="C781" s="18" t="s">
        <v>4179</v>
      </c>
      <c r="D781" s="18" t="s">
        <v>4180</v>
      </c>
      <c r="E781" s="18" t="s">
        <v>4187</v>
      </c>
    </row>
    <row r="782" spans="1:5" ht="36" customHeight="1" x14ac:dyDescent="0.25">
      <c r="A782" s="16">
        <v>787</v>
      </c>
      <c r="B782" s="18" t="s">
        <v>3768</v>
      </c>
      <c r="C782" s="18" t="s">
        <v>4179</v>
      </c>
      <c r="D782" s="18" t="s">
        <v>4180</v>
      </c>
      <c r="E782" s="18" t="s">
        <v>4188</v>
      </c>
    </row>
    <row r="783" spans="1:5" ht="24" customHeight="1" x14ac:dyDescent="0.25">
      <c r="A783" s="16">
        <v>788</v>
      </c>
      <c r="B783" s="18" t="s">
        <v>3768</v>
      </c>
      <c r="C783" s="18" t="s">
        <v>4179</v>
      </c>
      <c r="D783" s="18" t="s">
        <v>4180</v>
      </c>
      <c r="E783" s="18" t="s">
        <v>4189</v>
      </c>
    </row>
    <row r="784" spans="1:5" ht="24" customHeight="1" x14ac:dyDescent="0.25">
      <c r="A784" s="16">
        <v>789</v>
      </c>
      <c r="B784" s="18" t="s">
        <v>3768</v>
      </c>
      <c r="C784" s="18" t="s">
        <v>4179</v>
      </c>
      <c r="D784" s="18" t="s">
        <v>4180</v>
      </c>
      <c r="E784" s="18" t="s">
        <v>4190</v>
      </c>
    </row>
    <row r="785" spans="1:5" ht="24" customHeight="1" x14ac:dyDescent="0.25">
      <c r="A785" s="16">
        <v>790</v>
      </c>
      <c r="B785" s="18" t="s">
        <v>3768</v>
      </c>
      <c r="C785" s="18" t="s">
        <v>4179</v>
      </c>
      <c r="D785" s="18" t="s">
        <v>4180</v>
      </c>
      <c r="E785" s="18" t="s">
        <v>4191</v>
      </c>
    </row>
    <row r="786" spans="1:5" ht="24" customHeight="1" x14ac:dyDescent="0.25">
      <c r="A786" s="16">
        <v>791</v>
      </c>
      <c r="B786" s="18" t="s">
        <v>3768</v>
      </c>
      <c r="C786" s="18" t="s">
        <v>4179</v>
      </c>
      <c r="D786" s="18" t="s">
        <v>4192</v>
      </c>
      <c r="E786" s="18" t="s">
        <v>4193</v>
      </c>
    </row>
    <row r="787" spans="1:5" ht="36" customHeight="1" x14ac:dyDescent="0.25">
      <c r="A787" s="16">
        <v>792</v>
      </c>
      <c r="B787" s="18" t="s">
        <v>3768</v>
      </c>
      <c r="C787" s="18" t="s">
        <v>4179</v>
      </c>
      <c r="D787" s="18" t="s">
        <v>4192</v>
      </c>
      <c r="E787" s="18" t="s">
        <v>4194</v>
      </c>
    </row>
    <row r="788" spans="1:5" ht="24" customHeight="1" x14ac:dyDescent="0.25">
      <c r="A788" s="16">
        <v>793</v>
      </c>
      <c r="B788" s="18" t="s">
        <v>3768</v>
      </c>
      <c r="C788" s="18" t="s">
        <v>4179</v>
      </c>
      <c r="D788" s="18" t="s">
        <v>4192</v>
      </c>
      <c r="E788" s="18" t="s">
        <v>4195</v>
      </c>
    </row>
    <row r="789" spans="1:5" ht="24" customHeight="1" x14ac:dyDescent="0.25">
      <c r="A789" s="16">
        <v>794</v>
      </c>
      <c r="B789" s="18" t="s">
        <v>3768</v>
      </c>
      <c r="C789" s="18" t="s">
        <v>4179</v>
      </c>
      <c r="D789" s="18" t="s">
        <v>4192</v>
      </c>
      <c r="E789" s="18" t="s">
        <v>4196</v>
      </c>
    </row>
    <row r="790" spans="1:5" ht="24" customHeight="1" x14ac:dyDescent="0.25">
      <c r="A790" s="16">
        <v>795</v>
      </c>
      <c r="B790" s="18" t="s">
        <v>3768</v>
      </c>
      <c r="C790" s="18" t="s">
        <v>4179</v>
      </c>
      <c r="D790" s="18" t="s">
        <v>4192</v>
      </c>
      <c r="E790" s="18" t="s">
        <v>4197</v>
      </c>
    </row>
    <row r="791" spans="1:5" ht="24" customHeight="1" x14ac:dyDescent="0.25">
      <c r="A791" s="16">
        <v>796</v>
      </c>
      <c r="B791" s="18" t="s">
        <v>3768</v>
      </c>
      <c r="C791" s="18" t="s">
        <v>4179</v>
      </c>
      <c r="D791" s="18" t="s">
        <v>4198</v>
      </c>
      <c r="E791" s="18" t="s">
        <v>4199</v>
      </c>
    </row>
    <row r="792" spans="1:5" ht="24" customHeight="1" x14ac:dyDescent="0.25">
      <c r="A792" s="16">
        <v>797</v>
      </c>
      <c r="B792" s="18" t="s">
        <v>3768</v>
      </c>
      <c r="C792" s="18" t="s">
        <v>4179</v>
      </c>
      <c r="D792" s="18" t="s">
        <v>4198</v>
      </c>
      <c r="E792" s="18" t="s">
        <v>4200</v>
      </c>
    </row>
    <row r="793" spans="1:5" ht="24" customHeight="1" x14ac:dyDescent="0.25">
      <c r="A793" s="16">
        <v>798</v>
      </c>
      <c r="B793" s="18" t="s">
        <v>3768</v>
      </c>
      <c r="C793" s="18" t="s">
        <v>4179</v>
      </c>
      <c r="D793" s="18" t="s">
        <v>4198</v>
      </c>
      <c r="E793" s="18" t="s">
        <v>4201</v>
      </c>
    </row>
    <row r="794" spans="1:5" ht="24" customHeight="1" x14ac:dyDescent="0.25">
      <c r="A794" s="16">
        <v>799</v>
      </c>
      <c r="B794" s="18" t="s">
        <v>3768</v>
      </c>
      <c r="C794" s="18" t="s">
        <v>4179</v>
      </c>
      <c r="D794" s="18" t="s">
        <v>4198</v>
      </c>
      <c r="E794" s="18" t="s">
        <v>4202</v>
      </c>
    </row>
    <row r="795" spans="1:5" ht="24" customHeight="1" x14ac:dyDescent="0.25">
      <c r="A795" s="16">
        <v>800</v>
      </c>
      <c r="B795" s="18" t="s">
        <v>3768</v>
      </c>
      <c r="C795" s="18" t="s">
        <v>4179</v>
      </c>
      <c r="D795" s="18" t="s">
        <v>4198</v>
      </c>
      <c r="E795" s="18" t="s">
        <v>4203</v>
      </c>
    </row>
    <row r="796" spans="1:5" ht="24" customHeight="1" x14ac:dyDescent="0.25">
      <c r="A796" s="16">
        <v>801</v>
      </c>
      <c r="B796" s="18" t="s">
        <v>3768</v>
      </c>
      <c r="C796" s="18" t="s">
        <v>4179</v>
      </c>
      <c r="D796" s="18" t="s">
        <v>4198</v>
      </c>
      <c r="E796" s="18" t="s">
        <v>4204</v>
      </c>
    </row>
    <row r="797" spans="1:5" ht="24" customHeight="1" x14ac:dyDescent="0.25">
      <c r="A797" s="16">
        <v>802</v>
      </c>
      <c r="B797" s="18" t="s">
        <v>3768</v>
      </c>
      <c r="C797" s="18" t="s">
        <v>4179</v>
      </c>
      <c r="D797" s="18" t="s">
        <v>4198</v>
      </c>
      <c r="E797" s="18" t="s">
        <v>4205</v>
      </c>
    </row>
    <row r="798" spans="1:5" ht="24" customHeight="1" x14ac:dyDescent="0.25">
      <c r="A798" s="16">
        <v>803</v>
      </c>
      <c r="B798" s="18" t="s">
        <v>3768</v>
      </c>
      <c r="C798" s="18" t="s">
        <v>4179</v>
      </c>
      <c r="D798" s="18" t="s">
        <v>4198</v>
      </c>
      <c r="E798" s="18" t="s">
        <v>4206</v>
      </c>
    </row>
    <row r="799" spans="1:5" ht="24" customHeight="1" x14ac:dyDescent="0.25">
      <c r="A799" s="16">
        <v>804</v>
      </c>
      <c r="B799" s="18" t="s">
        <v>3768</v>
      </c>
      <c r="C799" s="18" t="s">
        <v>4179</v>
      </c>
      <c r="D799" s="18" t="s">
        <v>4198</v>
      </c>
      <c r="E799" s="18" t="s">
        <v>4207</v>
      </c>
    </row>
    <row r="800" spans="1:5" ht="24" customHeight="1" x14ac:dyDescent="0.25">
      <c r="A800" s="16">
        <v>805</v>
      </c>
      <c r="B800" s="18" t="s">
        <v>3768</v>
      </c>
      <c r="C800" s="18" t="s">
        <v>4179</v>
      </c>
      <c r="D800" s="18" t="s">
        <v>4198</v>
      </c>
      <c r="E800" s="18" t="s">
        <v>4208</v>
      </c>
    </row>
    <row r="801" spans="1:5" ht="24" customHeight="1" x14ac:dyDescent="0.25">
      <c r="A801" s="16">
        <v>806</v>
      </c>
      <c r="B801" s="18" t="s">
        <v>3768</v>
      </c>
      <c r="C801" s="18" t="s">
        <v>4179</v>
      </c>
      <c r="D801" s="18" t="s">
        <v>4198</v>
      </c>
      <c r="E801" s="18" t="s">
        <v>4209</v>
      </c>
    </row>
    <row r="802" spans="1:5" ht="24" customHeight="1" x14ac:dyDescent="0.25">
      <c r="A802" s="16">
        <v>807</v>
      </c>
      <c r="B802" s="18" t="s">
        <v>3768</v>
      </c>
      <c r="C802" s="18" t="s">
        <v>4179</v>
      </c>
      <c r="D802" s="18" t="s">
        <v>4198</v>
      </c>
      <c r="E802" s="18" t="s">
        <v>4210</v>
      </c>
    </row>
    <row r="803" spans="1:5" ht="36" customHeight="1" x14ac:dyDescent="0.25">
      <c r="A803" s="16">
        <v>808</v>
      </c>
      <c r="B803" s="18" t="s">
        <v>3768</v>
      </c>
      <c r="C803" s="18" t="s">
        <v>4179</v>
      </c>
      <c r="D803" s="18" t="s">
        <v>4198</v>
      </c>
      <c r="E803" s="18" t="s">
        <v>4211</v>
      </c>
    </row>
    <row r="804" spans="1:5" ht="24" customHeight="1" x14ac:dyDescent="0.25">
      <c r="A804" s="16">
        <v>809</v>
      </c>
      <c r="B804" s="18" t="s">
        <v>3768</v>
      </c>
      <c r="C804" s="18" t="s">
        <v>4179</v>
      </c>
      <c r="D804" s="18" t="s">
        <v>4198</v>
      </c>
      <c r="E804" s="18" t="s">
        <v>4212</v>
      </c>
    </row>
    <row r="805" spans="1:5" ht="24" customHeight="1" x14ac:dyDescent="0.25">
      <c r="A805" s="16">
        <v>810</v>
      </c>
      <c r="B805" s="18" t="s">
        <v>3768</v>
      </c>
      <c r="C805" s="18" t="s">
        <v>4179</v>
      </c>
      <c r="D805" s="18" t="s">
        <v>4213</v>
      </c>
      <c r="E805" s="18" t="s">
        <v>4214</v>
      </c>
    </row>
    <row r="806" spans="1:5" ht="24" customHeight="1" x14ac:dyDescent="0.25">
      <c r="A806" s="16">
        <v>811</v>
      </c>
      <c r="B806" s="18" t="s">
        <v>3768</v>
      </c>
      <c r="C806" s="18" t="s">
        <v>4179</v>
      </c>
      <c r="D806" s="18" t="s">
        <v>4213</v>
      </c>
      <c r="E806" s="18" t="s">
        <v>4215</v>
      </c>
    </row>
    <row r="807" spans="1:5" ht="24" customHeight="1" x14ac:dyDescent="0.25">
      <c r="A807" s="16">
        <v>812</v>
      </c>
      <c r="B807" s="18" t="s">
        <v>3768</v>
      </c>
      <c r="C807" s="18" t="s">
        <v>4179</v>
      </c>
      <c r="D807" s="18" t="s">
        <v>4213</v>
      </c>
      <c r="E807" s="18" t="s">
        <v>4216</v>
      </c>
    </row>
    <row r="808" spans="1:5" ht="24" customHeight="1" x14ac:dyDescent="0.25">
      <c r="A808" s="16">
        <v>813</v>
      </c>
      <c r="B808" s="18" t="s">
        <v>3768</v>
      </c>
      <c r="C808" s="18" t="s">
        <v>4179</v>
      </c>
      <c r="D808" s="18" t="s">
        <v>4213</v>
      </c>
      <c r="E808" s="18" t="s">
        <v>4217</v>
      </c>
    </row>
    <row r="809" spans="1:5" ht="24" customHeight="1" x14ac:dyDescent="0.25">
      <c r="A809" s="16">
        <v>814</v>
      </c>
      <c r="B809" s="18" t="s">
        <v>3768</v>
      </c>
      <c r="C809" s="18" t="s">
        <v>4179</v>
      </c>
      <c r="D809" s="18" t="s">
        <v>4213</v>
      </c>
      <c r="E809" s="18" t="s">
        <v>4218</v>
      </c>
    </row>
    <row r="810" spans="1:5" ht="24" customHeight="1" x14ac:dyDescent="0.25">
      <c r="A810" s="16">
        <v>815</v>
      </c>
      <c r="B810" s="18" t="s">
        <v>3768</v>
      </c>
      <c r="C810" s="18" t="s">
        <v>4179</v>
      </c>
      <c r="D810" s="18" t="s">
        <v>4213</v>
      </c>
      <c r="E810" s="18" t="s">
        <v>4219</v>
      </c>
    </row>
    <row r="811" spans="1:5" ht="24" customHeight="1" x14ac:dyDescent="0.25">
      <c r="A811" s="16">
        <v>816</v>
      </c>
      <c r="B811" s="18" t="s">
        <v>3768</v>
      </c>
      <c r="C811" s="18" t="s">
        <v>4179</v>
      </c>
      <c r="D811" s="18" t="s">
        <v>4213</v>
      </c>
      <c r="E811" s="18" t="s">
        <v>4220</v>
      </c>
    </row>
    <row r="812" spans="1:5" ht="36" customHeight="1" x14ac:dyDescent="0.25">
      <c r="A812" s="16">
        <v>817</v>
      </c>
      <c r="B812" s="18" t="s">
        <v>3768</v>
      </c>
      <c r="C812" s="18" t="s">
        <v>4179</v>
      </c>
      <c r="D812" s="18" t="s">
        <v>4221</v>
      </c>
      <c r="E812" s="18" t="s">
        <v>4222</v>
      </c>
    </row>
    <row r="813" spans="1:5" ht="24" customHeight="1" x14ac:dyDescent="0.25">
      <c r="A813" s="16">
        <v>818</v>
      </c>
      <c r="B813" s="18" t="s">
        <v>3768</v>
      </c>
      <c r="C813" s="18" t="s">
        <v>4179</v>
      </c>
      <c r="D813" s="18" t="s">
        <v>4221</v>
      </c>
      <c r="E813" s="18" t="s">
        <v>4223</v>
      </c>
    </row>
    <row r="814" spans="1:5" ht="24" customHeight="1" x14ac:dyDescent="0.25">
      <c r="A814" s="16">
        <v>819</v>
      </c>
      <c r="B814" s="18" t="s">
        <v>3768</v>
      </c>
      <c r="C814" s="18" t="s">
        <v>4179</v>
      </c>
      <c r="D814" s="18" t="s">
        <v>4221</v>
      </c>
      <c r="E814" s="18" t="s">
        <v>4224</v>
      </c>
    </row>
    <row r="815" spans="1:5" ht="24" customHeight="1" x14ac:dyDescent="0.25">
      <c r="A815" s="16">
        <v>820</v>
      </c>
      <c r="B815" s="18" t="s">
        <v>3768</v>
      </c>
      <c r="C815" s="18" t="s">
        <v>4179</v>
      </c>
      <c r="D815" s="18" t="s">
        <v>4221</v>
      </c>
      <c r="E815" s="18" t="s">
        <v>4225</v>
      </c>
    </row>
    <row r="816" spans="1:5" ht="24" customHeight="1" x14ac:dyDescent="0.25">
      <c r="A816" s="16">
        <v>821</v>
      </c>
      <c r="B816" s="18" t="s">
        <v>3768</v>
      </c>
      <c r="C816" s="18" t="s">
        <v>4179</v>
      </c>
      <c r="D816" s="18" t="s">
        <v>4221</v>
      </c>
      <c r="E816" s="18" t="s">
        <v>4226</v>
      </c>
    </row>
    <row r="817" spans="1:5" ht="24" customHeight="1" x14ac:dyDescent="0.25">
      <c r="A817" s="16">
        <v>822</v>
      </c>
      <c r="B817" s="18" t="s">
        <v>3768</v>
      </c>
      <c r="C817" s="18" t="s">
        <v>4179</v>
      </c>
      <c r="D817" s="18" t="s">
        <v>4221</v>
      </c>
      <c r="E817" s="18" t="s">
        <v>4227</v>
      </c>
    </row>
    <row r="818" spans="1:5" ht="24" customHeight="1" x14ac:dyDescent="0.25">
      <c r="A818" s="16">
        <v>823</v>
      </c>
      <c r="B818" s="18" t="s">
        <v>3768</v>
      </c>
      <c r="C818" s="18" t="s">
        <v>4179</v>
      </c>
      <c r="D818" s="18" t="s">
        <v>4221</v>
      </c>
      <c r="E818" s="18" t="s">
        <v>4228</v>
      </c>
    </row>
    <row r="819" spans="1:5" ht="24" customHeight="1" x14ac:dyDescent="0.25">
      <c r="A819" s="16">
        <v>824</v>
      </c>
      <c r="B819" s="18" t="s">
        <v>3768</v>
      </c>
      <c r="C819" s="18" t="s">
        <v>4179</v>
      </c>
      <c r="D819" s="18" t="s">
        <v>4221</v>
      </c>
      <c r="E819" s="18" t="s">
        <v>4229</v>
      </c>
    </row>
    <row r="820" spans="1:5" ht="24" customHeight="1" x14ac:dyDescent="0.25">
      <c r="A820" s="16">
        <v>825</v>
      </c>
      <c r="B820" s="18" t="s">
        <v>3768</v>
      </c>
      <c r="C820" s="18" t="s">
        <v>4179</v>
      </c>
      <c r="D820" s="18" t="s">
        <v>4221</v>
      </c>
      <c r="E820" s="18" t="s">
        <v>4230</v>
      </c>
    </row>
    <row r="821" spans="1:5" ht="24" customHeight="1" x14ac:dyDescent="0.25">
      <c r="A821" s="16">
        <v>826</v>
      </c>
      <c r="B821" s="18" t="s">
        <v>3768</v>
      </c>
      <c r="C821" s="18" t="s">
        <v>4179</v>
      </c>
      <c r="D821" s="18" t="s">
        <v>4221</v>
      </c>
      <c r="E821" s="18" t="s">
        <v>4231</v>
      </c>
    </row>
    <row r="822" spans="1:5" ht="24" customHeight="1" x14ac:dyDescent="0.25">
      <c r="A822" s="16">
        <v>827</v>
      </c>
      <c r="B822" s="18" t="s">
        <v>3768</v>
      </c>
      <c r="C822" s="18" t="s">
        <v>4179</v>
      </c>
      <c r="D822" s="18" t="s">
        <v>4221</v>
      </c>
      <c r="E822" s="18" t="s">
        <v>4232</v>
      </c>
    </row>
    <row r="823" spans="1:5" ht="24" customHeight="1" x14ac:dyDescent="0.25">
      <c r="A823" s="16">
        <v>828</v>
      </c>
      <c r="B823" s="18" t="s">
        <v>3768</v>
      </c>
      <c r="C823" s="18" t="s">
        <v>4179</v>
      </c>
      <c r="D823" s="18" t="s">
        <v>4221</v>
      </c>
      <c r="E823" s="18" t="s">
        <v>4233</v>
      </c>
    </row>
    <row r="824" spans="1:5" ht="24" customHeight="1" x14ac:dyDescent="0.25">
      <c r="A824" s="16">
        <v>829</v>
      </c>
      <c r="B824" s="18" t="s">
        <v>3768</v>
      </c>
      <c r="C824" s="18" t="s">
        <v>4179</v>
      </c>
      <c r="D824" s="18" t="s">
        <v>4221</v>
      </c>
      <c r="E824" s="18" t="s">
        <v>4234</v>
      </c>
    </row>
    <row r="825" spans="1:5" ht="24" customHeight="1" x14ac:dyDescent="0.25">
      <c r="A825" s="16">
        <v>830</v>
      </c>
      <c r="B825" s="18" t="s">
        <v>3768</v>
      </c>
      <c r="C825" s="18" t="s">
        <v>4179</v>
      </c>
      <c r="D825" s="18" t="s">
        <v>4235</v>
      </c>
      <c r="E825" s="18" t="s">
        <v>4236</v>
      </c>
    </row>
    <row r="826" spans="1:5" ht="24" customHeight="1" x14ac:dyDescent="0.25">
      <c r="A826" s="16">
        <v>831</v>
      </c>
      <c r="B826" s="18" t="s">
        <v>3768</v>
      </c>
      <c r="C826" s="18" t="s">
        <v>4179</v>
      </c>
      <c r="D826" s="18" t="s">
        <v>4235</v>
      </c>
      <c r="E826" s="18" t="s">
        <v>4237</v>
      </c>
    </row>
    <row r="827" spans="1:5" ht="36" customHeight="1" x14ac:dyDescent="0.25">
      <c r="A827" s="16">
        <v>832</v>
      </c>
      <c r="B827" s="18" t="s">
        <v>3768</v>
      </c>
      <c r="C827" s="18" t="s">
        <v>4179</v>
      </c>
      <c r="D827" s="18" t="s">
        <v>4235</v>
      </c>
      <c r="E827" s="18" t="s">
        <v>4238</v>
      </c>
    </row>
    <row r="828" spans="1:5" ht="36" customHeight="1" x14ac:dyDescent="0.25">
      <c r="A828" s="16">
        <v>833</v>
      </c>
      <c r="B828" s="18" t="s">
        <v>3768</v>
      </c>
      <c r="C828" s="18" t="s">
        <v>4179</v>
      </c>
      <c r="D828" s="18" t="s">
        <v>4235</v>
      </c>
      <c r="E828" s="18" t="s">
        <v>4239</v>
      </c>
    </row>
    <row r="829" spans="1:5" ht="24" customHeight="1" x14ac:dyDescent="0.25">
      <c r="A829" s="16">
        <v>834</v>
      </c>
      <c r="B829" s="18" t="s">
        <v>3768</v>
      </c>
      <c r="C829" s="18" t="s">
        <v>4179</v>
      </c>
      <c r="D829" s="18" t="s">
        <v>4235</v>
      </c>
      <c r="E829" s="18" t="s">
        <v>4240</v>
      </c>
    </row>
    <row r="830" spans="1:5" ht="24" customHeight="1" x14ac:dyDescent="0.25">
      <c r="A830" s="16">
        <v>835</v>
      </c>
      <c r="B830" s="18" t="s">
        <v>3768</v>
      </c>
      <c r="C830" s="18" t="s">
        <v>4179</v>
      </c>
      <c r="D830" s="18" t="s">
        <v>4235</v>
      </c>
      <c r="E830" s="18" t="s">
        <v>4241</v>
      </c>
    </row>
    <row r="831" spans="1:5" ht="24" customHeight="1" x14ac:dyDescent="0.25">
      <c r="A831" s="16">
        <v>836</v>
      </c>
      <c r="B831" s="18" t="s">
        <v>3768</v>
      </c>
      <c r="C831" s="18" t="s">
        <v>4179</v>
      </c>
      <c r="D831" s="18" t="s">
        <v>4242</v>
      </c>
      <c r="E831" s="18" t="s">
        <v>4243</v>
      </c>
    </row>
    <row r="832" spans="1:5" ht="24" customHeight="1" x14ac:dyDescent="0.25">
      <c r="A832" s="16">
        <v>837</v>
      </c>
      <c r="B832" s="18" t="s">
        <v>3768</v>
      </c>
      <c r="C832" s="18" t="s">
        <v>4179</v>
      </c>
      <c r="D832" s="18" t="s">
        <v>4242</v>
      </c>
      <c r="E832" s="18" t="s">
        <v>4244</v>
      </c>
    </row>
    <row r="833" spans="1:5" ht="24" customHeight="1" x14ac:dyDescent="0.25">
      <c r="A833" s="16">
        <v>838</v>
      </c>
      <c r="B833" s="18" t="s">
        <v>3768</v>
      </c>
      <c r="C833" s="18" t="s">
        <v>4179</v>
      </c>
      <c r="D833" s="18" t="s">
        <v>4242</v>
      </c>
      <c r="E833" s="18" t="s">
        <v>4245</v>
      </c>
    </row>
    <row r="834" spans="1:5" ht="24" customHeight="1" x14ac:dyDescent="0.25">
      <c r="A834" s="16">
        <v>839</v>
      </c>
      <c r="B834" s="18" t="s">
        <v>3768</v>
      </c>
      <c r="C834" s="18" t="s">
        <v>4179</v>
      </c>
      <c r="D834" s="18" t="s">
        <v>4242</v>
      </c>
      <c r="E834" s="18" t="s">
        <v>4246</v>
      </c>
    </row>
    <row r="835" spans="1:5" ht="24" customHeight="1" x14ac:dyDescent="0.25">
      <c r="A835" s="16">
        <v>840</v>
      </c>
      <c r="B835" s="18" t="s">
        <v>3768</v>
      </c>
      <c r="C835" s="18" t="s">
        <v>4179</v>
      </c>
      <c r="D835" s="18" t="s">
        <v>4242</v>
      </c>
      <c r="E835" s="18" t="s">
        <v>4247</v>
      </c>
    </row>
    <row r="836" spans="1:5" ht="24" customHeight="1" x14ac:dyDescent="0.25">
      <c r="A836" s="16">
        <v>841</v>
      </c>
      <c r="B836" s="18" t="s">
        <v>3768</v>
      </c>
      <c r="C836" s="18" t="s">
        <v>4179</v>
      </c>
      <c r="D836" s="18" t="s">
        <v>4242</v>
      </c>
      <c r="E836" s="18" t="s">
        <v>4248</v>
      </c>
    </row>
    <row r="837" spans="1:5" ht="24" customHeight="1" x14ac:dyDescent="0.25">
      <c r="A837" s="16">
        <v>842</v>
      </c>
      <c r="B837" s="18" t="s">
        <v>3768</v>
      </c>
      <c r="C837" s="18" t="s">
        <v>4179</v>
      </c>
      <c r="D837" s="18" t="s">
        <v>4249</v>
      </c>
      <c r="E837" s="18" t="s">
        <v>4250</v>
      </c>
    </row>
    <row r="838" spans="1:5" ht="24" customHeight="1" x14ac:dyDescent="0.25">
      <c r="A838" s="16">
        <v>843</v>
      </c>
      <c r="B838" s="18" t="s">
        <v>3768</v>
      </c>
      <c r="C838" s="18" t="s">
        <v>4179</v>
      </c>
      <c r="D838" s="18" t="s">
        <v>4249</v>
      </c>
      <c r="E838" s="18" t="s">
        <v>4251</v>
      </c>
    </row>
    <row r="839" spans="1:5" ht="24" customHeight="1" x14ac:dyDescent="0.25">
      <c r="A839" s="16">
        <v>844</v>
      </c>
      <c r="B839" s="18" t="s">
        <v>3768</v>
      </c>
      <c r="C839" s="18" t="s">
        <v>4179</v>
      </c>
      <c r="D839" s="18" t="s">
        <v>4249</v>
      </c>
      <c r="E839" s="18" t="s">
        <v>4252</v>
      </c>
    </row>
    <row r="840" spans="1:5" ht="24" customHeight="1" x14ac:dyDescent="0.25">
      <c r="A840" s="16">
        <v>845</v>
      </c>
      <c r="B840" s="18" t="s">
        <v>3768</v>
      </c>
      <c r="C840" s="18" t="s">
        <v>4179</v>
      </c>
      <c r="D840" s="18" t="s">
        <v>4249</v>
      </c>
      <c r="E840" s="18" t="s">
        <v>4253</v>
      </c>
    </row>
    <row r="841" spans="1:5" ht="24" customHeight="1" x14ac:dyDescent="0.25">
      <c r="A841" s="16">
        <v>846</v>
      </c>
      <c r="B841" s="18" t="s">
        <v>3768</v>
      </c>
      <c r="C841" s="18" t="s">
        <v>4179</v>
      </c>
      <c r="D841" s="18" t="s">
        <v>4249</v>
      </c>
      <c r="E841" s="18" t="s">
        <v>4254</v>
      </c>
    </row>
    <row r="842" spans="1:5" ht="24" customHeight="1" x14ac:dyDescent="0.25">
      <c r="A842" s="16">
        <v>847</v>
      </c>
      <c r="B842" s="18" t="s">
        <v>3768</v>
      </c>
      <c r="C842" s="18" t="s">
        <v>4179</v>
      </c>
      <c r="D842" s="18" t="s">
        <v>4249</v>
      </c>
      <c r="E842" s="18" t="s">
        <v>4255</v>
      </c>
    </row>
    <row r="843" spans="1:5" ht="24" customHeight="1" x14ac:dyDescent="0.25">
      <c r="A843" s="16">
        <v>848</v>
      </c>
      <c r="B843" s="18" t="s">
        <v>3768</v>
      </c>
      <c r="C843" s="18" t="s">
        <v>4179</v>
      </c>
      <c r="D843" s="18" t="s">
        <v>4249</v>
      </c>
      <c r="E843" s="18" t="s">
        <v>4256</v>
      </c>
    </row>
    <row r="844" spans="1:5" ht="24" customHeight="1" x14ac:dyDescent="0.25">
      <c r="A844" s="16">
        <v>849</v>
      </c>
      <c r="B844" s="18" t="s">
        <v>3768</v>
      </c>
      <c r="C844" s="18" t="s">
        <v>4179</v>
      </c>
      <c r="D844" s="18" t="s">
        <v>4249</v>
      </c>
      <c r="E844" s="18" t="s">
        <v>4257</v>
      </c>
    </row>
    <row r="845" spans="1:5" ht="24" customHeight="1" x14ac:dyDescent="0.25">
      <c r="A845" s="16">
        <v>850</v>
      </c>
      <c r="B845" s="18" t="s">
        <v>3768</v>
      </c>
      <c r="C845" s="18" t="s">
        <v>4179</v>
      </c>
      <c r="D845" s="18" t="s">
        <v>4258</v>
      </c>
      <c r="E845" s="18" t="s">
        <v>4259</v>
      </c>
    </row>
    <row r="846" spans="1:5" ht="24" customHeight="1" x14ac:dyDescent="0.25">
      <c r="A846" s="16">
        <v>851</v>
      </c>
      <c r="B846" s="18" t="s">
        <v>3768</v>
      </c>
      <c r="C846" s="18" t="s">
        <v>4179</v>
      </c>
      <c r="D846" s="18" t="s">
        <v>4258</v>
      </c>
      <c r="E846" s="18" t="s">
        <v>4260</v>
      </c>
    </row>
    <row r="847" spans="1:5" ht="24" customHeight="1" x14ac:dyDescent="0.25">
      <c r="A847" s="16">
        <v>852</v>
      </c>
      <c r="B847" s="18" t="s">
        <v>3768</v>
      </c>
      <c r="C847" s="18" t="s">
        <v>4179</v>
      </c>
      <c r="D847" s="18" t="s">
        <v>4258</v>
      </c>
      <c r="E847" s="18" t="s">
        <v>4261</v>
      </c>
    </row>
    <row r="848" spans="1:5" ht="24" customHeight="1" x14ac:dyDescent="0.25">
      <c r="A848" s="16">
        <v>853</v>
      </c>
      <c r="B848" s="18" t="s">
        <v>3768</v>
      </c>
      <c r="C848" s="18" t="s">
        <v>4179</v>
      </c>
      <c r="D848" s="18" t="s">
        <v>4258</v>
      </c>
      <c r="E848" s="18" t="s">
        <v>4262</v>
      </c>
    </row>
    <row r="849" spans="1:5" ht="24" customHeight="1" x14ac:dyDescent="0.25">
      <c r="A849" s="16">
        <v>854</v>
      </c>
      <c r="B849" s="18" t="s">
        <v>3768</v>
      </c>
      <c r="C849" s="18" t="s">
        <v>4179</v>
      </c>
      <c r="D849" s="18" t="s">
        <v>4258</v>
      </c>
      <c r="E849" s="18" t="s">
        <v>4263</v>
      </c>
    </row>
    <row r="850" spans="1:5" ht="24" customHeight="1" x14ac:dyDescent="0.25">
      <c r="A850" s="16">
        <v>855</v>
      </c>
      <c r="B850" s="18" t="s">
        <v>3768</v>
      </c>
      <c r="C850" s="18" t="s">
        <v>4179</v>
      </c>
      <c r="D850" s="18" t="s">
        <v>4258</v>
      </c>
      <c r="E850" s="18" t="s">
        <v>4264</v>
      </c>
    </row>
    <row r="851" spans="1:5" ht="24" customHeight="1" x14ac:dyDescent="0.25">
      <c r="A851" s="16">
        <v>856</v>
      </c>
      <c r="B851" s="18" t="s">
        <v>3768</v>
      </c>
      <c r="C851" s="18" t="s">
        <v>4265</v>
      </c>
      <c r="D851" s="18" t="s">
        <v>4266</v>
      </c>
      <c r="E851" s="18" t="s">
        <v>4267</v>
      </c>
    </row>
    <row r="852" spans="1:5" ht="24" customHeight="1" x14ac:dyDescent="0.25">
      <c r="A852" s="16">
        <v>857</v>
      </c>
      <c r="B852" s="18" t="s">
        <v>3768</v>
      </c>
      <c r="C852" s="18" t="s">
        <v>4265</v>
      </c>
      <c r="D852" s="18" t="s">
        <v>4266</v>
      </c>
      <c r="E852" s="18" t="s">
        <v>4268</v>
      </c>
    </row>
    <row r="853" spans="1:5" ht="24" customHeight="1" x14ac:dyDescent="0.25">
      <c r="A853" s="16">
        <v>858</v>
      </c>
      <c r="B853" s="18" t="s">
        <v>3768</v>
      </c>
      <c r="C853" s="18" t="s">
        <v>4265</v>
      </c>
      <c r="D853" s="18" t="s">
        <v>4266</v>
      </c>
      <c r="E853" s="18" t="s">
        <v>4269</v>
      </c>
    </row>
    <row r="854" spans="1:5" ht="36" customHeight="1" x14ac:dyDescent="0.25">
      <c r="A854" s="16">
        <v>859</v>
      </c>
      <c r="B854" s="18" t="s">
        <v>3768</v>
      </c>
      <c r="C854" s="18" t="s">
        <v>4265</v>
      </c>
      <c r="D854" s="18" t="s">
        <v>4266</v>
      </c>
      <c r="E854" s="18" t="s">
        <v>4270</v>
      </c>
    </row>
    <row r="855" spans="1:5" ht="24" customHeight="1" x14ac:dyDescent="0.25">
      <c r="A855" s="16">
        <v>860</v>
      </c>
      <c r="B855" s="18" t="s">
        <v>3768</v>
      </c>
      <c r="C855" s="18" t="s">
        <v>4265</v>
      </c>
      <c r="D855" s="18" t="s">
        <v>4266</v>
      </c>
      <c r="E855" s="18" t="s">
        <v>4271</v>
      </c>
    </row>
    <row r="856" spans="1:5" ht="24" customHeight="1" x14ac:dyDescent="0.25">
      <c r="A856" s="16">
        <v>861</v>
      </c>
      <c r="B856" s="18" t="s">
        <v>3768</v>
      </c>
      <c r="C856" s="18" t="s">
        <v>4265</v>
      </c>
      <c r="D856" s="18" t="s">
        <v>4266</v>
      </c>
      <c r="E856" s="18" t="s">
        <v>4272</v>
      </c>
    </row>
    <row r="857" spans="1:5" ht="24" customHeight="1" x14ac:dyDescent="0.25">
      <c r="A857" s="16">
        <v>862</v>
      </c>
      <c r="B857" s="18" t="s">
        <v>3768</v>
      </c>
      <c r="C857" s="18" t="s">
        <v>4265</v>
      </c>
      <c r="D857" s="18" t="s">
        <v>4273</v>
      </c>
      <c r="E857" s="18" t="s">
        <v>4274</v>
      </c>
    </row>
    <row r="858" spans="1:5" ht="24" customHeight="1" x14ac:dyDescent="0.25">
      <c r="A858" s="16">
        <v>863</v>
      </c>
      <c r="B858" s="18" t="s">
        <v>3768</v>
      </c>
      <c r="C858" s="18" t="s">
        <v>4265</v>
      </c>
      <c r="D858" s="18" t="s">
        <v>4273</v>
      </c>
      <c r="E858" s="18" t="s">
        <v>4275</v>
      </c>
    </row>
    <row r="859" spans="1:5" ht="24" customHeight="1" x14ac:dyDescent="0.25">
      <c r="A859" s="16">
        <v>864</v>
      </c>
      <c r="B859" s="18" t="s">
        <v>3768</v>
      </c>
      <c r="C859" s="18" t="s">
        <v>4265</v>
      </c>
      <c r="D859" s="18" t="s">
        <v>4273</v>
      </c>
      <c r="E859" s="18" t="s">
        <v>4276</v>
      </c>
    </row>
    <row r="860" spans="1:5" ht="24" customHeight="1" x14ac:dyDescent="0.25">
      <c r="A860" s="16">
        <v>865</v>
      </c>
      <c r="B860" s="18" t="s">
        <v>3768</v>
      </c>
      <c r="C860" s="18" t="s">
        <v>4265</v>
      </c>
      <c r="D860" s="18" t="s">
        <v>4273</v>
      </c>
      <c r="E860" s="18" t="s">
        <v>4277</v>
      </c>
    </row>
    <row r="861" spans="1:5" ht="24" customHeight="1" x14ac:dyDescent="0.25">
      <c r="A861" s="16">
        <v>866</v>
      </c>
      <c r="B861" s="18" t="s">
        <v>3768</v>
      </c>
      <c r="C861" s="18" t="s">
        <v>4265</v>
      </c>
      <c r="D861" s="18" t="s">
        <v>4273</v>
      </c>
      <c r="E861" s="18" t="s">
        <v>4278</v>
      </c>
    </row>
    <row r="862" spans="1:5" ht="36" customHeight="1" x14ac:dyDescent="0.25">
      <c r="A862" s="16">
        <v>867</v>
      </c>
      <c r="B862" s="18" t="s">
        <v>3768</v>
      </c>
      <c r="C862" s="18" t="s">
        <v>4265</v>
      </c>
      <c r="D862" s="18" t="s">
        <v>4273</v>
      </c>
      <c r="E862" s="18" t="s">
        <v>4279</v>
      </c>
    </row>
    <row r="863" spans="1:5" ht="24" customHeight="1" x14ac:dyDescent="0.25">
      <c r="A863" s="16">
        <v>868</v>
      </c>
      <c r="B863" s="18" t="s">
        <v>3768</v>
      </c>
      <c r="C863" s="18" t="s">
        <v>4265</v>
      </c>
      <c r="D863" s="18" t="s">
        <v>4273</v>
      </c>
      <c r="E863" s="18" t="s">
        <v>4280</v>
      </c>
    </row>
    <row r="864" spans="1:5" ht="24" customHeight="1" x14ac:dyDescent="0.25">
      <c r="A864" s="16">
        <v>869</v>
      </c>
      <c r="B864" s="18" t="s">
        <v>3768</v>
      </c>
      <c r="C864" s="18" t="s">
        <v>4265</v>
      </c>
      <c r="D864" s="18" t="s">
        <v>4273</v>
      </c>
      <c r="E864" s="18" t="s">
        <v>4281</v>
      </c>
    </row>
    <row r="865" spans="1:5" ht="24" customHeight="1" x14ac:dyDescent="0.25">
      <c r="A865" s="16">
        <v>870</v>
      </c>
      <c r="B865" s="18" t="s">
        <v>3768</v>
      </c>
      <c r="C865" s="18" t="s">
        <v>4265</v>
      </c>
      <c r="D865" s="18" t="s">
        <v>4273</v>
      </c>
      <c r="E865" s="18" t="s">
        <v>4282</v>
      </c>
    </row>
    <row r="866" spans="1:5" ht="24" customHeight="1" x14ac:dyDescent="0.25">
      <c r="A866" s="16">
        <v>871</v>
      </c>
      <c r="B866" s="18" t="s">
        <v>3768</v>
      </c>
      <c r="C866" s="18" t="s">
        <v>4265</v>
      </c>
      <c r="D866" s="18" t="s">
        <v>4273</v>
      </c>
      <c r="E866" s="18" t="s">
        <v>4283</v>
      </c>
    </row>
    <row r="867" spans="1:5" ht="36" customHeight="1" x14ac:dyDescent="0.25">
      <c r="A867" s="16">
        <v>872</v>
      </c>
      <c r="B867" s="18" t="s">
        <v>3768</v>
      </c>
      <c r="C867" s="18" t="s">
        <v>4265</v>
      </c>
      <c r="D867" s="18" t="s">
        <v>4273</v>
      </c>
      <c r="E867" s="18" t="s">
        <v>4284</v>
      </c>
    </row>
    <row r="868" spans="1:5" ht="24" customHeight="1" x14ac:dyDescent="0.25">
      <c r="A868" s="16">
        <v>873</v>
      </c>
      <c r="B868" s="18" t="s">
        <v>3768</v>
      </c>
      <c r="C868" s="18" t="s">
        <v>4265</v>
      </c>
      <c r="D868" s="18" t="s">
        <v>4273</v>
      </c>
      <c r="E868" s="18" t="s">
        <v>4285</v>
      </c>
    </row>
    <row r="869" spans="1:5" ht="24" customHeight="1" x14ac:dyDescent="0.25">
      <c r="A869" s="16">
        <v>874</v>
      </c>
      <c r="B869" s="18" t="s">
        <v>3768</v>
      </c>
      <c r="C869" s="18" t="s">
        <v>4265</v>
      </c>
      <c r="D869" s="18" t="s">
        <v>4273</v>
      </c>
      <c r="E869" s="18" t="s">
        <v>4286</v>
      </c>
    </row>
    <row r="870" spans="1:5" ht="36" customHeight="1" x14ac:dyDescent="0.25">
      <c r="A870" s="16">
        <v>875</v>
      </c>
      <c r="B870" s="18" t="s">
        <v>3768</v>
      </c>
      <c r="C870" s="18" t="s">
        <v>4265</v>
      </c>
      <c r="D870" s="18" t="s">
        <v>4273</v>
      </c>
      <c r="E870" s="18" t="s">
        <v>4287</v>
      </c>
    </row>
    <row r="871" spans="1:5" ht="24" customHeight="1" x14ac:dyDescent="0.25">
      <c r="A871" s="16">
        <v>876</v>
      </c>
      <c r="B871" s="18" t="s">
        <v>3768</v>
      </c>
      <c r="C871" s="18" t="s">
        <v>4265</v>
      </c>
      <c r="D871" s="18" t="s">
        <v>4273</v>
      </c>
      <c r="E871" s="18" t="s">
        <v>4288</v>
      </c>
    </row>
    <row r="872" spans="1:5" ht="24" customHeight="1" x14ac:dyDescent="0.25">
      <c r="A872" s="16">
        <v>877</v>
      </c>
      <c r="B872" s="18" t="s">
        <v>3768</v>
      </c>
      <c r="C872" s="18" t="s">
        <v>4265</v>
      </c>
      <c r="D872" s="18" t="s">
        <v>4289</v>
      </c>
      <c r="E872" s="18" t="s">
        <v>4290</v>
      </c>
    </row>
    <row r="873" spans="1:5" ht="24" customHeight="1" x14ac:dyDescent="0.25">
      <c r="A873" s="16">
        <v>878</v>
      </c>
      <c r="B873" s="18" t="s">
        <v>3768</v>
      </c>
      <c r="C873" s="18" t="s">
        <v>4265</v>
      </c>
      <c r="D873" s="18" t="s">
        <v>4289</v>
      </c>
      <c r="E873" s="18" t="s">
        <v>4291</v>
      </c>
    </row>
    <row r="874" spans="1:5" ht="24" customHeight="1" x14ac:dyDescent="0.25">
      <c r="A874" s="16">
        <v>879</v>
      </c>
      <c r="B874" s="18" t="s">
        <v>3768</v>
      </c>
      <c r="C874" s="18" t="s">
        <v>4265</v>
      </c>
      <c r="D874" s="18" t="s">
        <v>4289</v>
      </c>
      <c r="E874" s="18" t="s">
        <v>4292</v>
      </c>
    </row>
    <row r="875" spans="1:5" ht="24" customHeight="1" x14ac:dyDescent="0.25">
      <c r="A875" s="16">
        <v>880</v>
      </c>
      <c r="B875" s="18" t="s">
        <v>3768</v>
      </c>
      <c r="C875" s="18" t="s">
        <v>4265</v>
      </c>
      <c r="D875" s="18" t="s">
        <v>4289</v>
      </c>
      <c r="E875" s="18" t="s">
        <v>4293</v>
      </c>
    </row>
    <row r="876" spans="1:5" ht="24" customHeight="1" x14ac:dyDescent="0.25">
      <c r="A876" s="16">
        <v>881</v>
      </c>
      <c r="B876" s="18" t="s">
        <v>3768</v>
      </c>
      <c r="C876" s="18" t="s">
        <v>4265</v>
      </c>
      <c r="D876" s="18" t="s">
        <v>4289</v>
      </c>
      <c r="E876" s="18" t="s">
        <v>4294</v>
      </c>
    </row>
    <row r="877" spans="1:5" ht="24" customHeight="1" x14ac:dyDescent="0.25">
      <c r="A877" s="16">
        <v>882</v>
      </c>
      <c r="B877" s="18" t="s">
        <v>3768</v>
      </c>
      <c r="C877" s="18" t="s">
        <v>4265</v>
      </c>
      <c r="D877" s="18" t="s">
        <v>4289</v>
      </c>
      <c r="E877" s="18" t="s">
        <v>4295</v>
      </c>
    </row>
    <row r="878" spans="1:5" ht="24" customHeight="1" x14ac:dyDescent="0.25">
      <c r="A878" s="16">
        <v>883</v>
      </c>
      <c r="B878" s="18" t="s">
        <v>3768</v>
      </c>
      <c r="C878" s="18" t="s">
        <v>4265</v>
      </c>
      <c r="D878" s="18" t="s">
        <v>4289</v>
      </c>
      <c r="E878" s="18" t="s">
        <v>4296</v>
      </c>
    </row>
    <row r="879" spans="1:5" ht="36" customHeight="1" x14ac:dyDescent="0.25">
      <c r="A879" s="16">
        <v>884</v>
      </c>
      <c r="B879" s="18" t="s">
        <v>3768</v>
      </c>
      <c r="C879" s="18" t="s">
        <v>4265</v>
      </c>
      <c r="D879" s="18" t="s">
        <v>4289</v>
      </c>
      <c r="E879" s="18" t="s">
        <v>4297</v>
      </c>
    </row>
    <row r="880" spans="1:5" ht="24" customHeight="1" x14ac:dyDescent="0.25">
      <c r="A880" s="16">
        <v>885</v>
      </c>
      <c r="B880" s="18" t="s">
        <v>3768</v>
      </c>
      <c r="C880" s="18" t="s">
        <v>4265</v>
      </c>
      <c r="D880" s="18" t="s">
        <v>4289</v>
      </c>
      <c r="E880" s="18" t="s">
        <v>4298</v>
      </c>
    </row>
    <row r="881" spans="1:5" ht="24" customHeight="1" x14ac:dyDescent="0.25">
      <c r="A881" s="16">
        <v>886</v>
      </c>
      <c r="B881" s="18" t="s">
        <v>3768</v>
      </c>
      <c r="C881" s="18" t="s">
        <v>4265</v>
      </c>
      <c r="D881" s="18" t="s">
        <v>4289</v>
      </c>
      <c r="E881" s="18" t="s">
        <v>4299</v>
      </c>
    </row>
    <row r="882" spans="1:5" ht="24" customHeight="1" x14ac:dyDescent="0.25">
      <c r="A882" s="16">
        <v>887</v>
      </c>
      <c r="B882" s="18" t="s">
        <v>3768</v>
      </c>
      <c r="C882" s="18" t="s">
        <v>4265</v>
      </c>
      <c r="D882" s="18" t="s">
        <v>4289</v>
      </c>
      <c r="E882" s="18" t="s">
        <v>4300</v>
      </c>
    </row>
    <row r="883" spans="1:5" ht="24" customHeight="1" x14ac:dyDescent="0.25">
      <c r="A883" s="16">
        <v>888</v>
      </c>
      <c r="B883" s="18" t="s">
        <v>3768</v>
      </c>
      <c r="C883" s="18" t="s">
        <v>4265</v>
      </c>
      <c r="D883" s="18" t="s">
        <v>4289</v>
      </c>
      <c r="E883" s="18" t="s">
        <v>4301</v>
      </c>
    </row>
    <row r="884" spans="1:5" ht="24" customHeight="1" x14ac:dyDescent="0.25">
      <c r="A884" s="16">
        <v>889</v>
      </c>
      <c r="B884" s="18" t="s">
        <v>3768</v>
      </c>
      <c r="C884" s="18" t="s">
        <v>4265</v>
      </c>
      <c r="D884" s="18" t="s">
        <v>4289</v>
      </c>
      <c r="E884" s="18" t="s">
        <v>4302</v>
      </c>
    </row>
    <row r="885" spans="1:5" ht="24" customHeight="1" x14ac:dyDescent="0.25">
      <c r="A885" s="16">
        <v>890</v>
      </c>
      <c r="B885" s="18" t="s">
        <v>3768</v>
      </c>
      <c r="C885" s="18" t="s">
        <v>4265</v>
      </c>
      <c r="D885" s="18" t="s">
        <v>4289</v>
      </c>
      <c r="E885" s="18" t="s">
        <v>4303</v>
      </c>
    </row>
    <row r="886" spans="1:5" ht="24" customHeight="1" x14ac:dyDescent="0.25">
      <c r="A886" s="16">
        <v>891</v>
      </c>
      <c r="B886" s="18" t="s">
        <v>3768</v>
      </c>
      <c r="C886" s="18" t="s">
        <v>4304</v>
      </c>
      <c r="D886" s="18" t="s">
        <v>4305</v>
      </c>
      <c r="E886" s="18" t="s">
        <v>4306</v>
      </c>
    </row>
    <row r="887" spans="1:5" ht="24" customHeight="1" x14ac:dyDescent="0.25">
      <c r="A887" s="16">
        <v>892</v>
      </c>
      <c r="B887" s="18" t="s">
        <v>3768</v>
      </c>
      <c r="C887" s="18" t="s">
        <v>4304</v>
      </c>
      <c r="D887" s="18" t="s">
        <v>4305</v>
      </c>
      <c r="E887" s="18" t="s">
        <v>4307</v>
      </c>
    </row>
    <row r="888" spans="1:5" ht="24" customHeight="1" x14ac:dyDescent="0.25">
      <c r="A888" s="16">
        <v>893</v>
      </c>
      <c r="B888" s="18" t="s">
        <v>3768</v>
      </c>
      <c r="C888" s="18" t="s">
        <v>4304</v>
      </c>
      <c r="D888" s="18" t="s">
        <v>4305</v>
      </c>
      <c r="E888" s="18" t="s">
        <v>4308</v>
      </c>
    </row>
    <row r="889" spans="1:5" ht="36" customHeight="1" x14ac:dyDescent="0.25">
      <c r="A889" s="16">
        <v>894</v>
      </c>
      <c r="B889" s="18" t="s">
        <v>3768</v>
      </c>
      <c r="C889" s="18" t="s">
        <v>4304</v>
      </c>
      <c r="D889" s="18" t="s">
        <v>4305</v>
      </c>
      <c r="E889" s="18" t="s">
        <v>4309</v>
      </c>
    </row>
    <row r="890" spans="1:5" ht="24" customHeight="1" x14ac:dyDescent="0.25">
      <c r="A890" s="16">
        <v>895</v>
      </c>
      <c r="B890" s="18" t="s">
        <v>3768</v>
      </c>
      <c r="C890" s="18" t="s">
        <v>4304</v>
      </c>
      <c r="D890" s="18" t="s">
        <v>4305</v>
      </c>
      <c r="E890" s="18" t="s">
        <v>4310</v>
      </c>
    </row>
    <row r="891" spans="1:5" ht="24" customHeight="1" x14ac:dyDescent="0.25">
      <c r="A891" s="16">
        <v>896</v>
      </c>
      <c r="B891" s="18" t="s">
        <v>3768</v>
      </c>
      <c r="C891" s="18" t="s">
        <v>4304</v>
      </c>
      <c r="D891" s="18" t="s">
        <v>4305</v>
      </c>
      <c r="E891" s="18" t="s">
        <v>4311</v>
      </c>
    </row>
    <row r="892" spans="1:5" ht="24" customHeight="1" x14ac:dyDescent="0.25">
      <c r="A892" s="16">
        <v>897</v>
      </c>
      <c r="B892" s="18" t="s">
        <v>3768</v>
      </c>
      <c r="C892" s="18" t="s">
        <v>4304</v>
      </c>
      <c r="D892" s="18" t="s">
        <v>4305</v>
      </c>
      <c r="E892" s="18" t="s">
        <v>4312</v>
      </c>
    </row>
    <row r="893" spans="1:5" ht="24" customHeight="1" x14ac:dyDescent="0.25">
      <c r="A893" s="16">
        <v>898</v>
      </c>
      <c r="B893" s="18" t="s">
        <v>3768</v>
      </c>
      <c r="C893" s="18" t="s">
        <v>4304</v>
      </c>
      <c r="D893" s="18" t="s">
        <v>4305</v>
      </c>
      <c r="E893" s="18" t="s">
        <v>4313</v>
      </c>
    </row>
    <row r="894" spans="1:5" ht="24" customHeight="1" x14ac:dyDescent="0.25">
      <c r="A894" s="16">
        <v>899</v>
      </c>
      <c r="B894" s="18" t="s">
        <v>3768</v>
      </c>
      <c r="C894" s="18" t="s">
        <v>4304</v>
      </c>
      <c r="D894" s="18" t="s">
        <v>4305</v>
      </c>
      <c r="E894" s="18" t="s">
        <v>4314</v>
      </c>
    </row>
    <row r="895" spans="1:5" ht="24" customHeight="1" x14ac:dyDescent="0.25">
      <c r="A895" s="16">
        <v>900</v>
      </c>
      <c r="B895" s="18" t="s">
        <v>3768</v>
      </c>
      <c r="C895" s="18" t="s">
        <v>4304</v>
      </c>
      <c r="D895" s="18" t="s">
        <v>4305</v>
      </c>
      <c r="E895" s="18" t="s">
        <v>4315</v>
      </c>
    </row>
    <row r="896" spans="1:5" ht="24" customHeight="1" x14ac:dyDescent="0.25">
      <c r="A896" s="16">
        <v>901</v>
      </c>
      <c r="B896" s="18" t="s">
        <v>3768</v>
      </c>
      <c r="C896" s="18" t="s">
        <v>4304</v>
      </c>
      <c r="D896" s="18" t="s">
        <v>4305</v>
      </c>
      <c r="E896" s="18" t="s">
        <v>4316</v>
      </c>
    </row>
    <row r="897" spans="1:5" ht="24" customHeight="1" x14ac:dyDescent="0.25">
      <c r="A897" s="16">
        <v>902</v>
      </c>
      <c r="B897" s="18" t="s">
        <v>3768</v>
      </c>
      <c r="C897" s="18" t="s">
        <v>4304</v>
      </c>
      <c r="D897" s="18" t="s">
        <v>4317</v>
      </c>
      <c r="E897" s="18" t="s">
        <v>4318</v>
      </c>
    </row>
    <row r="898" spans="1:5" ht="24" customHeight="1" x14ac:dyDescent="0.25">
      <c r="A898" s="16">
        <v>903</v>
      </c>
      <c r="B898" s="18" t="s">
        <v>3768</v>
      </c>
      <c r="C898" s="18" t="s">
        <v>4304</v>
      </c>
      <c r="D898" s="18" t="s">
        <v>4317</v>
      </c>
      <c r="E898" s="18" t="s">
        <v>4319</v>
      </c>
    </row>
    <row r="899" spans="1:5" ht="24" customHeight="1" x14ac:dyDescent="0.25">
      <c r="A899" s="16">
        <v>904</v>
      </c>
      <c r="B899" s="18" t="s">
        <v>3768</v>
      </c>
      <c r="C899" s="18" t="s">
        <v>4304</v>
      </c>
      <c r="D899" s="18" t="s">
        <v>4317</v>
      </c>
      <c r="E899" s="18" t="s">
        <v>4320</v>
      </c>
    </row>
    <row r="900" spans="1:5" ht="24" customHeight="1" x14ac:dyDescent="0.25">
      <c r="A900" s="16">
        <v>905</v>
      </c>
      <c r="B900" s="18" t="s">
        <v>3768</v>
      </c>
      <c r="C900" s="18" t="s">
        <v>4304</v>
      </c>
      <c r="D900" s="18" t="s">
        <v>4317</v>
      </c>
      <c r="E900" s="18" t="s">
        <v>4321</v>
      </c>
    </row>
    <row r="901" spans="1:5" ht="24" customHeight="1" x14ac:dyDescent="0.25">
      <c r="A901" s="16">
        <v>906</v>
      </c>
      <c r="B901" s="18" t="s">
        <v>3768</v>
      </c>
      <c r="C901" s="18" t="s">
        <v>4304</v>
      </c>
      <c r="D901" s="18" t="s">
        <v>4317</v>
      </c>
      <c r="E901" s="18" t="s">
        <v>4322</v>
      </c>
    </row>
    <row r="902" spans="1:5" ht="24" customHeight="1" x14ac:dyDescent="0.25">
      <c r="A902" s="16">
        <v>907</v>
      </c>
      <c r="B902" s="18" t="s">
        <v>3768</v>
      </c>
      <c r="C902" s="18" t="s">
        <v>4304</v>
      </c>
      <c r="D902" s="18" t="s">
        <v>4317</v>
      </c>
      <c r="E902" s="18" t="s">
        <v>4323</v>
      </c>
    </row>
    <row r="903" spans="1:5" ht="24" customHeight="1" x14ac:dyDescent="0.25">
      <c r="A903" s="16">
        <v>908</v>
      </c>
      <c r="B903" s="18" t="s">
        <v>3768</v>
      </c>
      <c r="C903" s="18" t="s">
        <v>4304</v>
      </c>
      <c r="D903" s="18" t="s">
        <v>4317</v>
      </c>
      <c r="E903" s="18" t="s">
        <v>4324</v>
      </c>
    </row>
    <row r="904" spans="1:5" ht="24" customHeight="1" x14ac:dyDescent="0.25">
      <c r="A904" s="16">
        <v>909</v>
      </c>
      <c r="B904" s="18" t="s">
        <v>3768</v>
      </c>
      <c r="C904" s="18" t="s">
        <v>4304</v>
      </c>
      <c r="D904" s="18" t="s">
        <v>4317</v>
      </c>
      <c r="E904" s="18" t="s">
        <v>4325</v>
      </c>
    </row>
    <row r="905" spans="1:5" ht="24" customHeight="1" x14ac:dyDescent="0.25">
      <c r="A905" s="16">
        <v>910</v>
      </c>
      <c r="B905" s="18" t="s">
        <v>3768</v>
      </c>
      <c r="C905" s="18" t="s">
        <v>4304</v>
      </c>
      <c r="D905" s="18" t="s">
        <v>4317</v>
      </c>
      <c r="E905" s="18" t="s">
        <v>4326</v>
      </c>
    </row>
    <row r="906" spans="1:5" ht="24" customHeight="1" x14ac:dyDescent="0.25">
      <c r="A906" s="16">
        <v>911</v>
      </c>
      <c r="B906" s="18" t="s">
        <v>3768</v>
      </c>
      <c r="C906" s="18" t="s">
        <v>4304</v>
      </c>
      <c r="D906" s="18" t="s">
        <v>4304</v>
      </c>
      <c r="E906" s="18" t="s">
        <v>4327</v>
      </c>
    </row>
    <row r="907" spans="1:5" ht="24" customHeight="1" x14ac:dyDescent="0.25">
      <c r="A907" s="16">
        <v>912</v>
      </c>
      <c r="B907" s="18" t="s">
        <v>3768</v>
      </c>
      <c r="C907" s="18" t="s">
        <v>4304</v>
      </c>
      <c r="D907" s="18" t="s">
        <v>4304</v>
      </c>
      <c r="E907" s="18" t="s">
        <v>4328</v>
      </c>
    </row>
    <row r="908" spans="1:5" ht="24" customHeight="1" x14ac:dyDescent="0.25">
      <c r="A908" s="16">
        <v>913</v>
      </c>
      <c r="B908" s="18" t="s">
        <v>3768</v>
      </c>
      <c r="C908" s="18" t="s">
        <v>4304</v>
      </c>
      <c r="D908" s="18" t="s">
        <v>4304</v>
      </c>
      <c r="E908" s="18" t="s">
        <v>4329</v>
      </c>
    </row>
    <row r="909" spans="1:5" ht="24" customHeight="1" x14ac:dyDescent="0.25">
      <c r="A909" s="16">
        <v>914</v>
      </c>
      <c r="B909" s="18" t="s">
        <v>3768</v>
      </c>
      <c r="C909" s="18" t="s">
        <v>4304</v>
      </c>
      <c r="D909" s="18" t="s">
        <v>4304</v>
      </c>
      <c r="E909" s="18" t="s">
        <v>4330</v>
      </c>
    </row>
    <row r="910" spans="1:5" ht="24" customHeight="1" x14ac:dyDescent="0.25">
      <c r="A910" s="16">
        <v>915</v>
      </c>
      <c r="B910" s="18" t="s">
        <v>3768</v>
      </c>
      <c r="C910" s="18" t="s">
        <v>4304</v>
      </c>
      <c r="D910" s="18" t="s">
        <v>4304</v>
      </c>
      <c r="E910" s="18" t="s">
        <v>4331</v>
      </c>
    </row>
    <row r="911" spans="1:5" ht="24" customHeight="1" x14ac:dyDescent="0.25">
      <c r="A911" s="16">
        <v>916</v>
      </c>
      <c r="B911" s="18" t="s">
        <v>3768</v>
      </c>
      <c r="C911" s="18" t="s">
        <v>4304</v>
      </c>
      <c r="D911" s="18" t="s">
        <v>4304</v>
      </c>
      <c r="E911" s="18" t="s">
        <v>4332</v>
      </c>
    </row>
    <row r="912" spans="1:5" ht="24" customHeight="1" x14ac:dyDescent="0.25">
      <c r="A912" s="16">
        <v>917</v>
      </c>
      <c r="B912" s="18" t="s">
        <v>3768</v>
      </c>
      <c r="C912" s="18" t="s">
        <v>4304</v>
      </c>
      <c r="D912" s="18" t="s">
        <v>4304</v>
      </c>
      <c r="E912" s="18" t="s">
        <v>4333</v>
      </c>
    </row>
    <row r="913" spans="1:5" ht="24" customHeight="1" x14ac:dyDescent="0.25">
      <c r="A913" s="16">
        <v>918</v>
      </c>
      <c r="B913" s="18" t="s">
        <v>3768</v>
      </c>
      <c r="C913" s="18" t="s">
        <v>4304</v>
      </c>
      <c r="D913" s="18" t="s">
        <v>4304</v>
      </c>
      <c r="E913" s="18" t="s">
        <v>4334</v>
      </c>
    </row>
    <row r="914" spans="1:5" ht="24" customHeight="1" x14ac:dyDescent="0.25">
      <c r="A914" s="16">
        <v>919</v>
      </c>
      <c r="B914" s="18" t="s">
        <v>3768</v>
      </c>
      <c r="C914" s="18" t="s">
        <v>4304</v>
      </c>
      <c r="D914" s="18" t="s">
        <v>4304</v>
      </c>
      <c r="E914" s="18" t="s">
        <v>4335</v>
      </c>
    </row>
    <row r="915" spans="1:5" ht="36" customHeight="1" x14ac:dyDescent="0.25">
      <c r="A915" s="16">
        <v>920</v>
      </c>
      <c r="B915" s="18" t="s">
        <v>3768</v>
      </c>
      <c r="C915" s="18" t="s">
        <v>4304</v>
      </c>
      <c r="D915" s="18" t="s">
        <v>4304</v>
      </c>
      <c r="E915" s="18" t="s">
        <v>4336</v>
      </c>
    </row>
    <row r="916" spans="1:5" ht="24" customHeight="1" x14ac:dyDescent="0.25">
      <c r="A916" s="16">
        <v>927</v>
      </c>
      <c r="B916" s="18" t="s">
        <v>4337</v>
      </c>
      <c r="C916" s="18" t="s">
        <v>4338</v>
      </c>
      <c r="D916" s="18" t="s">
        <v>4339</v>
      </c>
      <c r="E916" s="18" t="s">
        <v>4340</v>
      </c>
    </row>
    <row r="917" spans="1:5" ht="24" customHeight="1" x14ac:dyDescent="0.25">
      <c r="A917" s="16">
        <v>928</v>
      </c>
      <c r="B917" s="18" t="s">
        <v>4337</v>
      </c>
      <c r="C917" s="18" t="s">
        <v>4338</v>
      </c>
      <c r="D917" s="18" t="s">
        <v>4339</v>
      </c>
      <c r="E917" s="18" t="s">
        <v>4341</v>
      </c>
    </row>
    <row r="918" spans="1:5" ht="24" customHeight="1" x14ac:dyDescent="0.25">
      <c r="A918" s="16">
        <v>929</v>
      </c>
      <c r="B918" s="18" t="s">
        <v>4337</v>
      </c>
      <c r="C918" s="18" t="s">
        <v>4338</v>
      </c>
      <c r="D918" s="18" t="s">
        <v>4339</v>
      </c>
      <c r="E918" s="18" t="s">
        <v>4342</v>
      </c>
    </row>
    <row r="919" spans="1:5" ht="24" customHeight="1" x14ac:dyDescent="0.25">
      <c r="A919" s="16">
        <v>930</v>
      </c>
      <c r="B919" s="18" t="s">
        <v>4337</v>
      </c>
      <c r="C919" s="18" t="s">
        <v>4338</v>
      </c>
      <c r="D919" s="18" t="s">
        <v>4339</v>
      </c>
      <c r="E919" s="18" t="s">
        <v>4343</v>
      </c>
    </row>
    <row r="920" spans="1:5" ht="24" customHeight="1" x14ac:dyDescent="0.25">
      <c r="A920" s="16">
        <v>931</v>
      </c>
      <c r="B920" s="18" t="s">
        <v>4337</v>
      </c>
      <c r="C920" s="18" t="s">
        <v>4338</v>
      </c>
      <c r="D920" s="18" t="s">
        <v>4339</v>
      </c>
      <c r="E920" s="18" t="s">
        <v>4344</v>
      </c>
    </row>
    <row r="921" spans="1:5" ht="24" customHeight="1" x14ac:dyDescent="0.25">
      <c r="A921" s="16">
        <v>932</v>
      </c>
      <c r="B921" s="18" t="s">
        <v>4337</v>
      </c>
      <c r="C921" s="18" t="s">
        <v>4338</v>
      </c>
      <c r="D921" s="18" t="s">
        <v>4339</v>
      </c>
      <c r="E921" s="18" t="s">
        <v>4345</v>
      </c>
    </row>
    <row r="922" spans="1:5" ht="36" customHeight="1" x14ac:dyDescent="0.25">
      <c r="A922" s="16">
        <v>933</v>
      </c>
      <c r="B922" s="18" t="s">
        <v>4337</v>
      </c>
      <c r="C922" s="18" t="s">
        <v>4338</v>
      </c>
      <c r="D922" s="18" t="s">
        <v>4339</v>
      </c>
      <c r="E922" s="18" t="s">
        <v>4346</v>
      </c>
    </row>
    <row r="923" spans="1:5" ht="24" customHeight="1" x14ac:dyDescent="0.25">
      <c r="A923" s="16">
        <v>934</v>
      </c>
      <c r="B923" s="18" t="s">
        <v>4337</v>
      </c>
      <c r="C923" s="18" t="s">
        <v>4338</v>
      </c>
      <c r="D923" s="18" t="s">
        <v>4339</v>
      </c>
      <c r="E923" s="18" t="s">
        <v>4347</v>
      </c>
    </row>
    <row r="924" spans="1:5" ht="24" customHeight="1" x14ac:dyDescent="0.25">
      <c r="A924" s="16">
        <v>935</v>
      </c>
      <c r="B924" s="18" t="s">
        <v>4337</v>
      </c>
      <c r="C924" s="18" t="s">
        <v>4338</v>
      </c>
      <c r="D924" s="18" t="s">
        <v>4339</v>
      </c>
      <c r="E924" s="18" t="s">
        <v>4348</v>
      </c>
    </row>
    <row r="925" spans="1:5" ht="24" customHeight="1" x14ac:dyDescent="0.25">
      <c r="A925" s="16">
        <v>936</v>
      </c>
      <c r="B925" s="18" t="s">
        <v>4337</v>
      </c>
      <c r="C925" s="18" t="s">
        <v>4338</v>
      </c>
      <c r="D925" s="18" t="s">
        <v>4339</v>
      </c>
      <c r="E925" s="18" t="s">
        <v>4349</v>
      </c>
    </row>
    <row r="926" spans="1:5" ht="24" customHeight="1" x14ac:dyDescent="0.25">
      <c r="A926" s="16">
        <v>937</v>
      </c>
      <c r="B926" s="18" t="s">
        <v>4337</v>
      </c>
      <c r="C926" s="18" t="s">
        <v>4338</v>
      </c>
      <c r="D926" s="18" t="s">
        <v>4339</v>
      </c>
      <c r="E926" s="18" t="s">
        <v>4350</v>
      </c>
    </row>
    <row r="927" spans="1:5" ht="24" customHeight="1" x14ac:dyDescent="0.25">
      <c r="A927" s="16">
        <v>938</v>
      </c>
      <c r="B927" s="18" t="s">
        <v>4337</v>
      </c>
      <c r="C927" s="18" t="s">
        <v>4338</v>
      </c>
      <c r="D927" s="18" t="s">
        <v>4339</v>
      </c>
      <c r="E927" s="18" t="s">
        <v>4351</v>
      </c>
    </row>
    <row r="928" spans="1:5" ht="24" customHeight="1" x14ac:dyDescent="0.25">
      <c r="A928" s="16">
        <v>939</v>
      </c>
      <c r="B928" s="18" t="s">
        <v>4337</v>
      </c>
      <c r="C928" s="18" t="s">
        <v>4338</v>
      </c>
      <c r="D928" s="18" t="s">
        <v>4339</v>
      </c>
      <c r="E928" s="18" t="s">
        <v>4352</v>
      </c>
    </row>
    <row r="929" spans="1:5" ht="24" customHeight="1" x14ac:dyDescent="0.25">
      <c r="A929" s="16">
        <v>940</v>
      </c>
      <c r="B929" s="18" t="s">
        <v>4337</v>
      </c>
      <c r="C929" s="18" t="s">
        <v>4338</v>
      </c>
      <c r="D929" s="18" t="s">
        <v>4353</v>
      </c>
      <c r="E929" s="18" t="s">
        <v>4354</v>
      </c>
    </row>
    <row r="930" spans="1:5" ht="24" customHeight="1" x14ac:dyDescent="0.25">
      <c r="A930" s="16">
        <v>941</v>
      </c>
      <c r="B930" s="18" t="s">
        <v>4337</v>
      </c>
      <c r="C930" s="18" t="s">
        <v>4338</v>
      </c>
      <c r="D930" s="18" t="s">
        <v>4353</v>
      </c>
      <c r="E930" s="18" t="s">
        <v>4355</v>
      </c>
    </row>
    <row r="931" spans="1:5" ht="24" customHeight="1" x14ac:dyDescent="0.25">
      <c r="A931" s="16">
        <v>942</v>
      </c>
      <c r="B931" s="18" t="s">
        <v>4337</v>
      </c>
      <c r="C931" s="18" t="s">
        <v>4338</v>
      </c>
      <c r="D931" s="18" t="s">
        <v>4353</v>
      </c>
      <c r="E931" s="18" t="s">
        <v>4356</v>
      </c>
    </row>
    <row r="932" spans="1:5" ht="24" customHeight="1" x14ac:dyDescent="0.25">
      <c r="A932" s="16">
        <v>943</v>
      </c>
      <c r="B932" s="18" t="s">
        <v>4337</v>
      </c>
      <c r="C932" s="18" t="s">
        <v>4338</v>
      </c>
      <c r="D932" s="18" t="s">
        <v>4353</v>
      </c>
      <c r="E932" s="18" t="s">
        <v>4357</v>
      </c>
    </row>
    <row r="933" spans="1:5" ht="24" customHeight="1" x14ac:dyDescent="0.25">
      <c r="A933" s="16">
        <v>944</v>
      </c>
      <c r="B933" s="18" t="s">
        <v>4337</v>
      </c>
      <c r="C933" s="18" t="s">
        <v>4338</v>
      </c>
      <c r="D933" s="18" t="s">
        <v>4353</v>
      </c>
      <c r="E933" s="18" t="s">
        <v>4358</v>
      </c>
    </row>
    <row r="934" spans="1:5" ht="24" customHeight="1" x14ac:dyDescent="0.25">
      <c r="A934" s="16">
        <v>945</v>
      </c>
      <c r="B934" s="18" t="s">
        <v>4337</v>
      </c>
      <c r="C934" s="18" t="s">
        <v>4338</v>
      </c>
      <c r="D934" s="18" t="s">
        <v>4353</v>
      </c>
      <c r="E934" s="18" t="s">
        <v>4359</v>
      </c>
    </row>
    <row r="935" spans="1:5" ht="24" customHeight="1" x14ac:dyDescent="0.25">
      <c r="A935" s="16">
        <v>946</v>
      </c>
      <c r="B935" s="18" t="s">
        <v>4337</v>
      </c>
      <c r="C935" s="18" t="s">
        <v>4338</v>
      </c>
      <c r="D935" s="18" t="s">
        <v>4353</v>
      </c>
      <c r="E935" s="18" t="s">
        <v>4360</v>
      </c>
    </row>
    <row r="936" spans="1:5" ht="24" customHeight="1" x14ac:dyDescent="0.25">
      <c r="A936" s="16">
        <v>947</v>
      </c>
      <c r="B936" s="18" t="s">
        <v>4337</v>
      </c>
      <c r="C936" s="18" t="s">
        <v>4338</v>
      </c>
      <c r="D936" s="18" t="s">
        <v>4353</v>
      </c>
      <c r="E936" s="18" t="s">
        <v>4361</v>
      </c>
    </row>
    <row r="937" spans="1:5" ht="24" customHeight="1" x14ac:dyDescent="0.25">
      <c r="A937" s="16">
        <v>948</v>
      </c>
      <c r="B937" s="18" t="s">
        <v>4337</v>
      </c>
      <c r="C937" s="18" t="s">
        <v>4338</v>
      </c>
      <c r="D937" s="18" t="s">
        <v>4362</v>
      </c>
      <c r="E937" s="18" t="s">
        <v>4354</v>
      </c>
    </row>
    <row r="938" spans="1:5" ht="24" customHeight="1" x14ac:dyDescent="0.25">
      <c r="A938" s="16">
        <v>949</v>
      </c>
      <c r="B938" s="18" t="s">
        <v>4337</v>
      </c>
      <c r="C938" s="18" t="s">
        <v>4338</v>
      </c>
      <c r="D938" s="18" t="s">
        <v>4362</v>
      </c>
      <c r="E938" s="18" t="s">
        <v>4363</v>
      </c>
    </row>
    <row r="939" spans="1:5" ht="24" customHeight="1" x14ac:dyDescent="0.25">
      <c r="A939" s="16">
        <v>950</v>
      </c>
      <c r="B939" s="18" t="s">
        <v>4337</v>
      </c>
      <c r="C939" s="18" t="s">
        <v>4338</v>
      </c>
      <c r="D939" s="18" t="s">
        <v>4362</v>
      </c>
      <c r="E939" s="18" t="s">
        <v>4364</v>
      </c>
    </row>
    <row r="940" spans="1:5" ht="24" customHeight="1" x14ac:dyDescent="0.25">
      <c r="A940" s="16">
        <v>951</v>
      </c>
      <c r="B940" s="18" t="s">
        <v>4337</v>
      </c>
      <c r="C940" s="18" t="s">
        <v>4338</v>
      </c>
      <c r="D940" s="18" t="s">
        <v>4362</v>
      </c>
      <c r="E940" s="18" t="s">
        <v>4365</v>
      </c>
    </row>
    <row r="941" spans="1:5" ht="24" customHeight="1" x14ac:dyDescent="0.25">
      <c r="A941" s="16">
        <v>952</v>
      </c>
      <c r="B941" s="18" t="s">
        <v>4337</v>
      </c>
      <c r="C941" s="18" t="s">
        <v>4338</v>
      </c>
      <c r="D941" s="18" t="s">
        <v>4362</v>
      </c>
      <c r="E941" s="18" t="s">
        <v>4366</v>
      </c>
    </row>
    <row r="942" spans="1:5" ht="24" customHeight="1" x14ac:dyDescent="0.25">
      <c r="A942" s="16">
        <v>953</v>
      </c>
      <c r="B942" s="18" t="s">
        <v>4337</v>
      </c>
      <c r="C942" s="18" t="s">
        <v>4338</v>
      </c>
      <c r="D942" s="18" t="s">
        <v>4362</v>
      </c>
      <c r="E942" s="18" t="s">
        <v>4367</v>
      </c>
    </row>
    <row r="943" spans="1:5" ht="24" customHeight="1" x14ac:dyDescent="0.25">
      <c r="A943" s="16">
        <v>954</v>
      </c>
      <c r="B943" s="18" t="s">
        <v>4337</v>
      </c>
      <c r="C943" s="18" t="s">
        <v>4338</v>
      </c>
      <c r="D943" s="18" t="s">
        <v>4362</v>
      </c>
      <c r="E943" s="18" t="s">
        <v>4368</v>
      </c>
    </row>
    <row r="944" spans="1:5" ht="24" customHeight="1" x14ac:dyDescent="0.25">
      <c r="A944" s="16">
        <v>955</v>
      </c>
      <c r="B944" s="18" t="s">
        <v>4337</v>
      </c>
      <c r="C944" s="18" t="s">
        <v>4338</v>
      </c>
      <c r="D944" s="18" t="s">
        <v>4362</v>
      </c>
      <c r="E944" s="18" t="s">
        <v>4369</v>
      </c>
    </row>
    <row r="945" spans="1:5" ht="24" customHeight="1" x14ac:dyDescent="0.25">
      <c r="A945" s="16">
        <v>956</v>
      </c>
      <c r="B945" s="18" t="s">
        <v>4337</v>
      </c>
      <c r="C945" s="18" t="s">
        <v>4338</v>
      </c>
      <c r="D945" s="18" t="s">
        <v>4362</v>
      </c>
      <c r="E945" s="18" t="s">
        <v>4370</v>
      </c>
    </row>
    <row r="946" spans="1:5" ht="24" customHeight="1" x14ac:dyDescent="0.25">
      <c r="A946" s="16">
        <v>957</v>
      </c>
      <c r="B946" s="18" t="s">
        <v>4337</v>
      </c>
      <c r="C946" s="18" t="s">
        <v>4338</v>
      </c>
      <c r="D946" s="18" t="s">
        <v>4362</v>
      </c>
      <c r="E946" s="18" t="s">
        <v>4371</v>
      </c>
    </row>
    <row r="947" spans="1:5" ht="24" customHeight="1" x14ac:dyDescent="0.25">
      <c r="A947" s="16">
        <v>958</v>
      </c>
      <c r="B947" s="18" t="s">
        <v>4337</v>
      </c>
      <c r="C947" s="18" t="s">
        <v>4338</v>
      </c>
      <c r="D947" s="18" t="s">
        <v>4362</v>
      </c>
      <c r="E947" s="18" t="s">
        <v>4372</v>
      </c>
    </row>
    <row r="948" spans="1:5" ht="24" customHeight="1" x14ac:dyDescent="0.25">
      <c r="A948" s="16">
        <v>959</v>
      </c>
      <c r="B948" s="18" t="s">
        <v>4337</v>
      </c>
      <c r="C948" s="18" t="s">
        <v>4338</v>
      </c>
      <c r="D948" s="18" t="s">
        <v>4362</v>
      </c>
      <c r="E948" s="18" t="s">
        <v>4373</v>
      </c>
    </row>
    <row r="949" spans="1:5" ht="24" customHeight="1" x14ac:dyDescent="0.25">
      <c r="A949" s="16">
        <v>960</v>
      </c>
      <c r="B949" s="18" t="s">
        <v>4337</v>
      </c>
      <c r="C949" s="18" t="s">
        <v>4338</v>
      </c>
      <c r="D949" s="18" t="s">
        <v>4362</v>
      </c>
      <c r="E949" s="18" t="s">
        <v>4374</v>
      </c>
    </row>
    <row r="950" spans="1:5" ht="24" customHeight="1" x14ac:dyDescent="0.25">
      <c r="A950" s="16">
        <v>961</v>
      </c>
      <c r="B950" s="18" t="s">
        <v>4337</v>
      </c>
      <c r="C950" s="18" t="s">
        <v>4338</v>
      </c>
      <c r="D950" s="18" t="s">
        <v>4362</v>
      </c>
      <c r="E950" s="18" t="s">
        <v>4375</v>
      </c>
    </row>
    <row r="951" spans="1:5" ht="24" customHeight="1" x14ac:dyDescent="0.25">
      <c r="A951" s="16">
        <v>962</v>
      </c>
      <c r="B951" s="18" t="s">
        <v>4337</v>
      </c>
      <c r="C951" s="18" t="s">
        <v>4338</v>
      </c>
      <c r="D951" s="18" t="s">
        <v>4376</v>
      </c>
      <c r="E951" s="18" t="s">
        <v>4377</v>
      </c>
    </row>
    <row r="952" spans="1:5" ht="24" customHeight="1" x14ac:dyDescent="0.25">
      <c r="A952" s="16">
        <v>963</v>
      </c>
      <c r="B952" s="18" t="s">
        <v>4337</v>
      </c>
      <c r="C952" s="18" t="s">
        <v>4338</v>
      </c>
      <c r="D952" s="18" t="s">
        <v>4376</v>
      </c>
      <c r="E952" s="18" t="s">
        <v>4378</v>
      </c>
    </row>
    <row r="953" spans="1:5" ht="24" customHeight="1" x14ac:dyDescent="0.25">
      <c r="A953" s="16">
        <v>964</v>
      </c>
      <c r="B953" s="18" t="s">
        <v>4337</v>
      </c>
      <c r="C953" s="18" t="s">
        <v>4338</v>
      </c>
      <c r="D953" s="18" t="s">
        <v>4376</v>
      </c>
      <c r="E953" s="18" t="s">
        <v>4379</v>
      </c>
    </row>
    <row r="954" spans="1:5" ht="24" customHeight="1" x14ac:dyDescent="0.25">
      <c r="A954" s="16">
        <v>965</v>
      </c>
      <c r="B954" s="18" t="s">
        <v>4337</v>
      </c>
      <c r="C954" s="18" t="s">
        <v>4338</v>
      </c>
      <c r="D954" s="18" t="s">
        <v>4376</v>
      </c>
      <c r="E954" s="18" t="s">
        <v>4380</v>
      </c>
    </row>
    <row r="955" spans="1:5" ht="24" customHeight="1" x14ac:dyDescent="0.25">
      <c r="A955" s="16">
        <v>966</v>
      </c>
      <c r="B955" s="18" t="s">
        <v>4337</v>
      </c>
      <c r="C955" s="18" t="s">
        <v>4338</v>
      </c>
      <c r="D955" s="18" t="s">
        <v>4376</v>
      </c>
      <c r="E955" s="18" t="s">
        <v>4381</v>
      </c>
    </row>
    <row r="956" spans="1:5" ht="24" customHeight="1" x14ac:dyDescent="0.25">
      <c r="A956" s="16">
        <v>967</v>
      </c>
      <c r="B956" s="18" t="s">
        <v>4337</v>
      </c>
      <c r="C956" s="18" t="s">
        <v>4338</v>
      </c>
      <c r="D956" s="18" t="s">
        <v>4376</v>
      </c>
      <c r="E956" s="18" t="s">
        <v>4382</v>
      </c>
    </row>
    <row r="957" spans="1:5" ht="24" customHeight="1" x14ac:dyDescent="0.25">
      <c r="A957" s="16">
        <v>968</v>
      </c>
      <c r="B957" s="18" t="s">
        <v>4337</v>
      </c>
      <c r="C957" s="18" t="s">
        <v>4338</v>
      </c>
      <c r="D957" s="18" t="s">
        <v>4383</v>
      </c>
      <c r="E957" s="18" t="s">
        <v>4384</v>
      </c>
    </row>
    <row r="958" spans="1:5" ht="24" customHeight="1" x14ac:dyDescent="0.25">
      <c r="A958" s="16">
        <v>969</v>
      </c>
      <c r="B958" s="18" t="s">
        <v>4337</v>
      </c>
      <c r="C958" s="18" t="s">
        <v>4338</v>
      </c>
      <c r="D958" s="18" t="s">
        <v>4383</v>
      </c>
      <c r="E958" s="18" t="s">
        <v>4385</v>
      </c>
    </row>
    <row r="959" spans="1:5" ht="24" customHeight="1" x14ac:dyDescent="0.25">
      <c r="A959" s="16">
        <v>970</v>
      </c>
      <c r="B959" s="18" t="s">
        <v>4337</v>
      </c>
      <c r="C959" s="18" t="s">
        <v>4338</v>
      </c>
      <c r="D959" s="18" t="s">
        <v>4383</v>
      </c>
      <c r="E959" s="18" t="s">
        <v>4386</v>
      </c>
    </row>
    <row r="960" spans="1:5" ht="24" customHeight="1" x14ac:dyDescent="0.25">
      <c r="A960" s="16">
        <v>971</v>
      </c>
      <c r="B960" s="18" t="s">
        <v>4337</v>
      </c>
      <c r="C960" s="18" t="s">
        <v>4338</v>
      </c>
      <c r="D960" s="18" t="s">
        <v>4383</v>
      </c>
      <c r="E960" s="18" t="s">
        <v>4387</v>
      </c>
    </row>
    <row r="961" spans="1:5" ht="24" customHeight="1" x14ac:dyDescent="0.25">
      <c r="A961" s="16">
        <v>972</v>
      </c>
      <c r="B961" s="18" t="s">
        <v>4337</v>
      </c>
      <c r="C961" s="18" t="s">
        <v>4338</v>
      </c>
      <c r="D961" s="18" t="s">
        <v>4388</v>
      </c>
      <c r="E961" s="18" t="s">
        <v>4389</v>
      </c>
    </row>
    <row r="962" spans="1:5" ht="24" customHeight="1" x14ac:dyDescent="0.25">
      <c r="A962" s="16">
        <v>973</v>
      </c>
      <c r="B962" s="18" t="s">
        <v>4337</v>
      </c>
      <c r="C962" s="18" t="s">
        <v>4338</v>
      </c>
      <c r="D962" s="18" t="s">
        <v>4388</v>
      </c>
      <c r="E962" s="18" t="s">
        <v>4390</v>
      </c>
    </row>
    <row r="963" spans="1:5" ht="24" customHeight="1" x14ac:dyDescent="0.25">
      <c r="A963" s="16">
        <v>974</v>
      </c>
      <c r="B963" s="18" t="s">
        <v>4337</v>
      </c>
      <c r="C963" s="18" t="s">
        <v>4338</v>
      </c>
      <c r="D963" s="18" t="s">
        <v>4388</v>
      </c>
      <c r="E963" s="18" t="s">
        <v>4391</v>
      </c>
    </row>
    <row r="964" spans="1:5" ht="24" customHeight="1" x14ac:dyDescent="0.25">
      <c r="A964" s="16">
        <v>975</v>
      </c>
      <c r="B964" s="18" t="s">
        <v>4337</v>
      </c>
      <c r="C964" s="18" t="s">
        <v>4338</v>
      </c>
      <c r="D964" s="18" t="s">
        <v>4388</v>
      </c>
      <c r="E964" s="18" t="s">
        <v>4392</v>
      </c>
    </row>
    <row r="965" spans="1:5" ht="24" customHeight="1" x14ac:dyDescent="0.25">
      <c r="A965" s="16">
        <v>976</v>
      </c>
      <c r="B965" s="18" t="s">
        <v>4337</v>
      </c>
      <c r="C965" s="18" t="s">
        <v>4338</v>
      </c>
      <c r="D965" s="18" t="s">
        <v>4388</v>
      </c>
      <c r="E965" s="18" t="s">
        <v>4393</v>
      </c>
    </row>
    <row r="966" spans="1:5" ht="24" customHeight="1" x14ac:dyDescent="0.25">
      <c r="A966" s="16">
        <v>977</v>
      </c>
      <c r="B966" s="18" t="s">
        <v>4337</v>
      </c>
      <c r="C966" s="18" t="s">
        <v>4338</v>
      </c>
      <c r="D966" s="18" t="s">
        <v>4388</v>
      </c>
      <c r="E966" s="18" t="s">
        <v>4394</v>
      </c>
    </row>
    <row r="967" spans="1:5" ht="24" customHeight="1" x14ac:dyDescent="0.25">
      <c r="A967" s="16">
        <v>978</v>
      </c>
      <c r="B967" s="18" t="s">
        <v>4337</v>
      </c>
      <c r="C967" s="18" t="s">
        <v>4338</v>
      </c>
      <c r="D967" s="18" t="s">
        <v>4388</v>
      </c>
      <c r="E967" s="18" t="s">
        <v>4395</v>
      </c>
    </row>
    <row r="968" spans="1:5" ht="24" customHeight="1" x14ac:dyDescent="0.25">
      <c r="A968" s="16">
        <v>979</v>
      </c>
      <c r="B968" s="18" t="s">
        <v>4337</v>
      </c>
      <c r="C968" s="18" t="s">
        <v>4338</v>
      </c>
      <c r="D968" s="18" t="s">
        <v>4388</v>
      </c>
      <c r="E968" s="18" t="s">
        <v>4396</v>
      </c>
    </row>
    <row r="969" spans="1:5" ht="24" customHeight="1" x14ac:dyDescent="0.25">
      <c r="A969" s="16">
        <v>980</v>
      </c>
      <c r="B969" s="18" t="s">
        <v>4337</v>
      </c>
      <c r="C969" s="18" t="s">
        <v>4338</v>
      </c>
      <c r="D969" s="18" t="s">
        <v>4388</v>
      </c>
      <c r="E969" s="18" t="s">
        <v>4397</v>
      </c>
    </row>
    <row r="970" spans="1:5" ht="24" customHeight="1" x14ac:dyDescent="0.25">
      <c r="A970" s="16">
        <v>981</v>
      </c>
      <c r="B970" s="18" t="s">
        <v>4337</v>
      </c>
      <c r="C970" s="18" t="s">
        <v>4338</v>
      </c>
      <c r="D970" s="18" t="s">
        <v>4388</v>
      </c>
      <c r="E970" s="18" t="s">
        <v>4398</v>
      </c>
    </row>
    <row r="971" spans="1:5" ht="24" customHeight="1" x14ac:dyDescent="0.25">
      <c r="A971" s="16">
        <v>982</v>
      </c>
      <c r="B971" s="18" t="s">
        <v>4337</v>
      </c>
      <c r="C971" s="18" t="s">
        <v>4338</v>
      </c>
      <c r="D971" s="18" t="s">
        <v>4388</v>
      </c>
      <c r="E971" s="18" t="s">
        <v>4399</v>
      </c>
    </row>
    <row r="972" spans="1:5" ht="24" customHeight="1" x14ac:dyDescent="0.25">
      <c r="A972" s="16">
        <v>983</v>
      </c>
      <c r="B972" s="18" t="s">
        <v>4337</v>
      </c>
      <c r="C972" s="18" t="s">
        <v>4338</v>
      </c>
      <c r="D972" s="18" t="s">
        <v>4400</v>
      </c>
      <c r="E972" s="18" t="s">
        <v>4401</v>
      </c>
    </row>
    <row r="973" spans="1:5" ht="24" customHeight="1" x14ac:dyDescent="0.25">
      <c r="A973" s="16">
        <v>984</v>
      </c>
      <c r="B973" s="18" t="s">
        <v>4337</v>
      </c>
      <c r="C973" s="18" t="s">
        <v>4338</v>
      </c>
      <c r="D973" s="18" t="s">
        <v>4400</v>
      </c>
      <c r="E973" s="18" t="s">
        <v>4402</v>
      </c>
    </row>
    <row r="974" spans="1:5" ht="24" customHeight="1" x14ac:dyDescent="0.25">
      <c r="A974" s="16">
        <v>985</v>
      </c>
      <c r="B974" s="18" t="s">
        <v>4337</v>
      </c>
      <c r="C974" s="18" t="s">
        <v>4338</v>
      </c>
      <c r="D974" s="18" t="s">
        <v>4400</v>
      </c>
      <c r="E974" s="18" t="s">
        <v>4403</v>
      </c>
    </row>
    <row r="975" spans="1:5" ht="24" customHeight="1" x14ac:dyDescent="0.25">
      <c r="A975" s="16">
        <v>986</v>
      </c>
      <c r="B975" s="18" t="s">
        <v>4337</v>
      </c>
      <c r="C975" s="18" t="s">
        <v>4338</v>
      </c>
      <c r="D975" s="18" t="s">
        <v>4400</v>
      </c>
      <c r="E975" s="18" t="s">
        <v>4404</v>
      </c>
    </row>
    <row r="976" spans="1:5" ht="24" customHeight="1" x14ac:dyDescent="0.25">
      <c r="A976" s="16">
        <v>987</v>
      </c>
      <c r="B976" s="18" t="s">
        <v>4337</v>
      </c>
      <c r="C976" s="18" t="s">
        <v>4338</v>
      </c>
      <c r="D976" s="18" t="s">
        <v>4400</v>
      </c>
      <c r="E976" s="18" t="s">
        <v>4405</v>
      </c>
    </row>
    <row r="977" spans="1:5" ht="24" customHeight="1" x14ac:dyDescent="0.25">
      <c r="A977" s="16">
        <v>988</v>
      </c>
      <c r="B977" s="18" t="s">
        <v>4337</v>
      </c>
      <c r="C977" s="18" t="s">
        <v>4338</v>
      </c>
      <c r="D977" s="18" t="s">
        <v>4406</v>
      </c>
      <c r="E977" s="18" t="s">
        <v>4407</v>
      </c>
    </row>
    <row r="978" spans="1:5" ht="24" customHeight="1" x14ac:dyDescent="0.25">
      <c r="A978" s="16">
        <v>989</v>
      </c>
      <c r="B978" s="18" t="s">
        <v>4337</v>
      </c>
      <c r="C978" s="18" t="s">
        <v>4338</v>
      </c>
      <c r="D978" s="18" t="s">
        <v>4406</v>
      </c>
      <c r="E978" s="18" t="s">
        <v>4408</v>
      </c>
    </row>
    <row r="979" spans="1:5" ht="24" customHeight="1" x14ac:dyDescent="0.25">
      <c r="A979" s="16">
        <v>990</v>
      </c>
      <c r="B979" s="18" t="s">
        <v>4337</v>
      </c>
      <c r="C979" s="18" t="s">
        <v>4338</v>
      </c>
      <c r="D979" s="18" t="s">
        <v>4406</v>
      </c>
      <c r="E979" s="18" t="s">
        <v>4409</v>
      </c>
    </row>
    <row r="980" spans="1:5" ht="24" customHeight="1" x14ac:dyDescent="0.25">
      <c r="A980" s="16">
        <v>991</v>
      </c>
      <c r="B980" s="18" t="s">
        <v>4337</v>
      </c>
      <c r="C980" s="18" t="s">
        <v>4338</v>
      </c>
      <c r="D980" s="18" t="s">
        <v>4406</v>
      </c>
      <c r="E980" s="18" t="s">
        <v>4410</v>
      </c>
    </row>
    <row r="981" spans="1:5" ht="24" customHeight="1" x14ac:dyDescent="0.25">
      <c r="A981" s="16">
        <v>992</v>
      </c>
      <c r="B981" s="18" t="s">
        <v>4337</v>
      </c>
      <c r="C981" s="18" t="s">
        <v>4338</v>
      </c>
      <c r="D981" s="18" t="s">
        <v>4406</v>
      </c>
      <c r="E981" s="18" t="s">
        <v>4411</v>
      </c>
    </row>
    <row r="982" spans="1:5" ht="24" customHeight="1" x14ac:dyDescent="0.25">
      <c r="A982" s="16">
        <v>993</v>
      </c>
      <c r="B982" s="18" t="s">
        <v>4337</v>
      </c>
      <c r="C982" s="18" t="s">
        <v>4338</v>
      </c>
      <c r="D982" s="18" t="s">
        <v>4406</v>
      </c>
      <c r="E982" s="18" t="s">
        <v>4412</v>
      </c>
    </row>
    <row r="983" spans="1:5" ht="24" customHeight="1" x14ac:dyDescent="0.25">
      <c r="A983" s="16">
        <v>994</v>
      </c>
      <c r="B983" s="18" t="s">
        <v>4337</v>
      </c>
      <c r="C983" s="18" t="s">
        <v>4338</v>
      </c>
      <c r="D983" s="18" t="s">
        <v>4406</v>
      </c>
      <c r="E983" s="18" t="s">
        <v>4413</v>
      </c>
    </row>
    <row r="984" spans="1:5" ht="24" customHeight="1" x14ac:dyDescent="0.25">
      <c r="A984" s="16">
        <v>995</v>
      </c>
      <c r="B984" s="18" t="s">
        <v>4337</v>
      </c>
      <c r="C984" s="18" t="s">
        <v>4338</v>
      </c>
      <c r="D984" s="18" t="s">
        <v>4406</v>
      </c>
      <c r="E984" s="18" t="s">
        <v>4414</v>
      </c>
    </row>
    <row r="985" spans="1:5" ht="36" customHeight="1" x14ac:dyDescent="0.25">
      <c r="A985" s="16">
        <v>996</v>
      </c>
      <c r="B985" s="18" t="s">
        <v>4337</v>
      </c>
      <c r="C985" s="18" t="s">
        <v>4338</v>
      </c>
      <c r="D985" s="18" t="s">
        <v>4406</v>
      </c>
      <c r="E985" s="18" t="s">
        <v>4415</v>
      </c>
    </row>
    <row r="986" spans="1:5" ht="24" customHeight="1" x14ac:dyDescent="0.25">
      <c r="A986" s="16">
        <v>997</v>
      </c>
      <c r="B986" s="18" t="s">
        <v>4337</v>
      </c>
      <c r="C986" s="18" t="s">
        <v>4338</v>
      </c>
      <c r="D986" s="18" t="s">
        <v>4406</v>
      </c>
      <c r="E986" s="18" t="s">
        <v>4416</v>
      </c>
    </row>
    <row r="987" spans="1:5" ht="24" customHeight="1" x14ac:dyDescent="0.25">
      <c r="A987" s="16">
        <v>998</v>
      </c>
      <c r="B987" s="18" t="s">
        <v>4337</v>
      </c>
      <c r="C987" s="18" t="s">
        <v>4338</v>
      </c>
      <c r="D987" s="18" t="s">
        <v>4406</v>
      </c>
      <c r="E987" s="18" t="s">
        <v>4417</v>
      </c>
    </row>
    <row r="988" spans="1:5" ht="24" customHeight="1" x14ac:dyDescent="0.25">
      <c r="A988" s="16">
        <v>999</v>
      </c>
      <c r="B988" s="18" t="s">
        <v>4337</v>
      </c>
      <c r="C988" s="18" t="s">
        <v>4338</v>
      </c>
      <c r="D988" s="18" t="s">
        <v>4406</v>
      </c>
      <c r="E988" s="18" t="s">
        <v>4418</v>
      </c>
    </row>
    <row r="989" spans="1:5" ht="24" customHeight="1" x14ac:dyDescent="0.25">
      <c r="A989" s="16">
        <v>1000</v>
      </c>
      <c r="B989" s="18" t="s">
        <v>4337</v>
      </c>
      <c r="C989" s="18" t="s">
        <v>4338</v>
      </c>
      <c r="D989" s="18" t="s">
        <v>4406</v>
      </c>
      <c r="E989" s="18" t="s">
        <v>4419</v>
      </c>
    </row>
    <row r="990" spans="1:5" ht="24" customHeight="1" x14ac:dyDescent="0.25">
      <c r="A990" s="16">
        <v>1001</v>
      </c>
      <c r="B990" s="18" t="s">
        <v>4337</v>
      </c>
      <c r="C990" s="18" t="s">
        <v>4338</v>
      </c>
      <c r="D990" s="18" t="s">
        <v>4406</v>
      </c>
      <c r="E990" s="18" t="s">
        <v>4420</v>
      </c>
    </row>
    <row r="991" spans="1:5" ht="24" customHeight="1" x14ac:dyDescent="0.25">
      <c r="A991" s="16">
        <v>1002</v>
      </c>
      <c r="B991" s="18" t="s">
        <v>4337</v>
      </c>
      <c r="C991" s="18" t="s">
        <v>4338</v>
      </c>
      <c r="D991" s="18" t="s">
        <v>4421</v>
      </c>
      <c r="E991" s="18" t="s">
        <v>4422</v>
      </c>
    </row>
    <row r="992" spans="1:5" ht="24" customHeight="1" x14ac:dyDescent="0.25">
      <c r="A992" s="16">
        <v>1003</v>
      </c>
      <c r="B992" s="18" t="s">
        <v>4337</v>
      </c>
      <c r="C992" s="18" t="s">
        <v>4338</v>
      </c>
      <c r="D992" s="18" t="s">
        <v>4421</v>
      </c>
      <c r="E992" s="18" t="s">
        <v>4423</v>
      </c>
    </row>
    <row r="993" spans="1:5" ht="24" customHeight="1" x14ac:dyDescent="0.25">
      <c r="A993" s="16">
        <v>1004</v>
      </c>
      <c r="B993" s="18" t="s">
        <v>4337</v>
      </c>
      <c r="C993" s="18" t="s">
        <v>4338</v>
      </c>
      <c r="D993" s="18" t="s">
        <v>4421</v>
      </c>
      <c r="E993" s="18" t="s">
        <v>4424</v>
      </c>
    </row>
    <row r="994" spans="1:5" ht="24" customHeight="1" x14ac:dyDescent="0.25">
      <c r="A994" s="16">
        <v>1005</v>
      </c>
      <c r="B994" s="18" t="s">
        <v>4337</v>
      </c>
      <c r="C994" s="18" t="s">
        <v>4338</v>
      </c>
      <c r="D994" s="18" t="s">
        <v>4421</v>
      </c>
      <c r="E994" s="18" t="s">
        <v>4425</v>
      </c>
    </row>
    <row r="995" spans="1:5" ht="24" customHeight="1" x14ac:dyDescent="0.25">
      <c r="A995" s="16">
        <v>1006</v>
      </c>
      <c r="B995" s="18" t="s">
        <v>4337</v>
      </c>
      <c r="C995" s="18" t="s">
        <v>4338</v>
      </c>
      <c r="D995" s="18" t="s">
        <v>4421</v>
      </c>
      <c r="E995" s="18" t="s">
        <v>4426</v>
      </c>
    </row>
    <row r="996" spans="1:5" ht="24" customHeight="1" x14ac:dyDescent="0.25">
      <c r="A996" s="16">
        <v>1007</v>
      </c>
      <c r="B996" s="18" t="s">
        <v>4337</v>
      </c>
      <c r="C996" s="18" t="s">
        <v>4338</v>
      </c>
      <c r="D996" s="18" t="s">
        <v>4421</v>
      </c>
      <c r="E996" s="18" t="s">
        <v>4427</v>
      </c>
    </row>
    <row r="997" spans="1:5" ht="24" customHeight="1" x14ac:dyDescent="0.25">
      <c r="A997" s="16">
        <v>1008</v>
      </c>
      <c r="B997" s="18" t="s">
        <v>4337</v>
      </c>
      <c r="C997" s="18" t="s">
        <v>4338</v>
      </c>
      <c r="D997" s="18" t="s">
        <v>4421</v>
      </c>
      <c r="E997" s="18" t="s">
        <v>4428</v>
      </c>
    </row>
    <row r="998" spans="1:5" ht="24" customHeight="1" x14ac:dyDescent="0.25">
      <c r="A998" s="16">
        <v>1009</v>
      </c>
      <c r="B998" s="18" t="s">
        <v>4337</v>
      </c>
      <c r="C998" s="18" t="s">
        <v>4338</v>
      </c>
      <c r="D998" s="18" t="s">
        <v>4421</v>
      </c>
      <c r="E998" s="18" t="s">
        <v>4429</v>
      </c>
    </row>
    <row r="999" spans="1:5" ht="24" customHeight="1" x14ac:dyDescent="0.25">
      <c r="A999" s="16">
        <v>1010</v>
      </c>
      <c r="B999" s="18" t="s">
        <v>4337</v>
      </c>
      <c r="C999" s="18" t="s">
        <v>4338</v>
      </c>
      <c r="D999" s="18" t="s">
        <v>4430</v>
      </c>
      <c r="E999" s="18" t="s">
        <v>4431</v>
      </c>
    </row>
    <row r="1000" spans="1:5" ht="24" customHeight="1" x14ac:dyDescent="0.25">
      <c r="A1000" s="16">
        <v>1011</v>
      </c>
      <c r="B1000" s="18" t="s">
        <v>4337</v>
      </c>
      <c r="C1000" s="18" t="s">
        <v>4338</v>
      </c>
      <c r="D1000" s="18" t="s">
        <v>4430</v>
      </c>
      <c r="E1000" s="18" t="s">
        <v>4432</v>
      </c>
    </row>
    <row r="1001" spans="1:5" ht="24" customHeight="1" x14ac:dyDescent="0.25">
      <c r="A1001" s="16">
        <v>1012</v>
      </c>
      <c r="B1001" s="18" t="s">
        <v>4337</v>
      </c>
      <c r="C1001" s="18" t="s">
        <v>4338</v>
      </c>
      <c r="D1001" s="18" t="s">
        <v>4430</v>
      </c>
      <c r="E1001" s="18" t="s">
        <v>4433</v>
      </c>
    </row>
    <row r="1002" spans="1:5" ht="24" customHeight="1" x14ac:dyDescent="0.25">
      <c r="A1002" s="16">
        <v>1013</v>
      </c>
      <c r="B1002" s="18" t="s">
        <v>4337</v>
      </c>
      <c r="C1002" s="18" t="s">
        <v>4338</v>
      </c>
      <c r="D1002" s="18" t="s">
        <v>4430</v>
      </c>
      <c r="E1002" s="18" t="s">
        <v>4434</v>
      </c>
    </row>
    <row r="1003" spans="1:5" ht="24" customHeight="1" x14ac:dyDescent="0.25">
      <c r="A1003" s="16">
        <v>1014</v>
      </c>
      <c r="B1003" s="18" t="s">
        <v>4337</v>
      </c>
      <c r="C1003" s="18" t="s">
        <v>4338</v>
      </c>
      <c r="D1003" s="18" t="s">
        <v>4430</v>
      </c>
      <c r="E1003" s="18" t="s">
        <v>4435</v>
      </c>
    </row>
    <row r="1004" spans="1:5" ht="36" customHeight="1" x14ac:dyDescent="0.25">
      <c r="A1004" s="16">
        <v>1015</v>
      </c>
      <c r="B1004" s="18" t="s">
        <v>4337</v>
      </c>
      <c r="C1004" s="18" t="s">
        <v>4338</v>
      </c>
      <c r="D1004" s="18" t="s">
        <v>4430</v>
      </c>
      <c r="E1004" s="18" t="s">
        <v>4436</v>
      </c>
    </row>
    <row r="1005" spans="1:5" ht="24" customHeight="1" x14ac:dyDescent="0.25">
      <c r="A1005" s="16">
        <v>1016</v>
      </c>
      <c r="B1005" s="18" t="s">
        <v>4337</v>
      </c>
      <c r="C1005" s="18" t="s">
        <v>4338</v>
      </c>
      <c r="D1005" s="18" t="s">
        <v>4430</v>
      </c>
      <c r="E1005" s="18" t="s">
        <v>4437</v>
      </c>
    </row>
    <row r="1006" spans="1:5" ht="24" customHeight="1" x14ac:dyDescent="0.25">
      <c r="A1006" s="16">
        <v>1017</v>
      </c>
      <c r="B1006" s="18" t="s">
        <v>4337</v>
      </c>
      <c r="C1006" s="18" t="s">
        <v>4338</v>
      </c>
      <c r="D1006" s="18" t="s">
        <v>4430</v>
      </c>
      <c r="E1006" s="18" t="s">
        <v>4438</v>
      </c>
    </row>
    <row r="1007" spans="1:5" ht="36" customHeight="1" x14ac:dyDescent="0.25">
      <c r="A1007" s="16">
        <v>1018</v>
      </c>
      <c r="B1007" s="18" t="s">
        <v>4337</v>
      </c>
      <c r="C1007" s="18" t="s">
        <v>4338</v>
      </c>
      <c r="D1007" s="18" t="s">
        <v>4430</v>
      </c>
      <c r="E1007" s="18" t="s">
        <v>4439</v>
      </c>
    </row>
    <row r="1008" spans="1:5" ht="24" customHeight="1" x14ac:dyDescent="0.25">
      <c r="A1008" s="16">
        <v>1019</v>
      </c>
      <c r="B1008" s="18" t="s">
        <v>4337</v>
      </c>
      <c r="C1008" s="18" t="s">
        <v>4338</v>
      </c>
      <c r="D1008" s="18" t="s">
        <v>4430</v>
      </c>
      <c r="E1008" s="18" t="s">
        <v>4440</v>
      </c>
    </row>
    <row r="1009" spans="1:5" ht="24" customHeight="1" x14ac:dyDescent="0.25">
      <c r="A1009" s="16">
        <v>1020</v>
      </c>
      <c r="B1009" s="18" t="s">
        <v>4337</v>
      </c>
      <c r="C1009" s="18" t="s">
        <v>4338</v>
      </c>
      <c r="D1009" s="18" t="s">
        <v>4430</v>
      </c>
      <c r="E1009" s="18" t="s">
        <v>4441</v>
      </c>
    </row>
    <row r="1010" spans="1:5" ht="24" customHeight="1" x14ac:dyDescent="0.25">
      <c r="A1010" s="16">
        <v>1021</v>
      </c>
      <c r="B1010" s="18" t="s">
        <v>4337</v>
      </c>
      <c r="C1010" s="18" t="s">
        <v>4338</v>
      </c>
      <c r="D1010" s="18" t="s">
        <v>4430</v>
      </c>
      <c r="E1010" s="18" t="s">
        <v>4442</v>
      </c>
    </row>
    <row r="1011" spans="1:5" ht="24" customHeight="1" x14ac:dyDescent="0.25">
      <c r="A1011" s="16">
        <v>1022</v>
      </c>
      <c r="B1011" s="18" t="s">
        <v>4337</v>
      </c>
      <c r="C1011" s="18" t="s">
        <v>4338</v>
      </c>
      <c r="D1011" s="18" t="s">
        <v>4430</v>
      </c>
      <c r="E1011" s="18" t="s">
        <v>4443</v>
      </c>
    </row>
    <row r="1012" spans="1:5" ht="24" customHeight="1" x14ac:dyDescent="0.25">
      <c r="A1012" s="16">
        <v>1023</v>
      </c>
      <c r="B1012" s="18" t="s">
        <v>4337</v>
      </c>
      <c r="C1012" s="18" t="s">
        <v>4338</v>
      </c>
      <c r="D1012" s="18" t="s">
        <v>4430</v>
      </c>
      <c r="E1012" s="18" t="s">
        <v>4444</v>
      </c>
    </row>
    <row r="1013" spans="1:5" ht="24" customHeight="1" x14ac:dyDescent="0.25">
      <c r="A1013" s="16">
        <v>1024</v>
      </c>
      <c r="B1013" s="18" t="s">
        <v>4337</v>
      </c>
      <c r="C1013" s="18" t="s">
        <v>4338</v>
      </c>
      <c r="D1013" s="18" t="s">
        <v>4430</v>
      </c>
      <c r="E1013" s="18" t="s">
        <v>4445</v>
      </c>
    </row>
    <row r="1014" spans="1:5" ht="24" customHeight="1" x14ac:dyDescent="0.25">
      <c r="A1014" s="16">
        <v>1025</v>
      </c>
      <c r="B1014" s="18" t="s">
        <v>4337</v>
      </c>
      <c r="C1014" s="18" t="s">
        <v>4338</v>
      </c>
      <c r="D1014" s="18" t="s">
        <v>4430</v>
      </c>
      <c r="E1014" s="18" t="s">
        <v>4446</v>
      </c>
    </row>
    <row r="1015" spans="1:5" ht="24" customHeight="1" x14ac:dyDescent="0.25">
      <c r="A1015" s="16">
        <v>1026</v>
      </c>
      <c r="B1015" s="18" t="s">
        <v>4337</v>
      </c>
      <c r="C1015" s="18" t="s">
        <v>4338</v>
      </c>
      <c r="D1015" s="18" t="s">
        <v>4430</v>
      </c>
      <c r="E1015" s="18" t="s">
        <v>4447</v>
      </c>
    </row>
    <row r="1016" spans="1:5" ht="24" customHeight="1" x14ac:dyDescent="0.25">
      <c r="A1016" s="16">
        <v>1027</v>
      </c>
      <c r="B1016" s="18" t="s">
        <v>4337</v>
      </c>
      <c r="C1016" s="18" t="s">
        <v>4338</v>
      </c>
      <c r="D1016" s="18" t="s">
        <v>4430</v>
      </c>
      <c r="E1016" s="18" t="s">
        <v>4448</v>
      </c>
    </row>
    <row r="1017" spans="1:5" ht="24" customHeight="1" x14ac:dyDescent="0.25">
      <c r="A1017" s="16">
        <v>1028</v>
      </c>
      <c r="B1017" s="18" t="s">
        <v>4337</v>
      </c>
      <c r="C1017" s="18" t="s">
        <v>4338</v>
      </c>
      <c r="D1017" s="18" t="s">
        <v>4430</v>
      </c>
      <c r="E1017" s="18" t="s">
        <v>4449</v>
      </c>
    </row>
    <row r="1018" spans="1:5" ht="24" customHeight="1" x14ac:dyDescent="0.25">
      <c r="A1018" s="16">
        <v>1029</v>
      </c>
      <c r="B1018" s="18" t="s">
        <v>4337</v>
      </c>
      <c r="C1018" s="18" t="s">
        <v>4338</v>
      </c>
      <c r="D1018" s="18" t="s">
        <v>4450</v>
      </c>
      <c r="E1018" s="18" t="s">
        <v>4451</v>
      </c>
    </row>
    <row r="1019" spans="1:5" ht="24" customHeight="1" x14ac:dyDescent="0.25">
      <c r="A1019" s="16">
        <v>1030</v>
      </c>
      <c r="B1019" s="18" t="s">
        <v>4337</v>
      </c>
      <c r="C1019" s="18" t="s">
        <v>4338</v>
      </c>
      <c r="D1019" s="18" t="s">
        <v>4450</v>
      </c>
      <c r="E1019" s="18" t="s">
        <v>4452</v>
      </c>
    </row>
    <row r="1020" spans="1:5" ht="24" customHeight="1" x14ac:dyDescent="0.25">
      <c r="A1020" s="16">
        <v>1031</v>
      </c>
      <c r="B1020" s="18" t="s">
        <v>4337</v>
      </c>
      <c r="C1020" s="18" t="s">
        <v>4338</v>
      </c>
      <c r="D1020" s="18" t="s">
        <v>4450</v>
      </c>
      <c r="E1020" s="18" t="s">
        <v>4453</v>
      </c>
    </row>
    <row r="1021" spans="1:5" ht="24" customHeight="1" x14ac:dyDescent="0.25">
      <c r="A1021" s="16">
        <v>1032</v>
      </c>
      <c r="B1021" s="18" t="s">
        <v>4337</v>
      </c>
      <c r="C1021" s="18" t="s">
        <v>4338</v>
      </c>
      <c r="D1021" s="18" t="s">
        <v>4450</v>
      </c>
      <c r="E1021" s="18" t="s">
        <v>4454</v>
      </c>
    </row>
    <row r="1022" spans="1:5" ht="24" customHeight="1" x14ac:dyDescent="0.25">
      <c r="A1022" s="16">
        <v>1033</v>
      </c>
      <c r="B1022" s="18" t="s">
        <v>4337</v>
      </c>
      <c r="C1022" s="18" t="s">
        <v>4338</v>
      </c>
      <c r="D1022" s="18" t="s">
        <v>4455</v>
      </c>
      <c r="E1022" s="18" t="s">
        <v>4456</v>
      </c>
    </row>
    <row r="1023" spans="1:5" ht="24" customHeight="1" x14ac:dyDescent="0.25">
      <c r="A1023" s="16">
        <v>1034</v>
      </c>
      <c r="B1023" s="18" t="s">
        <v>4337</v>
      </c>
      <c r="C1023" s="18" t="s">
        <v>4338</v>
      </c>
      <c r="D1023" s="18" t="s">
        <v>4455</v>
      </c>
      <c r="E1023" s="18" t="s">
        <v>4390</v>
      </c>
    </row>
    <row r="1024" spans="1:5" ht="24" customHeight="1" x14ac:dyDescent="0.25">
      <c r="A1024" s="16">
        <v>1035</v>
      </c>
      <c r="B1024" s="18" t="s">
        <v>4337</v>
      </c>
      <c r="C1024" s="18" t="s">
        <v>4338</v>
      </c>
      <c r="D1024" s="18" t="s">
        <v>4455</v>
      </c>
      <c r="E1024" s="18" t="s">
        <v>4457</v>
      </c>
    </row>
    <row r="1025" spans="1:5" ht="24" customHeight="1" x14ac:dyDescent="0.25">
      <c r="A1025" s="16">
        <v>1036</v>
      </c>
      <c r="B1025" s="18" t="s">
        <v>4337</v>
      </c>
      <c r="C1025" s="18" t="s">
        <v>4338</v>
      </c>
      <c r="D1025" s="18" t="s">
        <v>4455</v>
      </c>
      <c r="E1025" s="18" t="s">
        <v>4458</v>
      </c>
    </row>
    <row r="1026" spans="1:5" ht="24" customHeight="1" x14ac:dyDescent="0.25">
      <c r="A1026" s="16">
        <v>1037</v>
      </c>
      <c r="B1026" s="18" t="s">
        <v>4337</v>
      </c>
      <c r="C1026" s="18" t="s">
        <v>4338</v>
      </c>
      <c r="D1026" s="18" t="s">
        <v>4455</v>
      </c>
      <c r="E1026" s="18" t="s">
        <v>4459</v>
      </c>
    </row>
    <row r="1027" spans="1:5" ht="24" customHeight="1" x14ac:dyDescent="0.25">
      <c r="A1027" s="16">
        <v>1038</v>
      </c>
      <c r="B1027" s="18" t="s">
        <v>4337</v>
      </c>
      <c r="C1027" s="18" t="s">
        <v>4338</v>
      </c>
      <c r="D1027" s="18" t="s">
        <v>4455</v>
      </c>
      <c r="E1027" s="18" t="s">
        <v>4460</v>
      </c>
    </row>
    <row r="1028" spans="1:5" ht="36" customHeight="1" x14ac:dyDescent="0.25">
      <c r="A1028" s="16">
        <v>1039</v>
      </c>
      <c r="B1028" s="18" t="s">
        <v>4337</v>
      </c>
      <c r="C1028" s="18" t="s">
        <v>4461</v>
      </c>
      <c r="D1028" s="18" t="s">
        <v>4462</v>
      </c>
      <c r="E1028" s="18" t="s">
        <v>4463</v>
      </c>
    </row>
    <row r="1029" spans="1:5" ht="24" customHeight="1" x14ac:dyDescent="0.25">
      <c r="A1029" s="16">
        <v>1040</v>
      </c>
      <c r="B1029" s="18" t="s">
        <v>4337</v>
      </c>
      <c r="C1029" s="18" t="s">
        <v>4461</v>
      </c>
      <c r="D1029" s="18" t="s">
        <v>4462</v>
      </c>
      <c r="E1029" s="18" t="s">
        <v>4464</v>
      </c>
    </row>
    <row r="1030" spans="1:5" ht="24" customHeight="1" x14ac:dyDescent="0.25">
      <c r="A1030" s="16">
        <v>1041</v>
      </c>
      <c r="B1030" s="18" t="s">
        <v>4337</v>
      </c>
      <c r="C1030" s="18" t="s">
        <v>4461</v>
      </c>
      <c r="D1030" s="18" t="s">
        <v>4462</v>
      </c>
      <c r="E1030" s="18" t="s">
        <v>4465</v>
      </c>
    </row>
    <row r="1031" spans="1:5" ht="24" customHeight="1" x14ac:dyDescent="0.25">
      <c r="A1031" s="16">
        <v>1042</v>
      </c>
      <c r="B1031" s="18" t="s">
        <v>4337</v>
      </c>
      <c r="C1031" s="18" t="s">
        <v>4461</v>
      </c>
      <c r="D1031" s="18" t="s">
        <v>4462</v>
      </c>
      <c r="E1031" s="18" t="s">
        <v>4466</v>
      </c>
    </row>
    <row r="1032" spans="1:5" ht="24" customHeight="1" x14ac:dyDescent="0.25">
      <c r="A1032" s="16">
        <v>1043</v>
      </c>
      <c r="B1032" s="18" t="s">
        <v>4337</v>
      </c>
      <c r="C1032" s="18" t="s">
        <v>4461</v>
      </c>
      <c r="D1032" s="18" t="s">
        <v>4462</v>
      </c>
      <c r="E1032" s="18" t="s">
        <v>4467</v>
      </c>
    </row>
    <row r="1033" spans="1:5" ht="24" customHeight="1" x14ac:dyDescent="0.25">
      <c r="A1033" s="16">
        <v>1044</v>
      </c>
      <c r="B1033" s="18" t="s">
        <v>4337</v>
      </c>
      <c r="C1033" s="18" t="s">
        <v>4461</v>
      </c>
      <c r="D1033" s="18" t="s">
        <v>4462</v>
      </c>
      <c r="E1033" s="18" t="s">
        <v>4468</v>
      </c>
    </row>
    <row r="1034" spans="1:5" ht="24" customHeight="1" x14ac:dyDescent="0.25">
      <c r="A1034" s="16">
        <v>1045</v>
      </c>
      <c r="B1034" s="18" t="s">
        <v>4337</v>
      </c>
      <c r="C1034" s="18" t="s">
        <v>4461</v>
      </c>
      <c r="D1034" s="18" t="s">
        <v>4462</v>
      </c>
      <c r="E1034" s="18" t="s">
        <v>4469</v>
      </c>
    </row>
    <row r="1035" spans="1:5" ht="24" customHeight="1" x14ac:dyDescent="0.25">
      <c r="A1035" s="16">
        <v>1046</v>
      </c>
      <c r="B1035" s="18" t="s">
        <v>4337</v>
      </c>
      <c r="C1035" s="18" t="s">
        <v>4461</v>
      </c>
      <c r="D1035" s="18" t="s">
        <v>4470</v>
      </c>
      <c r="E1035" s="18" t="s">
        <v>4471</v>
      </c>
    </row>
    <row r="1036" spans="1:5" ht="24" customHeight="1" x14ac:dyDescent="0.25">
      <c r="A1036" s="16">
        <v>1047</v>
      </c>
      <c r="B1036" s="18" t="s">
        <v>4337</v>
      </c>
      <c r="C1036" s="18" t="s">
        <v>4461</v>
      </c>
      <c r="D1036" s="18" t="s">
        <v>4470</v>
      </c>
      <c r="E1036" s="18" t="s">
        <v>4472</v>
      </c>
    </row>
    <row r="1037" spans="1:5" ht="24" customHeight="1" x14ac:dyDescent="0.25">
      <c r="A1037" s="16">
        <v>1048</v>
      </c>
      <c r="B1037" s="18" t="s">
        <v>4337</v>
      </c>
      <c r="C1037" s="18" t="s">
        <v>4461</v>
      </c>
      <c r="D1037" s="18" t="s">
        <v>4470</v>
      </c>
      <c r="E1037" s="18" t="s">
        <v>4473</v>
      </c>
    </row>
    <row r="1038" spans="1:5" ht="36" customHeight="1" x14ac:dyDescent="0.25">
      <c r="A1038" s="16">
        <v>1049</v>
      </c>
      <c r="B1038" s="18" t="s">
        <v>4337</v>
      </c>
      <c r="C1038" s="18" t="s">
        <v>4461</v>
      </c>
      <c r="D1038" s="18" t="s">
        <v>4470</v>
      </c>
      <c r="E1038" s="18" t="s">
        <v>4474</v>
      </c>
    </row>
    <row r="1039" spans="1:5" ht="24" customHeight="1" x14ac:dyDescent="0.25">
      <c r="A1039" s="16">
        <v>1050</v>
      </c>
      <c r="B1039" s="18" t="s">
        <v>4337</v>
      </c>
      <c r="C1039" s="18" t="s">
        <v>4461</v>
      </c>
      <c r="D1039" s="18" t="s">
        <v>4470</v>
      </c>
      <c r="E1039" s="18" t="s">
        <v>4475</v>
      </c>
    </row>
    <row r="1040" spans="1:5" ht="36" customHeight="1" x14ac:dyDescent="0.25">
      <c r="A1040" s="16">
        <v>1051</v>
      </c>
      <c r="B1040" s="18" t="s">
        <v>4337</v>
      </c>
      <c r="C1040" s="18" t="s">
        <v>4461</v>
      </c>
      <c r="D1040" s="18" t="s">
        <v>4470</v>
      </c>
      <c r="E1040" s="18" t="s">
        <v>4476</v>
      </c>
    </row>
    <row r="1041" spans="1:5" ht="24" customHeight="1" x14ac:dyDescent="0.25">
      <c r="A1041" s="16">
        <v>1052</v>
      </c>
      <c r="B1041" s="18" t="s">
        <v>4337</v>
      </c>
      <c r="C1041" s="18" t="s">
        <v>4461</v>
      </c>
      <c r="D1041" s="18" t="s">
        <v>4470</v>
      </c>
      <c r="E1041" s="18" t="s">
        <v>4477</v>
      </c>
    </row>
    <row r="1042" spans="1:5" ht="24" customHeight="1" x14ac:dyDescent="0.25">
      <c r="A1042" s="16">
        <v>1053</v>
      </c>
      <c r="B1042" s="18" t="s">
        <v>4337</v>
      </c>
      <c r="C1042" s="18" t="s">
        <v>4461</v>
      </c>
      <c r="D1042" s="18" t="s">
        <v>4478</v>
      </c>
      <c r="E1042" s="18" t="s">
        <v>4479</v>
      </c>
    </row>
    <row r="1043" spans="1:5" ht="24" customHeight="1" x14ac:dyDescent="0.25">
      <c r="A1043" s="16">
        <v>1054</v>
      </c>
      <c r="B1043" s="18" t="s">
        <v>4337</v>
      </c>
      <c r="C1043" s="18" t="s">
        <v>4461</v>
      </c>
      <c r="D1043" s="18" t="s">
        <v>4478</v>
      </c>
      <c r="E1043" s="18" t="s">
        <v>4480</v>
      </c>
    </row>
    <row r="1044" spans="1:5" ht="36" customHeight="1" x14ac:dyDescent="0.25">
      <c r="A1044" s="16">
        <v>1055</v>
      </c>
      <c r="B1044" s="18" t="s">
        <v>4337</v>
      </c>
      <c r="C1044" s="18" t="s">
        <v>4461</v>
      </c>
      <c r="D1044" s="18" t="s">
        <v>4478</v>
      </c>
      <c r="E1044" s="18" t="s">
        <v>4481</v>
      </c>
    </row>
    <row r="1045" spans="1:5" ht="36" customHeight="1" x14ac:dyDescent="0.25">
      <c r="A1045" s="16">
        <v>1056</v>
      </c>
      <c r="B1045" s="18" t="s">
        <v>4337</v>
      </c>
      <c r="C1045" s="18" t="s">
        <v>4461</v>
      </c>
      <c r="D1045" s="18" t="s">
        <v>4478</v>
      </c>
      <c r="E1045" s="18" t="s">
        <v>4482</v>
      </c>
    </row>
    <row r="1046" spans="1:5" ht="36" customHeight="1" x14ac:dyDescent="0.25">
      <c r="A1046" s="16">
        <v>1057</v>
      </c>
      <c r="B1046" s="18" t="s">
        <v>4337</v>
      </c>
      <c r="C1046" s="18" t="s">
        <v>4461</v>
      </c>
      <c r="D1046" s="18" t="s">
        <v>4478</v>
      </c>
      <c r="E1046" s="18" t="s">
        <v>4483</v>
      </c>
    </row>
    <row r="1047" spans="1:5" ht="24" customHeight="1" x14ac:dyDescent="0.25">
      <c r="A1047" s="16">
        <v>1058</v>
      </c>
      <c r="B1047" s="18" t="s">
        <v>4337</v>
      </c>
      <c r="C1047" s="18" t="s">
        <v>4461</v>
      </c>
      <c r="D1047" s="18" t="s">
        <v>4478</v>
      </c>
      <c r="E1047" s="18" t="s">
        <v>4484</v>
      </c>
    </row>
    <row r="1048" spans="1:5" ht="24" customHeight="1" x14ac:dyDescent="0.25">
      <c r="A1048" s="16">
        <v>1059</v>
      </c>
      <c r="B1048" s="18" t="s">
        <v>4337</v>
      </c>
      <c r="C1048" s="18" t="s">
        <v>4461</v>
      </c>
      <c r="D1048" s="18" t="s">
        <v>4478</v>
      </c>
      <c r="E1048" s="18" t="s">
        <v>4485</v>
      </c>
    </row>
    <row r="1049" spans="1:5" ht="24" customHeight="1" x14ac:dyDescent="0.25">
      <c r="A1049" s="16">
        <v>1060</v>
      </c>
      <c r="B1049" s="18" t="s">
        <v>4337</v>
      </c>
      <c r="C1049" s="18" t="s">
        <v>4461</v>
      </c>
      <c r="D1049" s="18" t="s">
        <v>4478</v>
      </c>
      <c r="E1049" s="18" t="s">
        <v>4486</v>
      </c>
    </row>
    <row r="1050" spans="1:5" ht="24" customHeight="1" x14ac:dyDescent="0.25">
      <c r="A1050" s="16">
        <v>1061</v>
      </c>
      <c r="B1050" s="18" t="s">
        <v>4337</v>
      </c>
      <c r="C1050" s="18" t="s">
        <v>4461</v>
      </c>
      <c r="D1050" s="18" t="s">
        <v>4478</v>
      </c>
      <c r="E1050" s="18" t="s">
        <v>4487</v>
      </c>
    </row>
    <row r="1051" spans="1:5" ht="24" customHeight="1" x14ac:dyDescent="0.25">
      <c r="A1051" s="16">
        <v>1062</v>
      </c>
      <c r="B1051" s="18" t="s">
        <v>4337</v>
      </c>
      <c r="C1051" s="18" t="s">
        <v>4461</v>
      </c>
      <c r="D1051" s="18" t="s">
        <v>4488</v>
      </c>
      <c r="E1051" s="18" t="s">
        <v>4489</v>
      </c>
    </row>
    <row r="1052" spans="1:5" ht="24" customHeight="1" x14ac:dyDescent="0.25">
      <c r="A1052" s="16">
        <v>1063</v>
      </c>
      <c r="B1052" s="18" t="s">
        <v>4337</v>
      </c>
      <c r="C1052" s="18" t="s">
        <v>4461</v>
      </c>
      <c r="D1052" s="18" t="s">
        <v>4488</v>
      </c>
      <c r="E1052" s="18" t="s">
        <v>4490</v>
      </c>
    </row>
    <row r="1053" spans="1:5" ht="24" customHeight="1" x14ac:dyDescent="0.25">
      <c r="A1053" s="16">
        <v>1064</v>
      </c>
      <c r="B1053" s="18" t="s">
        <v>4337</v>
      </c>
      <c r="C1053" s="18" t="s">
        <v>4461</v>
      </c>
      <c r="D1053" s="18" t="s">
        <v>4488</v>
      </c>
      <c r="E1053" s="18" t="s">
        <v>4491</v>
      </c>
    </row>
    <row r="1054" spans="1:5" ht="24" customHeight="1" x14ac:dyDescent="0.25">
      <c r="A1054" s="16">
        <v>1065</v>
      </c>
      <c r="B1054" s="18" t="s">
        <v>4337</v>
      </c>
      <c r="C1054" s="18" t="s">
        <v>4461</v>
      </c>
      <c r="D1054" s="18" t="s">
        <v>4488</v>
      </c>
      <c r="E1054" s="18" t="s">
        <v>4492</v>
      </c>
    </row>
    <row r="1055" spans="1:5" ht="24" customHeight="1" x14ac:dyDescent="0.25">
      <c r="A1055" s="16">
        <v>1066</v>
      </c>
      <c r="B1055" s="18" t="s">
        <v>4337</v>
      </c>
      <c r="C1055" s="18" t="s">
        <v>4461</v>
      </c>
      <c r="D1055" s="18" t="s">
        <v>4488</v>
      </c>
      <c r="E1055" s="18" t="s">
        <v>4493</v>
      </c>
    </row>
    <row r="1056" spans="1:5" ht="24" customHeight="1" x14ac:dyDescent="0.25">
      <c r="A1056" s="16">
        <v>1067</v>
      </c>
      <c r="B1056" s="18" t="s">
        <v>4337</v>
      </c>
      <c r="C1056" s="18" t="s">
        <v>4461</v>
      </c>
      <c r="D1056" s="18" t="s">
        <v>4488</v>
      </c>
      <c r="E1056" s="18" t="s">
        <v>4494</v>
      </c>
    </row>
    <row r="1057" spans="1:5" ht="24" customHeight="1" x14ac:dyDescent="0.25">
      <c r="A1057" s="16">
        <v>1068</v>
      </c>
      <c r="B1057" s="18" t="s">
        <v>4337</v>
      </c>
      <c r="C1057" s="18" t="s">
        <v>4461</v>
      </c>
      <c r="D1057" s="18" t="s">
        <v>4488</v>
      </c>
      <c r="E1057" s="18" t="s">
        <v>4495</v>
      </c>
    </row>
    <row r="1058" spans="1:5" ht="24" customHeight="1" x14ac:dyDescent="0.25">
      <c r="A1058" s="16">
        <v>1069</v>
      </c>
      <c r="B1058" s="18" t="s">
        <v>4337</v>
      </c>
      <c r="C1058" s="18" t="s">
        <v>4461</v>
      </c>
      <c r="D1058" s="18" t="s">
        <v>4488</v>
      </c>
      <c r="E1058" s="18" t="s">
        <v>4496</v>
      </c>
    </row>
    <row r="1059" spans="1:5" ht="24" customHeight="1" x14ac:dyDescent="0.25">
      <c r="A1059" s="16">
        <v>1070</v>
      </c>
      <c r="B1059" s="18" t="s">
        <v>4337</v>
      </c>
      <c r="C1059" s="18" t="s">
        <v>4461</v>
      </c>
      <c r="D1059" s="18" t="s">
        <v>4488</v>
      </c>
      <c r="E1059" s="18" t="s">
        <v>4497</v>
      </c>
    </row>
    <row r="1060" spans="1:5" ht="24" customHeight="1" x14ac:dyDescent="0.25">
      <c r="A1060" s="16">
        <v>1071</v>
      </c>
      <c r="B1060" s="18" t="s">
        <v>4337</v>
      </c>
      <c r="C1060" s="18" t="s">
        <v>4461</v>
      </c>
      <c r="D1060" s="18" t="s">
        <v>4488</v>
      </c>
      <c r="E1060" s="18" t="s">
        <v>4498</v>
      </c>
    </row>
    <row r="1061" spans="1:5" ht="24" customHeight="1" x14ac:dyDescent="0.25">
      <c r="A1061" s="16">
        <v>1072</v>
      </c>
      <c r="B1061" s="18" t="s">
        <v>4337</v>
      </c>
      <c r="C1061" s="18" t="s">
        <v>4461</v>
      </c>
      <c r="D1061" s="18" t="s">
        <v>4488</v>
      </c>
      <c r="E1061" s="18" t="s">
        <v>4499</v>
      </c>
    </row>
    <row r="1062" spans="1:5" ht="24" customHeight="1" x14ac:dyDescent="0.25">
      <c r="A1062" s="16">
        <v>1073</v>
      </c>
      <c r="B1062" s="18" t="s">
        <v>4337</v>
      </c>
      <c r="C1062" s="18" t="s">
        <v>4461</v>
      </c>
      <c r="D1062" s="18" t="s">
        <v>4488</v>
      </c>
      <c r="E1062" s="18" t="s">
        <v>4500</v>
      </c>
    </row>
    <row r="1063" spans="1:5" ht="24" customHeight="1" x14ac:dyDescent="0.25">
      <c r="A1063" s="16">
        <v>1074</v>
      </c>
      <c r="B1063" s="18" t="s">
        <v>4337</v>
      </c>
      <c r="C1063" s="18" t="s">
        <v>4461</v>
      </c>
      <c r="D1063" s="18" t="s">
        <v>4501</v>
      </c>
      <c r="E1063" s="18" t="s">
        <v>4502</v>
      </c>
    </row>
    <row r="1064" spans="1:5" ht="24" customHeight="1" x14ac:dyDescent="0.25">
      <c r="A1064" s="16">
        <v>1075</v>
      </c>
      <c r="B1064" s="18" t="s">
        <v>4337</v>
      </c>
      <c r="C1064" s="18" t="s">
        <v>4461</v>
      </c>
      <c r="D1064" s="18" t="s">
        <v>4501</v>
      </c>
      <c r="E1064" s="18" t="s">
        <v>4503</v>
      </c>
    </row>
    <row r="1065" spans="1:5" ht="24" customHeight="1" x14ac:dyDescent="0.25">
      <c r="A1065" s="16">
        <v>1076</v>
      </c>
      <c r="B1065" s="18" t="s">
        <v>4337</v>
      </c>
      <c r="C1065" s="18" t="s">
        <v>4461</v>
      </c>
      <c r="D1065" s="18" t="s">
        <v>4501</v>
      </c>
      <c r="E1065" s="18" t="s">
        <v>4504</v>
      </c>
    </row>
    <row r="1066" spans="1:5" ht="24" customHeight="1" x14ac:dyDescent="0.25">
      <c r="A1066" s="16">
        <v>1077</v>
      </c>
      <c r="B1066" s="18" t="s">
        <v>4337</v>
      </c>
      <c r="C1066" s="18" t="s">
        <v>4461</v>
      </c>
      <c r="D1066" s="18" t="s">
        <v>4501</v>
      </c>
      <c r="E1066" s="18" t="s">
        <v>4505</v>
      </c>
    </row>
    <row r="1067" spans="1:5" ht="36" customHeight="1" x14ac:dyDescent="0.25">
      <c r="A1067" s="16">
        <v>1078</v>
      </c>
      <c r="B1067" s="18" t="s">
        <v>4337</v>
      </c>
      <c r="C1067" s="18" t="s">
        <v>4461</v>
      </c>
      <c r="D1067" s="18" t="s">
        <v>4501</v>
      </c>
      <c r="E1067" s="18" t="s">
        <v>4506</v>
      </c>
    </row>
    <row r="1068" spans="1:5" ht="24" customHeight="1" x14ac:dyDescent="0.25">
      <c r="A1068" s="16">
        <v>1079</v>
      </c>
      <c r="B1068" s="18" t="s">
        <v>4337</v>
      </c>
      <c r="C1068" s="18" t="s">
        <v>4461</v>
      </c>
      <c r="D1068" s="18" t="s">
        <v>4501</v>
      </c>
      <c r="E1068" s="18" t="s">
        <v>4507</v>
      </c>
    </row>
    <row r="1069" spans="1:5" ht="24" customHeight="1" x14ac:dyDescent="0.25">
      <c r="A1069" s="16">
        <v>1080</v>
      </c>
      <c r="B1069" s="18" t="s">
        <v>4337</v>
      </c>
      <c r="C1069" s="18" t="s">
        <v>4461</v>
      </c>
      <c r="D1069" s="18" t="s">
        <v>4508</v>
      </c>
      <c r="E1069" s="18" t="s">
        <v>4509</v>
      </c>
    </row>
    <row r="1070" spans="1:5" ht="24" customHeight="1" x14ac:dyDescent="0.25">
      <c r="A1070" s="16">
        <v>1081</v>
      </c>
      <c r="B1070" s="18" t="s">
        <v>4337</v>
      </c>
      <c r="C1070" s="18" t="s">
        <v>4461</v>
      </c>
      <c r="D1070" s="18" t="s">
        <v>4508</v>
      </c>
      <c r="E1070" s="18" t="s">
        <v>4510</v>
      </c>
    </row>
    <row r="1071" spans="1:5" ht="24" customHeight="1" x14ac:dyDescent="0.25">
      <c r="A1071" s="16">
        <v>1082</v>
      </c>
      <c r="B1071" s="18" t="s">
        <v>4337</v>
      </c>
      <c r="C1071" s="18" t="s">
        <v>4461</v>
      </c>
      <c r="D1071" s="18" t="s">
        <v>4508</v>
      </c>
      <c r="E1071" s="18" t="s">
        <v>4511</v>
      </c>
    </row>
    <row r="1072" spans="1:5" ht="24" customHeight="1" x14ac:dyDescent="0.25">
      <c r="A1072" s="16">
        <v>1083</v>
      </c>
      <c r="B1072" s="18" t="s">
        <v>4337</v>
      </c>
      <c r="C1072" s="18" t="s">
        <v>4461</v>
      </c>
      <c r="D1072" s="18" t="s">
        <v>4508</v>
      </c>
      <c r="E1072" s="18" t="s">
        <v>4512</v>
      </c>
    </row>
    <row r="1073" spans="1:5" ht="24" customHeight="1" x14ac:dyDescent="0.25">
      <c r="A1073" s="16">
        <v>1084</v>
      </c>
      <c r="B1073" s="18" t="s">
        <v>4337</v>
      </c>
      <c r="C1073" s="18" t="s">
        <v>4461</v>
      </c>
      <c r="D1073" s="18" t="s">
        <v>4508</v>
      </c>
      <c r="E1073" s="18" t="s">
        <v>4513</v>
      </c>
    </row>
    <row r="1074" spans="1:5" ht="24" customHeight="1" x14ac:dyDescent="0.25">
      <c r="A1074" s="16">
        <v>1085</v>
      </c>
      <c r="B1074" s="18" t="s">
        <v>4337</v>
      </c>
      <c r="C1074" s="18" t="s">
        <v>4461</v>
      </c>
      <c r="D1074" s="18" t="s">
        <v>4508</v>
      </c>
      <c r="E1074" s="18" t="s">
        <v>4514</v>
      </c>
    </row>
    <row r="1075" spans="1:5" ht="24" customHeight="1" x14ac:dyDescent="0.25">
      <c r="A1075" s="16">
        <v>1086</v>
      </c>
      <c r="B1075" s="18" t="s">
        <v>4337</v>
      </c>
      <c r="C1075" s="18" t="s">
        <v>4461</v>
      </c>
      <c r="D1075" s="18" t="s">
        <v>4508</v>
      </c>
      <c r="E1075" s="18" t="s">
        <v>4515</v>
      </c>
    </row>
    <row r="1076" spans="1:5" ht="24" customHeight="1" x14ac:dyDescent="0.25">
      <c r="A1076" s="16">
        <v>1087</v>
      </c>
      <c r="B1076" s="18" t="s">
        <v>4337</v>
      </c>
      <c r="C1076" s="18" t="s">
        <v>4461</v>
      </c>
      <c r="D1076" s="18" t="s">
        <v>4508</v>
      </c>
      <c r="E1076" s="18" t="s">
        <v>4516</v>
      </c>
    </row>
    <row r="1077" spans="1:5" ht="24" customHeight="1" x14ac:dyDescent="0.25">
      <c r="A1077" s="16">
        <v>1088</v>
      </c>
      <c r="B1077" s="18" t="s">
        <v>4337</v>
      </c>
      <c r="C1077" s="18" t="s">
        <v>4461</v>
      </c>
      <c r="D1077" s="18" t="s">
        <v>4508</v>
      </c>
      <c r="E1077" s="18" t="s">
        <v>4517</v>
      </c>
    </row>
    <row r="1078" spans="1:5" ht="24" customHeight="1" x14ac:dyDescent="0.25">
      <c r="A1078" s="16">
        <v>1089</v>
      </c>
      <c r="B1078" s="18" t="s">
        <v>4337</v>
      </c>
      <c r="C1078" s="18" t="s">
        <v>4461</v>
      </c>
      <c r="D1078" s="18" t="s">
        <v>4508</v>
      </c>
      <c r="E1078" s="18" t="s">
        <v>4518</v>
      </c>
    </row>
    <row r="1079" spans="1:5" ht="24" customHeight="1" x14ac:dyDescent="0.25">
      <c r="A1079" s="16">
        <v>1090</v>
      </c>
      <c r="B1079" s="18" t="s">
        <v>4337</v>
      </c>
      <c r="C1079" s="18" t="s">
        <v>4461</v>
      </c>
      <c r="D1079" s="18" t="s">
        <v>4508</v>
      </c>
      <c r="E1079" s="18" t="s">
        <v>4519</v>
      </c>
    </row>
    <row r="1080" spans="1:5" ht="24" customHeight="1" x14ac:dyDescent="0.25">
      <c r="A1080" s="16">
        <v>1091</v>
      </c>
      <c r="B1080" s="18" t="s">
        <v>4337</v>
      </c>
      <c r="C1080" s="18" t="s">
        <v>4461</v>
      </c>
      <c r="D1080" s="18" t="s">
        <v>4520</v>
      </c>
      <c r="E1080" s="18" t="s">
        <v>4521</v>
      </c>
    </row>
    <row r="1081" spans="1:5" ht="24" customHeight="1" x14ac:dyDescent="0.25">
      <c r="A1081" s="16">
        <v>1092</v>
      </c>
      <c r="B1081" s="18" t="s">
        <v>4337</v>
      </c>
      <c r="C1081" s="18" t="s">
        <v>4461</v>
      </c>
      <c r="D1081" s="18" t="s">
        <v>4520</v>
      </c>
      <c r="E1081" s="18" t="s">
        <v>4522</v>
      </c>
    </row>
    <row r="1082" spans="1:5" ht="24" customHeight="1" x14ac:dyDescent="0.25">
      <c r="A1082" s="16">
        <v>1093</v>
      </c>
      <c r="B1082" s="18" t="s">
        <v>4337</v>
      </c>
      <c r="C1082" s="18" t="s">
        <v>4461</v>
      </c>
      <c r="D1082" s="18" t="s">
        <v>4520</v>
      </c>
      <c r="E1082" s="18" t="s">
        <v>4523</v>
      </c>
    </row>
    <row r="1083" spans="1:5" ht="36" customHeight="1" x14ac:dyDescent="0.25">
      <c r="A1083" s="16">
        <v>1094</v>
      </c>
      <c r="B1083" s="18" t="s">
        <v>4337</v>
      </c>
      <c r="C1083" s="18" t="s">
        <v>4461</v>
      </c>
      <c r="D1083" s="18" t="s">
        <v>4520</v>
      </c>
      <c r="E1083" s="18" t="s">
        <v>4524</v>
      </c>
    </row>
    <row r="1084" spans="1:5" ht="24" customHeight="1" x14ac:dyDescent="0.25">
      <c r="A1084" s="16">
        <v>1095</v>
      </c>
      <c r="B1084" s="18" t="s">
        <v>4337</v>
      </c>
      <c r="C1084" s="18" t="s">
        <v>4461</v>
      </c>
      <c r="D1084" s="18" t="s">
        <v>4520</v>
      </c>
      <c r="E1084" s="18" t="s">
        <v>4525</v>
      </c>
    </row>
    <row r="1085" spans="1:5" ht="24" customHeight="1" x14ac:dyDescent="0.25">
      <c r="A1085" s="16">
        <v>1096</v>
      </c>
      <c r="B1085" s="18" t="s">
        <v>4337</v>
      </c>
      <c r="C1085" s="18" t="s">
        <v>4461</v>
      </c>
      <c r="D1085" s="18" t="s">
        <v>4520</v>
      </c>
      <c r="E1085" s="18" t="s">
        <v>4526</v>
      </c>
    </row>
    <row r="1086" spans="1:5" ht="24" customHeight="1" x14ac:dyDescent="0.25">
      <c r="A1086" s="16">
        <v>1097</v>
      </c>
      <c r="B1086" s="18" t="s">
        <v>4337</v>
      </c>
      <c r="C1086" s="18" t="s">
        <v>4461</v>
      </c>
      <c r="D1086" s="18" t="s">
        <v>4527</v>
      </c>
      <c r="E1086" s="18" t="s">
        <v>4528</v>
      </c>
    </row>
    <row r="1087" spans="1:5" ht="24" customHeight="1" x14ac:dyDescent="0.25">
      <c r="A1087" s="16">
        <v>1098</v>
      </c>
      <c r="B1087" s="18" t="s">
        <v>4337</v>
      </c>
      <c r="C1087" s="18" t="s">
        <v>4461</v>
      </c>
      <c r="D1087" s="18" t="s">
        <v>4527</v>
      </c>
      <c r="E1087" s="18" t="s">
        <v>4529</v>
      </c>
    </row>
    <row r="1088" spans="1:5" ht="24" customHeight="1" x14ac:dyDescent="0.25">
      <c r="A1088" s="16">
        <v>1099</v>
      </c>
      <c r="B1088" s="18" t="s">
        <v>4337</v>
      </c>
      <c r="C1088" s="18" t="s">
        <v>4461</v>
      </c>
      <c r="D1088" s="18" t="s">
        <v>4527</v>
      </c>
      <c r="E1088" s="18" t="s">
        <v>4530</v>
      </c>
    </row>
    <row r="1089" spans="1:5" ht="24" customHeight="1" x14ac:dyDescent="0.25">
      <c r="A1089" s="16">
        <v>1100</v>
      </c>
      <c r="B1089" s="18" t="s">
        <v>4337</v>
      </c>
      <c r="C1089" s="18" t="s">
        <v>4461</v>
      </c>
      <c r="D1089" s="18" t="s">
        <v>4527</v>
      </c>
      <c r="E1089" s="18" t="s">
        <v>4531</v>
      </c>
    </row>
    <row r="1090" spans="1:5" ht="24" customHeight="1" x14ac:dyDescent="0.25">
      <c r="A1090" s="16">
        <v>1101</v>
      </c>
      <c r="B1090" s="18" t="s">
        <v>4337</v>
      </c>
      <c r="C1090" s="18" t="s">
        <v>4461</v>
      </c>
      <c r="D1090" s="18" t="s">
        <v>4527</v>
      </c>
      <c r="E1090" s="18" t="s">
        <v>4532</v>
      </c>
    </row>
    <row r="1091" spans="1:5" ht="24" customHeight="1" x14ac:dyDescent="0.25">
      <c r="A1091" s="16">
        <v>1102</v>
      </c>
      <c r="B1091" s="18" t="s">
        <v>4337</v>
      </c>
      <c r="C1091" s="18" t="s">
        <v>4461</v>
      </c>
      <c r="D1091" s="18" t="s">
        <v>4527</v>
      </c>
      <c r="E1091" s="18" t="s">
        <v>4533</v>
      </c>
    </row>
    <row r="1092" spans="1:5" ht="24" customHeight="1" x14ac:dyDescent="0.25">
      <c r="A1092" s="16">
        <v>1103</v>
      </c>
      <c r="B1092" s="18" t="s">
        <v>4337</v>
      </c>
      <c r="C1092" s="18" t="s">
        <v>4461</v>
      </c>
      <c r="D1092" s="18" t="s">
        <v>4534</v>
      </c>
      <c r="E1092" s="18" t="s">
        <v>4535</v>
      </c>
    </row>
    <row r="1093" spans="1:5" ht="24" customHeight="1" x14ac:dyDescent="0.25">
      <c r="A1093" s="16">
        <v>1104</v>
      </c>
      <c r="B1093" s="18" t="s">
        <v>4337</v>
      </c>
      <c r="C1093" s="18" t="s">
        <v>4461</v>
      </c>
      <c r="D1093" s="18" t="s">
        <v>4534</v>
      </c>
      <c r="E1093" s="18" t="s">
        <v>4536</v>
      </c>
    </row>
    <row r="1094" spans="1:5" ht="24" customHeight="1" x14ac:dyDescent="0.25">
      <c r="A1094" s="16">
        <v>1105</v>
      </c>
      <c r="B1094" s="18" t="s">
        <v>4337</v>
      </c>
      <c r="C1094" s="18" t="s">
        <v>4461</v>
      </c>
      <c r="D1094" s="18" t="s">
        <v>4534</v>
      </c>
      <c r="E1094" s="18" t="s">
        <v>4537</v>
      </c>
    </row>
    <row r="1095" spans="1:5" ht="24" customHeight="1" x14ac:dyDescent="0.25">
      <c r="A1095" s="16">
        <v>1106</v>
      </c>
      <c r="B1095" s="18" t="s">
        <v>4337</v>
      </c>
      <c r="C1095" s="18" t="s">
        <v>4461</v>
      </c>
      <c r="D1095" s="18" t="s">
        <v>4534</v>
      </c>
      <c r="E1095" s="18" t="s">
        <v>4538</v>
      </c>
    </row>
    <row r="1096" spans="1:5" ht="24" customHeight="1" x14ac:dyDescent="0.25">
      <c r="A1096" s="16">
        <v>1107</v>
      </c>
      <c r="B1096" s="18" t="s">
        <v>4337</v>
      </c>
      <c r="C1096" s="18" t="s">
        <v>4461</v>
      </c>
      <c r="D1096" s="18" t="s">
        <v>4534</v>
      </c>
      <c r="E1096" s="18" t="s">
        <v>4539</v>
      </c>
    </row>
    <row r="1097" spans="1:5" ht="24" customHeight="1" x14ac:dyDescent="0.25">
      <c r="A1097" s="16">
        <v>1108</v>
      </c>
      <c r="B1097" s="18" t="s">
        <v>4337</v>
      </c>
      <c r="C1097" s="18" t="s">
        <v>4461</v>
      </c>
      <c r="D1097" s="18" t="s">
        <v>4534</v>
      </c>
      <c r="E1097" s="18" t="s">
        <v>4540</v>
      </c>
    </row>
    <row r="1098" spans="1:5" ht="24" customHeight="1" x14ac:dyDescent="0.25">
      <c r="A1098" s="16">
        <v>1109</v>
      </c>
      <c r="B1098" s="18" t="s">
        <v>4337</v>
      </c>
      <c r="C1098" s="18" t="s">
        <v>4461</v>
      </c>
      <c r="D1098" s="18" t="s">
        <v>4534</v>
      </c>
      <c r="E1098" s="18" t="s">
        <v>4541</v>
      </c>
    </row>
    <row r="1099" spans="1:5" ht="24" customHeight="1" x14ac:dyDescent="0.25">
      <c r="A1099" s="16">
        <v>1110</v>
      </c>
      <c r="B1099" s="18" t="s">
        <v>4337</v>
      </c>
      <c r="C1099" s="18" t="s">
        <v>4461</v>
      </c>
      <c r="D1099" s="18" t="s">
        <v>4534</v>
      </c>
      <c r="E1099" s="18" t="s">
        <v>4542</v>
      </c>
    </row>
    <row r="1100" spans="1:5" ht="24" customHeight="1" x14ac:dyDescent="0.25">
      <c r="A1100" s="16">
        <v>1111</v>
      </c>
      <c r="B1100" s="18" t="s">
        <v>4337</v>
      </c>
      <c r="C1100" s="18" t="s">
        <v>4461</v>
      </c>
      <c r="D1100" s="18" t="s">
        <v>4534</v>
      </c>
      <c r="E1100" s="18" t="s">
        <v>4543</v>
      </c>
    </row>
    <row r="1101" spans="1:5" ht="24" customHeight="1" x14ac:dyDescent="0.25">
      <c r="A1101" s="16">
        <v>1112</v>
      </c>
      <c r="B1101" s="18" t="s">
        <v>4337</v>
      </c>
      <c r="C1101" s="18" t="s">
        <v>4461</v>
      </c>
      <c r="D1101" s="18" t="s">
        <v>4534</v>
      </c>
      <c r="E1101" s="18" t="s">
        <v>4544</v>
      </c>
    </row>
    <row r="1102" spans="1:5" ht="24" customHeight="1" x14ac:dyDescent="0.25">
      <c r="A1102" s="16">
        <v>1113</v>
      </c>
      <c r="B1102" s="18" t="s">
        <v>4337</v>
      </c>
      <c r="C1102" s="18" t="s">
        <v>4461</v>
      </c>
      <c r="D1102" s="18" t="s">
        <v>4534</v>
      </c>
      <c r="E1102" s="18" t="s">
        <v>4545</v>
      </c>
    </row>
    <row r="1103" spans="1:5" ht="24" customHeight="1" x14ac:dyDescent="0.25">
      <c r="A1103" s="16">
        <v>1114</v>
      </c>
      <c r="B1103" s="18" t="s">
        <v>4337</v>
      </c>
      <c r="C1103" s="18" t="s">
        <v>4461</v>
      </c>
      <c r="D1103" s="18" t="s">
        <v>4534</v>
      </c>
      <c r="E1103" s="18" t="s">
        <v>4546</v>
      </c>
    </row>
    <row r="1104" spans="1:5" ht="24" customHeight="1" x14ac:dyDescent="0.25">
      <c r="A1104" s="16">
        <v>1115</v>
      </c>
      <c r="B1104" s="18" t="s">
        <v>4337</v>
      </c>
      <c r="C1104" s="18" t="s">
        <v>4547</v>
      </c>
      <c r="D1104" s="18" t="s">
        <v>4548</v>
      </c>
      <c r="E1104" s="18" t="s">
        <v>4549</v>
      </c>
    </row>
    <row r="1105" spans="1:5" ht="24" customHeight="1" x14ac:dyDescent="0.25">
      <c r="A1105" s="16">
        <v>1116</v>
      </c>
      <c r="B1105" s="18" t="s">
        <v>4337</v>
      </c>
      <c r="C1105" s="18" t="s">
        <v>4547</v>
      </c>
      <c r="D1105" s="18" t="s">
        <v>4548</v>
      </c>
      <c r="E1105" s="18" t="s">
        <v>4550</v>
      </c>
    </row>
    <row r="1106" spans="1:5" ht="24" customHeight="1" x14ac:dyDescent="0.25">
      <c r="A1106" s="16">
        <v>1117</v>
      </c>
      <c r="B1106" s="18" t="s">
        <v>4337</v>
      </c>
      <c r="C1106" s="18" t="s">
        <v>4547</v>
      </c>
      <c r="D1106" s="18" t="s">
        <v>4548</v>
      </c>
      <c r="E1106" s="18" t="s">
        <v>4551</v>
      </c>
    </row>
    <row r="1107" spans="1:5" ht="36" customHeight="1" x14ac:dyDescent="0.25">
      <c r="A1107" s="16">
        <v>1118</v>
      </c>
      <c r="B1107" s="18" t="s">
        <v>4337</v>
      </c>
      <c r="C1107" s="18" t="s">
        <v>4547</v>
      </c>
      <c r="D1107" s="18" t="s">
        <v>4548</v>
      </c>
      <c r="E1107" s="18" t="s">
        <v>4552</v>
      </c>
    </row>
    <row r="1108" spans="1:5" ht="24" customHeight="1" x14ac:dyDescent="0.25">
      <c r="A1108" s="16">
        <v>1119</v>
      </c>
      <c r="B1108" s="18" t="s">
        <v>4337</v>
      </c>
      <c r="C1108" s="18" t="s">
        <v>4547</v>
      </c>
      <c r="D1108" s="18" t="s">
        <v>4548</v>
      </c>
      <c r="E1108" s="18" t="s">
        <v>4553</v>
      </c>
    </row>
    <row r="1109" spans="1:5" ht="24" customHeight="1" x14ac:dyDescent="0.25">
      <c r="A1109" s="16">
        <v>1120</v>
      </c>
      <c r="B1109" s="18" t="s">
        <v>4337</v>
      </c>
      <c r="C1109" s="18" t="s">
        <v>4547</v>
      </c>
      <c r="D1109" s="18" t="s">
        <v>4548</v>
      </c>
      <c r="E1109" s="18" t="s">
        <v>4554</v>
      </c>
    </row>
    <row r="1110" spans="1:5" ht="24" customHeight="1" x14ac:dyDescent="0.25">
      <c r="A1110" s="16">
        <v>1121</v>
      </c>
      <c r="B1110" s="18" t="s">
        <v>4337</v>
      </c>
      <c r="C1110" s="18" t="s">
        <v>4547</v>
      </c>
      <c r="D1110" s="18" t="s">
        <v>4548</v>
      </c>
      <c r="E1110" s="18" t="s">
        <v>4555</v>
      </c>
    </row>
    <row r="1111" spans="1:5" ht="24" customHeight="1" x14ac:dyDescent="0.25">
      <c r="A1111" s="16">
        <v>1122</v>
      </c>
      <c r="B1111" s="18" t="s">
        <v>4337</v>
      </c>
      <c r="C1111" s="18" t="s">
        <v>4547</v>
      </c>
      <c r="D1111" s="18" t="s">
        <v>4548</v>
      </c>
      <c r="E1111" s="18" t="s">
        <v>4556</v>
      </c>
    </row>
    <row r="1112" spans="1:5" ht="24" customHeight="1" x14ac:dyDescent="0.25">
      <c r="A1112" s="16">
        <v>1123</v>
      </c>
      <c r="B1112" s="18" t="s">
        <v>4337</v>
      </c>
      <c r="C1112" s="18" t="s">
        <v>4547</v>
      </c>
      <c r="D1112" s="18" t="s">
        <v>4548</v>
      </c>
      <c r="E1112" s="18" t="s">
        <v>4557</v>
      </c>
    </row>
    <row r="1113" spans="1:5" ht="36" customHeight="1" x14ac:dyDescent="0.25">
      <c r="A1113" s="16">
        <v>1124</v>
      </c>
      <c r="B1113" s="18" t="s">
        <v>4337</v>
      </c>
      <c r="C1113" s="18" t="s">
        <v>4547</v>
      </c>
      <c r="D1113" s="18" t="s">
        <v>4558</v>
      </c>
      <c r="E1113" s="18" t="s">
        <v>4559</v>
      </c>
    </row>
    <row r="1114" spans="1:5" ht="24" customHeight="1" x14ac:dyDescent="0.25">
      <c r="A1114" s="16">
        <v>1125</v>
      </c>
      <c r="B1114" s="18" t="s">
        <v>4337</v>
      </c>
      <c r="C1114" s="18" t="s">
        <v>4547</v>
      </c>
      <c r="D1114" s="18" t="s">
        <v>4558</v>
      </c>
      <c r="E1114" s="18" t="s">
        <v>4560</v>
      </c>
    </row>
    <row r="1115" spans="1:5" ht="24" customHeight="1" x14ac:dyDescent="0.25">
      <c r="A1115" s="16">
        <v>1126</v>
      </c>
      <c r="B1115" s="18" t="s">
        <v>4337</v>
      </c>
      <c r="C1115" s="18" t="s">
        <v>4547</v>
      </c>
      <c r="D1115" s="18" t="s">
        <v>4558</v>
      </c>
      <c r="E1115" s="18" t="s">
        <v>4561</v>
      </c>
    </row>
    <row r="1116" spans="1:5" ht="24" customHeight="1" x14ac:dyDescent="0.25">
      <c r="A1116" s="16">
        <v>1127</v>
      </c>
      <c r="B1116" s="18" t="s">
        <v>4337</v>
      </c>
      <c r="C1116" s="18" t="s">
        <v>4547</v>
      </c>
      <c r="D1116" s="18" t="s">
        <v>4558</v>
      </c>
      <c r="E1116" s="18" t="s">
        <v>4562</v>
      </c>
    </row>
    <row r="1117" spans="1:5" ht="24" customHeight="1" x14ac:dyDescent="0.25">
      <c r="A1117" s="16">
        <v>1128</v>
      </c>
      <c r="B1117" s="18" t="s">
        <v>4337</v>
      </c>
      <c r="C1117" s="18" t="s">
        <v>4547</v>
      </c>
      <c r="D1117" s="18" t="s">
        <v>4558</v>
      </c>
      <c r="E1117" s="18" t="s">
        <v>4563</v>
      </c>
    </row>
    <row r="1118" spans="1:5" ht="24" customHeight="1" x14ac:dyDescent="0.25">
      <c r="A1118" s="16">
        <v>1129</v>
      </c>
      <c r="B1118" s="18" t="s">
        <v>4337</v>
      </c>
      <c r="C1118" s="18" t="s">
        <v>4547</v>
      </c>
      <c r="D1118" s="18" t="s">
        <v>4558</v>
      </c>
      <c r="E1118" s="18" t="s">
        <v>4564</v>
      </c>
    </row>
    <row r="1119" spans="1:5" ht="24" customHeight="1" x14ac:dyDescent="0.25">
      <c r="A1119" s="16">
        <v>1130</v>
      </c>
      <c r="B1119" s="18" t="s">
        <v>4337</v>
      </c>
      <c r="C1119" s="18" t="s">
        <v>4547</v>
      </c>
      <c r="D1119" s="18" t="s">
        <v>4558</v>
      </c>
      <c r="E1119" s="18" t="s">
        <v>4565</v>
      </c>
    </row>
    <row r="1120" spans="1:5" ht="24" customHeight="1" x14ac:dyDescent="0.25">
      <c r="A1120" s="16">
        <v>1131</v>
      </c>
      <c r="B1120" s="18" t="s">
        <v>4337</v>
      </c>
      <c r="C1120" s="18" t="s">
        <v>4547</v>
      </c>
      <c r="D1120" s="18" t="s">
        <v>4566</v>
      </c>
      <c r="E1120" s="18" t="s">
        <v>4567</v>
      </c>
    </row>
    <row r="1121" spans="1:5" ht="24" customHeight="1" x14ac:dyDescent="0.25">
      <c r="A1121" s="16">
        <v>1132</v>
      </c>
      <c r="B1121" s="18" t="s">
        <v>4337</v>
      </c>
      <c r="C1121" s="18" t="s">
        <v>4547</v>
      </c>
      <c r="D1121" s="18" t="s">
        <v>4566</v>
      </c>
      <c r="E1121" s="18" t="s">
        <v>4568</v>
      </c>
    </row>
    <row r="1122" spans="1:5" ht="24" customHeight="1" x14ac:dyDescent="0.25">
      <c r="A1122" s="16">
        <v>1133</v>
      </c>
      <c r="B1122" s="18" t="s">
        <v>4337</v>
      </c>
      <c r="C1122" s="18" t="s">
        <v>4547</v>
      </c>
      <c r="D1122" s="18" t="s">
        <v>4566</v>
      </c>
      <c r="E1122" s="18" t="s">
        <v>4569</v>
      </c>
    </row>
    <row r="1123" spans="1:5" ht="24" customHeight="1" x14ac:dyDescent="0.25">
      <c r="A1123" s="16">
        <v>1134</v>
      </c>
      <c r="B1123" s="18" t="s">
        <v>4337</v>
      </c>
      <c r="C1123" s="18" t="s">
        <v>4547</v>
      </c>
      <c r="D1123" s="18" t="s">
        <v>4566</v>
      </c>
      <c r="E1123" s="18" t="s">
        <v>4570</v>
      </c>
    </row>
    <row r="1124" spans="1:5" ht="24" customHeight="1" x14ac:dyDescent="0.25">
      <c r="A1124" s="16">
        <v>1135</v>
      </c>
      <c r="B1124" s="18" t="s">
        <v>4337</v>
      </c>
      <c r="C1124" s="18" t="s">
        <v>4547</v>
      </c>
      <c r="D1124" s="18" t="s">
        <v>4571</v>
      </c>
      <c r="E1124" s="18" t="s">
        <v>4572</v>
      </c>
    </row>
    <row r="1125" spans="1:5" ht="24" customHeight="1" x14ac:dyDescent="0.25">
      <c r="A1125" s="16">
        <v>1136</v>
      </c>
      <c r="B1125" s="18" t="s">
        <v>4337</v>
      </c>
      <c r="C1125" s="18" t="s">
        <v>4547</v>
      </c>
      <c r="D1125" s="18" t="s">
        <v>4571</v>
      </c>
      <c r="E1125" s="18" t="s">
        <v>4573</v>
      </c>
    </row>
    <row r="1126" spans="1:5" ht="24" customHeight="1" x14ac:dyDescent="0.25">
      <c r="A1126" s="16">
        <v>1137</v>
      </c>
      <c r="B1126" s="18" t="s">
        <v>4337</v>
      </c>
      <c r="C1126" s="18" t="s">
        <v>4547</v>
      </c>
      <c r="D1126" s="18" t="s">
        <v>4571</v>
      </c>
      <c r="E1126" s="18" t="s">
        <v>4574</v>
      </c>
    </row>
    <row r="1127" spans="1:5" ht="24" customHeight="1" x14ac:dyDescent="0.25">
      <c r="A1127" s="16">
        <v>1138</v>
      </c>
      <c r="B1127" s="18" t="s">
        <v>4337</v>
      </c>
      <c r="C1127" s="18" t="s">
        <v>4547</v>
      </c>
      <c r="D1127" s="18" t="s">
        <v>4571</v>
      </c>
      <c r="E1127" s="18" t="s">
        <v>4575</v>
      </c>
    </row>
    <row r="1128" spans="1:5" ht="24" customHeight="1" x14ac:dyDescent="0.25">
      <c r="A1128" s="16">
        <v>1139</v>
      </c>
      <c r="B1128" s="18" t="s">
        <v>4337</v>
      </c>
      <c r="C1128" s="18" t="s">
        <v>4547</v>
      </c>
      <c r="D1128" s="18" t="s">
        <v>4571</v>
      </c>
      <c r="E1128" s="18" t="s">
        <v>4576</v>
      </c>
    </row>
    <row r="1129" spans="1:5" ht="24" customHeight="1" x14ac:dyDescent="0.25">
      <c r="A1129" s="16">
        <v>1140</v>
      </c>
      <c r="B1129" s="18" t="s">
        <v>4337</v>
      </c>
      <c r="C1129" s="18" t="s">
        <v>4547</v>
      </c>
      <c r="D1129" s="18" t="s">
        <v>4571</v>
      </c>
      <c r="E1129" s="18" t="s">
        <v>4577</v>
      </c>
    </row>
    <row r="1130" spans="1:5" ht="24" customHeight="1" x14ac:dyDescent="0.25">
      <c r="A1130" s="16">
        <v>1141</v>
      </c>
      <c r="B1130" s="18" t="s">
        <v>4337</v>
      </c>
      <c r="C1130" s="18" t="s">
        <v>4547</v>
      </c>
      <c r="D1130" s="18" t="s">
        <v>4571</v>
      </c>
      <c r="E1130" s="18" t="s">
        <v>4578</v>
      </c>
    </row>
    <row r="1131" spans="1:5" ht="24" customHeight="1" x14ac:dyDescent="0.25">
      <c r="A1131" s="16">
        <v>1142</v>
      </c>
      <c r="B1131" s="18" t="s">
        <v>4337</v>
      </c>
      <c r="C1131" s="18" t="s">
        <v>4547</v>
      </c>
      <c r="D1131" s="18" t="s">
        <v>4579</v>
      </c>
      <c r="E1131" s="18" t="s">
        <v>4580</v>
      </c>
    </row>
    <row r="1132" spans="1:5" ht="24" customHeight="1" x14ac:dyDescent="0.25">
      <c r="A1132" s="16">
        <v>1143</v>
      </c>
      <c r="B1132" s="18" t="s">
        <v>4337</v>
      </c>
      <c r="C1132" s="18" t="s">
        <v>4547</v>
      </c>
      <c r="D1132" s="18" t="s">
        <v>4579</v>
      </c>
      <c r="E1132" s="18" t="s">
        <v>4581</v>
      </c>
    </row>
    <row r="1133" spans="1:5" ht="24" customHeight="1" x14ac:dyDescent="0.25">
      <c r="A1133" s="16">
        <v>1144</v>
      </c>
      <c r="B1133" s="18" t="s">
        <v>4337</v>
      </c>
      <c r="C1133" s="18" t="s">
        <v>4547</v>
      </c>
      <c r="D1133" s="18" t="s">
        <v>4579</v>
      </c>
      <c r="E1133" s="18" t="s">
        <v>4582</v>
      </c>
    </row>
    <row r="1134" spans="1:5" ht="24" customHeight="1" x14ac:dyDescent="0.25">
      <c r="A1134" s="16">
        <v>1145</v>
      </c>
      <c r="B1134" s="18" t="s">
        <v>4337</v>
      </c>
      <c r="C1134" s="18" t="s">
        <v>4547</v>
      </c>
      <c r="D1134" s="18" t="s">
        <v>4579</v>
      </c>
      <c r="E1134" s="18" t="s">
        <v>4583</v>
      </c>
    </row>
    <row r="1135" spans="1:5" ht="24" customHeight="1" x14ac:dyDescent="0.25">
      <c r="A1135" s="16">
        <v>1146</v>
      </c>
      <c r="B1135" s="18" t="s">
        <v>4337</v>
      </c>
      <c r="C1135" s="18" t="s">
        <v>4547</v>
      </c>
      <c r="D1135" s="18" t="s">
        <v>4579</v>
      </c>
      <c r="E1135" s="18" t="s">
        <v>4584</v>
      </c>
    </row>
    <row r="1136" spans="1:5" ht="24" customHeight="1" x14ac:dyDescent="0.25">
      <c r="A1136" s="16">
        <v>1147</v>
      </c>
      <c r="B1136" s="18" t="s">
        <v>4337</v>
      </c>
      <c r="C1136" s="18" t="s">
        <v>4547</v>
      </c>
      <c r="D1136" s="18" t="s">
        <v>4579</v>
      </c>
      <c r="E1136" s="18" t="s">
        <v>4585</v>
      </c>
    </row>
    <row r="1137" spans="1:5" ht="36" customHeight="1" x14ac:dyDescent="0.25">
      <c r="A1137" s="16">
        <v>1148</v>
      </c>
      <c r="B1137" s="18" t="s">
        <v>4337</v>
      </c>
      <c r="C1137" s="18" t="s">
        <v>4547</v>
      </c>
      <c r="D1137" s="18" t="s">
        <v>4579</v>
      </c>
      <c r="E1137" s="18" t="s">
        <v>4586</v>
      </c>
    </row>
    <row r="1138" spans="1:5" ht="24" customHeight="1" x14ac:dyDescent="0.25">
      <c r="A1138" s="16">
        <v>1149</v>
      </c>
      <c r="B1138" s="18" t="s">
        <v>4337</v>
      </c>
      <c r="C1138" s="18" t="s">
        <v>4547</v>
      </c>
      <c r="D1138" s="18" t="s">
        <v>4579</v>
      </c>
      <c r="E1138" s="18" t="s">
        <v>4587</v>
      </c>
    </row>
    <row r="1139" spans="1:5" ht="24" customHeight="1" x14ac:dyDescent="0.25">
      <c r="A1139" s="16">
        <v>1150</v>
      </c>
      <c r="B1139" s="18" t="s">
        <v>4337</v>
      </c>
      <c r="C1139" s="18" t="s">
        <v>4547</v>
      </c>
      <c r="D1139" s="18" t="s">
        <v>4579</v>
      </c>
      <c r="E1139" s="18" t="s">
        <v>4588</v>
      </c>
    </row>
    <row r="1140" spans="1:5" ht="24" customHeight="1" x14ac:dyDescent="0.25">
      <c r="A1140" s="16">
        <v>1151</v>
      </c>
      <c r="B1140" s="18" t="s">
        <v>4337</v>
      </c>
      <c r="C1140" s="18" t="s">
        <v>4547</v>
      </c>
      <c r="D1140" s="18" t="s">
        <v>4579</v>
      </c>
      <c r="E1140" s="18" t="s">
        <v>4589</v>
      </c>
    </row>
    <row r="1141" spans="1:5" ht="24" customHeight="1" x14ac:dyDescent="0.25">
      <c r="A1141" s="16">
        <v>1152</v>
      </c>
      <c r="B1141" s="18" t="s">
        <v>4337</v>
      </c>
      <c r="C1141" s="18" t="s">
        <v>4547</v>
      </c>
      <c r="D1141" s="18" t="s">
        <v>4579</v>
      </c>
      <c r="E1141" s="18" t="s">
        <v>4399</v>
      </c>
    </row>
    <row r="1142" spans="1:5" ht="24" customHeight="1" x14ac:dyDescent="0.25">
      <c r="A1142" s="16">
        <v>1153</v>
      </c>
      <c r="B1142" s="18" t="s">
        <v>4337</v>
      </c>
      <c r="C1142" s="18" t="s">
        <v>4547</v>
      </c>
      <c r="D1142" s="18" t="s">
        <v>4590</v>
      </c>
      <c r="E1142" s="18" t="s">
        <v>4591</v>
      </c>
    </row>
    <row r="1143" spans="1:5" ht="24" customHeight="1" x14ac:dyDescent="0.25">
      <c r="A1143" s="16">
        <v>1154</v>
      </c>
      <c r="B1143" s="18" t="s">
        <v>4337</v>
      </c>
      <c r="C1143" s="18" t="s">
        <v>4547</v>
      </c>
      <c r="D1143" s="18" t="s">
        <v>4590</v>
      </c>
      <c r="E1143" s="18" t="s">
        <v>4592</v>
      </c>
    </row>
    <row r="1144" spans="1:5" ht="24" customHeight="1" x14ac:dyDescent="0.25">
      <c r="A1144" s="16">
        <v>1155</v>
      </c>
      <c r="B1144" s="18" t="s">
        <v>4337</v>
      </c>
      <c r="C1144" s="18" t="s">
        <v>4547</v>
      </c>
      <c r="D1144" s="18" t="s">
        <v>4590</v>
      </c>
      <c r="E1144" s="18" t="s">
        <v>4593</v>
      </c>
    </row>
    <row r="1145" spans="1:5" ht="24" customHeight="1" x14ac:dyDescent="0.25">
      <c r="A1145" s="16">
        <v>1156</v>
      </c>
      <c r="B1145" s="18" t="s">
        <v>4337</v>
      </c>
      <c r="C1145" s="18" t="s">
        <v>4547</v>
      </c>
      <c r="D1145" s="18" t="s">
        <v>4590</v>
      </c>
      <c r="E1145" s="18" t="s">
        <v>4594</v>
      </c>
    </row>
    <row r="1146" spans="1:5" ht="24" customHeight="1" x14ac:dyDescent="0.25">
      <c r="A1146" s="16">
        <v>1157</v>
      </c>
      <c r="B1146" s="18" t="s">
        <v>4337</v>
      </c>
      <c r="C1146" s="18" t="s">
        <v>4547</v>
      </c>
      <c r="D1146" s="18" t="s">
        <v>4590</v>
      </c>
      <c r="E1146" s="18" t="s">
        <v>4595</v>
      </c>
    </row>
    <row r="1147" spans="1:5" ht="24" customHeight="1" x14ac:dyDescent="0.25">
      <c r="A1147" s="16">
        <v>1158</v>
      </c>
      <c r="B1147" s="18" t="s">
        <v>4337</v>
      </c>
      <c r="C1147" s="18" t="s">
        <v>4547</v>
      </c>
      <c r="D1147" s="18" t="s">
        <v>4590</v>
      </c>
      <c r="E1147" s="18" t="s">
        <v>4596</v>
      </c>
    </row>
    <row r="1148" spans="1:5" ht="24" customHeight="1" x14ac:dyDescent="0.25">
      <c r="A1148" s="16">
        <v>1159</v>
      </c>
      <c r="B1148" s="18" t="s">
        <v>4337</v>
      </c>
      <c r="C1148" s="18" t="s">
        <v>4547</v>
      </c>
      <c r="D1148" s="18" t="s">
        <v>4590</v>
      </c>
      <c r="E1148" s="18" t="s">
        <v>4597</v>
      </c>
    </row>
    <row r="1149" spans="1:5" ht="24" customHeight="1" x14ac:dyDescent="0.25">
      <c r="A1149" s="16">
        <v>1160</v>
      </c>
      <c r="B1149" s="18" t="s">
        <v>4337</v>
      </c>
      <c r="C1149" s="18" t="s">
        <v>4547</v>
      </c>
      <c r="D1149" s="18" t="s">
        <v>4590</v>
      </c>
      <c r="E1149" s="18" t="s">
        <v>4598</v>
      </c>
    </row>
    <row r="1150" spans="1:5" ht="24" customHeight="1" x14ac:dyDescent="0.25">
      <c r="A1150" s="16">
        <v>1161</v>
      </c>
      <c r="B1150" s="18" t="s">
        <v>4337</v>
      </c>
      <c r="C1150" s="18" t="s">
        <v>4547</v>
      </c>
      <c r="D1150" s="18" t="s">
        <v>4599</v>
      </c>
      <c r="E1150" s="18" t="s">
        <v>4600</v>
      </c>
    </row>
    <row r="1151" spans="1:5" ht="24" customHeight="1" x14ac:dyDescent="0.25">
      <c r="A1151" s="16">
        <v>1162</v>
      </c>
      <c r="B1151" s="18" t="s">
        <v>4337</v>
      </c>
      <c r="C1151" s="18" t="s">
        <v>4547</v>
      </c>
      <c r="D1151" s="18" t="s">
        <v>4599</v>
      </c>
      <c r="E1151" s="18" t="s">
        <v>4601</v>
      </c>
    </row>
    <row r="1152" spans="1:5" ht="24" customHeight="1" x14ac:dyDescent="0.25">
      <c r="A1152" s="16">
        <v>1163</v>
      </c>
      <c r="B1152" s="18" t="s">
        <v>4337</v>
      </c>
      <c r="C1152" s="18" t="s">
        <v>4547</v>
      </c>
      <c r="D1152" s="18" t="s">
        <v>4599</v>
      </c>
      <c r="E1152" s="18" t="s">
        <v>4602</v>
      </c>
    </row>
    <row r="1153" spans="1:5" ht="24" customHeight="1" x14ac:dyDescent="0.25">
      <c r="A1153" s="16">
        <v>1164</v>
      </c>
      <c r="B1153" s="18" t="s">
        <v>4337</v>
      </c>
      <c r="C1153" s="18" t="s">
        <v>4547</v>
      </c>
      <c r="D1153" s="18" t="s">
        <v>4599</v>
      </c>
      <c r="E1153" s="18" t="s">
        <v>4603</v>
      </c>
    </row>
    <row r="1154" spans="1:5" ht="24" customHeight="1" x14ac:dyDescent="0.25">
      <c r="A1154" s="16">
        <v>1165</v>
      </c>
      <c r="B1154" s="18" t="s">
        <v>4337</v>
      </c>
      <c r="C1154" s="18" t="s">
        <v>4547</v>
      </c>
      <c r="D1154" s="18" t="s">
        <v>4599</v>
      </c>
      <c r="E1154" s="18" t="s">
        <v>4604</v>
      </c>
    </row>
    <row r="1155" spans="1:5" ht="24" customHeight="1" x14ac:dyDescent="0.25">
      <c r="A1155" s="16">
        <v>1166</v>
      </c>
      <c r="B1155" s="18" t="s">
        <v>4337</v>
      </c>
      <c r="C1155" s="18" t="s">
        <v>4547</v>
      </c>
      <c r="D1155" s="18" t="s">
        <v>4599</v>
      </c>
      <c r="E1155" s="18" t="s">
        <v>4605</v>
      </c>
    </row>
    <row r="1156" spans="1:5" ht="24" customHeight="1" x14ac:dyDescent="0.25">
      <c r="A1156" s="16">
        <v>1167</v>
      </c>
      <c r="B1156" s="18" t="s">
        <v>4337</v>
      </c>
      <c r="C1156" s="18" t="s">
        <v>4547</v>
      </c>
      <c r="D1156" s="18" t="s">
        <v>4599</v>
      </c>
      <c r="E1156" s="18" t="s">
        <v>4606</v>
      </c>
    </row>
    <row r="1157" spans="1:5" ht="24" customHeight="1" x14ac:dyDescent="0.25">
      <c r="A1157" s="16">
        <v>1168</v>
      </c>
      <c r="B1157" s="18" t="s">
        <v>4337</v>
      </c>
      <c r="C1157" s="18" t="s">
        <v>4547</v>
      </c>
      <c r="D1157" s="18" t="s">
        <v>4599</v>
      </c>
      <c r="E1157" s="18" t="s">
        <v>4607</v>
      </c>
    </row>
    <row r="1158" spans="1:5" ht="24" customHeight="1" x14ac:dyDescent="0.25">
      <c r="A1158" s="16">
        <v>1169</v>
      </c>
      <c r="B1158" s="18" t="s">
        <v>4337</v>
      </c>
      <c r="C1158" s="18" t="s">
        <v>4547</v>
      </c>
      <c r="D1158" s="18" t="s">
        <v>4599</v>
      </c>
      <c r="E1158" s="18" t="s">
        <v>4608</v>
      </c>
    </row>
    <row r="1159" spans="1:5" ht="24" customHeight="1" x14ac:dyDescent="0.25">
      <c r="A1159" s="16">
        <v>1170</v>
      </c>
      <c r="B1159" s="18" t="s">
        <v>4337</v>
      </c>
      <c r="C1159" s="18" t="s">
        <v>4547</v>
      </c>
      <c r="D1159" s="18" t="s">
        <v>4609</v>
      </c>
      <c r="E1159" s="18" t="s">
        <v>4610</v>
      </c>
    </row>
    <row r="1160" spans="1:5" ht="24" customHeight="1" x14ac:dyDescent="0.25">
      <c r="A1160" s="16">
        <v>1171</v>
      </c>
      <c r="B1160" s="18" t="s">
        <v>4337</v>
      </c>
      <c r="C1160" s="18" t="s">
        <v>4547</v>
      </c>
      <c r="D1160" s="18" t="s">
        <v>4609</v>
      </c>
      <c r="E1160" s="18" t="s">
        <v>4341</v>
      </c>
    </row>
    <row r="1161" spans="1:5" ht="24" customHeight="1" x14ac:dyDescent="0.25">
      <c r="A1161" s="16">
        <v>1172</v>
      </c>
      <c r="B1161" s="18" t="s">
        <v>4337</v>
      </c>
      <c r="C1161" s="18" t="s">
        <v>4547</v>
      </c>
      <c r="D1161" s="18" t="s">
        <v>4609</v>
      </c>
      <c r="E1161" s="18" t="s">
        <v>4611</v>
      </c>
    </row>
    <row r="1162" spans="1:5" ht="24" customHeight="1" x14ac:dyDescent="0.25">
      <c r="A1162" s="16">
        <v>1173</v>
      </c>
      <c r="B1162" s="18" t="s">
        <v>4337</v>
      </c>
      <c r="C1162" s="18" t="s">
        <v>4547</v>
      </c>
      <c r="D1162" s="18" t="s">
        <v>4609</v>
      </c>
      <c r="E1162" s="18" t="s">
        <v>4612</v>
      </c>
    </row>
    <row r="1163" spans="1:5" ht="24" customHeight="1" x14ac:dyDescent="0.25">
      <c r="A1163" s="16">
        <v>1174</v>
      </c>
      <c r="B1163" s="18" t="s">
        <v>4337</v>
      </c>
      <c r="C1163" s="18" t="s">
        <v>4547</v>
      </c>
      <c r="D1163" s="18" t="s">
        <v>4609</v>
      </c>
      <c r="E1163" s="18" t="s">
        <v>4613</v>
      </c>
    </row>
    <row r="1164" spans="1:5" ht="24" customHeight="1" x14ac:dyDescent="0.25">
      <c r="A1164" s="16">
        <v>1175</v>
      </c>
      <c r="B1164" s="18" t="s">
        <v>4337</v>
      </c>
      <c r="C1164" s="18" t="s">
        <v>4547</v>
      </c>
      <c r="D1164" s="18" t="s">
        <v>4609</v>
      </c>
      <c r="E1164" s="18" t="s">
        <v>4614</v>
      </c>
    </row>
    <row r="1165" spans="1:5" ht="24" customHeight="1" x14ac:dyDescent="0.25">
      <c r="A1165" s="16">
        <v>1176</v>
      </c>
      <c r="B1165" s="18" t="s">
        <v>4337</v>
      </c>
      <c r="C1165" s="18" t="s">
        <v>4547</v>
      </c>
      <c r="D1165" s="18" t="s">
        <v>4609</v>
      </c>
      <c r="E1165" s="18" t="s">
        <v>4615</v>
      </c>
    </row>
    <row r="1166" spans="1:5" ht="24" customHeight="1" x14ac:dyDescent="0.25">
      <c r="A1166" s="16">
        <v>1177</v>
      </c>
      <c r="B1166" s="18" t="s">
        <v>4337</v>
      </c>
      <c r="C1166" s="18" t="s">
        <v>4547</v>
      </c>
      <c r="D1166" s="18" t="s">
        <v>4609</v>
      </c>
      <c r="E1166" s="18" t="s">
        <v>4616</v>
      </c>
    </row>
    <row r="1167" spans="1:5" ht="24" customHeight="1" x14ac:dyDescent="0.25">
      <c r="A1167" s="16">
        <v>1178</v>
      </c>
      <c r="B1167" s="18" t="s">
        <v>4337</v>
      </c>
      <c r="C1167" s="18" t="s">
        <v>4547</v>
      </c>
      <c r="D1167" s="18" t="s">
        <v>4617</v>
      </c>
      <c r="E1167" s="18" t="s">
        <v>4618</v>
      </c>
    </row>
    <row r="1168" spans="1:5" ht="24" customHeight="1" x14ac:dyDescent="0.25">
      <c r="A1168" s="16">
        <v>1179</v>
      </c>
      <c r="B1168" s="18" t="s">
        <v>4337</v>
      </c>
      <c r="C1168" s="18" t="s">
        <v>4547</v>
      </c>
      <c r="D1168" s="18" t="s">
        <v>4617</v>
      </c>
      <c r="E1168" s="18" t="s">
        <v>4619</v>
      </c>
    </row>
    <row r="1169" spans="1:5" ht="24" customHeight="1" x14ac:dyDescent="0.25">
      <c r="A1169" s="16">
        <v>1180</v>
      </c>
      <c r="B1169" s="18" t="s">
        <v>4337</v>
      </c>
      <c r="C1169" s="18" t="s">
        <v>4547</v>
      </c>
      <c r="D1169" s="18" t="s">
        <v>4617</v>
      </c>
      <c r="E1169" s="18" t="s">
        <v>4620</v>
      </c>
    </row>
    <row r="1170" spans="1:5" ht="24" customHeight="1" x14ac:dyDescent="0.25">
      <c r="A1170" s="16">
        <v>1181</v>
      </c>
      <c r="B1170" s="18" t="s">
        <v>4337</v>
      </c>
      <c r="C1170" s="18" t="s">
        <v>4547</v>
      </c>
      <c r="D1170" s="18" t="s">
        <v>4617</v>
      </c>
      <c r="E1170" s="18" t="s">
        <v>4621</v>
      </c>
    </row>
    <row r="1171" spans="1:5" ht="24" customHeight="1" x14ac:dyDescent="0.25">
      <c r="A1171" s="16">
        <v>1182</v>
      </c>
      <c r="B1171" s="18" t="s">
        <v>4337</v>
      </c>
      <c r="C1171" s="18" t="s">
        <v>4547</v>
      </c>
      <c r="D1171" s="18" t="s">
        <v>4617</v>
      </c>
      <c r="E1171" s="18" t="s">
        <v>4622</v>
      </c>
    </row>
    <row r="1172" spans="1:5" ht="24" customHeight="1" x14ac:dyDescent="0.25">
      <c r="A1172" s="16">
        <v>1183</v>
      </c>
      <c r="B1172" s="18" t="s">
        <v>4337</v>
      </c>
      <c r="C1172" s="18" t="s">
        <v>4547</v>
      </c>
      <c r="D1172" s="18" t="s">
        <v>4617</v>
      </c>
      <c r="E1172" s="18" t="s">
        <v>4623</v>
      </c>
    </row>
    <row r="1173" spans="1:5" ht="36" customHeight="1" x14ac:dyDescent="0.25">
      <c r="A1173" s="16">
        <v>1184</v>
      </c>
      <c r="B1173" s="18" t="s">
        <v>4337</v>
      </c>
      <c r="C1173" s="18" t="s">
        <v>4547</v>
      </c>
      <c r="D1173" s="18" t="s">
        <v>4624</v>
      </c>
      <c r="E1173" s="18" t="s">
        <v>4625</v>
      </c>
    </row>
    <row r="1174" spans="1:5" ht="36" customHeight="1" x14ac:dyDescent="0.25">
      <c r="A1174" s="16">
        <v>1185</v>
      </c>
      <c r="B1174" s="18" t="s">
        <v>4337</v>
      </c>
      <c r="C1174" s="18" t="s">
        <v>4547</v>
      </c>
      <c r="D1174" s="18" t="s">
        <v>4624</v>
      </c>
      <c r="E1174" s="18" t="s">
        <v>4626</v>
      </c>
    </row>
    <row r="1175" spans="1:5" ht="24" customHeight="1" x14ac:dyDescent="0.25">
      <c r="A1175" s="16">
        <v>1186</v>
      </c>
      <c r="B1175" s="18" t="s">
        <v>4337</v>
      </c>
      <c r="C1175" s="18" t="s">
        <v>4547</v>
      </c>
      <c r="D1175" s="18" t="s">
        <v>4624</v>
      </c>
      <c r="E1175" s="18" t="s">
        <v>4627</v>
      </c>
    </row>
    <row r="1176" spans="1:5" ht="24" customHeight="1" x14ac:dyDescent="0.25">
      <c r="A1176" s="16">
        <v>1187</v>
      </c>
      <c r="B1176" s="18" t="s">
        <v>4337</v>
      </c>
      <c r="C1176" s="18" t="s">
        <v>4547</v>
      </c>
      <c r="D1176" s="18" t="s">
        <v>4624</v>
      </c>
      <c r="E1176" s="18" t="s">
        <v>4628</v>
      </c>
    </row>
    <row r="1177" spans="1:5" ht="24" customHeight="1" x14ac:dyDescent="0.25">
      <c r="A1177" s="16">
        <v>1188</v>
      </c>
      <c r="B1177" s="18" t="s">
        <v>4337</v>
      </c>
      <c r="C1177" s="18" t="s">
        <v>4547</v>
      </c>
      <c r="D1177" s="18" t="s">
        <v>4624</v>
      </c>
      <c r="E1177" s="18" t="s">
        <v>4629</v>
      </c>
    </row>
    <row r="1178" spans="1:5" ht="24" customHeight="1" x14ac:dyDescent="0.25">
      <c r="A1178" s="16">
        <v>1189</v>
      </c>
      <c r="B1178" s="18" t="s">
        <v>4337</v>
      </c>
      <c r="C1178" s="18" t="s">
        <v>4547</v>
      </c>
      <c r="D1178" s="18" t="s">
        <v>4624</v>
      </c>
      <c r="E1178" s="18" t="s">
        <v>4630</v>
      </c>
    </row>
    <row r="1179" spans="1:5" ht="24" customHeight="1" x14ac:dyDescent="0.25">
      <c r="A1179" s="16">
        <v>1190</v>
      </c>
      <c r="B1179" s="18" t="s">
        <v>4337</v>
      </c>
      <c r="C1179" s="18" t="s">
        <v>4547</v>
      </c>
      <c r="D1179" s="18" t="s">
        <v>4624</v>
      </c>
      <c r="E1179" s="18" t="s">
        <v>4631</v>
      </c>
    </row>
    <row r="1180" spans="1:5" ht="24" customHeight="1" x14ac:dyDescent="0.25">
      <c r="A1180" s="16">
        <v>1191</v>
      </c>
      <c r="B1180" s="18" t="s">
        <v>4337</v>
      </c>
      <c r="C1180" s="18" t="s">
        <v>4547</v>
      </c>
      <c r="D1180" s="18" t="s">
        <v>4624</v>
      </c>
      <c r="E1180" s="18" t="s">
        <v>4632</v>
      </c>
    </row>
    <row r="1181" spans="1:5" ht="24" customHeight="1" x14ac:dyDescent="0.25">
      <c r="A1181" s="16">
        <v>1192</v>
      </c>
      <c r="B1181" s="18" t="s">
        <v>4337</v>
      </c>
      <c r="C1181" s="18" t="s">
        <v>4633</v>
      </c>
      <c r="D1181" s="18" t="s">
        <v>4634</v>
      </c>
      <c r="E1181" s="18" t="s">
        <v>4635</v>
      </c>
    </row>
    <row r="1182" spans="1:5" ht="24" customHeight="1" x14ac:dyDescent="0.25">
      <c r="A1182" s="16">
        <v>1193</v>
      </c>
      <c r="B1182" s="18" t="s">
        <v>4337</v>
      </c>
      <c r="C1182" s="18" t="s">
        <v>4633</v>
      </c>
      <c r="D1182" s="18" t="s">
        <v>4634</v>
      </c>
      <c r="E1182" s="18" t="s">
        <v>4636</v>
      </c>
    </row>
    <row r="1183" spans="1:5" ht="24" customHeight="1" x14ac:dyDescent="0.25">
      <c r="A1183" s="16">
        <v>1194</v>
      </c>
      <c r="B1183" s="18" t="s">
        <v>4337</v>
      </c>
      <c r="C1183" s="18" t="s">
        <v>4633</v>
      </c>
      <c r="D1183" s="18" t="s">
        <v>4634</v>
      </c>
      <c r="E1183" s="18" t="s">
        <v>4637</v>
      </c>
    </row>
    <row r="1184" spans="1:5" ht="24" customHeight="1" x14ac:dyDescent="0.25">
      <c r="A1184" s="16">
        <v>1195</v>
      </c>
      <c r="B1184" s="18" t="s">
        <v>4337</v>
      </c>
      <c r="C1184" s="18" t="s">
        <v>4633</v>
      </c>
      <c r="D1184" s="18" t="s">
        <v>4634</v>
      </c>
      <c r="E1184" s="18" t="s">
        <v>4638</v>
      </c>
    </row>
    <row r="1185" spans="1:5" ht="24" customHeight="1" x14ac:dyDescent="0.25">
      <c r="A1185" s="16">
        <v>1196</v>
      </c>
      <c r="B1185" s="18" t="s">
        <v>4337</v>
      </c>
      <c r="C1185" s="18" t="s">
        <v>4633</v>
      </c>
      <c r="D1185" s="18" t="s">
        <v>4634</v>
      </c>
      <c r="E1185" s="18" t="s">
        <v>4639</v>
      </c>
    </row>
    <row r="1186" spans="1:5" ht="24" customHeight="1" x14ac:dyDescent="0.25">
      <c r="A1186" s="16">
        <v>1197</v>
      </c>
      <c r="B1186" s="18" t="s">
        <v>4337</v>
      </c>
      <c r="C1186" s="18" t="s">
        <v>4633</v>
      </c>
      <c r="D1186" s="18" t="s">
        <v>4634</v>
      </c>
      <c r="E1186" s="18" t="s">
        <v>4640</v>
      </c>
    </row>
    <row r="1187" spans="1:5" ht="24" customHeight="1" x14ac:dyDescent="0.25">
      <c r="A1187" s="16">
        <v>1198</v>
      </c>
      <c r="B1187" s="18" t="s">
        <v>4337</v>
      </c>
      <c r="C1187" s="18" t="s">
        <v>4633</v>
      </c>
      <c r="D1187" s="18" t="s">
        <v>4634</v>
      </c>
      <c r="E1187" s="18" t="s">
        <v>4641</v>
      </c>
    </row>
    <row r="1188" spans="1:5" ht="24" customHeight="1" x14ac:dyDescent="0.25">
      <c r="A1188" s="16">
        <v>1199</v>
      </c>
      <c r="B1188" s="18" t="s">
        <v>4337</v>
      </c>
      <c r="C1188" s="18" t="s">
        <v>4633</v>
      </c>
      <c r="D1188" s="18" t="s">
        <v>4642</v>
      </c>
      <c r="E1188" s="18" t="s">
        <v>4643</v>
      </c>
    </row>
    <row r="1189" spans="1:5" ht="24" customHeight="1" x14ac:dyDescent="0.25">
      <c r="A1189" s="16">
        <v>1200</v>
      </c>
      <c r="B1189" s="18" t="s">
        <v>4337</v>
      </c>
      <c r="C1189" s="18" t="s">
        <v>4633</v>
      </c>
      <c r="D1189" s="18" t="s">
        <v>4642</v>
      </c>
      <c r="E1189" s="18" t="s">
        <v>4644</v>
      </c>
    </row>
    <row r="1190" spans="1:5" ht="24" customHeight="1" x14ac:dyDescent="0.25">
      <c r="A1190" s="16">
        <v>1201</v>
      </c>
      <c r="B1190" s="18" t="s">
        <v>4337</v>
      </c>
      <c r="C1190" s="18" t="s">
        <v>4633</v>
      </c>
      <c r="D1190" s="18" t="s">
        <v>4642</v>
      </c>
      <c r="E1190" s="18" t="s">
        <v>4645</v>
      </c>
    </row>
    <row r="1191" spans="1:5" ht="24" customHeight="1" x14ac:dyDescent="0.25">
      <c r="A1191" s="16">
        <v>1202</v>
      </c>
      <c r="B1191" s="18" t="s">
        <v>4337</v>
      </c>
      <c r="C1191" s="18" t="s">
        <v>4633</v>
      </c>
      <c r="D1191" s="18" t="s">
        <v>4642</v>
      </c>
      <c r="E1191" s="18" t="s">
        <v>4646</v>
      </c>
    </row>
    <row r="1192" spans="1:5" ht="24" customHeight="1" x14ac:dyDescent="0.25">
      <c r="A1192" s="16">
        <v>1203</v>
      </c>
      <c r="B1192" s="18" t="s">
        <v>4337</v>
      </c>
      <c r="C1192" s="18" t="s">
        <v>4633</v>
      </c>
      <c r="D1192" s="18" t="s">
        <v>4642</v>
      </c>
      <c r="E1192" s="18" t="s">
        <v>4647</v>
      </c>
    </row>
    <row r="1193" spans="1:5" ht="24" customHeight="1" x14ac:dyDescent="0.25">
      <c r="A1193" s="16">
        <v>1204</v>
      </c>
      <c r="B1193" s="18" t="s">
        <v>4337</v>
      </c>
      <c r="C1193" s="18" t="s">
        <v>4633</v>
      </c>
      <c r="D1193" s="18" t="s">
        <v>4642</v>
      </c>
      <c r="E1193" s="18" t="s">
        <v>4648</v>
      </c>
    </row>
    <row r="1194" spans="1:5" ht="24" customHeight="1" x14ac:dyDescent="0.25">
      <c r="A1194" s="16">
        <v>1205</v>
      </c>
      <c r="B1194" s="18" t="s">
        <v>4337</v>
      </c>
      <c r="C1194" s="18" t="s">
        <v>4633</v>
      </c>
      <c r="D1194" s="18" t="s">
        <v>4649</v>
      </c>
      <c r="E1194" s="18" t="s">
        <v>4650</v>
      </c>
    </row>
    <row r="1195" spans="1:5" ht="24" customHeight="1" x14ac:dyDescent="0.25">
      <c r="A1195" s="16">
        <v>1206</v>
      </c>
      <c r="B1195" s="18" t="s">
        <v>4337</v>
      </c>
      <c r="C1195" s="18" t="s">
        <v>4633</v>
      </c>
      <c r="D1195" s="18" t="s">
        <v>4649</v>
      </c>
      <c r="E1195" s="18" t="s">
        <v>4651</v>
      </c>
    </row>
    <row r="1196" spans="1:5" ht="24" customHeight="1" x14ac:dyDescent="0.25">
      <c r="A1196" s="16">
        <v>1207</v>
      </c>
      <c r="B1196" s="18" t="s">
        <v>4337</v>
      </c>
      <c r="C1196" s="18" t="s">
        <v>4633</v>
      </c>
      <c r="D1196" s="18" t="s">
        <v>4649</v>
      </c>
      <c r="E1196" s="18" t="s">
        <v>4652</v>
      </c>
    </row>
    <row r="1197" spans="1:5" ht="24" customHeight="1" x14ac:dyDescent="0.25">
      <c r="A1197" s="16">
        <v>1208</v>
      </c>
      <c r="B1197" s="18" t="s">
        <v>4337</v>
      </c>
      <c r="C1197" s="18" t="s">
        <v>4633</v>
      </c>
      <c r="D1197" s="18" t="s">
        <v>4649</v>
      </c>
      <c r="E1197" s="18" t="s">
        <v>4653</v>
      </c>
    </row>
    <row r="1198" spans="1:5" ht="24" customHeight="1" x14ac:dyDescent="0.25">
      <c r="A1198" s="16">
        <v>1209</v>
      </c>
      <c r="B1198" s="18" t="s">
        <v>4337</v>
      </c>
      <c r="C1198" s="18" t="s">
        <v>4633</v>
      </c>
      <c r="D1198" s="18" t="s">
        <v>4649</v>
      </c>
      <c r="E1198" s="18" t="s">
        <v>4654</v>
      </c>
    </row>
    <row r="1199" spans="1:5" ht="24" customHeight="1" x14ac:dyDescent="0.25">
      <c r="A1199" s="16">
        <v>1210</v>
      </c>
      <c r="B1199" s="18" t="s">
        <v>4337</v>
      </c>
      <c r="C1199" s="18" t="s">
        <v>4633</v>
      </c>
      <c r="D1199" s="18" t="s">
        <v>4649</v>
      </c>
      <c r="E1199" s="18" t="s">
        <v>4655</v>
      </c>
    </row>
    <row r="1200" spans="1:5" ht="24" customHeight="1" x14ac:dyDescent="0.25">
      <c r="A1200" s="16">
        <v>1211</v>
      </c>
      <c r="B1200" s="18" t="s">
        <v>4337</v>
      </c>
      <c r="C1200" s="18" t="s">
        <v>4633</v>
      </c>
      <c r="D1200" s="18" t="s">
        <v>4649</v>
      </c>
      <c r="E1200" s="18" t="s">
        <v>4656</v>
      </c>
    </row>
    <row r="1201" spans="1:5" ht="24" customHeight="1" x14ac:dyDescent="0.25">
      <c r="A1201" s="16">
        <v>1212</v>
      </c>
      <c r="B1201" s="18" t="s">
        <v>4337</v>
      </c>
      <c r="C1201" s="18" t="s">
        <v>4633</v>
      </c>
      <c r="D1201" s="18" t="s">
        <v>4649</v>
      </c>
      <c r="E1201" s="18" t="s">
        <v>4657</v>
      </c>
    </row>
    <row r="1202" spans="1:5" ht="24" customHeight="1" x14ac:dyDescent="0.25">
      <c r="A1202" s="16">
        <v>1213</v>
      </c>
      <c r="B1202" s="18" t="s">
        <v>4337</v>
      </c>
      <c r="C1202" s="18" t="s">
        <v>4633</v>
      </c>
      <c r="D1202" s="18" t="s">
        <v>4649</v>
      </c>
      <c r="E1202" s="18" t="s">
        <v>4658</v>
      </c>
    </row>
    <row r="1203" spans="1:5" ht="24" customHeight="1" x14ac:dyDescent="0.25">
      <c r="A1203" s="16">
        <v>1214</v>
      </c>
      <c r="B1203" s="18" t="s">
        <v>4337</v>
      </c>
      <c r="C1203" s="18" t="s">
        <v>4633</v>
      </c>
      <c r="D1203" s="18" t="s">
        <v>4649</v>
      </c>
      <c r="E1203" s="18" t="s">
        <v>4659</v>
      </c>
    </row>
    <row r="1204" spans="1:5" ht="24" customHeight="1" x14ac:dyDescent="0.25">
      <c r="A1204" s="16">
        <v>1215</v>
      </c>
      <c r="B1204" s="18" t="s">
        <v>4337</v>
      </c>
      <c r="C1204" s="18" t="s">
        <v>4633</v>
      </c>
      <c r="D1204" s="18" t="s">
        <v>4649</v>
      </c>
      <c r="E1204" s="18" t="s">
        <v>4660</v>
      </c>
    </row>
    <row r="1205" spans="1:5" ht="24" customHeight="1" x14ac:dyDescent="0.25">
      <c r="A1205" s="16">
        <v>1216</v>
      </c>
      <c r="B1205" s="18" t="s">
        <v>4337</v>
      </c>
      <c r="C1205" s="18" t="s">
        <v>4633</v>
      </c>
      <c r="D1205" s="18" t="s">
        <v>4649</v>
      </c>
      <c r="E1205" s="18" t="s">
        <v>4661</v>
      </c>
    </row>
    <row r="1206" spans="1:5" ht="24" customHeight="1" x14ac:dyDescent="0.25">
      <c r="A1206" s="16">
        <v>1217</v>
      </c>
      <c r="B1206" s="18" t="s">
        <v>4337</v>
      </c>
      <c r="C1206" s="18" t="s">
        <v>4633</v>
      </c>
      <c r="D1206" s="18" t="s">
        <v>4662</v>
      </c>
      <c r="E1206" s="18" t="s">
        <v>4663</v>
      </c>
    </row>
    <row r="1207" spans="1:5" ht="24" customHeight="1" x14ac:dyDescent="0.25">
      <c r="A1207" s="16">
        <v>1218</v>
      </c>
      <c r="B1207" s="18" t="s">
        <v>4337</v>
      </c>
      <c r="C1207" s="18" t="s">
        <v>4633</v>
      </c>
      <c r="D1207" s="18" t="s">
        <v>4662</v>
      </c>
      <c r="E1207" s="18" t="s">
        <v>4664</v>
      </c>
    </row>
    <row r="1208" spans="1:5" ht="24" customHeight="1" x14ac:dyDescent="0.25">
      <c r="A1208" s="16">
        <v>1219</v>
      </c>
      <c r="B1208" s="18" t="s">
        <v>4337</v>
      </c>
      <c r="C1208" s="18" t="s">
        <v>4633</v>
      </c>
      <c r="D1208" s="18" t="s">
        <v>4662</v>
      </c>
      <c r="E1208" s="18" t="s">
        <v>4665</v>
      </c>
    </row>
    <row r="1209" spans="1:5" ht="24" customHeight="1" x14ac:dyDescent="0.25">
      <c r="A1209" s="16">
        <v>1220</v>
      </c>
      <c r="B1209" s="18" t="s">
        <v>4337</v>
      </c>
      <c r="C1209" s="18" t="s">
        <v>4633</v>
      </c>
      <c r="D1209" s="18" t="s">
        <v>4662</v>
      </c>
      <c r="E1209" s="18" t="s">
        <v>4666</v>
      </c>
    </row>
    <row r="1210" spans="1:5" ht="24" customHeight="1" x14ac:dyDescent="0.25">
      <c r="A1210" s="16">
        <v>1221</v>
      </c>
      <c r="B1210" s="18" t="s">
        <v>4337</v>
      </c>
      <c r="C1210" s="18" t="s">
        <v>4633</v>
      </c>
      <c r="D1210" s="18" t="s">
        <v>4662</v>
      </c>
      <c r="E1210" s="18" t="s">
        <v>4667</v>
      </c>
    </row>
    <row r="1211" spans="1:5" ht="24" customHeight="1" x14ac:dyDescent="0.25">
      <c r="A1211" s="16">
        <v>1222</v>
      </c>
      <c r="B1211" s="18" t="s">
        <v>4337</v>
      </c>
      <c r="C1211" s="18" t="s">
        <v>4633</v>
      </c>
      <c r="D1211" s="18" t="s">
        <v>4662</v>
      </c>
      <c r="E1211" s="18" t="s">
        <v>4668</v>
      </c>
    </row>
    <row r="1212" spans="1:5" ht="24" customHeight="1" x14ac:dyDescent="0.25">
      <c r="A1212" s="16">
        <v>1223</v>
      </c>
      <c r="B1212" s="18" t="s">
        <v>4337</v>
      </c>
      <c r="C1212" s="18" t="s">
        <v>4633</v>
      </c>
      <c r="D1212" s="18" t="s">
        <v>4662</v>
      </c>
      <c r="E1212" s="18" t="s">
        <v>4669</v>
      </c>
    </row>
    <row r="1213" spans="1:5" ht="24" customHeight="1" x14ac:dyDescent="0.25">
      <c r="A1213" s="16">
        <v>1224</v>
      </c>
      <c r="B1213" s="18" t="s">
        <v>4337</v>
      </c>
      <c r="C1213" s="18" t="s">
        <v>4633</v>
      </c>
      <c r="D1213" s="18" t="s">
        <v>4662</v>
      </c>
      <c r="E1213" s="18" t="s">
        <v>4670</v>
      </c>
    </row>
    <row r="1214" spans="1:5" ht="24" customHeight="1" x14ac:dyDescent="0.25">
      <c r="A1214" s="16">
        <v>1225</v>
      </c>
      <c r="B1214" s="18" t="s">
        <v>4337</v>
      </c>
      <c r="C1214" s="18" t="s">
        <v>4633</v>
      </c>
      <c r="D1214" s="18" t="s">
        <v>4662</v>
      </c>
      <c r="E1214" s="18" t="s">
        <v>4671</v>
      </c>
    </row>
    <row r="1215" spans="1:5" ht="24" customHeight="1" x14ac:dyDescent="0.25">
      <c r="A1215" s="16">
        <v>1226</v>
      </c>
      <c r="B1215" s="18" t="s">
        <v>4337</v>
      </c>
      <c r="C1215" s="18" t="s">
        <v>4633</v>
      </c>
      <c r="D1215" s="18" t="s">
        <v>4662</v>
      </c>
      <c r="E1215" s="18" t="s">
        <v>4672</v>
      </c>
    </row>
    <row r="1216" spans="1:5" ht="24" customHeight="1" x14ac:dyDescent="0.25">
      <c r="A1216" s="16">
        <v>1227</v>
      </c>
      <c r="B1216" s="18" t="s">
        <v>4337</v>
      </c>
      <c r="C1216" s="18" t="s">
        <v>4633</v>
      </c>
      <c r="D1216" s="18" t="s">
        <v>4673</v>
      </c>
      <c r="E1216" s="18" t="s">
        <v>4674</v>
      </c>
    </row>
    <row r="1217" spans="1:5" ht="24" customHeight="1" x14ac:dyDescent="0.25">
      <c r="A1217" s="16">
        <v>1228</v>
      </c>
      <c r="B1217" s="18" t="s">
        <v>4337</v>
      </c>
      <c r="C1217" s="18" t="s">
        <v>4633</v>
      </c>
      <c r="D1217" s="18" t="s">
        <v>4673</v>
      </c>
      <c r="E1217" s="18" t="s">
        <v>4675</v>
      </c>
    </row>
    <row r="1218" spans="1:5" ht="24" customHeight="1" x14ac:dyDescent="0.25">
      <c r="A1218" s="16">
        <v>1229</v>
      </c>
      <c r="B1218" s="18" t="s">
        <v>4337</v>
      </c>
      <c r="C1218" s="18" t="s">
        <v>4633</v>
      </c>
      <c r="D1218" s="18" t="s">
        <v>4673</v>
      </c>
      <c r="E1218" s="18" t="s">
        <v>4676</v>
      </c>
    </row>
    <row r="1219" spans="1:5" ht="24" customHeight="1" x14ac:dyDescent="0.25">
      <c r="A1219" s="16">
        <v>1230</v>
      </c>
      <c r="B1219" s="18" t="s">
        <v>4337</v>
      </c>
      <c r="C1219" s="18" t="s">
        <v>4633</v>
      </c>
      <c r="D1219" s="18" t="s">
        <v>4673</v>
      </c>
      <c r="E1219" s="18" t="s">
        <v>4677</v>
      </c>
    </row>
    <row r="1220" spans="1:5" ht="24" customHeight="1" x14ac:dyDescent="0.25">
      <c r="A1220" s="16">
        <v>1231</v>
      </c>
      <c r="B1220" s="18" t="s">
        <v>4337</v>
      </c>
      <c r="C1220" s="18" t="s">
        <v>4633</v>
      </c>
      <c r="D1220" s="18" t="s">
        <v>4673</v>
      </c>
      <c r="E1220" s="18" t="s">
        <v>4678</v>
      </c>
    </row>
    <row r="1221" spans="1:5" ht="24" customHeight="1" x14ac:dyDescent="0.25">
      <c r="A1221" s="16">
        <v>1232</v>
      </c>
      <c r="B1221" s="18" t="s">
        <v>4337</v>
      </c>
      <c r="C1221" s="18" t="s">
        <v>4633</v>
      </c>
      <c r="D1221" s="18" t="s">
        <v>4673</v>
      </c>
      <c r="E1221" s="18" t="s">
        <v>4679</v>
      </c>
    </row>
    <row r="1222" spans="1:5" ht="24" customHeight="1" x14ac:dyDescent="0.25">
      <c r="A1222" s="16">
        <v>1233</v>
      </c>
      <c r="B1222" s="18" t="s">
        <v>4337</v>
      </c>
      <c r="C1222" s="18" t="s">
        <v>4633</v>
      </c>
      <c r="D1222" s="18" t="s">
        <v>4673</v>
      </c>
      <c r="E1222" s="18" t="s">
        <v>4680</v>
      </c>
    </row>
    <row r="1223" spans="1:5" ht="24" customHeight="1" x14ac:dyDescent="0.25">
      <c r="A1223" s="16">
        <v>1234</v>
      </c>
      <c r="B1223" s="18" t="s">
        <v>4337</v>
      </c>
      <c r="C1223" s="18" t="s">
        <v>4633</v>
      </c>
      <c r="D1223" s="18" t="s">
        <v>4673</v>
      </c>
      <c r="E1223" s="18" t="s">
        <v>4681</v>
      </c>
    </row>
    <row r="1224" spans="1:5" ht="24" customHeight="1" x14ac:dyDescent="0.25">
      <c r="A1224" s="16">
        <v>1235</v>
      </c>
      <c r="B1224" s="18" t="s">
        <v>4337</v>
      </c>
      <c r="C1224" s="18" t="s">
        <v>4633</v>
      </c>
      <c r="D1224" s="18" t="s">
        <v>4682</v>
      </c>
      <c r="E1224" s="18" t="s">
        <v>4683</v>
      </c>
    </row>
    <row r="1225" spans="1:5" ht="24" customHeight="1" x14ac:dyDescent="0.25">
      <c r="A1225" s="16">
        <v>1236</v>
      </c>
      <c r="B1225" s="18" t="s">
        <v>4337</v>
      </c>
      <c r="C1225" s="18" t="s">
        <v>4633</v>
      </c>
      <c r="D1225" s="18" t="s">
        <v>4682</v>
      </c>
      <c r="E1225" s="18" t="s">
        <v>4684</v>
      </c>
    </row>
    <row r="1226" spans="1:5" ht="24" customHeight="1" x14ac:dyDescent="0.25">
      <c r="A1226" s="16">
        <v>1237</v>
      </c>
      <c r="B1226" s="18" t="s">
        <v>4337</v>
      </c>
      <c r="C1226" s="18" t="s">
        <v>4633</v>
      </c>
      <c r="D1226" s="18" t="s">
        <v>4682</v>
      </c>
      <c r="E1226" s="18" t="s">
        <v>4685</v>
      </c>
    </row>
    <row r="1227" spans="1:5" ht="24" customHeight="1" x14ac:dyDescent="0.25">
      <c r="A1227" s="16">
        <v>1238</v>
      </c>
      <c r="B1227" s="18" t="s">
        <v>4337</v>
      </c>
      <c r="C1227" s="18" t="s">
        <v>4633</v>
      </c>
      <c r="D1227" s="18" t="s">
        <v>4682</v>
      </c>
      <c r="E1227" s="18" t="s">
        <v>4686</v>
      </c>
    </row>
    <row r="1228" spans="1:5" ht="24" customHeight="1" x14ac:dyDescent="0.25">
      <c r="A1228" s="16">
        <v>1239</v>
      </c>
      <c r="B1228" s="18" t="s">
        <v>4337</v>
      </c>
      <c r="C1228" s="18" t="s">
        <v>4633</v>
      </c>
      <c r="D1228" s="18" t="s">
        <v>4682</v>
      </c>
      <c r="E1228" s="18" t="s">
        <v>4687</v>
      </c>
    </row>
    <row r="1229" spans="1:5" ht="24" customHeight="1" x14ac:dyDescent="0.25">
      <c r="A1229" s="16">
        <v>1240</v>
      </c>
      <c r="B1229" s="18" t="s">
        <v>4337</v>
      </c>
      <c r="C1229" s="18" t="s">
        <v>4633</v>
      </c>
      <c r="D1229" s="18" t="s">
        <v>4688</v>
      </c>
      <c r="E1229" s="18" t="s">
        <v>4689</v>
      </c>
    </row>
    <row r="1230" spans="1:5" ht="24" customHeight="1" x14ac:dyDescent="0.25">
      <c r="A1230" s="16">
        <v>1241</v>
      </c>
      <c r="B1230" s="18" t="s">
        <v>4337</v>
      </c>
      <c r="C1230" s="18" t="s">
        <v>4633</v>
      </c>
      <c r="D1230" s="18" t="s">
        <v>4688</v>
      </c>
      <c r="E1230" s="18" t="s">
        <v>4690</v>
      </c>
    </row>
    <row r="1231" spans="1:5" ht="24" customHeight="1" x14ac:dyDescent="0.25">
      <c r="A1231" s="16">
        <v>1242</v>
      </c>
      <c r="B1231" s="18" t="s">
        <v>4337</v>
      </c>
      <c r="C1231" s="18" t="s">
        <v>4633</v>
      </c>
      <c r="D1231" s="18" t="s">
        <v>4688</v>
      </c>
      <c r="E1231" s="18" t="s">
        <v>4691</v>
      </c>
    </row>
    <row r="1232" spans="1:5" ht="24" customHeight="1" x14ac:dyDescent="0.25">
      <c r="A1232" s="16">
        <v>1243</v>
      </c>
      <c r="B1232" s="18" t="s">
        <v>4337</v>
      </c>
      <c r="C1232" s="18" t="s">
        <v>4633</v>
      </c>
      <c r="D1232" s="18" t="s">
        <v>4688</v>
      </c>
      <c r="E1232" s="18" t="s">
        <v>4692</v>
      </c>
    </row>
    <row r="1233" spans="1:5" ht="24" customHeight="1" x14ac:dyDescent="0.25">
      <c r="A1233" s="16">
        <v>1244</v>
      </c>
      <c r="B1233" s="18" t="s">
        <v>4337</v>
      </c>
      <c r="C1233" s="18" t="s">
        <v>4633</v>
      </c>
      <c r="D1233" s="18" t="s">
        <v>4688</v>
      </c>
      <c r="E1233" s="18" t="s">
        <v>4693</v>
      </c>
    </row>
    <row r="1234" spans="1:5" ht="24" customHeight="1" x14ac:dyDescent="0.25">
      <c r="A1234" s="16">
        <v>1245</v>
      </c>
      <c r="B1234" s="18" t="s">
        <v>4337</v>
      </c>
      <c r="C1234" s="18" t="s">
        <v>4633</v>
      </c>
      <c r="D1234" s="18" t="s">
        <v>4694</v>
      </c>
      <c r="E1234" s="18" t="s">
        <v>4695</v>
      </c>
    </row>
    <row r="1235" spans="1:5" ht="24" customHeight="1" x14ac:dyDescent="0.25">
      <c r="A1235" s="16">
        <v>1246</v>
      </c>
      <c r="B1235" s="18" t="s">
        <v>4337</v>
      </c>
      <c r="C1235" s="18" t="s">
        <v>4633</v>
      </c>
      <c r="D1235" s="18" t="s">
        <v>4694</v>
      </c>
      <c r="E1235" s="18" t="s">
        <v>4696</v>
      </c>
    </row>
    <row r="1236" spans="1:5" ht="24" customHeight="1" x14ac:dyDescent="0.25">
      <c r="A1236" s="16">
        <v>1247</v>
      </c>
      <c r="B1236" s="18" t="s">
        <v>4337</v>
      </c>
      <c r="C1236" s="18" t="s">
        <v>4633</v>
      </c>
      <c r="D1236" s="18" t="s">
        <v>4694</v>
      </c>
      <c r="E1236" s="18" t="s">
        <v>4697</v>
      </c>
    </row>
    <row r="1237" spans="1:5" ht="24" customHeight="1" x14ac:dyDescent="0.25">
      <c r="A1237" s="16">
        <v>1248</v>
      </c>
      <c r="B1237" s="18" t="s">
        <v>4337</v>
      </c>
      <c r="C1237" s="18" t="s">
        <v>4633</v>
      </c>
      <c r="D1237" s="18" t="s">
        <v>4694</v>
      </c>
      <c r="E1237" s="18" t="s">
        <v>4698</v>
      </c>
    </row>
    <row r="1238" spans="1:5" ht="24" customHeight="1" x14ac:dyDescent="0.25">
      <c r="A1238" s="16">
        <v>1249</v>
      </c>
      <c r="B1238" s="18" t="s">
        <v>4337</v>
      </c>
      <c r="C1238" s="18" t="s">
        <v>4633</v>
      </c>
      <c r="D1238" s="18" t="s">
        <v>4694</v>
      </c>
      <c r="E1238" s="18" t="s">
        <v>4699</v>
      </c>
    </row>
    <row r="1239" spans="1:5" ht="24" customHeight="1" x14ac:dyDescent="0.25">
      <c r="A1239" s="16">
        <v>1250</v>
      </c>
      <c r="B1239" s="18" t="s">
        <v>4337</v>
      </c>
      <c r="C1239" s="18" t="s">
        <v>4633</v>
      </c>
      <c r="D1239" s="18" t="s">
        <v>4694</v>
      </c>
      <c r="E1239" s="18" t="s">
        <v>4700</v>
      </c>
    </row>
    <row r="1240" spans="1:5" ht="24" customHeight="1" x14ac:dyDescent="0.25">
      <c r="A1240" s="16">
        <v>1251</v>
      </c>
      <c r="B1240" s="18" t="s">
        <v>4337</v>
      </c>
      <c r="C1240" s="18" t="s">
        <v>4633</v>
      </c>
      <c r="D1240" s="18" t="s">
        <v>4694</v>
      </c>
      <c r="E1240" s="18" t="s">
        <v>4701</v>
      </c>
    </row>
    <row r="1241" spans="1:5" ht="24" customHeight="1" x14ac:dyDescent="0.25">
      <c r="A1241" s="16">
        <v>1252</v>
      </c>
      <c r="B1241" s="18" t="s">
        <v>4337</v>
      </c>
      <c r="C1241" s="18" t="s">
        <v>4633</v>
      </c>
      <c r="D1241" s="18" t="s">
        <v>4694</v>
      </c>
      <c r="E1241" s="18" t="s">
        <v>4702</v>
      </c>
    </row>
    <row r="1242" spans="1:5" ht="24" customHeight="1" x14ac:dyDescent="0.25">
      <c r="A1242" s="16">
        <v>1253</v>
      </c>
      <c r="B1242" s="18" t="s">
        <v>4337</v>
      </c>
      <c r="C1242" s="18" t="s">
        <v>4633</v>
      </c>
      <c r="D1242" s="18" t="s">
        <v>4694</v>
      </c>
      <c r="E1242" s="18" t="s">
        <v>4703</v>
      </c>
    </row>
    <row r="1243" spans="1:5" ht="36" customHeight="1" x14ac:dyDescent="0.25">
      <c r="A1243" s="16">
        <v>1254</v>
      </c>
      <c r="B1243" s="18" t="s">
        <v>4337</v>
      </c>
      <c r="C1243" s="18" t="s">
        <v>4633</v>
      </c>
      <c r="D1243" s="18" t="s">
        <v>4704</v>
      </c>
      <c r="E1243" s="18" t="s">
        <v>4705</v>
      </c>
    </row>
    <row r="1244" spans="1:5" ht="24" customHeight="1" x14ac:dyDescent="0.25">
      <c r="A1244" s="16">
        <v>1255</v>
      </c>
      <c r="B1244" s="18" t="s">
        <v>4337</v>
      </c>
      <c r="C1244" s="18" t="s">
        <v>4633</v>
      </c>
      <c r="D1244" s="18" t="s">
        <v>4704</v>
      </c>
      <c r="E1244" s="18" t="s">
        <v>4706</v>
      </c>
    </row>
    <row r="1245" spans="1:5" ht="24" customHeight="1" x14ac:dyDescent="0.25">
      <c r="A1245" s="16">
        <v>1256</v>
      </c>
      <c r="B1245" s="18" t="s">
        <v>4337</v>
      </c>
      <c r="C1245" s="18" t="s">
        <v>4633</v>
      </c>
      <c r="D1245" s="18" t="s">
        <v>4704</v>
      </c>
      <c r="E1245" s="18" t="s">
        <v>4707</v>
      </c>
    </row>
    <row r="1246" spans="1:5" ht="24" customHeight="1" x14ac:dyDescent="0.25">
      <c r="A1246" s="16">
        <v>1257</v>
      </c>
      <c r="B1246" s="18" t="s">
        <v>4337</v>
      </c>
      <c r="C1246" s="18" t="s">
        <v>4633</v>
      </c>
      <c r="D1246" s="18" t="s">
        <v>4704</v>
      </c>
      <c r="E1246" s="18" t="s">
        <v>4708</v>
      </c>
    </row>
    <row r="1247" spans="1:5" ht="24" customHeight="1" x14ac:dyDescent="0.25">
      <c r="A1247" s="16">
        <v>1258</v>
      </c>
      <c r="B1247" s="18" t="s">
        <v>4337</v>
      </c>
      <c r="C1247" s="18" t="s">
        <v>4633</v>
      </c>
      <c r="D1247" s="18" t="s">
        <v>4704</v>
      </c>
      <c r="E1247" s="18" t="s">
        <v>4709</v>
      </c>
    </row>
    <row r="1248" spans="1:5" ht="24" customHeight="1" x14ac:dyDescent="0.25">
      <c r="A1248" s="16">
        <v>1259</v>
      </c>
      <c r="B1248" s="18" t="s">
        <v>4337</v>
      </c>
      <c r="C1248" s="18" t="s">
        <v>4633</v>
      </c>
      <c r="D1248" s="18" t="s">
        <v>4704</v>
      </c>
      <c r="E1248" s="18" t="s">
        <v>4710</v>
      </c>
    </row>
    <row r="1249" spans="1:5" ht="24" customHeight="1" x14ac:dyDescent="0.25">
      <c r="A1249" s="16">
        <v>1260</v>
      </c>
      <c r="B1249" s="18" t="s">
        <v>4337</v>
      </c>
      <c r="C1249" s="18" t="s">
        <v>4633</v>
      </c>
      <c r="D1249" s="18" t="s">
        <v>4704</v>
      </c>
      <c r="E1249" s="18" t="s">
        <v>4711</v>
      </c>
    </row>
    <row r="1250" spans="1:5" ht="24" customHeight="1" x14ac:dyDescent="0.25">
      <c r="A1250" s="16">
        <v>1261</v>
      </c>
      <c r="B1250" s="18" t="s">
        <v>4337</v>
      </c>
      <c r="C1250" s="18" t="s">
        <v>4633</v>
      </c>
      <c r="D1250" s="18" t="s">
        <v>4704</v>
      </c>
      <c r="E1250" s="18" t="s">
        <v>4712</v>
      </c>
    </row>
    <row r="1251" spans="1:5" ht="24" customHeight="1" x14ac:dyDescent="0.25">
      <c r="A1251" s="16">
        <v>1262</v>
      </c>
      <c r="B1251" s="18" t="s">
        <v>4337</v>
      </c>
      <c r="C1251" s="18" t="s">
        <v>4633</v>
      </c>
      <c r="D1251" s="18" t="s">
        <v>4633</v>
      </c>
      <c r="E1251" s="18" t="s">
        <v>4713</v>
      </c>
    </row>
    <row r="1252" spans="1:5" ht="24" customHeight="1" x14ac:dyDescent="0.25">
      <c r="A1252" s="16">
        <v>1263</v>
      </c>
      <c r="B1252" s="18" t="s">
        <v>4337</v>
      </c>
      <c r="C1252" s="18" t="s">
        <v>4633</v>
      </c>
      <c r="D1252" s="18" t="s">
        <v>4633</v>
      </c>
      <c r="E1252" s="18" t="s">
        <v>4714</v>
      </c>
    </row>
    <row r="1253" spans="1:5" ht="24" customHeight="1" x14ac:dyDescent="0.25">
      <c r="A1253" s="16">
        <v>1264</v>
      </c>
      <c r="B1253" s="18" t="s">
        <v>4337</v>
      </c>
      <c r="C1253" s="18" t="s">
        <v>4633</v>
      </c>
      <c r="D1253" s="18" t="s">
        <v>4633</v>
      </c>
      <c r="E1253" s="18" t="s">
        <v>4715</v>
      </c>
    </row>
    <row r="1254" spans="1:5" ht="24" customHeight="1" x14ac:dyDescent="0.25">
      <c r="A1254" s="16">
        <v>1265</v>
      </c>
      <c r="B1254" s="18" t="s">
        <v>4337</v>
      </c>
      <c r="C1254" s="18" t="s">
        <v>4633</v>
      </c>
      <c r="D1254" s="18" t="s">
        <v>4633</v>
      </c>
      <c r="E1254" s="18" t="s">
        <v>4716</v>
      </c>
    </row>
    <row r="1255" spans="1:5" ht="24" customHeight="1" x14ac:dyDescent="0.25">
      <c r="A1255" s="16">
        <v>1266</v>
      </c>
      <c r="B1255" s="18" t="s">
        <v>4337</v>
      </c>
      <c r="C1255" s="18" t="s">
        <v>4633</v>
      </c>
      <c r="D1255" s="18" t="s">
        <v>4633</v>
      </c>
      <c r="E1255" s="18" t="s">
        <v>4717</v>
      </c>
    </row>
    <row r="1256" spans="1:5" ht="24" customHeight="1" x14ac:dyDescent="0.25">
      <c r="A1256" s="16">
        <v>1267</v>
      </c>
      <c r="B1256" s="18" t="s">
        <v>4337</v>
      </c>
      <c r="C1256" s="18" t="s">
        <v>4633</v>
      </c>
      <c r="D1256" s="18" t="s">
        <v>4633</v>
      </c>
      <c r="E1256" s="18" t="s">
        <v>4718</v>
      </c>
    </row>
    <row r="1257" spans="1:5" ht="24" customHeight="1" x14ac:dyDescent="0.25">
      <c r="A1257" s="16">
        <v>1268</v>
      </c>
      <c r="B1257" s="18" t="s">
        <v>4337</v>
      </c>
      <c r="C1257" s="18" t="s">
        <v>4719</v>
      </c>
      <c r="D1257" s="18" t="s">
        <v>4720</v>
      </c>
      <c r="E1257" s="18" t="s">
        <v>4721</v>
      </c>
    </row>
    <row r="1258" spans="1:5" ht="24" customHeight="1" x14ac:dyDescent="0.25">
      <c r="A1258" s="16">
        <v>1269</v>
      </c>
      <c r="B1258" s="18" t="s">
        <v>4337</v>
      </c>
      <c r="C1258" s="18" t="s">
        <v>4719</v>
      </c>
      <c r="D1258" s="18" t="s">
        <v>4720</v>
      </c>
      <c r="E1258" s="18" t="s">
        <v>4722</v>
      </c>
    </row>
    <row r="1259" spans="1:5" ht="24" customHeight="1" x14ac:dyDescent="0.25">
      <c r="A1259" s="16">
        <v>1270</v>
      </c>
      <c r="B1259" s="18" t="s">
        <v>4337</v>
      </c>
      <c r="C1259" s="18" t="s">
        <v>4719</v>
      </c>
      <c r="D1259" s="18" t="s">
        <v>4720</v>
      </c>
      <c r="E1259" s="18" t="s">
        <v>4723</v>
      </c>
    </row>
    <row r="1260" spans="1:5" ht="24" customHeight="1" x14ac:dyDescent="0.25">
      <c r="A1260" s="16">
        <v>1271</v>
      </c>
      <c r="B1260" s="18" t="s">
        <v>4337</v>
      </c>
      <c r="C1260" s="18" t="s">
        <v>4719</v>
      </c>
      <c r="D1260" s="18" t="s">
        <v>4720</v>
      </c>
      <c r="E1260" s="18" t="s">
        <v>4724</v>
      </c>
    </row>
    <row r="1261" spans="1:5" ht="24" customHeight="1" x14ac:dyDescent="0.25">
      <c r="A1261" s="16">
        <v>1272</v>
      </c>
      <c r="B1261" s="18" t="s">
        <v>4337</v>
      </c>
      <c r="C1261" s="18" t="s">
        <v>4719</v>
      </c>
      <c r="D1261" s="18" t="s">
        <v>4720</v>
      </c>
      <c r="E1261" s="18" t="s">
        <v>4725</v>
      </c>
    </row>
    <row r="1262" spans="1:5" ht="24" customHeight="1" x14ac:dyDescent="0.25">
      <c r="A1262" s="16">
        <v>1273</v>
      </c>
      <c r="B1262" s="18" t="s">
        <v>4337</v>
      </c>
      <c r="C1262" s="18" t="s">
        <v>4719</v>
      </c>
      <c r="D1262" s="18" t="s">
        <v>4720</v>
      </c>
      <c r="E1262" s="18" t="s">
        <v>4726</v>
      </c>
    </row>
    <row r="1263" spans="1:5" ht="24" customHeight="1" x14ac:dyDescent="0.25">
      <c r="A1263" s="16">
        <v>1274</v>
      </c>
      <c r="B1263" s="18" t="s">
        <v>4337</v>
      </c>
      <c r="C1263" s="18" t="s">
        <v>4719</v>
      </c>
      <c r="D1263" s="18" t="s">
        <v>4727</v>
      </c>
      <c r="E1263" s="18" t="s">
        <v>4728</v>
      </c>
    </row>
    <row r="1264" spans="1:5" ht="24" customHeight="1" x14ac:dyDescent="0.25">
      <c r="A1264" s="16">
        <v>1275</v>
      </c>
      <c r="B1264" s="18" t="s">
        <v>4337</v>
      </c>
      <c r="C1264" s="18" t="s">
        <v>4719</v>
      </c>
      <c r="D1264" s="18" t="s">
        <v>4727</v>
      </c>
      <c r="E1264" s="18" t="s">
        <v>4729</v>
      </c>
    </row>
    <row r="1265" spans="1:5" ht="24" customHeight="1" x14ac:dyDescent="0.25">
      <c r="A1265" s="16">
        <v>1276</v>
      </c>
      <c r="B1265" s="18" t="s">
        <v>4337</v>
      </c>
      <c r="C1265" s="18" t="s">
        <v>4719</v>
      </c>
      <c r="D1265" s="18" t="s">
        <v>4727</v>
      </c>
      <c r="E1265" s="18" t="s">
        <v>4730</v>
      </c>
    </row>
    <row r="1266" spans="1:5" ht="24" customHeight="1" x14ac:dyDescent="0.25">
      <c r="A1266" s="16">
        <v>1277</v>
      </c>
      <c r="B1266" s="18" t="s">
        <v>4337</v>
      </c>
      <c r="C1266" s="18" t="s">
        <v>4719</v>
      </c>
      <c r="D1266" s="18" t="s">
        <v>4731</v>
      </c>
      <c r="E1266" s="18" t="s">
        <v>4732</v>
      </c>
    </row>
    <row r="1267" spans="1:5" ht="24" customHeight="1" x14ac:dyDescent="0.25">
      <c r="A1267" s="16">
        <v>1278</v>
      </c>
      <c r="B1267" s="18" t="s">
        <v>4337</v>
      </c>
      <c r="C1267" s="18" t="s">
        <v>4719</v>
      </c>
      <c r="D1267" s="18" t="s">
        <v>4731</v>
      </c>
      <c r="E1267" s="18" t="s">
        <v>4733</v>
      </c>
    </row>
    <row r="1268" spans="1:5" ht="24" customHeight="1" x14ac:dyDescent="0.25">
      <c r="A1268" s="16">
        <v>1279</v>
      </c>
      <c r="B1268" s="18" t="s">
        <v>4337</v>
      </c>
      <c r="C1268" s="18" t="s">
        <v>4719</v>
      </c>
      <c r="D1268" s="18" t="s">
        <v>4731</v>
      </c>
      <c r="E1268" s="18" t="s">
        <v>4734</v>
      </c>
    </row>
    <row r="1269" spans="1:5" ht="24" customHeight="1" x14ac:dyDescent="0.25">
      <c r="A1269" s="16">
        <v>1280</v>
      </c>
      <c r="B1269" s="18" t="s">
        <v>4337</v>
      </c>
      <c r="C1269" s="18" t="s">
        <v>4719</v>
      </c>
      <c r="D1269" s="18" t="s">
        <v>4731</v>
      </c>
      <c r="E1269" s="18" t="s">
        <v>4735</v>
      </c>
    </row>
    <row r="1270" spans="1:5" ht="24" customHeight="1" x14ac:dyDescent="0.25">
      <c r="A1270" s="16">
        <v>1281</v>
      </c>
      <c r="B1270" s="18" t="s">
        <v>4337</v>
      </c>
      <c r="C1270" s="18" t="s">
        <v>4719</v>
      </c>
      <c r="D1270" s="18" t="s">
        <v>4731</v>
      </c>
      <c r="E1270" s="18" t="s">
        <v>4736</v>
      </c>
    </row>
    <row r="1271" spans="1:5" ht="24" customHeight="1" x14ac:dyDescent="0.25">
      <c r="A1271" s="16">
        <v>1282</v>
      </c>
      <c r="B1271" s="18" t="s">
        <v>4337</v>
      </c>
      <c r="C1271" s="18" t="s">
        <v>4719</v>
      </c>
      <c r="D1271" s="18" t="s">
        <v>4731</v>
      </c>
      <c r="E1271" s="18" t="s">
        <v>4737</v>
      </c>
    </row>
    <row r="1272" spans="1:5" ht="24" customHeight="1" x14ac:dyDescent="0.25">
      <c r="A1272" s="16">
        <v>1283</v>
      </c>
      <c r="B1272" s="18" t="s">
        <v>4337</v>
      </c>
      <c r="C1272" s="18" t="s">
        <v>4719</v>
      </c>
      <c r="D1272" s="18" t="s">
        <v>4731</v>
      </c>
      <c r="E1272" s="18" t="s">
        <v>4738</v>
      </c>
    </row>
    <row r="1273" spans="1:5" ht="24" customHeight="1" x14ac:dyDescent="0.25">
      <c r="A1273" s="16">
        <v>1284</v>
      </c>
      <c r="B1273" s="18" t="s">
        <v>4337</v>
      </c>
      <c r="C1273" s="18" t="s">
        <v>4719</v>
      </c>
      <c r="D1273" s="18" t="s">
        <v>4731</v>
      </c>
      <c r="E1273" s="18" t="s">
        <v>4739</v>
      </c>
    </row>
    <row r="1274" spans="1:5" ht="36" customHeight="1" x14ac:dyDescent="0.25">
      <c r="A1274" s="16">
        <v>1285</v>
      </c>
      <c r="B1274" s="18" t="s">
        <v>4337</v>
      </c>
      <c r="C1274" s="18" t="s">
        <v>4719</v>
      </c>
      <c r="D1274" s="18" t="s">
        <v>4731</v>
      </c>
      <c r="E1274" s="18" t="s">
        <v>4740</v>
      </c>
    </row>
    <row r="1275" spans="1:5" ht="24" customHeight="1" x14ac:dyDescent="0.25">
      <c r="A1275" s="16">
        <v>1286</v>
      </c>
      <c r="B1275" s="18" t="s">
        <v>4337</v>
      </c>
      <c r="C1275" s="18" t="s">
        <v>4719</v>
      </c>
      <c r="D1275" s="18" t="s">
        <v>4741</v>
      </c>
      <c r="E1275" s="18" t="s">
        <v>4742</v>
      </c>
    </row>
    <row r="1276" spans="1:5" ht="24" customHeight="1" x14ac:dyDescent="0.25">
      <c r="A1276" s="16">
        <v>1287</v>
      </c>
      <c r="B1276" s="18" t="s">
        <v>4337</v>
      </c>
      <c r="C1276" s="18" t="s">
        <v>4719</v>
      </c>
      <c r="D1276" s="18" t="s">
        <v>4741</v>
      </c>
      <c r="E1276" s="18" t="s">
        <v>4743</v>
      </c>
    </row>
    <row r="1277" spans="1:5" ht="24" customHeight="1" x14ac:dyDescent="0.25">
      <c r="A1277" s="16">
        <v>1288</v>
      </c>
      <c r="B1277" s="18" t="s">
        <v>4337</v>
      </c>
      <c r="C1277" s="18" t="s">
        <v>4719</v>
      </c>
      <c r="D1277" s="18" t="s">
        <v>4741</v>
      </c>
      <c r="E1277" s="18" t="s">
        <v>4744</v>
      </c>
    </row>
    <row r="1278" spans="1:5" ht="24" customHeight="1" x14ac:dyDescent="0.25">
      <c r="A1278" s="16">
        <v>1289</v>
      </c>
      <c r="B1278" s="18" t="s">
        <v>4337</v>
      </c>
      <c r="C1278" s="18" t="s">
        <v>4719</v>
      </c>
      <c r="D1278" s="18" t="s">
        <v>4741</v>
      </c>
      <c r="E1278" s="18" t="s">
        <v>4745</v>
      </c>
    </row>
    <row r="1279" spans="1:5" ht="24" customHeight="1" x14ac:dyDescent="0.25">
      <c r="A1279" s="16">
        <v>1290</v>
      </c>
      <c r="B1279" s="18" t="s">
        <v>4337</v>
      </c>
      <c r="C1279" s="18" t="s">
        <v>4719</v>
      </c>
      <c r="D1279" s="18" t="s">
        <v>4741</v>
      </c>
      <c r="E1279" s="18" t="s">
        <v>4746</v>
      </c>
    </row>
    <row r="1280" spans="1:5" ht="24" customHeight="1" x14ac:dyDescent="0.25">
      <c r="A1280" s="16">
        <v>1291</v>
      </c>
      <c r="B1280" s="18" t="s">
        <v>4337</v>
      </c>
      <c r="C1280" s="18" t="s">
        <v>4719</v>
      </c>
      <c r="D1280" s="18" t="s">
        <v>4741</v>
      </c>
      <c r="E1280" s="18" t="s">
        <v>4747</v>
      </c>
    </row>
    <row r="1281" spans="1:5" ht="24" customHeight="1" x14ac:dyDescent="0.25">
      <c r="A1281" s="16">
        <v>1292</v>
      </c>
      <c r="B1281" s="18" t="s">
        <v>4337</v>
      </c>
      <c r="C1281" s="18" t="s">
        <v>4719</v>
      </c>
      <c r="D1281" s="18" t="s">
        <v>4741</v>
      </c>
      <c r="E1281" s="18" t="s">
        <v>4748</v>
      </c>
    </row>
    <row r="1282" spans="1:5" ht="24" customHeight="1" x14ac:dyDescent="0.25">
      <c r="A1282" s="16">
        <v>1293</v>
      </c>
      <c r="B1282" s="18" t="s">
        <v>4337</v>
      </c>
      <c r="C1282" s="18" t="s">
        <v>4719</v>
      </c>
      <c r="D1282" s="18" t="s">
        <v>4741</v>
      </c>
      <c r="E1282" s="18" t="s">
        <v>4749</v>
      </c>
    </row>
    <row r="1283" spans="1:5" ht="24" customHeight="1" x14ac:dyDescent="0.25">
      <c r="A1283" s="16">
        <v>1294</v>
      </c>
      <c r="B1283" s="18" t="s">
        <v>4337</v>
      </c>
      <c r="C1283" s="18" t="s">
        <v>4719</v>
      </c>
      <c r="D1283" s="18" t="s">
        <v>4741</v>
      </c>
      <c r="E1283" s="18" t="s">
        <v>4750</v>
      </c>
    </row>
    <row r="1284" spans="1:5" ht="24" customHeight="1" x14ac:dyDescent="0.25">
      <c r="A1284" s="16">
        <v>1295</v>
      </c>
      <c r="B1284" s="18" t="s">
        <v>4337</v>
      </c>
      <c r="C1284" s="18" t="s">
        <v>4719</v>
      </c>
      <c r="D1284" s="18" t="s">
        <v>4741</v>
      </c>
      <c r="E1284" s="18" t="s">
        <v>4751</v>
      </c>
    </row>
    <row r="1285" spans="1:5" ht="24" customHeight="1" x14ac:dyDescent="0.25">
      <c r="A1285" s="16">
        <v>1296</v>
      </c>
      <c r="B1285" s="18" t="s">
        <v>4337</v>
      </c>
      <c r="C1285" s="18" t="s">
        <v>4719</v>
      </c>
      <c r="D1285" s="18" t="s">
        <v>4741</v>
      </c>
      <c r="E1285" s="18" t="s">
        <v>4752</v>
      </c>
    </row>
    <row r="1286" spans="1:5" ht="24" customHeight="1" x14ac:dyDescent="0.25">
      <c r="A1286" s="16">
        <v>1297</v>
      </c>
      <c r="B1286" s="18" t="s">
        <v>4337</v>
      </c>
      <c r="C1286" s="18" t="s">
        <v>4719</v>
      </c>
      <c r="D1286" s="18" t="s">
        <v>4741</v>
      </c>
      <c r="E1286" s="18" t="s">
        <v>4753</v>
      </c>
    </row>
    <row r="1287" spans="1:5" ht="24" customHeight="1" x14ac:dyDescent="0.25">
      <c r="A1287" s="16">
        <v>1298</v>
      </c>
      <c r="B1287" s="18" t="s">
        <v>4337</v>
      </c>
      <c r="C1287" s="18" t="s">
        <v>4719</v>
      </c>
      <c r="D1287" s="18" t="s">
        <v>4741</v>
      </c>
      <c r="E1287" s="18" t="s">
        <v>4754</v>
      </c>
    </row>
    <row r="1288" spans="1:5" ht="24" customHeight="1" x14ac:dyDescent="0.25">
      <c r="A1288" s="16">
        <v>1299</v>
      </c>
      <c r="B1288" s="18" t="s">
        <v>4337</v>
      </c>
      <c r="C1288" s="18" t="s">
        <v>4719</v>
      </c>
      <c r="D1288" s="18" t="s">
        <v>4741</v>
      </c>
      <c r="E1288" s="18" t="s">
        <v>4755</v>
      </c>
    </row>
    <row r="1289" spans="1:5" ht="24" customHeight="1" x14ac:dyDescent="0.25">
      <c r="A1289" s="16">
        <v>1300</v>
      </c>
      <c r="B1289" s="18" t="s">
        <v>4337</v>
      </c>
      <c r="C1289" s="18" t="s">
        <v>4719</v>
      </c>
      <c r="D1289" s="18" t="s">
        <v>4741</v>
      </c>
      <c r="E1289" s="18" t="s">
        <v>4756</v>
      </c>
    </row>
    <row r="1290" spans="1:5" ht="24" customHeight="1" x14ac:dyDescent="0.25">
      <c r="A1290" s="16">
        <v>1301</v>
      </c>
      <c r="B1290" s="18" t="s">
        <v>4337</v>
      </c>
      <c r="C1290" s="18" t="s">
        <v>4719</v>
      </c>
      <c r="D1290" s="18" t="s">
        <v>4757</v>
      </c>
      <c r="E1290" s="18" t="s">
        <v>4758</v>
      </c>
    </row>
    <row r="1291" spans="1:5" ht="24" customHeight="1" x14ac:dyDescent="0.25">
      <c r="A1291" s="16">
        <v>1302</v>
      </c>
      <c r="B1291" s="18" t="s">
        <v>4337</v>
      </c>
      <c r="C1291" s="18" t="s">
        <v>4719</v>
      </c>
      <c r="D1291" s="18" t="s">
        <v>4757</v>
      </c>
      <c r="E1291" s="18" t="s">
        <v>4759</v>
      </c>
    </row>
    <row r="1292" spans="1:5" ht="24" customHeight="1" x14ac:dyDescent="0.25">
      <c r="A1292" s="16">
        <v>1303</v>
      </c>
      <c r="B1292" s="18" t="s">
        <v>4337</v>
      </c>
      <c r="C1292" s="18" t="s">
        <v>4719</v>
      </c>
      <c r="D1292" s="18" t="s">
        <v>4757</v>
      </c>
      <c r="E1292" s="18" t="s">
        <v>4760</v>
      </c>
    </row>
    <row r="1293" spans="1:5" ht="24" customHeight="1" x14ac:dyDescent="0.25">
      <c r="A1293" s="16">
        <v>1304</v>
      </c>
      <c r="B1293" s="18" t="s">
        <v>4337</v>
      </c>
      <c r="C1293" s="18" t="s">
        <v>4719</v>
      </c>
      <c r="D1293" s="18" t="s">
        <v>4757</v>
      </c>
      <c r="E1293" s="18" t="s">
        <v>4761</v>
      </c>
    </row>
    <row r="1294" spans="1:5" ht="24" customHeight="1" x14ac:dyDescent="0.25">
      <c r="A1294" s="16">
        <v>1305</v>
      </c>
      <c r="B1294" s="18" t="s">
        <v>4337</v>
      </c>
      <c r="C1294" s="18" t="s">
        <v>4719</v>
      </c>
      <c r="D1294" s="18" t="s">
        <v>4757</v>
      </c>
      <c r="E1294" s="18" t="s">
        <v>4762</v>
      </c>
    </row>
    <row r="1295" spans="1:5" ht="24" customHeight="1" x14ac:dyDescent="0.25">
      <c r="A1295" s="16">
        <v>1306</v>
      </c>
      <c r="B1295" s="18" t="s">
        <v>4337</v>
      </c>
      <c r="C1295" s="18" t="s">
        <v>4719</v>
      </c>
      <c r="D1295" s="18" t="s">
        <v>4757</v>
      </c>
      <c r="E1295" s="18" t="s">
        <v>4763</v>
      </c>
    </row>
    <row r="1296" spans="1:5" ht="24" customHeight="1" x14ac:dyDescent="0.25">
      <c r="A1296" s="16">
        <v>1307</v>
      </c>
      <c r="B1296" s="18" t="s">
        <v>4337</v>
      </c>
      <c r="C1296" s="18" t="s">
        <v>4719</v>
      </c>
      <c r="D1296" s="18" t="s">
        <v>4757</v>
      </c>
      <c r="E1296" s="18" t="s">
        <v>4764</v>
      </c>
    </row>
    <row r="1297" spans="1:5" ht="24" customHeight="1" x14ac:dyDescent="0.25">
      <c r="A1297" s="16">
        <v>1308</v>
      </c>
      <c r="B1297" s="18" t="s">
        <v>4337</v>
      </c>
      <c r="C1297" s="18" t="s">
        <v>4719</v>
      </c>
      <c r="D1297" s="18" t="s">
        <v>4757</v>
      </c>
      <c r="E1297" s="18" t="s">
        <v>4765</v>
      </c>
    </row>
    <row r="1298" spans="1:5" ht="24" customHeight="1" x14ac:dyDescent="0.25">
      <c r="A1298" s="16">
        <v>1309</v>
      </c>
      <c r="B1298" s="18" t="s">
        <v>4337</v>
      </c>
      <c r="C1298" s="18" t="s">
        <v>4719</v>
      </c>
      <c r="D1298" s="18" t="s">
        <v>4719</v>
      </c>
      <c r="E1298" s="18" t="s">
        <v>4766</v>
      </c>
    </row>
    <row r="1299" spans="1:5" ht="24" customHeight="1" x14ac:dyDescent="0.25">
      <c r="A1299" s="16">
        <v>1310</v>
      </c>
      <c r="B1299" s="18" t="s">
        <v>4337</v>
      </c>
      <c r="C1299" s="18" t="s">
        <v>4719</v>
      </c>
      <c r="D1299" s="18" t="s">
        <v>4719</v>
      </c>
      <c r="E1299" s="18" t="s">
        <v>4767</v>
      </c>
    </row>
    <row r="1300" spans="1:5" ht="24" customHeight="1" x14ac:dyDescent="0.25">
      <c r="A1300" s="16">
        <v>1311</v>
      </c>
      <c r="B1300" s="18" t="s">
        <v>4337</v>
      </c>
      <c r="C1300" s="18" t="s">
        <v>4719</v>
      </c>
      <c r="D1300" s="18" t="s">
        <v>4719</v>
      </c>
      <c r="E1300" s="18" t="s">
        <v>4768</v>
      </c>
    </row>
    <row r="1301" spans="1:5" ht="24" customHeight="1" x14ac:dyDescent="0.25">
      <c r="A1301" s="16">
        <v>1312</v>
      </c>
      <c r="B1301" s="18" t="s">
        <v>4337</v>
      </c>
      <c r="C1301" s="18" t="s">
        <v>4719</v>
      </c>
      <c r="D1301" s="18" t="s">
        <v>4719</v>
      </c>
      <c r="E1301" s="18" t="s">
        <v>4769</v>
      </c>
    </row>
    <row r="1302" spans="1:5" ht="36" customHeight="1" x14ac:dyDescent="0.25">
      <c r="A1302" s="16">
        <v>1313</v>
      </c>
      <c r="B1302" s="18" t="s">
        <v>4337</v>
      </c>
      <c r="C1302" s="18" t="s">
        <v>4719</v>
      </c>
      <c r="D1302" s="18" t="s">
        <v>4719</v>
      </c>
      <c r="E1302" s="18" t="s">
        <v>4770</v>
      </c>
    </row>
    <row r="1303" spans="1:5" ht="36" customHeight="1" x14ac:dyDescent="0.25">
      <c r="A1303" s="16">
        <v>1314</v>
      </c>
      <c r="B1303" s="18" t="s">
        <v>4337</v>
      </c>
      <c r="C1303" s="18" t="s">
        <v>4719</v>
      </c>
      <c r="D1303" s="18" t="s">
        <v>4719</v>
      </c>
      <c r="E1303" s="18" t="s">
        <v>4771</v>
      </c>
    </row>
    <row r="1304" spans="1:5" ht="24" customHeight="1" x14ac:dyDescent="0.25">
      <c r="A1304" s="16">
        <v>1315</v>
      </c>
      <c r="B1304" s="18" t="s">
        <v>4337</v>
      </c>
      <c r="C1304" s="18" t="s">
        <v>4719</v>
      </c>
      <c r="D1304" s="18" t="s">
        <v>4719</v>
      </c>
      <c r="E1304" s="18" t="s">
        <v>4772</v>
      </c>
    </row>
    <row r="1305" spans="1:5" ht="24" customHeight="1" x14ac:dyDescent="0.25">
      <c r="A1305" s="16">
        <v>1316</v>
      </c>
      <c r="B1305" s="18" t="s">
        <v>4337</v>
      </c>
      <c r="C1305" s="18" t="s">
        <v>4719</v>
      </c>
      <c r="D1305" s="18" t="s">
        <v>4719</v>
      </c>
      <c r="E1305" s="18" t="s">
        <v>4773</v>
      </c>
    </row>
    <row r="1306" spans="1:5" ht="24" customHeight="1" x14ac:dyDescent="0.25">
      <c r="A1306" s="16">
        <v>1317</v>
      </c>
      <c r="B1306" s="18" t="s">
        <v>4337</v>
      </c>
      <c r="C1306" s="18" t="s">
        <v>4719</v>
      </c>
      <c r="D1306" s="18" t="s">
        <v>4719</v>
      </c>
      <c r="E1306" s="18" t="s">
        <v>4774</v>
      </c>
    </row>
    <row r="1307" spans="1:5" ht="24" customHeight="1" x14ac:dyDescent="0.25">
      <c r="A1307" s="16">
        <v>1318</v>
      </c>
      <c r="B1307" s="18" t="s">
        <v>4337</v>
      </c>
      <c r="C1307" s="18" t="s">
        <v>4719</v>
      </c>
      <c r="D1307" s="18" t="s">
        <v>4719</v>
      </c>
      <c r="E1307" s="18" t="s">
        <v>4775</v>
      </c>
    </row>
    <row r="1308" spans="1:5" ht="24" customHeight="1" x14ac:dyDescent="0.25">
      <c r="A1308" s="16">
        <v>1319</v>
      </c>
      <c r="B1308" s="18" t="s">
        <v>4337</v>
      </c>
      <c r="C1308" s="18" t="s">
        <v>4719</v>
      </c>
      <c r="D1308" s="18" t="s">
        <v>4719</v>
      </c>
      <c r="E1308" s="18" t="s">
        <v>4776</v>
      </c>
    </row>
    <row r="1309" spans="1:5" ht="24" customHeight="1" x14ac:dyDescent="0.25">
      <c r="A1309" s="16">
        <v>1320</v>
      </c>
      <c r="B1309" s="18" t="s">
        <v>4337</v>
      </c>
      <c r="C1309" s="18" t="s">
        <v>4719</v>
      </c>
      <c r="D1309" s="18" t="s">
        <v>4719</v>
      </c>
      <c r="E1309" s="18" t="s">
        <v>4777</v>
      </c>
    </row>
    <row r="1310" spans="1:5" ht="24" customHeight="1" x14ac:dyDescent="0.25">
      <c r="A1310" s="16">
        <v>1321</v>
      </c>
      <c r="B1310" s="18" t="s">
        <v>4337</v>
      </c>
      <c r="C1310" s="18" t="s">
        <v>4719</v>
      </c>
      <c r="D1310" s="18" t="s">
        <v>4719</v>
      </c>
      <c r="E1310" s="18" t="s">
        <v>4778</v>
      </c>
    </row>
    <row r="1311" spans="1:5" ht="24" customHeight="1" x14ac:dyDescent="0.25">
      <c r="A1311" s="16">
        <v>1322</v>
      </c>
      <c r="B1311" s="18" t="s">
        <v>4337</v>
      </c>
      <c r="C1311" s="18" t="s">
        <v>4719</v>
      </c>
      <c r="D1311" s="18" t="s">
        <v>4719</v>
      </c>
      <c r="E1311" s="18" t="s">
        <v>4779</v>
      </c>
    </row>
    <row r="1312" spans="1:5" ht="24" customHeight="1" x14ac:dyDescent="0.25">
      <c r="A1312" s="16">
        <v>1323</v>
      </c>
      <c r="B1312" s="18" t="s">
        <v>4337</v>
      </c>
      <c r="C1312" s="18" t="s">
        <v>4719</v>
      </c>
      <c r="D1312" s="18" t="s">
        <v>4719</v>
      </c>
      <c r="E1312" s="18" t="s">
        <v>4780</v>
      </c>
    </row>
    <row r="1313" spans="1:5" ht="24" customHeight="1" x14ac:dyDescent="0.25">
      <c r="A1313" s="16">
        <v>1324</v>
      </c>
      <c r="B1313" s="18" t="s">
        <v>4337</v>
      </c>
      <c r="C1313" s="18" t="s">
        <v>4719</v>
      </c>
      <c r="D1313" s="18" t="s">
        <v>4719</v>
      </c>
      <c r="E1313" s="18" t="s">
        <v>4781</v>
      </c>
    </row>
    <row r="1314" spans="1:5" ht="24" customHeight="1" x14ac:dyDescent="0.25">
      <c r="A1314" s="16">
        <v>1325</v>
      </c>
      <c r="B1314" s="18" t="s">
        <v>4337</v>
      </c>
      <c r="C1314" s="18" t="s">
        <v>4719</v>
      </c>
      <c r="D1314" s="18" t="s">
        <v>4719</v>
      </c>
      <c r="E1314" s="18" t="s">
        <v>4782</v>
      </c>
    </row>
    <row r="1315" spans="1:5" ht="24" customHeight="1" x14ac:dyDescent="0.25">
      <c r="A1315" s="16">
        <v>1326</v>
      </c>
      <c r="B1315" s="18" t="s">
        <v>4337</v>
      </c>
      <c r="C1315" s="18" t="s">
        <v>4783</v>
      </c>
      <c r="D1315" s="18" t="s">
        <v>4783</v>
      </c>
      <c r="E1315" s="18" t="s">
        <v>4784</v>
      </c>
    </row>
    <row r="1316" spans="1:5" ht="24" customHeight="1" x14ac:dyDescent="0.25">
      <c r="A1316" s="16">
        <v>1327</v>
      </c>
      <c r="B1316" s="18" t="s">
        <v>4337</v>
      </c>
      <c r="C1316" s="18" t="s">
        <v>4783</v>
      </c>
      <c r="D1316" s="18" t="s">
        <v>4783</v>
      </c>
      <c r="E1316" s="18" t="s">
        <v>4785</v>
      </c>
    </row>
    <row r="1317" spans="1:5" ht="24" customHeight="1" x14ac:dyDescent="0.25">
      <c r="A1317" s="16">
        <v>1328</v>
      </c>
      <c r="B1317" s="18" t="s">
        <v>4337</v>
      </c>
      <c r="C1317" s="18" t="s">
        <v>4783</v>
      </c>
      <c r="D1317" s="18" t="s">
        <v>4783</v>
      </c>
      <c r="E1317" s="18" t="s">
        <v>4786</v>
      </c>
    </row>
    <row r="1318" spans="1:5" ht="24" customHeight="1" x14ac:dyDescent="0.25">
      <c r="A1318" s="16">
        <v>1329</v>
      </c>
      <c r="B1318" s="18" t="s">
        <v>4337</v>
      </c>
      <c r="C1318" s="18" t="s">
        <v>4783</v>
      </c>
      <c r="D1318" s="18" t="s">
        <v>4783</v>
      </c>
      <c r="E1318" s="18" t="s">
        <v>4787</v>
      </c>
    </row>
    <row r="1319" spans="1:5" ht="24" customHeight="1" x14ac:dyDescent="0.25">
      <c r="A1319" s="16">
        <v>1330</v>
      </c>
      <c r="B1319" s="18" t="s">
        <v>4337</v>
      </c>
      <c r="C1319" s="18" t="s">
        <v>4783</v>
      </c>
      <c r="D1319" s="18" t="s">
        <v>4783</v>
      </c>
      <c r="E1319" s="18" t="s">
        <v>4788</v>
      </c>
    </row>
    <row r="1320" spans="1:5" ht="24" customHeight="1" x14ac:dyDescent="0.25">
      <c r="A1320" s="16">
        <v>1331</v>
      </c>
      <c r="B1320" s="18" t="s">
        <v>4337</v>
      </c>
      <c r="C1320" s="18" t="s">
        <v>4783</v>
      </c>
      <c r="D1320" s="18" t="s">
        <v>4783</v>
      </c>
      <c r="E1320" s="18" t="s">
        <v>4789</v>
      </c>
    </row>
    <row r="1321" spans="1:5" ht="24" customHeight="1" x14ac:dyDescent="0.25">
      <c r="A1321" s="16">
        <v>1332</v>
      </c>
      <c r="B1321" s="18" t="s">
        <v>4337</v>
      </c>
      <c r="C1321" s="18" t="s">
        <v>4783</v>
      </c>
      <c r="D1321" s="18" t="s">
        <v>4783</v>
      </c>
      <c r="E1321" s="18" t="s">
        <v>4790</v>
      </c>
    </row>
    <row r="1322" spans="1:5" ht="24" customHeight="1" x14ac:dyDescent="0.25">
      <c r="A1322" s="16">
        <v>1333</v>
      </c>
      <c r="B1322" s="18" t="s">
        <v>4337</v>
      </c>
      <c r="C1322" s="18" t="s">
        <v>4783</v>
      </c>
      <c r="D1322" s="18" t="s">
        <v>4783</v>
      </c>
      <c r="E1322" s="18" t="s">
        <v>4791</v>
      </c>
    </row>
    <row r="1323" spans="1:5" ht="24" customHeight="1" x14ac:dyDescent="0.25">
      <c r="A1323" s="16">
        <v>1334</v>
      </c>
      <c r="B1323" s="18" t="s">
        <v>4337</v>
      </c>
      <c r="C1323" s="18" t="s">
        <v>4783</v>
      </c>
      <c r="D1323" s="18" t="s">
        <v>4783</v>
      </c>
      <c r="E1323" s="18" t="s">
        <v>4792</v>
      </c>
    </row>
    <row r="1324" spans="1:5" ht="24" customHeight="1" x14ac:dyDescent="0.25">
      <c r="A1324" s="16">
        <v>1335</v>
      </c>
      <c r="B1324" s="18" t="s">
        <v>4337</v>
      </c>
      <c r="C1324" s="18" t="s">
        <v>4783</v>
      </c>
      <c r="D1324" s="18" t="s">
        <v>4783</v>
      </c>
      <c r="E1324" s="18" t="s">
        <v>4793</v>
      </c>
    </row>
    <row r="1325" spans="1:5" ht="24" customHeight="1" x14ac:dyDescent="0.25">
      <c r="A1325" s="16">
        <v>1336</v>
      </c>
      <c r="B1325" s="18" t="s">
        <v>4337</v>
      </c>
      <c r="C1325" s="18" t="s">
        <v>4783</v>
      </c>
      <c r="D1325" s="18" t="s">
        <v>4783</v>
      </c>
      <c r="E1325" s="18" t="s">
        <v>4794</v>
      </c>
    </row>
    <row r="1326" spans="1:5" ht="24" customHeight="1" x14ac:dyDescent="0.25">
      <c r="A1326" s="16">
        <v>1337</v>
      </c>
      <c r="B1326" s="18" t="s">
        <v>4337</v>
      </c>
      <c r="C1326" s="18" t="s">
        <v>4783</v>
      </c>
      <c r="D1326" s="18" t="s">
        <v>4783</v>
      </c>
      <c r="E1326" s="18" t="s">
        <v>4795</v>
      </c>
    </row>
    <row r="1327" spans="1:5" ht="24" customHeight="1" x14ac:dyDescent="0.25">
      <c r="A1327" s="16">
        <v>1338</v>
      </c>
      <c r="B1327" s="18" t="s">
        <v>4337</v>
      </c>
      <c r="C1327" s="18" t="s">
        <v>4783</v>
      </c>
      <c r="D1327" s="18" t="s">
        <v>4783</v>
      </c>
      <c r="E1327" s="18" t="s">
        <v>4796</v>
      </c>
    </row>
    <row r="1328" spans="1:5" ht="36" customHeight="1" x14ac:dyDescent="0.25">
      <c r="A1328" s="16">
        <v>1339</v>
      </c>
      <c r="B1328" s="18" t="s">
        <v>4337</v>
      </c>
      <c r="C1328" s="18" t="s">
        <v>4783</v>
      </c>
      <c r="D1328" s="18" t="s">
        <v>4783</v>
      </c>
      <c r="E1328" s="18" t="s">
        <v>4797</v>
      </c>
    </row>
    <row r="1329" spans="1:5" ht="24" customHeight="1" x14ac:dyDescent="0.25">
      <c r="A1329" s="16">
        <v>1340</v>
      </c>
      <c r="B1329" s="18" t="s">
        <v>4337</v>
      </c>
      <c r="C1329" s="18" t="s">
        <v>4783</v>
      </c>
      <c r="D1329" s="18" t="s">
        <v>4783</v>
      </c>
      <c r="E1329" s="18" t="s">
        <v>4798</v>
      </c>
    </row>
    <row r="1330" spans="1:5" ht="24" customHeight="1" x14ac:dyDescent="0.25">
      <c r="A1330" s="16">
        <v>1341</v>
      </c>
      <c r="B1330" s="18" t="s">
        <v>4337</v>
      </c>
      <c r="C1330" s="18" t="s">
        <v>4783</v>
      </c>
      <c r="D1330" s="18" t="s">
        <v>4783</v>
      </c>
      <c r="E1330" s="18" t="s">
        <v>4799</v>
      </c>
    </row>
    <row r="1331" spans="1:5" ht="24" customHeight="1" x14ac:dyDescent="0.25">
      <c r="A1331" s="16">
        <v>1342</v>
      </c>
      <c r="B1331" s="18" t="s">
        <v>4337</v>
      </c>
      <c r="C1331" s="18" t="s">
        <v>4783</v>
      </c>
      <c r="D1331" s="18" t="s">
        <v>4783</v>
      </c>
      <c r="E1331" s="18" t="s">
        <v>4800</v>
      </c>
    </row>
    <row r="1332" spans="1:5" ht="24" customHeight="1" x14ac:dyDescent="0.25">
      <c r="A1332" s="16">
        <v>1343</v>
      </c>
      <c r="B1332" s="18" t="s">
        <v>4337</v>
      </c>
      <c r="C1332" s="18" t="s">
        <v>4783</v>
      </c>
      <c r="D1332" s="18" t="s">
        <v>4783</v>
      </c>
      <c r="E1332" s="18" t="s">
        <v>4801</v>
      </c>
    </row>
    <row r="1333" spans="1:5" ht="24" customHeight="1" x14ac:dyDescent="0.25">
      <c r="A1333" s="16">
        <v>1344</v>
      </c>
      <c r="B1333" s="18" t="s">
        <v>4337</v>
      </c>
      <c r="C1333" s="18" t="s">
        <v>4783</v>
      </c>
      <c r="D1333" s="18" t="s">
        <v>4783</v>
      </c>
      <c r="E1333" s="18" t="s">
        <v>4802</v>
      </c>
    </row>
    <row r="1334" spans="1:5" ht="24" customHeight="1" x14ac:dyDescent="0.25">
      <c r="A1334" s="16">
        <v>1345</v>
      </c>
      <c r="B1334" s="18" t="s">
        <v>4337</v>
      </c>
      <c r="C1334" s="18" t="s">
        <v>4783</v>
      </c>
      <c r="D1334" s="18" t="s">
        <v>4783</v>
      </c>
      <c r="E1334" s="18" t="s">
        <v>4803</v>
      </c>
    </row>
    <row r="1335" spans="1:5" ht="24" customHeight="1" x14ac:dyDescent="0.25">
      <c r="A1335" s="16">
        <v>1346</v>
      </c>
      <c r="B1335" s="18" t="s">
        <v>4337</v>
      </c>
      <c r="C1335" s="18" t="s">
        <v>4783</v>
      </c>
      <c r="D1335" s="18" t="s">
        <v>4804</v>
      </c>
      <c r="E1335" s="18" t="s">
        <v>4805</v>
      </c>
    </row>
    <row r="1336" spans="1:5" ht="24" customHeight="1" x14ac:dyDescent="0.25">
      <c r="A1336" s="16">
        <v>1347</v>
      </c>
      <c r="B1336" s="18" t="s">
        <v>4337</v>
      </c>
      <c r="C1336" s="18" t="s">
        <v>4783</v>
      </c>
      <c r="D1336" s="18" t="s">
        <v>4804</v>
      </c>
      <c r="E1336" s="18" t="s">
        <v>4806</v>
      </c>
    </row>
    <row r="1337" spans="1:5" ht="24" customHeight="1" x14ac:dyDescent="0.25">
      <c r="A1337" s="16">
        <v>1348</v>
      </c>
      <c r="B1337" s="18" t="s">
        <v>4337</v>
      </c>
      <c r="C1337" s="18" t="s">
        <v>4783</v>
      </c>
      <c r="D1337" s="18" t="s">
        <v>4804</v>
      </c>
      <c r="E1337" s="18" t="s">
        <v>4807</v>
      </c>
    </row>
    <row r="1338" spans="1:5" ht="24" customHeight="1" x14ac:dyDescent="0.25">
      <c r="A1338" s="16">
        <v>1349</v>
      </c>
      <c r="B1338" s="18" t="s">
        <v>4337</v>
      </c>
      <c r="C1338" s="18" t="s">
        <v>4783</v>
      </c>
      <c r="D1338" s="18" t="s">
        <v>4804</v>
      </c>
      <c r="E1338" s="18" t="s">
        <v>4808</v>
      </c>
    </row>
    <row r="1339" spans="1:5" ht="24" customHeight="1" x14ac:dyDescent="0.25">
      <c r="A1339" s="16">
        <v>1350</v>
      </c>
      <c r="B1339" s="18" t="s">
        <v>4337</v>
      </c>
      <c r="C1339" s="18" t="s">
        <v>4783</v>
      </c>
      <c r="D1339" s="18" t="s">
        <v>4804</v>
      </c>
      <c r="E1339" s="18" t="s">
        <v>4809</v>
      </c>
    </row>
    <row r="1340" spans="1:5" ht="24" customHeight="1" x14ac:dyDescent="0.25">
      <c r="A1340" s="16">
        <v>1351</v>
      </c>
      <c r="B1340" s="18" t="s">
        <v>4337</v>
      </c>
      <c r="C1340" s="18" t="s">
        <v>4783</v>
      </c>
      <c r="D1340" s="18" t="s">
        <v>4804</v>
      </c>
      <c r="E1340" s="18" t="s">
        <v>4810</v>
      </c>
    </row>
    <row r="1341" spans="1:5" ht="24" customHeight="1" x14ac:dyDescent="0.25">
      <c r="A1341" s="16">
        <v>1352</v>
      </c>
      <c r="B1341" s="18" t="s">
        <v>4337</v>
      </c>
      <c r="C1341" s="18" t="s">
        <v>4783</v>
      </c>
      <c r="D1341" s="18" t="s">
        <v>4804</v>
      </c>
      <c r="E1341" s="18" t="s">
        <v>4811</v>
      </c>
    </row>
    <row r="1342" spans="1:5" ht="24" customHeight="1" x14ac:dyDescent="0.25">
      <c r="A1342" s="16">
        <v>1353</v>
      </c>
      <c r="B1342" s="18" t="s">
        <v>4337</v>
      </c>
      <c r="C1342" s="18" t="s">
        <v>4783</v>
      </c>
      <c r="D1342" s="18" t="s">
        <v>4804</v>
      </c>
      <c r="E1342" s="18" t="s">
        <v>4812</v>
      </c>
    </row>
    <row r="1343" spans="1:5" ht="24" customHeight="1" x14ac:dyDescent="0.25">
      <c r="A1343" s="16">
        <v>1354</v>
      </c>
      <c r="B1343" s="18" t="s">
        <v>4337</v>
      </c>
      <c r="C1343" s="18" t="s">
        <v>4783</v>
      </c>
      <c r="D1343" s="18" t="s">
        <v>4804</v>
      </c>
      <c r="E1343" s="18" t="s">
        <v>4813</v>
      </c>
    </row>
    <row r="1344" spans="1:5" ht="24" customHeight="1" x14ac:dyDescent="0.25">
      <c r="A1344" s="16">
        <v>1355</v>
      </c>
      <c r="B1344" s="18" t="s">
        <v>4337</v>
      </c>
      <c r="C1344" s="18" t="s">
        <v>4783</v>
      </c>
      <c r="D1344" s="18" t="s">
        <v>4804</v>
      </c>
      <c r="E1344" s="18" t="s">
        <v>4814</v>
      </c>
    </row>
    <row r="1345" spans="1:5" ht="24" customHeight="1" x14ac:dyDescent="0.25">
      <c r="A1345" s="16">
        <v>1356</v>
      </c>
      <c r="B1345" s="18" t="s">
        <v>4337</v>
      </c>
      <c r="C1345" s="18" t="s">
        <v>4783</v>
      </c>
      <c r="D1345" s="18" t="s">
        <v>4804</v>
      </c>
      <c r="E1345" s="18" t="s">
        <v>4815</v>
      </c>
    </row>
    <row r="1346" spans="1:5" ht="24" customHeight="1" x14ac:dyDescent="0.25">
      <c r="A1346" s="16">
        <v>1357</v>
      </c>
      <c r="B1346" s="18" t="s">
        <v>4337</v>
      </c>
      <c r="C1346" s="18" t="s">
        <v>4783</v>
      </c>
      <c r="D1346" s="18" t="s">
        <v>4804</v>
      </c>
      <c r="E1346" s="18" t="s">
        <v>4816</v>
      </c>
    </row>
    <row r="1347" spans="1:5" ht="24" customHeight="1" x14ac:dyDescent="0.25">
      <c r="A1347" s="16">
        <v>1358</v>
      </c>
      <c r="B1347" s="18" t="s">
        <v>4337</v>
      </c>
      <c r="C1347" s="18" t="s">
        <v>4783</v>
      </c>
      <c r="D1347" s="18" t="s">
        <v>4804</v>
      </c>
      <c r="E1347" s="18" t="s">
        <v>4817</v>
      </c>
    </row>
    <row r="1348" spans="1:5" ht="24" customHeight="1" x14ac:dyDescent="0.25">
      <c r="A1348" s="16">
        <v>1359</v>
      </c>
      <c r="B1348" s="18" t="s">
        <v>4337</v>
      </c>
      <c r="C1348" s="18" t="s">
        <v>4783</v>
      </c>
      <c r="D1348" s="18" t="s">
        <v>4804</v>
      </c>
      <c r="E1348" s="18" t="s">
        <v>4818</v>
      </c>
    </row>
    <row r="1349" spans="1:5" ht="24" customHeight="1" x14ac:dyDescent="0.25">
      <c r="A1349" s="16">
        <v>1360</v>
      </c>
      <c r="B1349" s="18" t="s">
        <v>4337</v>
      </c>
      <c r="C1349" s="18" t="s">
        <v>4783</v>
      </c>
      <c r="D1349" s="18" t="s">
        <v>4819</v>
      </c>
      <c r="E1349" s="18" t="s">
        <v>4820</v>
      </c>
    </row>
    <row r="1350" spans="1:5" ht="24" customHeight="1" x14ac:dyDescent="0.25">
      <c r="A1350" s="16">
        <v>1361</v>
      </c>
      <c r="B1350" s="18" t="s">
        <v>4337</v>
      </c>
      <c r="C1350" s="18" t="s">
        <v>4783</v>
      </c>
      <c r="D1350" s="18" t="s">
        <v>4819</v>
      </c>
      <c r="E1350" s="18" t="s">
        <v>4821</v>
      </c>
    </row>
    <row r="1351" spans="1:5" ht="24" customHeight="1" x14ac:dyDescent="0.25">
      <c r="A1351" s="16">
        <v>1362</v>
      </c>
      <c r="B1351" s="18" t="s">
        <v>4337</v>
      </c>
      <c r="C1351" s="18" t="s">
        <v>4783</v>
      </c>
      <c r="D1351" s="18" t="s">
        <v>4819</v>
      </c>
      <c r="E1351" s="18" t="s">
        <v>4822</v>
      </c>
    </row>
    <row r="1352" spans="1:5" ht="24" customHeight="1" x14ac:dyDescent="0.25">
      <c r="A1352" s="16">
        <v>1363</v>
      </c>
      <c r="B1352" s="18" t="s">
        <v>4337</v>
      </c>
      <c r="C1352" s="18" t="s">
        <v>4783</v>
      </c>
      <c r="D1352" s="18" t="s">
        <v>4819</v>
      </c>
      <c r="E1352" s="18" t="s">
        <v>4823</v>
      </c>
    </row>
    <row r="1353" spans="1:5" ht="24" customHeight="1" x14ac:dyDescent="0.25">
      <c r="A1353" s="16">
        <v>1364</v>
      </c>
      <c r="B1353" s="18" t="s">
        <v>4337</v>
      </c>
      <c r="C1353" s="18" t="s">
        <v>4783</v>
      </c>
      <c r="D1353" s="18" t="s">
        <v>4819</v>
      </c>
      <c r="E1353" s="18" t="s">
        <v>4824</v>
      </c>
    </row>
    <row r="1354" spans="1:5" ht="24" customHeight="1" x14ac:dyDescent="0.25">
      <c r="A1354" s="16">
        <v>1365</v>
      </c>
      <c r="B1354" s="18" t="s">
        <v>4337</v>
      </c>
      <c r="C1354" s="18" t="s">
        <v>4783</v>
      </c>
      <c r="D1354" s="18" t="s">
        <v>4819</v>
      </c>
      <c r="E1354" s="18" t="s">
        <v>4825</v>
      </c>
    </row>
    <row r="1355" spans="1:5" ht="24" customHeight="1" x14ac:dyDescent="0.25">
      <c r="A1355" s="16">
        <v>1366</v>
      </c>
      <c r="B1355" s="18" t="s">
        <v>4337</v>
      </c>
      <c r="C1355" s="18" t="s">
        <v>4783</v>
      </c>
      <c r="D1355" s="18" t="s">
        <v>4819</v>
      </c>
      <c r="E1355" s="18" t="s">
        <v>4826</v>
      </c>
    </row>
    <row r="1356" spans="1:5" ht="24" customHeight="1" x14ac:dyDescent="0.25">
      <c r="A1356" s="16">
        <v>1367</v>
      </c>
      <c r="B1356" s="18" t="s">
        <v>4337</v>
      </c>
      <c r="C1356" s="18" t="s">
        <v>4783</v>
      </c>
      <c r="D1356" s="18" t="s">
        <v>4819</v>
      </c>
      <c r="E1356" s="18" t="s">
        <v>4827</v>
      </c>
    </row>
    <row r="1357" spans="1:5" ht="24" customHeight="1" x14ac:dyDescent="0.25">
      <c r="A1357" s="16">
        <v>1368</v>
      </c>
      <c r="B1357" s="18" t="s">
        <v>4337</v>
      </c>
      <c r="C1357" s="18" t="s">
        <v>4783</v>
      </c>
      <c r="D1357" s="18" t="s">
        <v>4819</v>
      </c>
      <c r="E1357" s="18" t="s">
        <v>4828</v>
      </c>
    </row>
    <row r="1358" spans="1:5" ht="24" customHeight="1" x14ac:dyDescent="0.25">
      <c r="A1358" s="16">
        <v>1369</v>
      </c>
      <c r="B1358" s="18" t="s">
        <v>4337</v>
      </c>
      <c r="C1358" s="18" t="s">
        <v>4783</v>
      </c>
      <c r="D1358" s="18" t="s">
        <v>4819</v>
      </c>
      <c r="E1358" s="18" t="s">
        <v>4829</v>
      </c>
    </row>
    <row r="1359" spans="1:5" ht="24" customHeight="1" x14ac:dyDescent="0.25">
      <c r="A1359" s="16">
        <v>1370</v>
      </c>
      <c r="B1359" s="18" t="s">
        <v>4337</v>
      </c>
      <c r="C1359" s="18" t="s">
        <v>4783</v>
      </c>
      <c r="D1359" s="18" t="s">
        <v>4819</v>
      </c>
      <c r="E1359" s="18" t="s">
        <v>4830</v>
      </c>
    </row>
    <row r="1360" spans="1:5" ht="24" customHeight="1" x14ac:dyDescent="0.25">
      <c r="A1360" s="16">
        <v>1371</v>
      </c>
      <c r="B1360" s="18" t="s">
        <v>4337</v>
      </c>
      <c r="C1360" s="18" t="s">
        <v>4783</v>
      </c>
      <c r="D1360" s="18" t="s">
        <v>4819</v>
      </c>
      <c r="E1360" s="18" t="s">
        <v>4831</v>
      </c>
    </row>
    <row r="1361" spans="1:5" ht="24" customHeight="1" x14ac:dyDescent="0.25">
      <c r="A1361" s="16">
        <v>1372</v>
      </c>
      <c r="B1361" s="18" t="s">
        <v>4337</v>
      </c>
      <c r="C1361" s="18" t="s">
        <v>4783</v>
      </c>
      <c r="D1361" s="18" t="s">
        <v>4819</v>
      </c>
      <c r="E1361" s="18" t="s">
        <v>4832</v>
      </c>
    </row>
    <row r="1362" spans="1:5" ht="24" customHeight="1" x14ac:dyDescent="0.25">
      <c r="A1362" s="16">
        <v>1373</v>
      </c>
      <c r="B1362" s="18" t="s">
        <v>4337</v>
      </c>
      <c r="C1362" s="18" t="s">
        <v>4783</v>
      </c>
      <c r="D1362" s="18" t="s">
        <v>4819</v>
      </c>
      <c r="E1362" s="18" t="s">
        <v>4833</v>
      </c>
    </row>
    <row r="1363" spans="1:5" ht="24" customHeight="1" x14ac:dyDescent="0.25">
      <c r="A1363" s="16">
        <v>1374</v>
      </c>
      <c r="B1363" s="18" t="s">
        <v>4337</v>
      </c>
      <c r="C1363" s="18" t="s">
        <v>4783</v>
      </c>
      <c r="D1363" s="18" t="s">
        <v>4834</v>
      </c>
      <c r="E1363" s="18" t="s">
        <v>4835</v>
      </c>
    </row>
    <row r="1364" spans="1:5" ht="24" customHeight="1" x14ac:dyDescent="0.25">
      <c r="A1364" s="16">
        <v>1375</v>
      </c>
      <c r="B1364" s="18" t="s">
        <v>4337</v>
      </c>
      <c r="C1364" s="18" t="s">
        <v>4783</v>
      </c>
      <c r="D1364" s="18" t="s">
        <v>4834</v>
      </c>
      <c r="E1364" s="18" t="s">
        <v>4836</v>
      </c>
    </row>
    <row r="1365" spans="1:5" ht="24" customHeight="1" x14ac:dyDescent="0.25">
      <c r="A1365" s="16">
        <v>1376</v>
      </c>
      <c r="B1365" s="18" t="s">
        <v>4337</v>
      </c>
      <c r="C1365" s="18" t="s">
        <v>4783</v>
      </c>
      <c r="D1365" s="18" t="s">
        <v>4834</v>
      </c>
      <c r="E1365" s="18" t="s">
        <v>4837</v>
      </c>
    </row>
    <row r="1366" spans="1:5" ht="24" customHeight="1" x14ac:dyDescent="0.25">
      <c r="A1366" s="16">
        <v>1377</v>
      </c>
      <c r="B1366" s="18" t="s">
        <v>4337</v>
      </c>
      <c r="C1366" s="18" t="s">
        <v>4783</v>
      </c>
      <c r="D1366" s="18" t="s">
        <v>4834</v>
      </c>
      <c r="E1366" s="18" t="s">
        <v>4838</v>
      </c>
    </row>
    <row r="1367" spans="1:5" ht="24" customHeight="1" x14ac:dyDescent="0.25">
      <c r="A1367" s="16">
        <v>1378</v>
      </c>
      <c r="B1367" s="18" t="s">
        <v>4337</v>
      </c>
      <c r="C1367" s="18" t="s">
        <v>4783</v>
      </c>
      <c r="D1367" s="18" t="s">
        <v>4834</v>
      </c>
      <c r="E1367" s="18" t="s">
        <v>4839</v>
      </c>
    </row>
    <row r="1368" spans="1:5" ht="24" customHeight="1" x14ac:dyDescent="0.25">
      <c r="A1368" s="16">
        <v>1379</v>
      </c>
      <c r="B1368" s="18" t="s">
        <v>4337</v>
      </c>
      <c r="C1368" s="18" t="s">
        <v>4783</v>
      </c>
      <c r="D1368" s="18" t="s">
        <v>4834</v>
      </c>
      <c r="E1368" s="18" t="s">
        <v>4840</v>
      </c>
    </row>
    <row r="1369" spans="1:5" ht="24" customHeight="1" x14ac:dyDescent="0.25">
      <c r="A1369" s="16">
        <v>1380</v>
      </c>
      <c r="B1369" s="18" t="s">
        <v>4337</v>
      </c>
      <c r="C1369" s="18" t="s">
        <v>4783</v>
      </c>
      <c r="D1369" s="18" t="s">
        <v>4834</v>
      </c>
      <c r="E1369" s="18" t="s">
        <v>4841</v>
      </c>
    </row>
    <row r="1370" spans="1:5" ht="24" customHeight="1" x14ac:dyDescent="0.25">
      <c r="A1370" s="16">
        <v>1381</v>
      </c>
      <c r="B1370" s="18" t="s">
        <v>4337</v>
      </c>
      <c r="C1370" s="18" t="s">
        <v>4783</v>
      </c>
      <c r="D1370" s="18" t="s">
        <v>4834</v>
      </c>
      <c r="E1370" s="18" t="s">
        <v>4842</v>
      </c>
    </row>
    <row r="1371" spans="1:5" ht="24" customHeight="1" x14ac:dyDescent="0.25">
      <c r="A1371" s="16">
        <v>1382</v>
      </c>
      <c r="B1371" s="18" t="s">
        <v>4337</v>
      </c>
      <c r="C1371" s="18" t="s">
        <v>4783</v>
      </c>
      <c r="D1371" s="18" t="s">
        <v>4834</v>
      </c>
      <c r="E1371" s="18" t="s">
        <v>4843</v>
      </c>
    </row>
    <row r="1372" spans="1:5" ht="24" customHeight="1" x14ac:dyDescent="0.25">
      <c r="A1372" s="16">
        <v>1383</v>
      </c>
      <c r="B1372" s="18" t="s">
        <v>4337</v>
      </c>
      <c r="C1372" s="18" t="s">
        <v>4783</v>
      </c>
      <c r="D1372" s="18" t="s">
        <v>4834</v>
      </c>
      <c r="E1372" s="18" t="s">
        <v>4844</v>
      </c>
    </row>
    <row r="1373" spans="1:5" ht="36" customHeight="1" x14ac:dyDescent="0.25">
      <c r="A1373" s="16">
        <v>1384</v>
      </c>
      <c r="B1373" s="18" t="s">
        <v>4337</v>
      </c>
      <c r="C1373" s="18" t="s">
        <v>4783</v>
      </c>
      <c r="D1373" s="18" t="s">
        <v>4834</v>
      </c>
      <c r="E1373" s="18" t="s">
        <v>4845</v>
      </c>
    </row>
    <row r="1374" spans="1:5" ht="36" customHeight="1" x14ac:dyDescent="0.25">
      <c r="A1374" s="16">
        <v>1385</v>
      </c>
      <c r="B1374" s="18" t="s">
        <v>4337</v>
      </c>
      <c r="C1374" s="18" t="s">
        <v>4783</v>
      </c>
      <c r="D1374" s="18" t="s">
        <v>4834</v>
      </c>
      <c r="E1374" s="18" t="s">
        <v>4846</v>
      </c>
    </row>
    <row r="1375" spans="1:5" ht="24" customHeight="1" x14ac:dyDescent="0.25">
      <c r="A1375" s="16">
        <v>1386</v>
      </c>
      <c r="B1375" s="18" t="s">
        <v>4337</v>
      </c>
      <c r="C1375" s="18" t="s">
        <v>4783</v>
      </c>
      <c r="D1375" s="18" t="s">
        <v>4834</v>
      </c>
      <c r="E1375" s="18" t="s">
        <v>4847</v>
      </c>
    </row>
    <row r="1376" spans="1:5" ht="24" customHeight="1" x14ac:dyDescent="0.25">
      <c r="A1376" s="16">
        <v>1387</v>
      </c>
      <c r="B1376" s="18" t="s">
        <v>4337</v>
      </c>
      <c r="C1376" s="18" t="s">
        <v>4783</v>
      </c>
      <c r="D1376" s="18" t="s">
        <v>4834</v>
      </c>
      <c r="E1376" s="18" t="s">
        <v>4848</v>
      </c>
    </row>
    <row r="1377" spans="1:5" ht="24" customHeight="1" x14ac:dyDescent="0.25">
      <c r="A1377" s="16">
        <v>1388</v>
      </c>
      <c r="B1377" s="18" t="s">
        <v>4337</v>
      </c>
      <c r="C1377" s="18" t="s">
        <v>4783</v>
      </c>
      <c r="D1377" s="18" t="s">
        <v>4834</v>
      </c>
      <c r="E1377" s="18" t="s">
        <v>4849</v>
      </c>
    </row>
    <row r="1378" spans="1:5" ht="24" customHeight="1" x14ac:dyDescent="0.25">
      <c r="A1378" s="16">
        <v>1389</v>
      </c>
      <c r="B1378" s="18" t="s">
        <v>4337</v>
      </c>
      <c r="C1378" s="18" t="s">
        <v>4783</v>
      </c>
      <c r="D1378" s="18" t="s">
        <v>4834</v>
      </c>
      <c r="E1378" s="18" t="s">
        <v>4850</v>
      </c>
    </row>
    <row r="1379" spans="1:5" ht="24" customHeight="1" x14ac:dyDescent="0.25">
      <c r="A1379" s="16">
        <v>1390</v>
      </c>
      <c r="B1379" s="18" t="s">
        <v>4337</v>
      </c>
      <c r="C1379" s="18" t="s">
        <v>4783</v>
      </c>
      <c r="D1379" s="18" t="s">
        <v>4834</v>
      </c>
      <c r="E1379" s="18" t="s">
        <v>4851</v>
      </c>
    </row>
    <row r="1380" spans="1:5" ht="24" customHeight="1" x14ac:dyDescent="0.25">
      <c r="A1380" s="16">
        <v>1391</v>
      </c>
      <c r="B1380" s="18" t="s">
        <v>4337</v>
      </c>
      <c r="C1380" s="18" t="s">
        <v>4783</v>
      </c>
      <c r="D1380" s="18" t="s">
        <v>4834</v>
      </c>
      <c r="E1380" s="18" t="s">
        <v>4852</v>
      </c>
    </row>
    <row r="1381" spans="1:5" ht="36" customHeight="1" x14ac:dyDescent="0.25">
      <c r="A1381" s="16">
        <v>1392</v>
      </c>
      <c r="B1381" s="18" t="s">
        <v>4337</v>
      </c>
      <c r="C1381" s="18" t="s">
        <v>4783</v>
      </c>
      <c r="D1381" s="18" t="s">
        <v>4834</v>
      </c>
      <c r="E1381" s="18" t="s">
        <v>4853</v>
      </c>
    </row>
    <row r="1382" spans="1:5" ht="36" customHeight="1" x14ac:dyDescent="0.25">
      <c r="A1382" s="16">
        <v>1393</v>
      </c>
      <c r="B1382" s="18" t="s">
        <v>4337</v>
      </c>
      <c r="C1382" s="18" t="s">
        <v>4783</v>
      </c>
      <c r="D1382" s="18" t="s">
        <v>4834</v>
      </c>
      <c r="E1382" s="18" t="s">
        <v>4854</v>
      </c>
    </row>
    <row r="1383" spans="1:5" ht="24" customHeight="1" x14ac:dyDescent="0.25">
      <c r="A1383" s="16">
        <v>1394</v>
      </c>
      <c r="B1383" s="18" t="s">
        <v>4337</v>
      </c>
      <c r="C1383" s="18" t="s">
        <v>4783</v>
      </c>
      <c r="D1383" s="18" t="s">
        <v>4834</v>
      </c>
      <c r="E1383" s="18" t="s">
        <v>4855</v>
      </c>
    </row>
    <row r="1384" spans="1:5" ht="24" customHeight="1" x14ac:dyDescent="0.25">
      <c r="A1384" s="16">
        <v>1395</v>
      </c>
      <c r="B1384" s="18" t="s">
        <v>4337</v>
      </c>
      <c r="C1384" s="18" t="s">
        <v>4783</v>
      </c>
      <c r="D1384" s="18" t="s">
        <v>4834</v>
      </c>
      <c r="E1384" s="18" t="s">
        <v>4856</v>
      </c>
    </row>
    <row r="1385" spans="1:5" ht="24" customHeight="1" x14ac:dyDescent="0.25">
      <c r="A1385" s="16">
        <v>1396</v>
      </c>
      <c r="B1385" s="18" t="s">
        <v>4337</v>
      </c>
      <c r="C1385" s="18" t="s">
        <v>4783</v>
      </c>
      <c r="D1385" s="18" t="s">
        <v>4834</v>
      </c>
      <c r="E1385" s="18" t="s">
        <v>4857</v>
      </c>
    </row>
    <row r="1386" spans="1:5" ht="24" customHeight="1" x14ac:dyDescent="0.25">
      <c r="A1386" s="16">
        <v>1397</v>
      </c>
      <c r="B1386" s="18" t="s">
        <v>4337</v>
      </c>
      <c r="C1386" s="18" t="s">
        <v>4783</v>
      </c>
      <c r="D1386" s="18" t="s">
        <v>4834</v>
      </c>
      <c r="E1386" s="18" t="s">
        <v>4858</v>
      </c>
    </row>
    <row r="1387" spans="1:5" ht="24" customHeight="1" x14ac:dyDescent="0.25">
      <c r="A1387" s="16">
        <v>1398</v>
      </c>
      <c r="B1387" s="18" t="s">
        <v>4337</v>
      </c>
      <c r="C1387" s="18" t="s">
        <v>4783</v>
      </c>
      <c r="D1387" s="18" t="s">
        <v>4834</v>
      </c>
      <c r="E1387" s="18" t="s">
        <v>4859</v>
      </c>
    </row>
    <row r="1388" spans="1:5" ht="24" customHeight="1" x14ac:dyDescent="0.25">
      <c r="A1388" s="16">
        <v>1399</v>
      </c>
      <c r="B1388" s="18" t="s">
        <v>4337</v>
      </c>
      <c r="C1388" s="18" t="s">
        <v>4783</v>
      </c>
      <c r="D1388" s="18" t="s">
        <v>4834</v>
      </c>
      <c r="E1388" s="18" t="s">
        <v>4860</v>
      </c>
    </row>
    <row r="1389" spans="1:5" ht="24" customHeight="1" x14ac:dyDescent="0.25">
      <c r="A1389" s="16">
        <v>1400</v>
      </c>
      <c r="B1389" s="18" t="s">
        <v>4337</v>
      </c>
      <c r="C1389" s="18" t="s">
        <v>4783</v>
      </c>
      <c r="D1389" s="18" t="s">
        <v>4834</v>
      </c>
      <c r="E1389" s="18" t="s">
        <v>4861</v>
      </c>
    </row>
    <row r="1390" spans="1:5" ht="24" customHeight="1" x14ac:dyDescent="0.25">
      <c r="A1390" s="16">
        <v>1401</v>
      </c>
      <c r="B1390" s="18" t="s">
        <v>4337</v>
      </c>
      <c r="C1390" s="18" t="s">
        <v>4783</v>
      </c>
      <c r="D1390" s="18" t="s">
        <v>4834</v>
      </c>
      <c r="E1390" s="18" t="s">
        <v>4862</v>
      </c>
    </row>
    <row r="1391" spans="1:5" ht="24" customHeight="1" x14ac:dyDescent="0.25">
      <c r="A1391" s="16">
        <v>1402</v>
      </c>
      <c r="B1391" s="18" t="s">
        <v>4337</v>
      </c>
      <c r="C1391" s="18" t="s">
        <v>4783</v>
      </c>
      <c r="D1391" s="18" t="s">
        <v>4834</v>
      </c>
      <c r="E1391" s="18" t="s">
        <v>4863</v>
      </c>
    </row>
    <row r="1392" spans="1:5" ht="24" customHeight="1" x14ac:dyDescent="0.25">
      <c r="A1392" s="16">
        <v>1403</v>
      </c>
      <c r="B1392" s="18" t="s">
        <v>4337</v>
      </c>
      <c r="C1392" s="18" t="s">
        <v>4783</v>
      </c>
      <c r="D1392" s="18" t="s">
        <v>4834</v>
      </c>
      <c r="E1392" s="18" t="s">
        <v>4864</v>
      </c>
    </row>
    <row r="1393" spans="1:5" ht="24" customHeight="1" x14ac:dyDescent="0.25">
      <c r="A1393" s="16">
        <v>1404</v>
      </c>
      <c r="B1393" s="18" t="s">
        <v>4337</v>
      </c>
      <c r="C1393" s="18" t="s">
        <v>4783</v>
      </c>
      <c r="D1393" s="18" t="s">
        <v>4834</v>
      </c>
      <c r="E1393" s="18" t="s">
        <v>4865</v>
      </c>
    </row>
    <row r="1394" spans="1:5" ht="24" customHeight="1" x14ac:dyDescent="0.25">
      <c r="A1394" s="16">
        <v>1405</v>
      </c>
      <c r="B1394" s="18" t="s">
        <v>4337</v>
      </c>
      <c r="C1394" s="18" t="s">
        <v>4783</v>
      </c>
      <c r="D1394" s="18" t="s">
        <v>4834</v>
      </c>
      <c r="E1394" s="18" t="s">
        <v>4866</v>
      </c>
    </row>
    <row r="1395" spans="1:5" ht="24" customHeight="1" x14ac:dyDescent="0.25">
      <c r="A1395" s="16">
        <v>1406</v>
      </c>
      <c r="B1395" s="18" t="s">
        <v>4337</v>
      </c>
      <c r="C1395" s="18" t="s">
        <v>4783</v>
      </c>
      <c r="D1395" s="18" t="s">
        <v>4834</v>
      </c>
      <c r="E1395" s="18" t="s">
        <v>4867</v>
      </c>
    </row>
    <row r="1396" spans="1:5" ht="36" customHeight="1" x14ac:dyDescent="0.25">
      <c r="A1396" s="16">
        <v>1407</v>
      </c>
      <c r="B1396" s="18" t="s">
        <v>4337</v>
      </c>
      <c r="C1396" s="18" t="s">
        <v>4783</v>
      </c>
      <c r="D1396" s="18" t="s">
        <v>4834</v>
      </c>
      <c r="E1396" s="18" t="s">
        <v>4868</v>
      </c>
    </row>
    <row r="1397" spans="1:5" ht="24" customHeight="1" x14ac:dyDescent="0.25">
      <c r="A1397" s="16">
        <v>1408</v>
      </c>
      <c r="B1397" s="18" t="s">
        <v>4337</v>
      </c>
      <c r="C1397" s="18" t="s">
        <v>4783</v>
      </c>
      <c r="D1397" s="18" t="s">
        <v>4834</v>
      </c>
      <c r="E1397" s="18" t="s">
        <v>4869</v>
      </c>
    </row>
    <row r="1398" spans="1:5" ht="24" customHeight="1" x14ac:dyDescent="0.25">
      <c r="A1398" s="16">
        <v>1409</v>
      </c>
      <c r="B1398" s="18" t="s">
        <v>4337</v>
      </c>
      <c r="C1398" s="18" t="s">
        <v>4783</v>
      </c>
      <c r="D1398" s="18" t="s">
        <v>4834</v>
      </c>
      <c r="E1398" s="18" t="s">
        <v>4870</v>
      </c>
    </row>
    <row r="1399" spans="1:5" ht="24" customHeight="1" x14ac:dyDescent="0.25">
      <c r="A1399" s="16">
        <v>1410</v>
      </c>
      <c r="B1399" s="18" t="s">
        <v>4337</v>
      </c>
      <c r="C1399" s="18" t="s">
        <v>4783</v>
      </c>
      <c r="D1399" s="18" t="s">
        <v>4834</v>
      </c>
      <c r="E1399" s="18" t="s">
        <v>4871</v>
      </c>
    </row>
    <row r="1400" spans="1:5" ht="24" customHeight="1" x14ac:dyDescent="0.25">
      <c r="A1400" s="16">
        <v>1411</v>
      </c>
      <c r="B1400" s="18" t="s">
        <v>4337</v>
      </c>
      <c r="C1400" s="18" t="s">
        <v>4783</v>
      </c>
      <c r="D1400" s="18" t="s">
        <v>4834</v>
      </c>
      <c r="E1400" s="18" t="s">
        <v>4872</v>
      </c>
    </row>
    <row r="1401" spans="1:5" ht="24" customHeight="1" x14ac:dyDescent="0.25">
      <c r="A1401" s="16">
        <v>1412</v>
      </c>
      <c r="B1401" s="18" t="s">
        <v>4337</v>
      </c>
      <c r="C1401" s="18" t="s">
        <v>4783</v>
      </c>
      <c r="D1401" s="18" t="s">
        <v>4834</v>
      </c>
      <c r="E1401" s="18" t="s">
        <v>4873</v>
      </c>
    </row>
    <row r="1402" spans="1:5" ht="24" customHeight="1" x14ac:dyDescent="0.25">
      <c r="A1402" s="16">
        <v>1413</v>
      </c>
      <c r="B1402" s="18" t="s">
        <v>4337</v>
      </c>
      <c r="C1402" s="18" t="s">
        <v>4783</v>
      </c>
      <c r="D1402" s="18" t="s">
        <v>4834</v>
      </c>
      <c r="E1402" s="18" t="s">
        <v>4874</v>
      </c>
    </row>
    <row r="1403" spans="1:5" ht="24" customHeight="1" x14ac:dyDescent="0.25">
      <c r="A1403" s="16">
        <v>1414</v>
      </c>
      <c r="B1403" s="18" t="s">
        <v>4337</v>
      </c>
      <c r="C1403" s="18" t="s">
        <v>4783</v>
      </c>
      <c r="D1403" s="18" t="s">
        <v>4834</v>
      </c>
      <c r="E1403" s="18" t="s">
        <v>4875</v>
      </c>
    </row>
    <row r="1404" spans="1:5" ht="24" customHeight="1" x14ac:dyDescent="0.25">
      <c r="A1404" s="16">
        <v>1415</v>
      </c>
      <c r="B1404" s="18" t="s">
        <v>4337</v>
      </c>
      <c r="C1404" s="18" t="s">
        <v>4783</v>
      </c>
      <c r="D1404" s="18" t="s">
        <v>4834</v>
      </c>
      <c r="E1404" s="18" t="s">
        <v>4876</v>
      </c>
    </row>
    <row r="1405" spans="1:5" ht="24" customHeight="1" x14ac:dyDescent="0.25">
      <c r="A1405" s="16">
        <v>1416</v>
      </c>
      <c r="B1405" s="18" t="s">
        <v>4337</v>
      </c>
      <c r="C1405" s="18" t="s">
        <v>4783</v>
      </c>
      <c r="D1405" s="18" t="s">
        <v>4834</v>
      </c>
      <c r="E1405" s="18" t="s">
        <v>4877</v>
      </c>
    </row>
    <row r="1406" spans="1:5" ht="24" customHeight="1" x14ac:dyDescent="0.25">
      <c r="A1406" s="16">
        <v>1417</v>
      </c>
      <c r="B1406" s="18" t="s">
        <v>4337</v>
      </c>
      <c r="C1406" s="18" t="s">
        <v>4783</v>
      </c>
      <c r="D1406" s="18" t="s">
        <v>4834</v>
      </c>
      <c r="E1406" s="18" t="s">
        <v>4878</v>
      </c>
    </row>
    <row r="1407" spans="1:5" ht="24" customHeight="1" x14ac:dyDescent="0.25">
      <c r="A1407" s="16">
        <v>1418</v>
      </c>
      <c r="B1407" s="18" t="s">
        <v>4337</v>
      </c>
      <c r="C1407" s="18" t="s">
        <v>4783</v>
      </c>
      <c r="D1407" s="18" t="s">
        <v>4834</v>
      </c>
      <c r="E1407" s="18" t="s">
        <v>4879</v>
      </c>
    </row>
    <row r="1408" spans="1:5" ht="24" customHeight="1" x14ac:dyDescent="0.25">
      <c r="A1408" s="16">
        <v>1419</v>
      </c>
      <c r="B1408" s="18" t="s">
        <v>4337</v>
      </c>
      <c r="C1408" s="18" t="s">
        <v>4783</v>
      </c>
      <c r="D1408" s="18" t="s">
        <v>4834</v>
      </c>
      <c r="E1408" s="18" t="s">
        <v>4880</v>
      </c>
    </row>
    <row r="1409" spans="1:5" ht="24" customHeight="1" x14ac:dyDescent="0.25">
      <c r="A1409" s="16">
        <v>1420</v>
      </c>
      <c r="B1409" s="18" t="s">
        <v>4337</v>
      </c>
      <c r="C1409" s="18" t="s">
        <v>4783</v>
      </c>
      <c r="D1409" s="18" t="s">
        <v>4834</v>
      </c>
      <c r="E1409" s="18" t="s">
        <v>4881</v>
      </c>
    </row>
    <row r="1410" spans="1:5" ht="24" customHeight="1" x14ac:dyDescent="0.25">
      <c r="A1410" s="16">
        <v>1421</v>
      </c>
      <c r="B1410" s="18" t="s">
        <v>4337</v>
      </c>
      <c r="C1410" s="18" t="s">
        <v>4783</v>
      </c>
      <c r="D1410" s="18" t="s">
        <v>4834</v>
      </c>
      <c r="E1410" s="18" t="s">
        <v>4882</v>
      </c>
    </row>
    <row r="1411" spans="1:5" ht="24" customHeight="1" x14ac:dyDescent="0.25">
      <c r="A1411" s="16">
        <v>1422</v>
      </c>
      <c r="B1411" s="18" t="s">
        <v>4337</v>
      </c>
      <c r="C1411" s="18" t="s">
        <v>4783</v>
      </c>
      <c r="D1411" s="18" t="s">
        <v>4834</v>
      </c>
      <c r="E1411" s="18" t="s">
        <v>4883</v>
      </c>
    </row>
    <row r="1412" spans="1:5" ht="24" customHeight="1" x14ac:dyDescent="0.25">
      <c r="A1412" s="16">
        <v>1423</v>
      </c>
      <c r="B1412" s="18" t="s">
        <v>4337</v>
      </c>
      <c r="C1412" s="18" t="s">
        <v>4783</v>
      </c>
      <c r="D1412" s="18" t="s">
        <v>4884</v>
      </c>
      <c r="E1412" s="18" t="s">
        <v>4885</v>
      </c>
    </row>
    <row r="1413" spans="1:5" ht="24" customHeight="1" x14ac:dyDescent="0.25">
      <c r="A1413" s="16">
        <v>1424</v>
      </c>
      <c r="B1413" s="18" t="s">
        <v>4337</v>
      </c>
      <c r="C1413" s="18" t="s">
        <v>4783</v>
      </c>
      <c r="D1413" s="18" t="s">
        <v>4884</v>
      </c>
      <c r="E1413" s="18" t="s">
        <v>4886</v>
      </c>
    </row>
    <row r="1414" spans="1:5" ht="24" customHeight="1" x14ac:dyDescent="0.25">
      <c r="A1414" s="16">
        <v>1425</v>
      </c>
      <c r="B1414" s="18" t="s">
        <v>4337</v>
      </c>
      <c r="C1414" s="18" t="s">
        <v>4783</v>
      </c>
      <c r="D1414" s="18" t="s">
        <v>4884</v>
      </c>
      <c r="E1414" s="18" t="s">
        <v>4887</v>
      </c>
    </row>
    <row r="1415" spans="1:5" ht="24" customHeight="1" x14ac:dyDescent="0.25">
      <c r="A1415" s="16">
        <v>1426</v>
      </c>
      <c r="B1415" s="18" t="s">
        <v>4337</v>
      </c>
      <c r="C1415" s="18" t="s">
        <v>4783</v>
      </c>
      <c r="D1415" s="18" t="s">
        <v>4884</v>
      </c>
      <c r="E1415" s="18" t="s">
        <v>4888</v>
      </c>
    </row>
    <row r="1416" spans="1:5" ht="24" customHeight="1" x14ac:dyDescent="0.25">
      <c r="A1416" s="16">
        <v>1427</v>
      </c>
      <c r="B1416" s="18" t="s">
        <v>4337</v>
      </c>
      <c r="C1416" s="18" t="s">
        <v>4783</v>
      </c>
      <c r="D1416" s="18" t="s">
        <v>4884</v>
      </c>
      <c r="E1416" s="18" t="s">
        <v>4889</v>
      </c>
    </row>
    <row r="1417" spans="1:5" ht="24" customHeight="1" x14ac:dyDescent="0.25">
      <c r="A1417" s="16">
        <v>1428</v>
      </c>
      <c r="B1417" s="18" t="s">
        <v>4337</v>
      </c>
      <c r="C1417" s="18" t="s">
        <v>4783</v>
      </c>
      <c r="D1417" s="18" t="s">
        <v>4884</v>
      </c>
      <c r="E1417" s="18" t="s">
        <v>4890</v>
      </c>
    </row>
    <row r="1418" spans="1:5" ht="24" customHeight="1" x14ac:dyDescent="0.25">
      <c r="A1418" s="16">
        <v>1429</v>
      </c>
      <c r="B1418" s="18" t="s">
        <v>4337</v>
      </c>
      <c r="C1418" s="18" t="s">
        <v>4783</v>
      </c>
      <c r="D1418" s="18" t="s">
        <v>4884</v>
      </c>
      <c r="E1418" s="18" t="s">
        <v>4891</v>
      </c>
    </row>
    <row r="1419" spans="1:5" ht="24" customHeight="1" x14ac:dyDescent="0.25">
      <c r="A1419" s="16">
        <v>1430</v>
      </c>
      <c r="B1419" s="18" t="s">
        <v>4337</v>
      </c>
      <c r="C1419" s="18" t="s">
        <v>4783</v>
      </c>
      <c r="D1419" s="18" t="s">
        <v>4884</v>
      </c>
      <c r="E1419" s="18" t="s">
        <v>4892</v>
      </c>
    </row>
    <row r="1420" spans="1:5" ht="24" customHeight="1" x14ac:dyDescent="0.25">
      <c r="A1420" s="16">
        <v>1431</v>
      </c>
      <c r="B1420" s="18" t="s">
        <v>4337</v>
      </c>
      <c r="C1420" s="18" t="s">
        <v>4783</v>
      </c>
      <c r="D1420" s="18" t="s">
        <v>4884</v>
      </c>
      <c r="E1420" s="18" t="s">
        <v>4893</v>
      </c>
    </row>
    <row r="1421" spans="1:5" ht="24" customHeight="1" x14ac:dyDescent="0.25">
      <c r="A1421" s="16">
        <v>1432</v>
      </c>
      <c r="B1421" s="18" t="s">
        <v>4337</v>
      </c>
      <c r="C1421" s="18" t="s">
        <v>4783</v>
      </c>
      <c r="D1421" s="18" t="s">
        <v>4894</v>
      </c>
      <c r="E1421" s="18" t="s">
        <v>4895</v>
      </c>
    </row>
    <row r="1422" spans="1:5" ht="24" customHeight="1" x14ac:dyDescent="0.25">
      <c r="A1422" s="16">
        <v>1433</v>
      </c>
      <c r="B1422" s="18" t="s">
        <v>4337</v>
      </c>
      <c r="C1422" s="18" t="s">
        <v>4783</v>
      </c>
      <c r="D1422" s="18" t="s">
        <v>4894</v>
      </c>
      <c r="E1422" s="18" t="s">
        <v>4896</v>
      </c>
    </row>
    <row r="1423" spans="1:5" ht="24" customHeight="1" x14ac:dyDescent="0.25">
      <c r="A1423" s="16">
        <v>1434</v>
      </c>
      <c r="B1423" s="18" t="s">
        <v>4337</v>
      </c>
      <c r="C1423" s="18" t="s">
        <v>4783</v>
      </c>
      <c r="D1423" s="18" t="s">
        <v>4894</v>
      </c>
      <c r="E1423" s="18" t="s">
        <v>4897</v>
      </c>
    </row>
    <row r="1424" spans="1:5" ht="24" customHeight="1" x14ac:dyDescent="0.25">
      <c r="A1424" s="16">
        <v>1435</v>
      </c>
      <c r="B1424" s="18" t="s">
        <v>4337</v>
      </c>
      <c r="C1424" s="18" t="s">
        <v>4783</v>
      </c>
      <c r="D1424" s="18" t="s">
        <v>4894</v>
      </c>
      <c r="E1424" s="18" t="s">
        <v>4898</v>
      </c>
    </row>
    <row r="1425" spans="1:5" ht="24" customHeight="1" x14ac:dyDescent="0.25">
      <c r="A1425" s="16">
        <v>1436</v>
      </c>
      <c r="B1425" s="18" t="s">
        <v>4337</v>
      </c>
      <c r="C1425" s="18" t="s">
        <v>4783</v>
      </c>
      <c r="D1425" s="18" t="s">
        <v>4894</v>
      </c>
      <c r="E1425" s="18" t="s">
        <v>4899</v>
      </c>
    </row>
    <row r="1426" spans="1:5" ht="24" customHeight="1" x14ac:dyDescent="0.25">
      <c r="A1426" s="16">
        <v>1437</v>
      </c>
      <c r="B1426" s="18" t="s">
        <v>4337</v>
      </c>
      <c r="C1426" s="18" t="s">
        <v>4783</v>
      </c>
      <c r="D1426" s="18" t="s">
        <v>4894</v>
      </c>
      <c r="E1426" s="18" t="s">
        <v>4900</v>
      </c>
    </row>
    <row r="1427" spans="1:5" ht="24" customHeight="1" x14ac:dyDescent="0.25">
      <c r="A1427" s="16">
        <v>1438</v>
      </c>
      <c r="B1427" s="18" t="s">
        <v>4337</v>
      </c>
      <c r="C1427" s="18" t="s">
        <v>4783</v>
      </c>
      <c r="D1427" s="18" t="s">
        <v>4894</v>
      </c>
      <c r="E1427" s="18" t="s">
        <v>4901</v>
      </c>
    </row>
    <row r="1428" spans="1:5" ht="24" customHeight="1" x14ac:dyDescent="0.25">
      <c r="A1428" s="16">
        <v>1439</v>
      </c>
      <c r="B1428" s="18" t="s">
        <v>4337</v>
      </c>
      <c r="C1428" s="18" t="s">
        <v>4783</v>
      </c>
      <c r="D1428" s="18" t="s">
        <v>4894</v>
      </c>
      <c r="E1428" s="18" t="s">
        <v>4902</v>
      </c>
    </row>
    <row r="1429" spans="1:5" ht="24" customHeight="1" x14ac:dyDescent="0.25">
      <c r="A1429" s="16">
        <v>1440</v>
      </c>
      <c r="B1429" s="18" t="s">
        <v>4337</v>
      </c>
      <c r="C1429" s="18" t="s">
        <v>4783</v>
      </c>
      <c r="D1429" s="18" t="s">
        <v>4894</v>
      </c>
      <c r="E1429" s="18" t="s">
        <v>4903</v>
      </c>
    </row>
    <row r="1430" spans="1:5" ht="24" customHeight="1" x14ac:dyDescent="0.25">
      <c r="A1430" s="16">
        <v>1441</v>
      </c>
      <c r="B1430" s="18" t="s">
        <v>4337</v>
      </c>
      <c r="C1430" s="18" t="s">
        <v>4783</v>
      </c>
      <c r="D1430" s="18" t="s">
        <v>4904</v>
      </c>
      <c r="E1430" s="18" t="s">
        <v>4805</v>
      </c>
    </row>
    <row r="1431" spans="1:5" ht="24" customHeight="1" x14ac:dyDescent="0.25">
      <c r="A1431" s="16">
        <v>1442</v>
      </c>
      <c r="B1431" s="18" t="s">
        <v>4337</v>
      </c>
      <c r="C1431" s="18" t="s">
        <v>4783</v>
      </c>
      <c r="D1431" s="18" t="s">
        <v>4904</v>
      </c>
      <c r="E1431" s="18" t="s">
        <v>4905</v>
      </c>
    </row>
    <row r="1432" spans="1:5" ht="24" customHeight="1" x14ac:dyDescent="0.25">
      <c r="A1432" s="16">
        <v>1443</v>
      </c>
      <c r="B1432" s="18" t="s">
        <v>4337</v>
      </c>
      <c r="C1432" s="18" t="s">
        <v>4783</v>
      </c>
      <c r="D1432" s="18" t="s">
        <v>4904</v>
      </c>
      <c r="E1432" s="18" t="s">
        <v>4906</v>
      </c>
    </row>
    <row r="1433" spans="1:5" ht="24" customHeight="1" x14ac:dyDescent="0.25">
      <c r="A1433" s="16">
        <v>1444</v>
      </c>
      <c r="B1433" s="18" t="s">
        <v>4337</v>
      </c>
      <c r="C1433" s="18" t="s">
        <v>4783</v>
      </c>
      <c r="D1433" s="18" t="s">
        <v>4904</v>
      </c>
      <c r="E1433" s="18" t="s">
        <v>4907</v>
      </c>
    </row>
    <row r="1434" spans="1:5" ht="24" customHeight="1" x14ac:dyDescent="0.25">
      <c r="A1434" s="16">
        <v>1445</v>
      </c>
      <c r="B1434" s="18" t="s">
        <v>4337</v>
      </c>
      <c r="C1434" s="18" t="s">
        <v>4783</v>
      </c>
      <c r="D1434" s="18" t="s">
        <v>4904</v>
      </c>
      <c r="E1434" s="18" t="s">
        <v>4908</v>
      </c>
    </row>
    <row r="1435" spans="1:5" ht="24" customHeight="1" x14ac:dyDescent="0.25">
      <c r="A1435" s="16">
        <v>1446</v>
      </c>
      <c r="B1435" s="18" t="s">
        <v>4337</v>
      </c>
      <c r="C1435" s="18" t="s">
        <v>4783</v>
      </c>
      <c r="D1435" s="18" t="s">
        <v>4904</v>
      </c>
      <c r="E1435" s="18" t="s">
        <v>4909</v>
      </c>
    </row>
    <row r="1436" spans="1:5" ht="24" customHeight="1" x14ac:dyDescent="0.25">
      <c r="A1436" s="16">
        <v>1447</v>
      </c>
      <c r="B1436" s="18" t="s">
        <v>4337</v>
      </c>
      <c r="C1436" s="18" t="s">
        <v>4783</v>
      </c>
      <c r="D1436" s="18" t="s">
        <v>4904</v>
      </c>
      <c r="E1436" s="18" t="s">
        <v>4910</v>
      </c>
    </row>
    <row r="1437" spans="1:5" ht="24" customHeight="1" x14ac:dyDescent="0.25">
      <c r="A1437" s="16">
        <v>1448</v>
      </c>
      <c r="B1437" s="18" t="s">
        <v>4337</v>
      </c>
      <c r="C1437" s="18" t="s">
        <v>4783</v>
      </c>
      <c r="D1437" s="18" t="s">
        <v>4904</v>
      </c>
      <c r="E1437" s="18" t="s">
        <v>4911</v>
      </c>
    </row>
    <row r="1438" spans="1:5" ht="36" customHeight="1" x14ac:dyDescent="0.25">
      <c r="A1438" s="16">
        <v>1449</v>
      </c>
      <c r="B1438" s="18" t="s">
        <v>4337</v>
      </c>
      <c r="C1438" s="18" t="s">
        <v>4783</v>
      </c>
      <c r="D1438" s="18" t="s">
        <v>4912</v>
      </c>
      <c r="E1438" s="18" t="s">
        <v>4913</v>
      </c>
    </row>
    <row r="1439" spans="1:5" ht="24" customHeight="1" x14ac:dyDescent="0.25">
      <c r="A1439" s="16">
        <v>1450</v>
      </c>
      <c r="B1439" s="18" t="s">
        <v>4337</v>
      </c>
      <c r="C1439" s="18" t="s">
        <v>4783</v>
      </c>
      <c r="D1439" s="18" t="s">
        <v>4912</v>
      </c>
      <c r="E1439" s="18" t="s">
        <v>4914</v>
      </c>
    </row>
    <row r="1440" spans="1:5" ht="24" customHeight="1" x14ac:dyDescent="0.25">
      <c r="A1440" s="16">
        <v>1451</v>
      </c>
      <c r="B1440" s="18" t="s">
        <v>4337</v>
      </c>
      <c r="C1440" s="18" t="s">
        <v>4783</v>
      </c>
      <c r="D1440" s="18" t="s">
        <v>4912</v>
      </c>
      <c r="E1440" s="18" t="s">
        <v>4915</v>
      </c>
    </row>
    <row r="1441" spans="1:5" ht="24" customHeight="1" x14ac:dyDescent="0.25">
      <c r="A1441" s="16">
        <v>1452</v>
      </c>
      <c r="B1441" s="18" t="s">
        <v>4337</v>
      </c>
      <c r="C1441" s="18" t="s">
        <v>4783</v>
      </c>
      <c r="D1441" s="18" t="s">
        <v>4912</v>
      </c>
      <c r="E1441" s="18" t="s">
        <v>4916</v>
      </c>
    </row>
    <row r="1442" spans="1:5" ht="24" customHeight="1" x14ac:dyDescent="0.25">
      <c r="A1442" s="16">
        <v>1453</v>
      </c>
      <c r="B1442" s="18" t="s">
        <v>4337</v>
      </c>
      <c r="C1442" s="18" t="s">
        <v>4783</v>
      </c>
      <c r="D1442" s="18" t="s">
        <v>4912</v>
      </c>
      <c r="E1442" s="18" t="s">
        <v>4917</v>
      </c>
    </row>
    <row r="1443" spans="1:5" ht="24" customHeight="1" x14ac:dyDescent="0.25">
      <c r="A1443" s="16">
        <v>1454</v>
      </c>
      <c r="B1443" s="18" t="s">
        <v>4337</v>
      </c>
      <c r="C1443" s="18" t="s">
        <v>4783</v>
      </c>
      <c r="D1443" s="18" t="s">
        <v>4912</v>
      </c>
      <c r="E1443" s="18" t="s">
        <v>4918</v>
      </c>
    </row>
    <row r="1444" spans="1:5" ht="24" customHeight="1" x14ac:dyDescent="0.25">
      <c r="A1444" s="16">
        <v>1455</v>
      </c>
      <c r="B1444" s="18" t="s">
        <v>4337</v>
      </c>
      <c r="C1444" s="18" t="s">
        <v>4783</v>
      </c>
      <c r="D1444" s="18" t="s">
        <v>4912</v>
      </c>
      <c r="E1444" s="18" t="s">
        <v>4701</v>
      </c>
    </row>
    <row r="1445" spans="1:5" ht="24" customHeight="1" x14ac:dyDescent="0.25">
      <c r="A1445" s="16">
        <v>1456</v>
      </c>
      <c r="B1445" s="18" t="s">
        <v>4337</v>
      </c>
      <c r="C1445" s="18" t="s">
        <v>4783</v>
      </c>
      <c r="D1445" s="18" t="s">
        <v>4912</v>
      </c>
      <c r="E1445" s="18" t="s">
        <v>4919</v>
      </c>
    </row>
    <row r="1446" spans="1:5" ht="24" customHeight="1" x14ac:dyDescent="0.25">
      <c r="A1446" s="16">
        <v>1457</v>
      </c>
      <c r="B1446" s="18" t="s">
        <v>4337</v>
      </c>
      <c r="C1446" s="18" t="s">
        <v>4783</v>
      </c>
      <c r="D1446" s="18" t="s">
        <v>4912</v>
      </c>
      <c r="E1446" s="18" t="s">
        <v>4920</v>
      </c>
    </row>
    <row r="1447" spans="1:5" ht="24" customHeight="1" x14ac:dyDescent="0.25">
      <c r="A1447" s="16">
        <v>1458</v>
      </c>
      <c r="B1447" s="18" t="s">
        <v>4337</v>
      </c>
      <c r="C1447" s="18" t="s">
        <v>4783</v>
      </c>
      <c r="D1447" s="18" t="s">
        <v>4912</v>
      </c>
      <c r="E1447" s="18" t="s">
        <v>4921</v>
      </c>
    </row>
    <row r="1448" spans="1:5" ht="24" customHeight="1" x14ac:dyDescent="0.25">
      <c r="A1448" s="16">
        <v>1459</v>
      </c>
      <c r="B1448" s="18" t="s">
        <v>4337</v>
      </c>
      <c r="C1448" s="18" t="s">
        <v>4783</v>
      </c>
      <c r="D1448" s="18" t="s">
        <v>4912</v>
      </c>
      <c r="E1448" s="18" t="s">
        <v>4922</v>
      </c>
    </row>
    <row r="1449" spans="1:5" ht="24" customHeight="1" x14ac:dyDescent="0.25">
      <c r="A1449" s="16">
        <v>1460</v>
      </c>
      <c r="B1449" s="18" t="s">
        <v>4337</v>
      </c>
      <c r="C1449" s="18" t="s">
        <v>4783</v>
      </c>
      <c r="D1449" s="18" t="s">
        <v>4923</v>
      </c>
      <c r="E1449" s="18" t="s">
        <v>4924</v>
      </c>
    </row>
    <row r="1450" spans="1:5" ht="24" customHeight="1" x14ac:dyDescent="0.25">
      <c r="A1450" s="16">
        <v>1461</v>
      </c>
      <c r="B1450" s="18" t="s">
        <v>4337</v>
      </c>
      <c r="C1450" s="18" t="s">
        <v>4783</v>
      </c>
      <c r="D1450" s="18" t="s">
        <v>4923</v>
      </c>
      <c r="E1450" s="18" t="s">
        <v>4925</v>
      </c>
    </row>
    <row r="1451" spans="1:5" ht="24" customHeight="1" x14ac:dyDescent="0.25">
      <c r="A1451" s="16">
        <v>1462</v>
      </c>
      <c r="B1451" s="18" t="s">
        <v>4337</v>
      </c>
      <c r="C1451" s="18" t="s">
        <v>4783</v>
      </c>
      <c r="D1451" s="18" t="s">
        <v>4923</v>
      </c>
      <c r="E1451" s="18" t="s">
        <v>4926</v>
      </c>
    </row>
    <row r="1452" spans="1:5" ht="24" customHeight="1" x14ac:dyDescent="0.25">
      <c r="A1452" s="16">
        <v>1463</v>
      </c>
      <c r="B1452" s="18" t="s">
        <v>4337</v>
      </c>
      <c r="C1452" s="18" t="s">
        <v>4783</v>
      </c>
      <c r="D1452" s="18" t="s">
        <v>4923</v>
      </c>
      <c r="E1452" s="18" t="s">
        <v>4927</v>
      </c>
    </row>
    <row r="1453" spans="1:5" ht="24" customHeight="1" x14ac:dyDescent="0.25">
      <c r="A1453" s="16">
        <v>1464</v>
      </c>
      <c r="B1453" s="18" t="s">
        <v>4337</v>
      </c>
      <c r="C1453" s="18" t="s">
        <v>4783</v>
      </c>
      <c r="D1453" s="18" t="s">
        <v>4923</v>
      </c>
      <c r="E1453" s="18" t="s">
        <v>4928</v>
      </c>
    </row>
    <row r="1454" spans="1:5" ht="24" customHeight="1" x14ac:dyDescent="0.25">
      <c r="A1454" s="16">
        <v>1465</v>
      </c>
      <c r="B1454" s="18" t="s">
        <v>4337</v>
      </c>
      <c r="C1454" s="18" t="s">
        <v>4783</v>
      </c>
      <c r="D1454" s="18" t="s">
        <v>4923</v>
      </c>
      <c r="E1454" s="18" t="s">
        <v>4929</v>
      </c>
    </row>
    <row r="1455" spans="1:5" ht="24" customHeight="1" x14ac:dyDescent="0.25">
      <c r="A1455" s="16">
        <v>1466</v>
      </c>
      <c r="B1455" s="18" t="s">
        <v>4337</v>
      </c>
      <c r="C1455" s="18" t="s">
        <v>4783</v>
      </c>
      <c r="D1455" s="18" t="s">
        <v>4923</v>
      </c>
      <c r="E1455" s="18" t="s">
        <v>4930</v>
      </c>
    </row>
    <row r="1456" spans="1:5" ht="24" customHeight="1" x14ac:dyDescent="0.25">
      <c r="A1456" s="16">
        <v>1467</v>
      </c>
      <c r="B1456" s="18" t="s">
        <v>4337</v>
      </c>
      <c r="C1456" s="18" t="s">
        <v>4783</v>
      </c>
      <c r="D1456" s="18" t="s">
        <v>4923</v>
      </c>
      <c r="E1456" s="18" t="s">
        <v>4931</v>
      </c>
    </row>
    <row r="1457" spans="1:5" ht="24" customHeight="1" x14ac:dyDescent="0.25">
      <c r="A1457" s="16">
        <v>1468</v>
      </c>
      <c r="B1457" s="18" t="s">
        <v>4337</v>
      </c>
      <c r="C1457" s="18" t="s">
        <v>4783</v>
      </c>
      <c r="D1457" s="18" t="s">
        <v>4923</v>
      </c>
      <c r="E1457" s="18" t="s">
        <v>4932</v>
      </c>
    </row>
    <row r="1458" spans="1:5" ht="24" customHeight="1" x14ac:dyDescent="0.25">
      <c r="A1458" s="16">
        <v>1469</v>
      </c>
      <c r="B1458" s="18" t="s">
        <v>4337</v>
      </c>
      <c r="C1458" s="18" t="s">
        <v>4783</v>
      </c>
      <c r="D1458" s="18" t="s">
        <v>4923</v>
      </c>
      <c r="E1458" s="18" t="s">
        <v>4933</v>
      </c>
    </row>
    <row r="1459" spans="1:5" ht="24" customHeight="1" x14ac:dyDescent="0.25">
      <c r="A1459" s="16">
        <v>1470</v>
      </c>
      <c r="B1459" s="18" t="s">
        <v>4337</v>
      </c>
      <c r="C1459" s="18" t="s">
        <v>4783</v>
      </c>
      <c r="D1459" s="18" t="s">
        <v>4923</v>
      </c>
      <c r="E1459" s="18" t="s">
        <v>4934</v>
      </c>
    </row>
    <row r="1460" spans="1:5" ht="24" customHeight="1" x14ac:dyDescent="0.25">
      <c r="A1460" s="16">
        <v>1471</v>
      </c>
      <c r="B1460" s="18" t="s">
        <v>4337</v>
      </c>
      <c r="C1460" s="18" t="s">
        <v>4783</v>
      </c>
      <c r="D1460" s="18" t="s">
        <v>4923</v>
      </c>
      <c r="E1460" s="18" t="s">
        <v>4935</v>
      </c>
    </row>
    <row r="1461" spans="1:5" ht="24" customHeight="1" x14ac:dyDescent="0.25">
      <c r="A1461" s="16">
        <v>1472</v>
      </c>
      <c r="B1461" s="18" t="s">
        <v>4337</v>
      </c>
      <c r="C1461" s="18" t="s">
        <v>4783</v>
      </c>
      <c r="D1461" s="18" t="s">
        <v>4923</v>
      </c>
      <c r="E1461" s="18" t="s">
        <v>4936</v>
      </c>
    </row>
    <row r="1462" spans="1:5" ht="24" customHeight="1" x14ac:dyDescent="0.25">
      <c r="A1462" s="16">
        <v>1473</v>
      </c>
      <c r="B1462" s="18" t="s">
        <v>4337</v>
      </c>
      <c r="C1462" s="18" t="s">
        <v>4783</v>
      </c>
      <c r="D1462" s="18" t="s">
        <v>4923</v>
      </c>
      <c r="E1462" s="18" t="s">
        <v>4937</v>
      </c>
    </row>
    <row r="1463" spans="1:5" ht="24" customHeight="1" x14ac:dyDescent="0.25">
      <c r="A1463" s="16">
        <v>1474</v>
      </c>
      <c r="B1463" s="18" t="s">
        <v>4337</v>
      </c>
      <c r="C1463" s="18" t="s">
        <v>4783</v>
      </c>
      <c r="D1463" s="18" t="s">
        <v>4923</v>
      </c>
      <c r="E1463" s="18" t="s">
        <v>4938</v>
      </c>
    </row>
    <row r="1464" spans="1:5" ht="24" customHeight="1" x14ac:dyDescent="0.25">
      <c r="A1464" s="16">
        <v>1475</v>
      </c>
      <c r="B1464" s="18" t="s">
        <v>4337</v>
      </c>
      <c r="C1464" s="18" t="s">
        <v>4939</v>
      </c>
      <c r="D1464" s="18" t="s">
        <v>4940</v>
      </c>
      <c r="E1464" s="18" t="s">
        <v>4941</v>
      </c>
    </row>
    <row r="1465" spans="1:5" ht="24" customHeight="1" x14ac:dyDescent="0.25">
      <c r="A1465" s="16">
        <v>1476</v>
      </c>
      <c r="B1465" s="18" t="s">
        <v>4337</v>
      </c>
      <c r="C1465" s="18" t="s">
        <v>4939</v>
      </c>
      <c r="D1465" s="18" t="s">
        <v>4940</v>
      </c>
      <c r="E1465" s="18" t="s">
        <v>4942</v>
      </c>
    </row>
    <row r="1466" spans="1:5" ht="24" customHeight="1" x14ac:dyDescent="0.25">
      <c r="A1466" s="16">
        <v>1477</v>
      </c>
      <c r="B1466" s="18" t="s">
        <v>4337</v>
      </c>
      <c r="C1466" s="18" t="s">
        <v>4939</v>
      </c>
      <c r="D1466" s="18" t="s">
        <v>4940</v>
      </c>
      <c r="E1466" s="18" t="s">
        <v>4943</v>
      </c>
    </row>
    <row r="1467" spans="1:5" ht="24" customHeight="1" x14ac:dyDescent="0.25">
      <c r="A1467" s="16">
        <v>1478</v>
      </c>
      <c r="B1467" s="18" t="s">
        <v>4337</v>
      </c>
      <c r="C1467" s="18" t="s">
        <v>4939</v>
      </c>
      <c r="D1467" s="18" t="s">
        <v>4940</v>
      </c>
      <c r="E1467" s="18" t="s">
        <v>4944</v>
      </c>
    </row>
    <row r="1468" spans="1:5" ht="24" customHeight="1" x14ac:dyDescent="0.25">
      <c r="A1468" s="16">
        <v>1479</v>
      </c>
      <c r="B1468" s="18" t="s">
        <v>4337</v>
      </c>
      <c r="C1468" s="18" t="s">
        <v>4939</v>
      </c>
      <c r="D1468" s="18" t="s">
        <v>4940</v>
      </c>
      <c r="E1468" s="18" t="s">
        <v>4945</v>
      </c>
    </row>
    <row r="1469" spans="1:5" ht="24" customHeight="1" x14ac:dyDescent="0.25">
      <c r="A1469" s="16">
        <v>1480</v>
      </c>
      <c r="B1469" s="18" t="s">
        <v>4337</v>
      </c>
      <c r="C1469" s="18" t="s">
        <v>4939</v>
      </c>
      <c r="D1469" s="18" t="s">
        <v>4940</v>
      </c>
      <c r="E1469" s="18" t="s">
        <v>4946</v>
      </c>
    </row>
    <row r="1470" spans="1:5" ht="24" customHeight="1" x14ac:dyDescent="0.25">
      <c r="A1470" s="16">
        <v>1481</v>
      </c>
      <c r="B1470" s="18" t="s">
        <v>4337</v>
      </c>
      <c r="C1470" s="18" t="s">
        <v>4939</v>
      </c>
      <c r="D1470" s="18" t="s">
        <v>4940</v>
      </c>
      <c r="E1470" s="18" t="s">
        <v>4947</v>
      </c>
    </row>
    <row r="1471" spans="1:5" ht="24" customHeight="1" x14ac:dyDescent="0.25">
      <c r="A1471" s="16">
        <v>1482</v>
      </c>
      <c r="B1471" s="18" t="s">
        <v>4337</v>
      </c>
      <c r="C1471" s="18" t="s">
        <v>4939</v>
      </c>
      <c r="D1471" s="18" t="s">
        <v>4940</v>
      </c>
      <c r="E1471" s="18" t="s">
        <v>4948</v>
      </c>
    </row>
    <row r="1472" spans="1:5" ht="24" customHeight="1" x14ac:dyDescent="0.25">
      <c r="A1472" s="16">
        <v>1483</v>
      </c>
      <c r="B1472" s="18" t="s">
        <v>4337</v>
      </c>
      <c r="C1472" s="18" t="s">
        <v>4939</v>
      </c>
      <c r="D1472" s="18" t="s">
        <v>4940</v>
      </c>
      <c r="E1472" s="18" t="s">
        <v>4949</v>
      </c>
    </row>
    <row r="1473" spans="1:5" ht="24" customHeight="1" x14ac:dyDescent="0.25">
      <c r="A1473" s="16">
        <v>1484</v>
      </c>
      <c r="B1473" s="18" t="s">
        <v>4337</v>
      </c>
      <c r="C1473" s="18" t="s">
        <v>4939</v>
      </c>
      <c r="D1473" s="18" t="s">
        <v>4940</v>
      </c>
      <c r="E1473" s="18" t="s">
        <v>4950</v>
      </c>
    </row>
    <row r="1474" spans="1:5" ht="24" customHeight="1" x14ac:dyDescent="0.25">
      <c r="A1474" s="16">
        <v>1485</v>
      </c>
      <c r="B1474" s="18" t="s">
        <v>4337</v>
      </c>
      <c r="C1474" s="18" t="s">
        <v>4939</v>
      </c>
      <c r="D1474" s="18" t="s">
        <v>4951</v>
      </c>
      <c r="E1474" s="18" t="s">
        <v>4952</v>
      </c>
    </row>
    <row r="1475" spans="1:5" ht="24" customHeight="1" x14ac:dyDescent="0.25">
      <c r="A1475" s="16">
        <v>1486</v>
      </c>
      <c r="B1475" s="18" t="s">
        <v>4337</v>
      </c>
      <c r="C1475" s="18" t="s">
        <v>4939</v>
      </c>
      <c r="D1475" s="18" t="s">
        <v>4951</v>
      </c>
      <c r="E1475" s="18" t="s">
        <v>4953</v>
      </c>
    </row>
    <row r="1476" spans="1:5" ht="24" customHeight="1" x14ac:dyDescent="0.25">
      <c r="A1476" s="16">
        <v>1487</v>
      </c>
      <c r="B1476" s="18" t="s">
        <v>4337</v>
      </c>
      <c r="C1476" s="18" t="s">
        <v>4939</v>
      </c>
      <c r="D1476" s="18" t="s">
        <v>4951</v>
      </c>
      <c r="E1476" s="18" t="s">
        <v>4954</v>
      </c>
    </row>
    <row r="1477" spans="1:5" ht="24" customHeight="1" x14ac:dyDescent="0.25">
      <c r="A1477" s="16">
        <v>1488</v>
      </c>
      <c r="B1477" s="18" t="s">
        <v>4337</v>
      </c>
      <c r="C1477" s="18" t="s">
        <v>4939</v>
      </c>
      <c r="D1477" s="18" t="s">
        <v>4951</v>
      </c>
      <c r="E1477" s="18" t="s">
        <v>4955</v>
      </c>
    </row>
    <row r="1478" spans="1:5" ht="24" customHeight="1" x14ac:dyDescent="0.25">
      <c r="A1478" s="16">
        <v>1489</v>
      </c>
      <c r="B1478" s="18" t="s">
        <v>4337</v>
      </c>
      <c r="C1478" s="18" t="s">
        <v>4939</v>
      </c>
      <c r="D1478" s="18" t="s">
        <v>4951</v>
      </c>
      <c r="E1478" s="18" t="s">
        <v>4956</v>
      </c>
    </row>
    <row r="1479" spans="1:5" ht="36" customHeight="1" x14ac:dyDescent="0.25">
      <c r="A1479" s="16">
        <v>1490</v>
      </c>
      <c r="B1479" s="18" t="s">
        <v>4337</v>
      </c>
      <c r="C1479" s="18" t="s">
        <v>4939</v>
      </c>
      <c r="D1479" s="18" t="s">
        <v>4957</v>
      </c>
      <c r="E1479" s="18" t="s">
        <v>4958</v>
      </c>
    </row>
    <row r="1480" spans="1:5" ht="36" customHeight="1" x14ac:dyDescent="0.25">
      <c r="A1480" s="16">
        <v>1491</v>
      </c>
      <c r="B1480" s="18" t="s">
        <v>4337</v>
      </c>
      <c r="C1480" s="18" t="s">
        <v>4939</v>
      </c>
      <c r="D1480" s="18" t="s">
        <v>4957</v>
      </c>
      <c r="E1480" s="18" t="s">
        <v>4959</v>
      </c>
    </row>
    <row r="1481" spans="1:5" ht="36" customHeight="1" x14ac:dyDescent="0.25">
      <c r="A1481" s="16">
        <v>1492</v>
      </c>
      <c r="B1481" s="18" t="s">
        <v>4337</v>
      </c>
      <c r="C1481" s="18" t="s">
        <v>4939</v>
      </c>
      <c r="D1481" s="18" t="s">
        <v>4957</v>
      </c>
      <c r="E1481" s="18" t="s">
        <v>4960</v>
      </c>
    </row>
    <row r="1482" spans="1:5" ht="24" customHeight="1" x14ac:dyDescent="0.25">
      <c r="A1482" s="16">
        <v>1493</v>
      </c>
      <c r="B1482" s="18" t="s">
        <v>4337</v>
      </c>
      <c r="C1482" s="18" t="s">
        <v>4939</v>
      </c>
      <c r="D1482" s="18" t="s">
        <v>4957</v>
      </c>
      <c r="E1482" s="18" t="s">
        <v>4961</v>
      </c>
    </row>
    <row r="1483" spans="1:5" ht="24" customHeight="1" x14ac:dyDescent="0.25">
      <c r="A1483" s="16">
        <v>1494</v>
      </c>
      <c r="B1483" s="18" t="s">
        <v>4337</v>
      </c>
      <c r="C1483" s="18" t="s">
        <v>4939</v>
      </c>
      <c r="D1483" s="18" t="s">
        <v>4957</v>
      </c>
      <c r="E1483" s="18" t="s">
        <v>4962</v>
      </c>
    </row>
    <row r="1484" spans="1:5" ht="24" customHeight="1" x14ac:dyDescent="0.25">
      <c r="A1484" s="16">
        <v>1495</v>
      </c>
      <c r="B1484" s="18" t="s">
        <v>4337</v>
      </c>
      <c r="C1484" s="18" t="s">
        <v>4939</v>
      </c>
      <c r="D1484" s="18" t="s">
        <v>4957</v>
      </c>
      <c r="E1484" s="18" t="s">
        <v>4963</v>
      </c>
    </row>
    <row r="1485" spans="1:5" ht="24" customHeight="1" x14ac:dyDescent="0.25">
      <c r="A1485" s="16">
        <v>1496</v>
      </c>
      <c r="B1485" s="18" t="s">
        <v>4337</v>
      </c>
      <c r="C1485" s="18" t="s">
        <v>4939</v>
      </c>
      <c r="D1485" s="18" t="s">
        <v>4957</v>
      </c>
      <c r="E1485" s="18" t="s">
        <v>4964</v>
      </c>
    </row>
    <row r="1486" spans="1:5" ht="24" customHeight="1" x14ac:dyDescent="0.25">
      <c r="A1486" s="16">
        <v>1497</v>
      </c>
      <c r="B1486" s="18" t="s">
        <v>4337</v>
      </c>
      <c r="C1486" s="18" t="s">
        <v>4939</v>
      </c>
      <c r="D1486" s="18" t="s">
        <v>4957</v>
      </c>
      <c r="E1486" s="18" t="s">
        <v>4965</v>
      </c>
    </row>
    <row r="1487" spans="1:5" ht="24" customHeight="1" x14ac:dyDescent="0.25">
      <c r="A1487" s="16">
        <v>1498</v>
      </c>
      <c r="B1487" s="18" t="s">
        <v>4337</v>
      </c>
      <c r="C1487" s="18" t="s">
        <v>4939</v>
      </c>
      <c r="D1487" s="18" t="s">
        <v>4957</v>
      </c>
      <c r="E1487" s="18" t="s">
        <v>4966</v>
      </c>
    </row>
    <row r="1488" spans="1:5" ht="24" customHeight="1" x14ac:dyDescent="0.25">
      <c r="A1488" s="16">
        <v>1499</v>
      </c>
      <c r="B1488" s="18" t="s">
        <v>4337</v>
      </c>
      <c r="C1488" s="18" t="s">
        <v>4939</v>
      </c>
      <c r="D1488" s="18" t="s">
        <v>4957</v>
      </c>
      <c r="E1488" s="18" t="s">
        <v>4967</v>
      </c>
    </row>
    <row r="1489" spans="1:5" ht="24" customHeight="1" x14ac:dyDescent="0.25">
      <c r="A1489" s="16">
        <v>1500</v>
      </c>
      <c r="B1489" s="18" t="s">
        <v>4337</v>
      </c>
      <c r="C1489" s="18" t="s">
        <v>4939</v>
      </c>
      <c r="D1489" s="18" t="s">
        <v>4968</v>
      </c>
      <c r="E1489" s="18" t="s">
        <v>4969</v>
      </c>
    </row>
    <row r="1490" spans="1:5" ht="36" customHeight="1" x14ac:dyDescent="0.25">
      <c r="A1490" s="16">
        <v>1501</v>
      </c>
      <c r="B1490" s="18" t="s">
        <v>4337</v>
      </c>
      <c r="C1490" s="18" t="s">
        <v>4939</v>
      </c>
      <c r="D1490" s="18" t="s">
        <v>4968</v>
      </c>
      <c r="E1490" s="18" t="s">
        <v>4970</v>
      </c>
    </row>
    <row r="1491" spans="1:5" ht="24" customHeight="1" x14ac:dyDescent="0.25">
      <c r="A1491" s="16">
        <v>1502</v>
      </c>
      <c r="B1491" s="18" t="s">
        <v>4337</v>
      </c>
      <c r="C1491" s="18" t="s">
        <v>4939</v>
      </c>
      <c r="D1491" s="18" t="s">
        <v>4968</v>
      </c>
      <c r="E1491" s="18" t="s">
        <v>4971</v>
      </c>
    </row>
    <row r="1492" spans="1:5" ht="24" customHeight="1" x14ac:dyDescent="0.25">
      <c r="A1492" s="16">
        <v>1503</v>
      </c>
      <c r="B1492" s="18" t="s">
        <v>4337</v>
      </c>
      <c r="C1492" s="18" t="s">
        <v>4939</v>
      </c>
      <c r="D1492" s="18" t="s">
        <v>4968</v>
      </c>
      <c r="E1492" s="18" t="s">
        <v>4972</v>
      </c>
    </row>
    <row r="1493" spans="1:5" ht="24" customHeight="1" x14ac:dyDescent="0.25">
      <c r="A1493" s="16">
        <v>1504</v>
      </c>
      <c r="B1493" s="18" t="s">
        <v>4337</v>
      </c>
      <c r="C1493" s="18" t="s">
        <v>4939</v>
      </c>
      <c r="D1493" s="18" t="s">
        <v>4968</v>
      </c>
      <c r="E1493" s="18" t="s">
        <v>4973</v>
      </c>
    </row>
    <row r="1494" spans="1:5" ht="36" customHeight="1" x14ac:dyDescent="0.25">
      <c r="A1494" s="16">
        <v>1505</v>
      </c>
      <c r="B1494" s="18" t="s">
        <v>4337</v>
      </c>
      <c r="C1494" s="18" t="s">
        <v>4939</v>
      </c>
      <c r="D1494" s="18" t="s">
        <v>4968</v>
      </c>
      <c r="E1494" s="18" t="s">
        <v>4974</v>
      </c>
    </row>
    <row r="1495" spans="1:5" ht="24" customHeight="1" x14ac:dyDescent="0.25">
      <c r="A1495" s="16">
        <v>1506</v>
      </c>
      <c r="B1495" s="18" t="s">
        <v>4337</v>
      </c>
      <c r="C1495" s="18" t="s">
        <v>4939</v>
      </c>
      <c r="D1495" s="18" t="s">
        <v>4968</v>
      </c>
      <c r="E1495" s="18" t="s">
        <v>4975</v>
      </c>
    </row>
    <row r="1496" spans="1:5" ht="24" customHeight="1" x14ac:dyDescent="0.25">
      <c r="A1496" s="16">
        <v>1507</v>
      </c>
      <c r="B1496" s="18" t="s">
        <v>4337</v>
      </c>
      <c r="C1496" s="18" t="s">
        <v>4939</v>
      </c>
      <c r="D1496" s="18" t="s">
        <v>4968</v>
      </c>
      <c r="E1496" s="18" t="s">
        <v>4976</v>
      </c>
    </row>
    <row r="1497" spans="1:5" ht="24" customHeight="1" x14ac:dyDescent="0.25">
      <c r="A1497" s="16">
        <v>1508</v>
      </c>
      <c r="B1497" s="18" t="s">
        <v>4337</v>
      </c>
      <c r="C1497" s="18" t="s">
        <v>4939</v>
      </c>
      <c r="D1497" s="18" t="s">
        <v>4968</v>
      </c>
      <c r="E1497" s="18" t="s">
        <v>4977</v>
      </c>
    </row>
    <row r="1498" spans="1:5" ht="24" customHeight="1" x14ac:dyDescent="0.25">
      <c r="A1498" s="16">
        <v>1509</v>
      </c>
      <c r="B1498" s="18" t="s">
        <v>4337</v>
      </c>
      <c r="C1498" s="18" t="s">
        <v>4939</v>
      </c>
      <c r="D1498" s="18" t="s">
        <v>4968</v>
      </c>
      <c r="E1498" s="18" t="s">
        <v>4978</v>
      </c>
    </row>
    <row r="1499" spans="1:5" ht="36" customHeight="1" x14ac:dyDescent="0.25">
      <c r="A1499" s="16">
        <v>1510</v>
      </c>
      <c r="B1499" s="18" t="s">
        <v>4337</v>
      </c>
      <c r="C1499" s="18" t="s">
        <v>4939</v>
      </c>
      <c r="D1499" s="18" t="s">
        <v>4968</v>
      </c>
      <c r="E1499" s="18" t="s">
        <v>4979</v>
      </c>
    </row>
    <row r="1500" spans="1:5" ht="24" customHeight="1" x14ac:dyDescent="0.25">
      <c r="A1500" s="16">
        <v>1511</v>
      </c>
      <c r="B1500" s="18" t="s">
        <v>4337</v>
      </c>
      <c r="C1500" s="18" t="s">
        <v>4939</v>
      </c>
      <c r="D1500" s="18" t="s">
        <v>4980</v>
      </c>
      <c r="E1500" s="18" t="s">
        <v>4981</v>
      </c>
    </row>
    <row r="1501" spans="1:5" ht="24" customHeight="1" x14ac:dyDescent="0.25">
      <c r="A1501" s="16">
        <v>1512</v>
      </c>
      <c r="B1501" s="18" t="s">
        <v>4337</v>
      </c>
      <c r="C1501" s="18" t="s">
        <v>4939</v>
      </c>
      <c r="D1501" s="18" t="s">
        <v>4980</v>
      </c>
      <c r="E1501" s="18" t="s">
        <v>4982</v>
      </c>
    </row>
    <row r="1502" spans="1:5" ht="24" customHeight="1" x14ac:dyDescent="0.25">
      <c r="A1502" s="16">
        <v>1513</v>
      </c>
      <c r="B1502" s="18" t="s">
        <v>4337</v>
      </c>
      <c r="C1502" s="18" t="s">
        <v>4939</v>
      </c>
      <c r="D1502" s="18" t="s">
        <v>4980</v>
      </c>
      <c r="E1502" s="18" t="s">
        <v>4983</v>
      </c>
    </row>
    <row r="1503" spans="1:5" ht="24" customHeight="1" x14ac:dyDescent="0.25">
      <c r="A1503" s="16">
        <v>1514</v>
      </c>
      <c r="B1503" s="18" t="s">
        <v>4337</v>
      </c>
      <c r="C1503" s="18" t="s">
        <v>4939</v>
      </c>
      <c r="D1503" s="18" t="s">
        <v>4980</v>
      </c>
      <c r="E1503" s="18" t="s">
        <v>4984</v>
      </c>
    </row>
    <row r="1504" spans="1:5" ht="24" customHeight="1" x14ac:dyDescent="0.25">
      <c r="A1504" s="16">
        <v>1515</v>
      </c>
      <c r="B1504" s="18" t="s">
        <v>4337</v>
      </c>
      <c r="C1504" s="18" t="s">
        <v>4939</v>
      </c>
      <c r="D1504" s="18" t="s">
        <v>4980</v>
      </c>
      <c r="E1504" s="18" t="s">
        <v>4985</v>
      </c>
    </row>
    <row r="1505" spans="1:5" ht="24" customHeight="1" x14ac:dyDescent="0.25">
      <c r="A1505" s="16">
        <v>1516</v>
      </c>
      <c r="B1505" s="18" t="s">
        <v>4337</v>
      </c>
      <c r="C1505" s="18" t="s">
        <v>4939</v>
      </c>
      <c r="D1505" s="18" t="s">
        <v>4980</v>
      </c>
      <c r="E1505" s="18" t="s">
        <v>4986</v>
      </c>
    </row>
    <row r="1506" spans="1:5" ht="24" customHeight="1" x14ac:dyDescent="0.25">
      <c r="A1506" s="16">
        <v>1517</v>
      </c>
      <c r="B1506" s="18" t="s">
        <v>4337</v>
      </c>
      <c r="C1506" s="18" t="s">
        <v>4939</v>
      </c>
      <c r="D1506" s="18" t="s">
        <v>4980</v>
      </c>
      <c r="E1506" s="18" t="s">
        <v>4987</v>
      </c>
    </row>
    <row r="1507" spans="1:5" ht="24" customHeight="1" x14ac:dyDescent="0.25">
      <c r="A1507" s="16">
        <v>1518</v>
      </c>
      <c r="B1507" s="18" t="s">
        <v>4337</v>
      </c>
      <c r="C1507" s="18" t="s">
        <v>4939</v>
      </c>
      <c r="D1507" s="18" t="s">
        <v>4980</v>
      </c>
      <c r="E1507" s="18" t="s">
        <v>4965</v>
      </c>
    </row>
    <row r="1508" spans="1:5" ht="36" customHeight="1" x14ac:dyDescent="0.25">
      <c r="A1508" s="16">
        <v>1519</v>
      </c>
      <c r="B1508" s="18" t="s">
        <v>4337</v>
      </c>
      <c r="C1508" s="18" t="s">
        <v>4939</v>
      </c>
      <c r="D1508" s="18" t="s">
        <v>4988</v>
      </c>
      <c r="E1508" s="18" t="s">
        <v>4989</v>
      </c>
    </row>
    <row r="1509" spans="1:5" ht="24" customHeight="1" x14ac:dyDescent="0.25">
      <c r="A1509" s="16">
        <v>1520</v>
      </c>
      <c r="B1509" s="18" t="s">
        <v>4337</v>
      </c>
      <c r="C1509" s="18" t="s">
        <v>4939</v>
      </c>
      <c r="D1509" s="18" t="s">
        <v>4988</v>
      </c>
      <c r="E1509" s="18" t="s">
        <v>4990</v>
      </c>
    </row>
    <row r="1510" spans="1:5" ht="24" customHeight="1" x14ac:dyDescent="0.25">
      <c r="A1510" s="16">
        <v>1521</v>
      </c>
      <c r="B1510" s="18" t="s">
        <v>4337</v>
      </c>
      <c r="C1510" s="18" t="s">
        <v>4939</v>
      </c>
      <c r="D1510" s="18" t="s">
        <v>4988</v>
      </c>
      <c r="E1510" s="18" t="s">
        <v>4991</v>
      </c>
    </row>
    <row r="1511" spans="1:5" ht="24" customHeight="1" x14ac:dyDescent="0.25">
      <c r="A1511" s="16">
        <v>1522</v>
      </c>
      <c r="B1511" s="18" t="s">
        <v>4337</v>
      </c>
      <c r="C1511" s="18" t="s">
        <v>4939</v>
      </c>
      <c r="D1511" s="18" t="s">
        <v>4988</v>
      </c>
      <c r="E1511" s="18" t="s">
        <v>4992</v>
      </c>
    </row>
    <row r="1512" spans="1:5" ht="24" customHeight="1" x14ac:dyDescent="0.25">
      <c r="A1512" s="16">
        <v>1523</v>
      </c>
      <c r="B1512" s="18" t="s">
        <v>4337</v>
      </c>
      <c r="C1512" s="18" t="s">
        <v>4939</v>
      </c>
      <c r="D1512" s="18" t="s">
        <v>4988</v>
      </c>
      <c r="E1512" s="18" t="s">
        <v>4993</v>
      </c>
    </row>
    <row r="1513" spans="1:5" ht="24" customHeight="1" x14ac:dyDescent="0.25">
      <c r="A1513" s="16">
        <v>1524</v>
      </c>
      <c r="B1513" s="18" t="s">
        <v>4337</v>
      </c>
      <c r="C1513" s="18" t="s">
        <v>4939</v>
      </c>
      <c r="D1513" s="18" t="s">
        <v>4988</v>
      </c>
      <c r="E1513" s="18" t="s">
        <v>4994</v>
      </c>
    </row>
    <row r="1514" spans="1:5" ht="24" customHeight="1" x14ac:dyDescent="0.25">
      <c r="A1514" s="16">
        <v>1525</v>
      </c>
      <c r="B1514" s="18" t="s">
        <v>4337</v>
      </c>
      <c r="C1514" s="18" t="s">
        <v>4939</v>
      </c>
      <c r="D1514" s="18" t="s">
        <v>4988</v>
      </c>
      <c r="E1514" s="18" t="s">
        <v>4995</v>
      </c>
    </row>
    <row r="1515" spans="1:5" ht="24" customHeight="1" x14ac:dyDescent="0.25">
      <c r="A1515" s="16">
        <v>1526</v>
      </c>
      <c r="B1515" s="18" t="s">
        <v>4337</v>
      </c>
      <c r="C1515" s="18" t="s">
        <v>4939</v>
      </c>
      <c r="D1515" s="18" t="s">
        <v>4988</v>
      </c>
      <c r="E1515" s="18" t="s">
        <v>4996</v>
      </c>
    </row>
    <row r="1516" spans="1:5" ht="24" customHeight="1" x14ac:dyDescent="0.25">
      <c r="A1516" s="16">
        <v>1527</v>
      </c>
      <c r="B1516" s="18" t="s">
        <v>4337</v>
      </c>
      <c r="C1516" s="18" t="s">
        <v>4939</v>
      </c>
      <c r="D1516" s="18" t="s">
        <v>4997</v>
      </c>
      <c r="E1516" s="18" t="s">
        <v>4998</v>
      </c>
    </row>
    <row r="1517" spans="1:5" ht="24" customHeight="1" x14ac:dyDescent="0.25">
      <c r="A1517" s="16">
        <v>1528</v>
      </c>
      <c r="B1517" s="18" t="s">
        <v>4337</v>
      </c>
      <c r="C1517" s="18" t="s">
        <v>4939</v>
      </c>
      <c r="D1517" s="18" t="s">
        <v>4997</v>
      </c>
      <c r="E1517" s="18" t="s">
        <v>4999</v>
      </c>
    </row>
    <row r="1518" spans="1:5" ht="24" customHeight="1" x14ac:dyDescent="0.25">
      <c r="A1518" s="16">
        <v>1529</v>
      </c>
      <c r="B1518" s="18" t="s">
        <v>4337</v>
      </c>
      <c r="C1518" s="18" t="s">
        <v>4939</v>
      </c>
      <c r="D1518" s="18" t="s">
        <v>4997</v>
      </c>
      <c r="E1518" s="18" t="s">
        <v>5000</v>
      </c>
    </row>
    <row r="1519" spans="1:5" ht="24" customHeight="1" x14ac:dyDescent="0.25">
      <c r="A1519" s="16">
        <v>1530</v>
      </c>
      <c r="B1519" s="18" t="s">
        <v>4337</v>
      </c>
      <c r="C1519" s="18" t="s">
        <v>4939</v>
      </c>
      <c r="D1519" s="18" t="s">
        <v>4997</v>
      </c>
      <c r="E1519" s="18" t="s">
        <v>5001</v>
      </c>
    </row>
    <row r="1520" spans="1:5" ht="24" customHeight="1" x14ac:dyDescent="0.25">
      <c r="A1520" s="16">
        <v>1531</v>
      </c>
      <c r="B1520" s="18" t="s">
        <v>4337</v>
      </c>
      <c r="C1520" s="18" t="s">
        <v>4939</v>
      </c>
      <c r="D1520" s="18" t="s">
        <v>4997</v>
      </c>
      <c r="E1520" s="18" t="s">
        <v>5002</v>
      </c>
    </row>
    <row r="1521" spans="1:5" ht="36" customHeight="1" x14ac:dyDescent="0.25">
      <c r="A1521" s="16">
        <v>1532</v>
      </c>
      <c r="B1521" s="18" t="s">
        <v>4337</v>
      </c>
      <c r="C1521" s="18" t="s">
        <v>4939</v>
      </c>
      <c r="D1521" s="18" t="s">
        <v>4997</v>
      </c>
      <c r="E1521" s="18" t="s">
        <v>5003</v>
      </c>
    </row>
    <row r="1522" spans="1:5" ht="24" customHeight="1" x14ac:dyDescent="0.25">
      <c r="A1522" s="16">
        <v>1533</v>
      </c>
      <c r="B1522" s="18" t="s">
        <v>4337</v>
      </c>
      <c r="C1522" s="18" t="s">
        <v>4939</v>
      </c>
      <c r="D1522" s="18" t="s">
        <v>4997</v>
      </c>
      <c r="E1522" s="18" t="s">
        <v>5004</v>
      </c>
    </row>
    <row r="1523" spans="1:5" ht="24" customHeight="1" x14ac:dyDescent="0.25">
      <c r="A1523" s="16">
        <v>1534</v>
      </c>
      <c r="B1523" s="18" t="s">
        <v>4337</v>
      </c>
      <c r="C1523" s="18" t="s">
        <v>4939</v>
      </c>
      <c r="D1523" s="18" t="s">
        <v>4997</v>
      </c>
      <c r="E1523" s="18" t="s">
        <v>5005</v>
      </c>
    </row>
    <row r="1524" spans="1:5" ht="24" customHeight="1" x14ac:dyDescent="0.25">
      <c r="A1524" s="16">
        <v>1535</v>
      </c>
      <c r="B1524" s="18" t="s">
        <v>4337</v>
      </c>
      <c r="C1524" s="18" t="s">
        <v>4939</v>
      </c>
      <c r="D1524" s="18" t="s">
        <v>4997</v>
      </c>
      <c r="E1524" s="18" t="s">
        <v>5006</v>
      </c>
    </row>
    <row r="1525" spans="1:5" ht="24" customHeight="1" x14ac:dyDescent="0.25">
      <c r="A1525" s="16">
        <v>1536</v>
      </c>
      <c r="B1525" s="18" t="s">
        <v>4337</v>
      </c>
      <c r="C1525" s="18" t="s">
        <v>4939</v>
      </c>
      <c r="D1525" s="18" t="s">
        <v>4997</v>
      </c>
      <c r="E1525" s="18" t="s">
        <v>5007</v>
      </c>
    </row>
    <row r="1526" spans="1:5" ht="36" customHeight="1" x14ac:dyDescent="0.25">
      <c r="A1526" s="16">
        <v>1537</v>
      </c>
      <c r="B1526" s="18" t="s">
        <v>4337</v>
      </c>
      <c r="C1526" s="18" t="s">
        <v>4939</v>
      </c>
      <c r="D1526" s="18" t="s">
        <v>4997</v>
      </c>
      <c r="E1526" s="18" t="s">
        <v>5008</v>
      </c>
    </row>
    <row r="1527" spans="1:5" ht="24" customHeight="1" x14ac:dyDescent="0.25">
      <c r="A1527" s="16">
        <v>1538</v>
      </c>
      <c r="B1527" s="18" t="s">
        <v>4337</v>
      </c>
      <c r="C1527" s="18" t="s">
        <v>4939</v>
      </c>
      <c r="D1527" s="18" t="s">
        <v>4997</v>
      </c>
      <c r="E1527" s="18" t="s">
        <v>5009</v>
      </c>
    </row>
    <row r="1528" spans="1:5" ht="36" customHeight="1" x14ac:dyDescent="0.25">
      <c r="A1528" s="16">
        <v>1539</v>
      </c>
      <c r="B1528" s="18" t="s">
        <v>4337</v>
      </c>
      <c r="C1528" s="18" t="s">
        <v>4939</v>
      </c>
      <c r="D1528" s="18" t="s">
        <v>4997</v>
      </c>
      <c r="E1528" s="18" t="s">
        <v>5010</v>
      </c>
    </row>
    <row r="1529" spans="1:5" ht="24" customHeight="1" x14ac:dyDescent="0.25">
      <c r="A1529" s="16">
        <v>1540</v>
      </c>
      <c r="B1529" s="18" t="s">
        <v>4337</v>
      </c>
      <c r="C1529" s="18" t="s">
        <v>4939</v>
      </c>
      <c r="D1529" s="18" t="s">
        <v>4997</v>
      </c>
      <c r="E1529" s="18" t="s">
        <v>5011</v>
      </c>
    </row>
    <row r="1530" spans="1:5" ht="24" customHeight="1" x14ac:dyDescent="0.25">
      <c r="A1530" s="16">
        <v>1541</v>
      </c>
      <c r="B1530" s="18" t="s">
        <v>4337</v>
      </c>
      <c r="C1530" s="18" t="s">
        <v>4939</v>
      </c>
      <c r="D1530" s="18" t="s">
        <v>4997</v>
      </c>
      <c r="E1530" s="18" t="s">
        <v>5012</v>
      </c>
    </row>
    <row r="1531" spans="1:5" ht="24" customHeight="1" x14ac:dyDescent="0.25">
      <c r="A1531" s="16">
        <v>1542</v>
      </c>
      <c r="B1531" s="18" t="s">
        <v>4337</v>
      </c>
      <c r="C1531" s="18" t="s">
        <v>4939</v>
      </c>
      <c r="D1531" s="18" t="s">
        <v>4997</v>
      </c>
      <c r="E1531" s="18" t="s">
        <v>5013</v>
      </c>
    </row>
    <row r="1532" spans="1:5" ht="24" customHeight="1" x14ac:dyDescent="0.25">
      <c r="A1532" s="16">
        <v>1543</v>
      </c>
      <c r="B1532" s="18" t="s">
        <v>4337</v>
      </c>
      <c r="C1532" s="18" t="s">
        <v>4939</v>
      </c>
      <c r="D1532" s="18" t="s">
        <v>4997</v>
      </c>
      <c r="E1532" s="18" t="s">
        <v>5014</v>
      </c>
    </row>
    <row r="1533" spans="1:5" ht="24" customHeight="1" x14ac:dyDescent="0.25">
      <c r="A1533" s="16">
        <v>1544</v>
      </c>
      <c r="B1533" s="18" t="s">
        <v>4337</v>
      </c>
      <c r="C1533" s="18" t="s">
        <v>5015</v>
      </c>
      <c r="D1533" s="18" t="s">
        <v>5016</v>
      </c>
      <c r="E1533" s="18" t="s">
        <v>5017</v>
      </c>
    </row>
    <row r="1534" spans="1:5" ht="24" customHeight="1" x14ac:dyDescent="0.25">
      <c r="A1534" s="16">
        <v>1545</v>
      </c>
      <c r="B1534" s="18" t="s">
        <v>4337</v>
      </c>
      <c r="C1534" s="18" t="s">
        <v>5015</v>
      </c>
      <c r="D1534" s="18" t="s">
        <v>5016</v>
      </c>
      <c r="E1534" s="18" t="s">
        <v>5018</v>
      </c>
    </row>
    <row r="1535" spans="1:5" ht="24" customHeight="1" x14ac:dyDescent="0.25">
      <c r="A1535" s="16">
        <v>1546</v>
      </c>
      <c r="B1535" s="18" t="s">
        <v>4337</v>
      </c>
      <c r="C1535" s="18" t="s">
        <v>5015</v>
      </c>
      <c r="D1535" s="18" t="s">
        <v>5016</v>
      </c>
      <c r="E1535" s="18" t="s">
        <v>5019</v>
      </c>
    </row>
    <row r="1536" spans="1:5" ht="24" customHeight="1" x14ac:dyDescent="0.25">
      <c r="A1536" s="16">
        <v>1547</v>
      </c>
      <c r="B1536" s="18" t="s">
        <v>4337</v>
      </c>
      <c r="C1536" s="18" t="s">
        <v>5015</v>
      </c>
      <c r="D1536" s="18" t="s">
        <v>5016</v>
      </c>
      <c r="E1536" s="18" t="s">
        <v>5020</v>
      </c>
    </row>
    <row r="1537" spans="1:5" ht="24" customHeight="1" x14ac:dyDescent="0.25">
      <c r="A1537" s="16">
        <v>1548</v>
      </c>
      <c r="B1537" s="18" t="s">
        <v>4337</v>
      </c>
      <c r="C1537" s="18" t="s">
        <v>5015</v>
      </c>
      <c r="D1537" s="18" t="s">
        <v>5016</v>
      </c>
      <c r="E1537" s="18" t="s">
        <v>5021</v>
      </c>
    </row>
    <row r="1538" spans="1:5" ht="24" customHeight="1" x14ac:dyDescent="0.25">
      <c r="A1538" s="16">
        <v>1549</v>
      </c>
      <c r="B1538" s="18" t="s">
        <v>4337</v>
      </c>
      <c r="C1538" s="18" t="s">
        <v>5015</v>
      </c>
      <c r="D1538" s="18" t="s">
        <v>5016</v>
      </c>
      <c r="E1538" s="18" t="s">
        <v>5022</v>
      </c>
    </row>
    <row r="1539" spans="1:5" ht="24" customHeight="1" x14ac:dyDescent="0.25">
      <c r="A1539" s="16">
        <v>1550</v>
      </c>
      <c r="B1539" s="18" t="s">
        <v>4337</v>
      </c>
      <c r="C1539" s="18" t="s">
        <v>5015</v>
      </c>
      <c r="D1539" s="18" t="s">
        <v>5016</v>
      </c>
      <c r="E1539" s="18" t="s">
        <v>5023</v>
      </c>
    </row>
    <row r="1540" spans="1:5" ht="24" customHeight="1" x14ac:dyDescent="0.25">
      <c r="A1540" s="16">
        <v>1551</v>
      </c>
      <c r="B1540" s="18" t="s">
        <v>4337</v>
      </c>
      <c r="C1540" s="18" t="s">
        <v>5015</v>
      </c>
      <c r="D1540" s="18" t="s">
        <v>5016</v>
      </c>
      <c r="E1540" s="18" t="s">
        <v>5024</v>
      </c>
    </row>
    <row r="1541" spans="1:5" ht="24" customHeight="1" x14ac:dyDescent="0.25">
      <c r="A1541" s="16">
        <v>1552</v>
      </c>
      <c r="B1541" s="18" t="s">
        <v>4337</v>
      </c>
      <c r="C1541" s="18" t="s">
        <v>5015</v>
      </c>
      <c r="D1541" s="18" t="s">
        <v>5025</v>
      </c>
      <c r="E1541" s="18" t="s">
        <v>5026</v>
      </c>
    </row>
    <row r="1542" spans="1:5" ht="24" customHeight="1" x14ac:dyDescent="0.25">
      <c r="A1542" s="16">
        <v>1553</v>
      </c>
      <c r="B1542" s="18" t="s">
        <v>4337</v>
      </c>
      <c r="C1542" s="18" t="s">
        <v>5015</v>
      </c>
      <c r="D1542" s="18" t="s">
        <v>5025</v>
      </c>
      <c r="E1542" s="18" t="s">
        <v>5027</v>
      </c>
    </row>
    <row r="1543" spans="1:5" ht="24" customHeight="1" x14ac:dyDescent="0.25">
      <c r="A1543" s="16">
        <v>1554</v>
      </c>
      <c r="B1543" s="18" t="s">
        <v>4337</v>
      </c>
      <c r="C1543" s="18" t="s">
        <v>5015</v>
      </c>
      <c r="D1543" s="18" t="s">
        <v>5025</v>
      </c>
      <c r="E1543" s="18" t="s">
        <v>4760</v>
      </c>
    </row>
    <row r="1544" spans="1:5" ht="24" customHeight="1" x14ac:dyDescent="0.25">
      <c r="A1544" s="16">
        <v>1555</v>
      </c>
      <c r="B1544" s="18" t="s">
        <v>4337</v>
      </c>
      <c r="C1544" s="18" t="s">
        <v>5015</v>
      </c>
      <c r="D1544" s="18" t="s">
        <v>5025</v>
      </c>
      <c r="E1544" s="18" t="s">
        <v>5028</v>
      </c>
    </row>
    <row r="1545" spans="1:5" ht="24" customHeight="1" x14ac:dyDescent="0.25">
      <c r="A1545" s="16">
        <v>1556</v>
      </c>
      <c r="B1545" s="18" t="s">
        <v>4337</v>
      </c>
      <c r="C1545" s="18" t="s">
        <v>5015</v>
      </c>
      <c r="D1545" s="18" t="s">
        <v>5025</v>
      </c>
      <c r="E1545" s="18" t="s">
        <v>5029</v>
      </c>
    </row>
    <row r="1546" spans="1:5" ht="36" customHeight="1" x14ac:dyDescent="0.25">
      <c r="A1546" s="16">
        <v>1557</v>
      </c>
      <c r="B1546" s="18" t="s">
        <v>4337</v>
      </c>
      <c r="C1546" s="18" t="s">
        <v>5015</v>
      </c>
      <c r="D1546" s="18" t="s">
        <v>5025</v>
      </c>
      <c r="E1546" s="18" t="s">
        <v>5030</v>
      </c>
    </row>
    <row r="1547" spans="1:5" ht="24" customHeight="1" x14ac:dyDescent="0.25">
      <c r="A1547" s="16">
        <v>1558</v>
      </c>
      <c r="B1547" s="18" t="s">
        <v>4337</v>
      </c>
      <c r="C1547" s="18" t="s">
        <v>5015</v>
      </c>
      <c r="D1547" s="18" t="s">
        <v>5031</v>
      </c>
      <c r="E1547" s="18" t="s">
        <v>5032</v>
      </c>
    </row>
    <row r="1548" spans="1:5" ht="24" customHeight="1" x14ac:dyDescent="0.25">
      <c r="A1548" s="16">
        <v>1559</v>
      </c>
      <c r="B1548" s="18" t="s">
        <v>4337</v>
      </c>
      <c r="C1548" s="18" t="s">
        <v>5015</v>
      </c>
      <c r="D1548" s="18" t="s">
        <v>5031</v>
      </c>
      <c r="E1548" s="18" t="s">
        <v>5033</v>
      </c>
    </row>
    <row r="1549" spans="1:5" ht="24" customHeight="1" x14ac:dyDescent="0.25">
      <c r="A1549" s="16">
        <v>1560</v>
      </c>
      <c r="B1549" s="18" t="s">
        <v>4337</v>
      </c>
      <c r="C1549" s="18" t="s">
        <v>5015</v>
      </c>
      <c r="D1549" s="18" t="s">
        <v>5031</v>
      </c>
      <c r="E1549" s="18" t="s">
        <v>5034</v>
      </c>
    </row>
    <row r="1550" spans="1:5" ht="24" customHeight="1" x14ac:dyDescent="0.25">
      <c r="A1550" s="16">
        <v>1561</v>
      </c>
      <c r="B1550" s="18" t="s">
        <v>4337</v>
      </c>
      <c r="C1550" s="18" t="s">
        <v>5015</v>
      </c>
      <c r="D1550" s="18" t="s">
        <v>5031</v>
      </c>
      <c r="E1550" s="18" t="s">
        <v>5035</v>
      </c>
    </row>
    <row r="1551" spans="1:5" ht="24" customHeight="1" x14ac:dyDescent="0.25">
      <c r="A1551" s="16">
        <v>1562</v>
      </c>
      <c r="B1551" s="18" t="s">
        <v>4337</v>
      </c>
      <c r="C1551" s="18" t="s">
        <v>5015</v>
      </c>
      <c r="D1551" s="18" t="s">
        <v>5031</v>
      </c>
      <c r="E1551" s="18" t="s">
        <v>5036</v>
      </c>
    </row>
    <row r="1552" spans="1:5" ht="24" customHeight="1" x14ac:dyDescent="0.25">
      <c r="A1552" s="16">
        <v>1563</v>
      </c>
      <c r="B1552" s="18" t="s">
        <v>4337</v>
      </c>
      <c r="C1552" s="18" t="s">
        <v>5015</v>
      </c>
      <c r="D1552" s="18" t="s">
        <v>5031</v>
      </c>
      <c r="E1552" s="18" t="s">
        <v>5037</v>
      </c>
    </row>
    <row r="1553" spans="1:5" ht="24" customHeight="1" x14ac:dyDescent="0.25">
      <c r="A1553" s="16">
        <v>1564</v>
      </c>
      <c r="B1553" s="18" t="s">
        <v>4337</v>
      </c>
      <c r="C1553" s="18" t="s">
        <v>5015</v>
      </c>
      <c r="D1553" s="18" t="s">
        <v>5031</v>
      </c>
      <c r="E1553" s="18" t="s">
        <v>5038</v>
      </c>
    </row>
    <row r="1554" spans="1:5" ht="24" customHeight="1" x14ac:dyDescent="0.25">
      <c r="A1554" s="16">
        <v>1565</v>
      </c>
      <c r="B1554" s="18" t="s">
        <v>4337</v>
      </c>
      <c r="C1554" s="18" t="s">
        <v>5015</v>
      </c>
      <c r="D1554" s="18" t="s">
        <v>5039</v>
      </c>
      <c r="E1554" s="18" t="s">
        <v>4820</v>
      </c>
    </row>
    <row r="1555" spans="1:5" ht="24" customHeight="1" x14ac:dyDescent="0.25">
      <c r="A1555" s="16">
        <v>1566</v>
      </c>
      <c r="B1555" s="18" t="s">
        <v>4337</v>
      </c>
      <c r="C1555" s="18" t="s">
        <v>5015</v>
      </c>
      <c r="D1555" s="18" t="s">
        <v>5039</v>
      </c>
      <c r="E1555" s="18" t="s">
        <v>5040</v>
      </c>
    </row>
    <row r="1556" spans="1:5" ht="24" customHeight="1" x14ac:dyDescent="0.25">
      <c r="A1556" s="16">
        <v>1567</v>
      </c>
      <c r="B1556" s="18" t="s">
        <v>4337</v>
      </c>
      <c r="C1556" s="18" t="s">
        <v>5015</v>
      </c>
      <c r="D1556" s="18" t="s">
        <v>5039</v>
      </c>
      <c r="E1556" s="18" t="s">
        <v>5041</v>
      </c>
    </row>
    <row r="1557" spans="1:5" ht="36" customHeight="1" x14ac:dyDescent="0.25">
      <c r="A1557" s="16">
        <v>1568</v>
      </c>
      <c r="B1557" s="18" t="s">
        <v>4337</v>
      </c>
      <c r="C1557" s="18" t="s">
        <v>5015</v>
      </c>
      <c r="D1557" s="18" t="s">
        <v>5039</v>
      </c>
      <c r="E1557" s="18" t="s">
        <v>5042</v>
      </c>
    </row>
    <row r="1558" spans="1:5" ht="24" customHeight="1" x14ac:dyDescent="0.25">
      <c r="A1558" s="16">
        <v>1569</v>
      </c>
      <c r="B1558" s="18" t="s">
        <v>4337</v>
      </c>
      <c r="C1558" s="18" t="s">
        <v>5015</v>
      </c>
      <c r="D1558" s="18" t="s">
        <v>5039</v>
      </c>
      <c r="E1558" s="18" t="s">
        <v>5043</v>
      </c>
    </row>
    <row r="1559" spans="1:5" ht="24" customHeight="1" x14ac:dyDescent="0.25">
      <c r="A1559" s="16">
        <v>1570</v>
      </c>
      <c r="B1559" s="18" t="s">
        <v>4337</v>
      </c>
      <c r="C1559" s="18" t="s">
        <v>5015</v>
      </c>
      <c r="D1559" s="18" t="s">
        <v>5039</v>
      </c>
      <c r="E1559" s="18" t="s">
        <v>5044</v>
      </c>
    </row>
    <row r="1560" spans="1:5" ht="24" customHeight="1" x14ac:dyDescent="0.25">
      <c r="A1560" s="16">
        <v>1571</v>
      </c>
      <c r="B1560" s="18" t="s">
        <v>4337</v>
      </c>
      <c r="C1560" s="18" t="s">
        <v>5015</v>
      </c>
      <c r="D1560" s="18" t="s">
        <v>5039</v>
      </c>
      <c r="E1560" s="18" t="s">
        <v>5045</v>
      </c>
    </row>
    <row r="1561" spans="1:5" ht="24" customHeight="1" x14ac:dyDescent="0.25">
      <c r="A1561" s="16">
        <v>1572</v>
      </c>
      <c r="B1561" s="18" t="s">
        <v>4337</v>
      </c>
      <c r="C1561" s="18" t="s">
        <v>5015</v>
      </c>
      <c r="D1561" s="18" t="s">
        <v>5039</v>
      </c>
      <c r="E1561" s="18" t="s">
        <v>5046</v>
      </c>
    </row>
    <row r="1562" spans="1:5" ht="24" customHeight="1" x14ac:dyDescent="0.25">
      <c r="A1562" s="16">
        <v>1573</v>
      </c>
      <c r="B1562" s="18" t="s">
        <v>4337</v>
      </c>
      <c r="C1562" s="18" t="s">
        <v>5015</v>
      </c>
      <c r="D1562" s="18" t="s">
        <v>5039</v>
      </c>
      <c r="E1562" s="18" t="s">
        <v>5047</v>
      </c>
    </row>
    <row r="1563" spans="1:5" ht="24" customHeight="1" x14ac:dyDescent="0.25">
      <c r="A1563" s="16">
        <v>1574</v>
      </c>
      <c r="B1563" s="18" t="s">
        <v>4337</v>
      </c>
      <c r="C1563" s="18" t="s">
        <v>5015</v>
      </c>
      <c r="D1563" s="18" t="s">
        <v>5039</v>
      </c>
      <c r="E1563" s="18" t="s">
        <v>5048</v>
      </c>
    </row>
    <row r="1564" spans="1:5" ht="24" customHeight="1" x14ac:dyDescent="0.25">
      <c r="A1564" s="16">
        <v>1575</v>
      </c>
      <c r="B1564" s="18" t="s">
        <v>4337</v>
      </c>
      <c r="C1564" s="18" t="s">
        <v>5015</v>
      </c>
      <c r="D1564" s="18" t="s">
        <v>5039</v>
      </c>
      <c r="E1564" s="18" t="s">
        <v>5049</v>
      </c>
    </row>
    <row r="1565" spans="1:5" ht="24" customHeight="1" x14ac:dyDescent="0.25">
      <c r="A1565" s="16">
        <v>1576</v>
      </c>
      <c r="B1565" s="18" t="s">
        <v>4337</v>
      </c>
      <c r="C1565" s="18" t="s">
        <v>5015</v>
      </c>
      <c r="D1565" s="18" t="s">
        <v>5039</v>
      </c>
      <c r="E1565" s="18" t="s">
        <v>5050</v>
      </c>
    </row>
    <row r="1566" spans="1:5" ht="24" customHeight="1" x14ac:dyDescent="0.25">
      <c r="A1566" s="16">
        <v>1577</v>
      </c>
      <c r="B1566" s="18" t="s">
        <v>4337</v>
      </c>
      <c r="C1566" s="18" t="s">
        <v>5015</v>
      </c>
      <c r="D1566" s="18" t="s">
        <v>5051</v>
      </c>
      <c r="E1566" s="18" t="s">
        <v>5052</v>
      </c>
    </row>
    <row r="1567" spans="1:5" ht="24" customHeight="1" x14ac:dyDescent="0.25">
      <c r="A1567" s="16">
        <v>1578</v>
      </c>
      <c r="B1567" s="18" t="s">
        <v>4337</v>
      </c>
      <c r="C1567" s="18" t="s">
        <v>5015</v>
      </c>
      <c r="D1567" s="18" t="s">
        <v>5051</v>
      </c>
      <c r="E1567" s="18" t="s">
        <v>5053</v>
      </c>
    </row>
    <row r="1568" spans="1:5" ht="24" customHeight="1" x14ac:dyDescent="0.25">
      <c r="A1568" s="16">
        <v>1579</v>
      </c>
      <c r="B1568" s="18" t="s">
        <v>4337</v>
      </c>
      <c r="C1568" s="18" t="s">
        <v>5015</v>
      </c>
      <c r="D1568" s="18" t="s">
        <v>5051</v>
      </c>
      <c r="E1568" s="18" t="s">
        <v>5054</v>
      </c>
    </row>
    <row r="1569" spans="1:5" ht="24" customHeight="1" x14ac:dyDescent="0.25">
      <c r="A1569" s="16">
        <v>1580</v>
      </c>
      <c r="B1569" s="18" t="s">
        <v>4337</v>
      </c>
      <c r="C1569" s="18" t="s">
        <v>5015</v>
      </c>
      <c r="D1569" s="18" t="s">
        <v>5051</v>
      </c>
      <c r="E1569" s="18" t="s">
        <v>5055</v>
      </c>
    </row>
    <row r="1570" spans="1:5" ht="24" customHeight="1" x14ac:dyDescent="0.25">
      <c r="A1570" s="16">
        <v>1581</v>
      </c>
      <c r="B1570" s="18" t="s">
        <v>4337</v>
      </c>
      <c r="C1570" s="18" t="s">
        <v>5015</v>
      </c>
      <c r="D1570" s="18" t="s">
        <v>5051</v>
      </c>
      <c r="E1570" s="18" t="s">
        <v>5056</v>
      </c>
    </row>
    <row r="1571" spans="1:5" ht="24" customHeight="1" x14ac:dyDescent="0.25">
      <c r="A1571" s="16">
        <v>1582</v>
      </c>
      <c r="B1571" s="18" t="s">
        <v>4337</v>
      </c>
      <c r="C1571" s="18" t="s">
        <v>5015</v>
      </c>
      <c r="D1571" s="18" t="s">
        <v>5051</v>
      </c>
      <c r="E1571" s="18" t="s">
        <v>5057</v>
      </c>
    </row>
    <row r="1572" spans="1:5" ht="24" customHeight="1" x14ac:dyDescent="0.25">
      <c r="A1572" s="16">
        <v>1583</v>
      </c>
      <c r="B1572" s="18" t="s">
        <v>4337</v>
      </c>
      <c r="C1572" s="18" t="s">
        <v>5015</v>
      </c>
      <c r="D1572" s="18" t="s">
        <v>5051</v>
      </c>
      <c r="E1572" s="18" t="s">
        <v>5058</v>
      </c>
    </row>
    <row r="1573" spans="1:5" ht="24" customHeight="1" x14ac:dyDescent="0.25">
      <c r="A1573" s="16">
        <v>1584</v>
      </c>
      <c r="B1573" s="18" t="s">
        <v>4337</v>
      </c>
      <c r="C1573" s="18" t="s">
        <v>5015</v>
      </c>
      <c r="D1573" s="18" t="s">
        <v>5051</v>
      </c>
      <c r="E1573" s="18" t="s">
        <v>5059</v>
      </c>
    </row>
    <row r="1574" spans="1:5" ht="24" customHeight="1" x14ac:dyDescent="0.25">
      <c r="A1574" s="16">
        <v>1585</v>
      </c>
      <c r="B1574" s="18" t="s">
        <v>4337</v>
      </c>
      <c r="C1574" s="18" t="s">
        <v>5015</v>
      </c>
      <c r="D1574" s="18" t="s">
        <v>5051</v>
      </c>
      <c r="E1574" s="18" t="s">
        <v>5060</v>
      </c>
    </row>
    <row r="1575" spans="1:5" ht="24" customHeight="1" x14ac:dyDescent="0.25">
      <c r="A1575" s="16">
        <v>1586</v>
      </c>
      <c r="B1575" s="18" t="s">
        <v>4337</v>
      </c>
      <c r="C1575" s="18" t="s">
        <v>5015</v>
      </c>
      <c r="D1575" s="18" t="s">
        <v>5051</v>
      </c>
      <c r="E1575" s="18" t="s">
        <v>5061</v>
      </c>
    </row>
    <row r="1576" spans="1:5" ht="24" customHeight="1" x14ac:dyDescent="0.25">
      <c r="A1576" s="16">
        <v>1587</v>
      </c>
      <c r="B1576" s="18" t="s">
        <v>4337</v>
      </c>
      <c r="C1576" s="18" t="s">
        <v>5015</v>
      </c>
      <c r="D1576" s="18" t="s">
        <v>5062</v>
      </c>
      <c r="E1576" s="18" t="s">
        <v>5063</v>
      </c>
    </row>
    <row r="1577" spans="1:5" ht="24" customHeight="1" x14ac:dyDescent="0.25">
      <c r="A1577" s="16">
        <v>1588</v>
      </c>
      <c r="B1577" s="18" t="s">
        <v>4337</v>
      </c>
      <c r="C1577" s="18" t="s">
        <v>5015</v>
      </c>
      <c r="D1577" s="18" t="s">
        <v>5062</v>
      </c>
      <c r="E1577" s="18" t="s">
        <v>5064</v>
      </c>
    </row>
    <row r="1578" spans="1:5" ht="36" customHeight="1" x14ac:dyDescent="0.25">
      <c r="A1578" s="16">
        <v>1589</v>
      </c>
      <c r="B1578" s="18" t="s">
        <v>4337</v>
      </c>
      <c r="C1578" s="18" t="s">
        <v>5015</v>
      </c>
      <c r="D1578" s="18" t="s">
        <v>5062</v>
      </c>
      <c r="E1578" s="18" t="s">
        <v>5065</v>
      </c>
    </row>
    <row r="1579" spans="1:5" ht="24" customHeight="1" x14ac:dyDescent="0.25">
      <c r="A1579" s="16">
        <v>1590</v>
      </c>
      <c r="B1579" s="18" t="s">
        <v>4337</v>
      </c>
      <c r="C1579" s="18" t="s">
        <v>5015</v>
      </c>
      <c r="D1579" s="18" t="s">
        <v>5062</v>
      </c>
      <c r="E1579" s="18" t="s">
        <v>5066</v>
      </c>
    </row>
    <row r="1580" spans="1:5" ht="24" customHeight="1" x14ac:dyDescent="0.25">
      <c r="A1580" s="16">
        <v>1591</v>
      </c>
      <c r="B1580" s="18" t="s">
        <v>4337</v>
      </c>
      <c r="C1580" s="18" t="s">
        <v>5015</v>
      </c>
      <c r="D1580" s="18" t="s">
        <v>5062</v>
      </c>
      <c r="E1580" s="18" t="s">
        <v>5067</v>
      </c>
    </row>
    <row r="1581" spans="1:5" ht="24" customHeight="1" x14ac:dyDescent="0.25">
      <c r="A1581" s="16">
        <v>1592</v>
      </c>
      <c r="B1581" s="18" t="s">
        <v>4337</v>
      </c>
      <c r="C1581" s="18" t="s">
        <v>5015</v>
      </c>
      <c r="D1581" s="18" t="s">
        <v>5062</v>
      </c>
      <c r="E1581" s="18" t="s">
        <v>5068</v>
      </c>
    </row>
    <row r="1582" spans="1:5" ht="24" customHeight="1" x14ac:dyDescent="0.25">
      <c r="A1582" s="16">
        <v>1593</v>
      </c>
      <c r="B1582" s="18" t="s">
        <v>4337</v>
      </c>
      <c r="C1582" s="18" t="s">
        <v>5015</v>
      </c>
      <c r="D1582" s="18" t="s">
        <v>5062</v>
      </c>
      <c r="E1582" s="18" t="s">
        <v>5069</v>
      </c>
    </row>
    <row r="1583" spans="1:5" ht="24" customHeight="1" x14ac:dyDescent="0.25">
      <c r="A1583" s="16">
        <v>1594</v>
      </c>
      <c r="B1583" s="18" t="s">
        <v>4337</v>
      </c>
      <c r="C1583" s="18" t="s">
        <v>5015</v>
      </c>
      <c r="D1583" s="18" t="s">
        <v>5070</v>
      </c>
      <c r="E1583" s="18" t="s">
        <v>5071</v>
      </c>
    </row>
    <row r="1584" spans="1:5" ht="24" customHeight="1" x14ac:dyDescent="0.25">
      <c r="A1584" s="16">
        <v>1595</v>
      </c>
      <c r="B1584" s="18" t="s">
        <v>4337</v>
      </c>
      <c r="C1584" s="18" t="s">
        <v>5015</v>
      </c>
      <c r="D1584" s="18" t="s">
        <v>5070</v>
      </c>
      <c r="E1584" s="18" t="s">
        <v>5072</v>
      </c>
    </row>
    <row r="1585" spans="1:5" ht="24" customHeight="1" x14ac:dyDescent="0.25">
      <c r="A1585" s="16">
        <v>1596</v>
      </c>
      <c r="B1585" s="18" t="s">
        <v>4337</v>
      </c>
      <c r="C1585" s="18" t="s">
        <v>5015</v>
      </c>
      <c r="D1585" s="18" t="s">
        <v>5070</v>
      </c>
      <c r="E1585" s="18" t="s">
        <v>5073</v>
      </c>
    </row>
    <row r="1586" spans="1:5" ht="24" customHeight="1" x14ac:dyDescent="0.25">
      <c r="A1586" s="16">
        <v>1597</v>
      </c>
      <c r="B1586" s="18" t="s">
        <v>4337</v>
      </c>
      <c r="C1586" s="18" t="s">
        <v>5015</v>
      </c>
      <c r="D1586" s="18" t="s">
        <v>5070</v>
      </c>
      <c r="E1586" s="18" t="s">
        <v>5074</v>
      </c>
    </row>
    <row r="1587" spans="1:5" ht="24" customHeight="1" x14ac:dyDescent="0.25">
      <c r="A1587" s="16">
        <v>1598</v>
      </c>
      <c r="B1587" s="18" t="s">
        <v>4337</v>
      </c>
      <c r="C1587" s="18" t="s">
        <v>5015</v>
      </c>
      <c r="D1587" s="18" t="s">
        <v>5070</v>
      </c>
      <c r="E1587" s="18" t="s">
        <v>5075</v>
      </c>
    </row>
    <row r="1588" spans="1:5" ht="24" customHeight="1" x14ac:dyDescent="0.25">
      <c r="A1588" s="16">
        <v>1599</v>
      </c>
      <c r="B1588" s="18" t="s">
        <v>4337</v>
      </c>
      <c r="C1588" s="18" t="s">
        <v>5015</v>
      </c>
      <c r="D1588" s="18" t="s">
        <v>5070</v>
      </c>
      <c r="E1588" s="18" t="s">
        <v>5076</v>
      </c>
    </row>
    <row r="1589" spans="1:5" ht="24" customHeight="1" x14ac:dyDescent="0.25">
      <c r="A1589" s="16">
        <v>1600</v>
      </c>
      <c r="B1589" s="18" t="s">
        <v>4337</v>
      </c>
      <c r="C1589" s="18" t="s">
        <v>5015</v>
      </c>
      <c r="D1589" s="18" t="s">
        <v>5070</v>
      </c>
      <c r="E1589" s="18" t="s">
        <v>5077</v>
      </c>
    </row>
    <row r="1590" spans="1:5" ht="36" customHeight="1" x14ac:dyDescent="0.25">
      <c r="A1590" s="16">
        <v>1601</v>
      </c>
      <c r="B1590" s="18" t="s">
        <v>4337</v>
      </c>
      <c r="C1590" s="18" t="s">
        <v>5015</v>
      </c>
      <c r="D1590" s="18" t="s">
        <v>5078</v>
      </c>
      <c r="E1590" s="18" t="s">
        <v>5079</v>
      </c>
    </row>
    <row r="1591" spans="1:5" ht="36" customHeight="1" x14ac:dyDescent="0.25">
      <c r="A1591" s="16">
        <v>1602</v>
      </c>
      <c r="B1591" s="18" t="s">
        <v>4337</v>
      </c>
      <c r="C1591" s="18" t="s">
        <v>5015</v>
      </c>
      <c r="D1591" s="18" t="s">
        <v>5078</v>
      </c>
      <c r="E1591" s="18" t="s">
        <v>5080</v>
      </c>
    </row>
    <row r="1592" spans="1:5" ht="36" customHeight="1" x14ac:dyDescent="0.25">
      <c r="A1592" s="16">
        <v>1603</v>
      </c>
      <c r="B1592" s="18" t="s">
        <v>4337</v>
      </c>
      <c r="C1592" s="18" t="s">
        <v>5015</v>
      </c>
      <c r="D1592" s="18" t="s">
        <v>5078</v>
      </c>
      <c r="E1592" s="18" t="s">
        <v>5081</v>
      </c>
    </row>
    <row r="1593" spans="1:5" ht="36" customHeight="1" x14ac:dyDescent="0.25">
      <c r="A1593" s="16">
        <v>1604</v>
      </c>
      <c r="B1593" s="18" t="s">
        <v>4337</v>
      </c>
      <c r="C1593" s="18" t="s">
        <v>5015</v>
      </c>
      <c r="D1593" s="18" t="s">
        <v>5078</v>
      </c>
      <c r="E1593" s="18" t="s">
        <v>5082</v>
      </c>
    </row>
    <row r="1594" spans="1:5" ht="36" customHeight="1" x14ac:dyDescent="0.25">
      <c r="A1594" s="16">
        <v>1605</v>
      </c>
      <c r="B1594" s="18" t="s">
        <v>4337</v>
      </c>
      <c r="C1594" s="18" t="s">
        <v>5015</v>
      </c>
      <c r="D1594" s="18" t="s">
        <v>5078</v>
      </c>
      <c r="E1594" s="18" t="s">
        <v>5083</v>
      </c>
    </row>
    <row r="1595" spans="1:5" ht="36" customHeight="1" x14ac:dyDescent="0.25">
      <c r="A1595" s="16">
        <v>1606</v>
      </c>
      <c r="B1595" s="18" t="s">
        <v>4337</v>
      </c>
      <c r="C1595" s="18" t="s">
        <v>5015</v>
      </c>
      <c r="D1595" s="18" t="s">
        <v>5078</v>
      </c>
      <c r="E1595" s="18" t="s">
        <v>5084</v>
      </c>
    </row>
    <row r="1596" spans="1:5" ht="36" customHeight="1" x14ac:dyDescent="0.25">
      <c r="A1596" s="16">
        <v>1607</v>
      </c>
      <c r="B1596" s="18" t="s">
        <v>4337</v>
      </c>
      <c r="C1596" s="18" t="s">
        <v>5015</v>
      </c>
      <c r="D1596" s="18" t="s">
        <v>5078</v>
      </c>
      <c r="E1596" s="18" t="s">
        <v>5085</v>
      </c>
    </row>
    <row r="1597" spans="1:5" ht="36" customHeight="1" x14ac:dyDescent="0.25">
      <c r="A1597" s="16">
        <v>1608</v>
      </c>
      <c r="B1597" s="18" t="s">
        <v>4337</v>
      </c>
      <c r="C1597" s="18" t="s">
        <v>5015</v>
      </c>
      <c r="D1597" s="18" t="s">
        <v>5078</v>
      </c>
      <c r="E1597" s="18" t="s">
        <v>5086</v>
      </c>
    </row>
    <row r="1598" spans="1:5" ht="24" customHeight="1" x14ac:dyDescent="0.25">
      <c r="A1598" s="16">
        <v>1609</v>
      </c>
      <c r="B1598" s="18" t="s">
        <v>4337</v>
      </c>
      <c r="C1598" s="18" t="s">
        <v>5015</v>
      </c>
      <c r="D1598" s="18" t="s">
        <v>5087</v>
      </c>
      <c r="E1598" s="18" t="s">
        <v>5088</v>
      </c>
    </row>
    <row r="1599" spans="1:5" ht="24" customHeight="1" x14ac:dyDescent="0.25">
      <c r="A1599" s="16">
        <v>1610</v>
      </c>
      <c r="B1599" s="18" t="s">
        <v>4337</v>
      </c>
      <c r="C1599" s="18" t="s">
        <v>5015</v>
      </c>
      <c r="D1599" s="18" t="s">
        <v>5087</v>
      </c>
      <c r="E1599" s="18" t="s">
        <v>5089</v>
      </c>
    </row>
    <row r="1600" spans="1:5" ht="24" customHeight="1" x14ac:dyDescent="0.25">
      <c r="A1600" s="16">
        <v>1611</v>
      </c>
      <c r="B1600" s="18" t="s">
        <v>4337</v>
      </c>
      <c r="C1600" s="18" t="s">
        <v>5015</v>
      </c>
      <c r="D1600" s="18" t="s">
        <v>5087</v>
      </c>
      <c r="E1600" s="18" t="s">
        <v>5090</v>
      </c>
    </row>
    <row r="1601" spans="1:5" ht="24" customHeight="1" x14ac:dyDescent="0.25">
      <c r="A1601" s="16">
        <v>1612</v>
      </c>
      <c r="B1601" s="18" t="s">
        <v>4337</v>
      </c>
      <c r="C1601" s="18" t="s">
        <v>5015</v>
      </c>
      <c r="D1601" s="18" t="s">
        <v>5087</v>
      </c>
      <c r="E1601" s="18" t="s">
        <v>5091</v>
      </c>
    </row>
    <row r="1602" spans="1:5" ht="24" customHeight="1" x14ac:dyDescent="0.25">
      <c r="A1602" s="16">
        <v>1613</v>
      </c>
      <c r="B1602" s="18" t="s">
        <v>4337</v>
      </c>
      <c r="C1602" s="18" t="s">
        <v>5015</v>
      </c>
      <c r="D1602" s="18" t="s">
        <v>5087</v>
      </c>
      <c r="E1602" s="18" t="s">
        <v>5092</v>
      </c>
    </row>
    <row r="1603" spans="1:5" ht="24" customHeight="1" x14ac:dyDescent="0.25">
      <c r="A1603" s="16">
        <v>1614</v>
      </c>
      <c r="B1603" s="18" t="s">
        <v>4337</v>
      </c>
      <c r="C1603" s="18" t="s">
        <v>5015</v>
      </c>
      <c r="D1603" s="18" t="s">
        <v>5087</v>
      </c>
      <c r="E1603" s="18" t="s">
        <v>5093</v>
      </c>
    </row>
    <row r="1604" spans="1:5" ht="24" customHeight="1" x14ac:dyDescent="0.25">
      <c r="A1604" s="16">
        <v>1615</v>
      </c>
      <c r="B1604" s="18" t="s">
        <v>4337</v>
      </c>
      <c r="C1604" s="18" t="s">
        <v>5015</v>
      </c>
      <c r="D1604" s="18" t="s">
        <v>5087</v>
      </c>
      <c r="E1604" s="18" t="s">
        <v>5094</v>
      </c>
    </row>
    <row r="1605" spans="1:5" ht="24" customHeight="1" x14ac:dyDescent="0.25">
      <c r="A1605" s="16">
        <v>1616</v>
      </c>
      <c r="B1605" s="18" t="s">
        <v>4337</v>
      </c>
      <c r="C1605" s="18" t="s">
        <v>5015</v>
      </c>
      <c r="D1605" s="18" t="s">
        <v>5087</v>
      </c>
      <c r="E1605" s="18" t="s">
        <v>5095</v>
      </c>
    </row>
    <row r="1606" spans="1:5" ht="24" customHeight="1" x14ac:dyDescent="0.25">
      <c r="A1606" s="16">
        <v>1617</v>
      </c>
      <c r="B1606" s="18" t="s">
        <v>4337</v>
      </c>
      <c r="C1606" s="18" t="s">
        <v>5015</v>
      </c>
      <c r="D1606" s="18" t="s">
        <v>5087</v>
      </c>
      <c r="E1606" s="18" t="s">
        <v>5096</v>
      </c>
    </row>
    <row r="1607" spans="1:5" ht="24" customHeight="1" x14ac:dyDescent="0.25">
      <c r="A1607" s="16">
        <v>1618</v>
      </c>
      <c r="B1607" s="18" t="s">
        <v>4337</v>
      </c>
      <c r="C1607" s="18" t="s">
        <v>5015</v>
      </c>
      <c r="D1607" s="18" t="s">
        <v>5087</v>
      </c>
      <c r="E1607" s="18" t="s">
        <v>5097</v>
      </c>
    </row>
    <row r="1608" spans="1:5" ht="24" customHeight="1" x14ac:dyDescent="0.25">
      <c r="A1608" s="16">
        <v>1619</v>
      </c>
      <c r="B1608" s="18" t="s">
        <v>4337</v>
      </c>
      <c r="C1608" s="18" t="s">
        <v>5015</v>
      </c>
      <c r="D1608" s="18" t="s">
        <v>5087</v>
      </c>
      <c r="E1608" s="18" t="s">
        <v>5098</v>
      </c>
    </row>
    <row r="1609" spans="1:5" ht="24" customHeight="1" x14ac:dyDescent="0.25">
      <c r="A1609" s="16">
        <v>1620</v>
      </c>
      <c r="B1609" s="18" t="s">
        <v>4337</v>
      </c>
      <c r="C1609" s="18" t="s">
        <v>5015</v>
      </c>
      <c r="D1609" s="18" t="s">
        <v>5087</v>
      </c>
      <c r="E1609" s="18" t="s">
        <v>5099</v>
      </c>
    </row>
    <row r="1610" spans="1:5" ht="24" customHeight="1" x14ac:dyDescent="0.25">
      <c r="A1610" s="16">
        <v>1621</v>
      </c>
      <c r="B1610" s="18" t="s">
        <v>4337</v>
      </c>
      <c r="C1610" s="18" t="s">
        <v>5015</v>
      </c>
      <c r="D1610" s="18" t="s">
        <v>5087</v>
      </c>
      <c r="E1610" s="18" t="s">
        <v>5100</v>
      </c>
    </row>
    <row r="1611" spans="1:5" ht="24" customHeight="1" x14ac:dyDescent="0.25">
      <c r="A1611" s="16">
        <v>1622</v>
      </c>
      <c r="B1611" s="18" t="s">
        <v>4337</v>
      </c>
      <c r="C1611" s="18" t="s">
        <v>5015</v>
      </c>
      <c r="D1611" s="18" t="s">
        <v>5101</v>
      </c>
      <c r="E1611" s="18" t="s">
        <v>5102</v>
      </c>
    </row>
    <row r="1612" spans="1:5" ht="24" customHeight="1" x14ac:dyDescent="0.25">
      <c r="A1612" s="16">
        <v>1623</v>
      </c>
      <c r="B1612" s="18" t="s">
        <v>4337</v>
      </c>
      <c r="C1612" s="18" t="s">
        <v>5015</v>
      </c>
      <c r="D1612" s="18" t="s">
        <v>5101</v>
      </c>
      <c r="E1612" s="18" t="s">
        <v>5103</v>
      </c>
    </row>
    <row r="1613" spans="1:5" ht="24" customHeight="1" x14ac:dyDescent="0.25">
      <c r="A1613" s="16">
        <v>1624</v>
      </c>
      <c r="B1613" s="18" t="s">
        <v>4337</v>
      </c>
      <c r="C1613" s="18" t="s">
        <v>5015</v>
      </c>
      <c r="D1613" s="18" t="s">
        <v>5101</v>
      </c>
      <c r="E1613" s="18" t="s">
        <v>5104</v>
      </c>
    </row>
    <row r="1614" spans="1:5" ht="24" customHeight="1" x14ac:dyDescent="0.25">
      <c r="A1614" s="16">
        <v>1625</v>
      </c>
      <c r="B1614" s="18" t="s">
        <v>4337</v>
      </c>
      <c r="C1614" s="18" t="s">
        <v>5015</v>
      </c>
      <c r="D1614" s="18" t="s">
        <v>5101</v>
      </c>
      <c r="E1614" s="18" t="s">
        <v>5105</v>
      </c>
    </row>
    <row r="1615" spans="1:5" ht="24" customHeight="1" x14ac:dyDescent="0.25">
      <c r="A1615" s="16">
        <v>1626</v>
      </c>
      <c r="B1615" s="18" t="s">
        <v>4337</v>
      </c>
      <c r="C1615" s="18" t="s">
        <v>5015</v>
      </c>
      <c r="D1615" s="18" t="s">
        <v>5101</v>
      </c>
      <c r="E1615" s="18" t="s">
        <v>5106</v>
      </c>
    </row>
    <row r="1616" spans="1:5" ht="36" customHeight="1" x14ac:dyDescent="0.25">
      <c r="A1616" s="16">
        <v>1627</v>
      </c>
      <c r="B1616" s="18" t="s">
        <v>4337</v>
      </c>
      <c r="C1616" s="18" t="s">
        <v>5015</v>
      </c>
      <c r="D1616" s="18" t="s">
        <v>5101</v>
      </c>
      <c r="E1616" s="18" t="s">
        <v>5107</v>
      </c>
    </row>
    <row r="1617" spans="1:5" ht="24" customHeight="1" x14ac:dyDescent="0.25">
      <c r="A1617" s="16">
        <v>1628</v>
      </c>
      <c r="B1617" s="18" t="s">
        <v>4337</v>
      </c>
      <c r="C1617" s="18" t="s">
        <v>5015</v>
      </c>
      <c r="D1617" s="18" t="s">
        <v>5101</v>
      </c>
      <c r="E1617" s="18" t="s">
        <v>5108</v>
      </c>
    </row>
    <row r="1618" spans="1:5" ht="24" customHeight="1" x14ac:dyDescent="0.25">
      <c r="A1618" s="16">
        <v>1629</v>
      </c>
      <c r="B1618" s="18" t="s">
        <v>4337</v>
      </c>
      <c r="C1618" s="18" t="s">
        <v>5015</v>
      </c>
      <c r="D1618" s="18" t="s">
        <v>5101</v>
      </c>
      <c r="E1618" s="18" t="s">
        <v>5109</v>
      </c>
    </row>
    <row r="1619" spans="1:5" ht="24" customHeight="1" x14ac:dyDescent="0.25">
      <c r="A1619" s="16">
        <v>1630</v>
      </c>
      <c r="B1619" s="18" t="s">
        <v>4337</v>
      </c>
      <c r="C1619" s="18" t="s">
        <v>5015</v>
      </c>
      <c r="D1619" s="18" t="s">
        <v>5101</v>
      </c>
      <c r="E1619" s="18" t="s">
        <v>5110</v>
      </c>
    </row>
    <row r="1620" spans="1:5" ht="24" customHeight="1" x14ac:dyDescent="0.25">
      <c r="A1620" s="16">
        <v>1631</v>
      </c>
      <c r="B1620" s="18" t="s">
        <v>4337</v>
      </c>
      <c r="C1620" s="18" t="s">
        <v>5015</v>
      </c>
      <c r="D1620" s="18" t="s">
        <v>5015</v>
      </c>
      <c r="E1620" s="18" t="s">
        <v>5111</v>
      </c>
    </row>
    <row r="1621" spans="1:5" ht="24" customHeight="1" x14ac:dyDescent="0.25">
      <c r="A1621" s="16">
        <v>1632</v>
      </c>
      <c r="B1621" s="18" t="s">
        <v>4337</v>
      </c>
      <c r="C1621" s="18" t="s">
        <v>5015</v>
      </c>
      <c r="D1621" s="18" t="s">
        <v>5015</v>
      </c>
      <c r="E1621" s="18" t="s">
        <v>5112</v>
      </c>
    </row>
    <row r="1622" spans="1:5" ht="24" customHeight="1" x14ac:dyDescent="0.25">
      <c r="A1622" s="16">
        <v>1633</v>
      </c>
      <c r="B1622" s="18" t="s">
        <v>4337</v>
      </c>
      <c r="C1622" s="18" t="s">
        <v>5015</v>
      </c>
      <c r="D1622" s="18" t="s">
        <v>5015</v>
      </c>
      <c r="E1622" s="18" t="s">
        <v>5113</v>
      </c>
    </row>
    <row r="1623" spans="1:5" ht="24" customHeight="1" x14ac:dyDescent="0.25">
      <c r="A1623" s="16">
        <v>1634</v>
      </c>
      <c r="B1623" s="18" t="s">
        <v>4337</v>
      </c>
      <c r="C1623" s="18" t="s">
        <v>5015</v>
      </c>
      <c r="D1623" s="18" t="s">
        <v>5015</v>
      </c>
      <c r="E1623" s="18" t="s">
        <v>5114</v>
      </c>
    </row>
    <row r="1624" spans="1:5" ht="24" customHeight="1" x14ac:dyDescent="0.25">
      <c r="A1624" s="16">
        <v>1635</v>
      </c>
      <c r="B1624" s="18" t="s">
        <v>4337</v>
      </c>
      <c r="C1624" s="18" t="s">
        <v>5015</v>
      </c>
      <c r="D1624" s="18" t="s">
        <v>5015</v>
      </c>
      <c r="E1624" s="18" t="s">
        <v>5115</v>
      </c>
    </row>
    <row r="1625" spans="1:5" ht="24" customHeight="1" x14ac:dyDescent="0.25">
      <c r="A1625" s="16">
        <v>1636</v>
      </c>
      <c r="B1625" s="18" t="s">
        <v>4337</v>
      </c>
      <c r="C1625" s="18" t="s">
        <v>5015</v>
      </c>
      <c r="D1625" s="18" t="s">
        <v>5015</v>
      </c>
      <c r="E1625" s="18" t="s">
        <v>5116</v>
      </c>
    </row>
    <row r="1626" spans="1:5" ht="24" customHeight="1" x14ac:dyDescent="0.25">
      <c r="A1626" s="16">
        <v>1637</v>
      </c>
      <c r="B1626" s="18" t="s">
        <v>4337</v>
      </c>
      <c r="C1626" s="18" t="s">
        <v>5015</v>
      </c>
      <c r="D1626" s="18" t="s">
        <v>5015</v>
      </c>
      <c r="E1626" s="18" t="s">
        <v>5117</v>
      </c>
    </row>
    <row r="1627" spans="1:5" ht="36" customHeight="1" x14ac:dyDescent="0.25">
      <c r="A1627" s="16">
        <v>1638</v>
      </c>
      <c r="B1627" s="18" t="s">
        <v>4337</v>
      </c>
      <c r="C1627" s="18" t="s">
        <v>5015</v>
      </c>
      <c r="D1627" s="18" t="s">
        <v>5015</v>
      </c>
      <c r="E1627" s="18" t="s">
        <v>5118</v>
      </c>
    </row>
    <row r="1628" spans="1:5" ht="24" customHeight="1" x14ac:dyDescent="0.25">
      <c r="A1628" s="16">
        <v>1639</v>
      </c>
      <c r="B1628" s="18" t="s">
        <v>4337</v>
      </c>
      <c r="C1628" s="18" t="s">
        <v>5015</v>
      </c>
      <c r="D1628" s="18" t="s">
        <v>5015</v>
      </c>
      <c r="E1628" s="18" t="s">
        <v>5119</v>
      </c>
    </row>
    <row r="1629" spans="1:5" ht="24" customHeight="1" x14ac:dyDescent="0.25">
      <c r="A1629" s="16">
        <v>1640</v>
      </c>
      <c r="B1629" s="18" t="s">
        <v>4337</v>
      </c>
      <c r="C1629" s="18" t="s">
        <v>5015</v>
      </c>
      <c r="D1629" s="18" t="s">
        <v>5015</v>
      </c>
      <c r="E1629" s="18" t="s">
        <v>5120</v>
      </c>
    </row>
    <row r="1630" spans="1:5" ht="24" customHeight="1" x14ac:dyDescent="0.25">
      <c r="A1630" s="16">
        <v>1641</v>
      </c>
      <c r="B1630" s="18" t="s">
        <v>4337</v>
      </c>
      <c r="C1630" s="18" t="s">
        <v>5015</v>
      </c>
      <c r="D1630" s="18" t="s">
        <v>5015</v>
      </c>
      <c r="E1630" s="18" t="s">
        <v>5121</v>
      </c>
    </row>
    <row r="1631" spans="1:5" ht="24" customHeight="1" x14ac:dyDescent="0.25">
      <c r="A1631" s="16">
        <v>1642</v>
      </c>
      <c r="B1631" s="18" t="s">
        <v>4337</v>
      </c>
      <c r="C1631" s="18" t="s">
        <v>5015</v>
      </c>
      <c r="D1631" s="18" t="s">
        <v>5015</v>
      </c>
      <c r="E1631" s="18" t="s">
        <v>5122</v>
      </c>
    </row>
    <row r="1632" spans="1:5" ht="24" customHeight="1" x14ac:dyDescent="0.25">
      <c r="A1632" s="16">
        <v>1643</v>
      </c>
      <c r="B1632" s="18" t="s">
        <v>4337</v>
      </c>
      <c r="C1632" s="18" t="s">
        <v>5015</v>
      </c>
      <c r="D1632" s="18" t="s">
        <v>5015</v>
      </c>
      <c r="E1632" s="18" t="s">
        <v>5123</v>
      </c>
    </row>
    <row r="1633" spans="1:5" ht="24" customHeight="1" x14ac:dyDescent="0.25">
      <c r="A1633" s="16">
        <v>1644</v>
      </c>
      <c r="B1633" s="18" t="s">
        <v>4337</v>
      </c>
      <c r="C1633" s="18" t="s">
        <v>5015</v>
      </c>
      <c r="D1633" s="18" t="s">
        <v>5015</v>
      </c>
      <c r="E1633" s="18" t="s">
        <v>5124</v>
      </c>
    </row>
    <row r="1634" spans="1:5" ht="24" customHeight="1" x14ac:dyDescent="0.25">
      <c r="A1634" s="16">
        <v>1651</v>
      </c>
      <c r="B1634" s="18" t="s">
        <v>5125</v>
      </c>
      <c r="C1634" s="18" t="s">
        <v>5126</v>
      </c>
      <c r="D1634" s="18" t="s">
        <v>5126</v>
      </c>
      <c r="E1634" s="18" t="s">
        <v>5127</v>
      </c>
    </row>
    <row r="1635" spans="1:5" ht="24" customHeight="1" x14ac:dyDescent="0.25">
      <c r="A1635" s="16">
        <v>1652</v>
      </c>
      <c r="B1635" s="18" t="s">
        <v>5125</v>
      </c>
      <c r="C1635" s="18" t="s">
        <v>5126</v>
      </c>
      <c r="D1635" s="18" t="s">
        <v>5126</v>
      </c>
      <c r="E1635" s="18" t="s">
        <v>5128</v>
      </c>
    </row>
    <row r="1636" spans="1:5" ht="24" customHeight="1" x14ac:dyDescent="0.25">
      <c r="A1636" s="16">
        <v>1653</v>
      </c>
      <c r="B1636" s="18" t="s">
        <v>5125</v>
      </c>
      <c r="C1636" s="18" t="s">
        <v>5126</v>
      </c>
      <c r="D1636" s="18" t="s">
        <v>5126</v>
      </c>
      <c r="E1636" s="18" t="s">
        <v>5129</v>
      </c>
    </row>
    <row r="1637" spans="1:5" x14ac:dyDescent="0.25">
      <c r="A1637" s="16">
        <v>1654</v>
      </c>
      <c r="B1637" s="18" t="s">
        <v>5125</v>
      </c>
      <c r="C1637" s="18" t="s">
        <v>5126</v>
      </c>
      <c r="D1637" s="18" t="s">
        <v>5126</v>
      </c>
      <c r="E1637" s="18" t="s">
        <v>5130</v>
      </c>
    </row>
    <row r="1638" spans="1:5" x14ac:dyDescent="0.25">
      <c r="A1638" s="16">
        <v>1655</v>
      </c>
      <c r="B1638" s="18" t="s">
        <v>5125</v>
      </c>
      <c r="C1638" s="18" t="s">
        <v>5126</v>
      </c>
      <c r="D1638" s="18" t="s">
        <v>5126</v>
      </c>
      <c r="E1638" s="18" t="s">
        <v>5131</v>
      </c>
    </row>
    <row r="1639" spans="1:5" x14ac:dyDescent="0.25">
      <c r="A1639" s="16">
        <v>1656</v>
      </c>
      <c r="B1639" s="18" t="s">
        <v>5125</v>
      </c>
      <c r="C1639" s="18" t="s">
        <v>5126</v>
      </c>
      <c r="D1639" s="18" t="s">
        <v>5126</v>
      </c>
      <c r="E1639" s="18" t="s">
        <v>5132</v>
      </c>
    </row>
    <row r="1640" spans="1:5" x14ac:dyDescent="0.25">
      <c r="A1640" s="16">
        <v>1657</v>
      </c>
      <c r="B1640" s="18" t="s">
        <v>5125</v>
      </c>
      <c r="C1640" s="18" t="s">
        <v>5126</v>
      </c>
      <c r="D1640" s="18" t="s">
        <v>5126</v>
      </c>
      <c r="E1640" s="18" t="s">
        <v>5133</v>
      </c>
    </row>
    <row r="1641" spans="1:5" x14ac:dyDescent="0.25">
      <c r="A1641" s="16">
        <v>1658</v>
      </c>
      <c r="B1641" s="18" t="s">
        <v>5125</v>
      </c>
      <c r="C1641" s="18" t="s">
        <v>5126</v>
      </c>
      <c r="D1641" s="18" t="s">
        <v>5126</v>
      </c>
      <c r="E1641" s="18" t="s">
        <v>5134</v>
      </c>
    </row>
    <row r="1642" spans="1:5" ht="24" customHeight="1" x14ac:dyDescent="0.25">
      <c r="A1642" s="16">
        <v>1659</v>
      </c>
      <c r="B1642" s="18" t="s">
        <v>5125</v>
      </c>
      <c r="C1642" s="18" t="s">
        <v>5126</v>
      </c>
      <c r="D1642" s="18" t="s">
        <v>5126</v>
      </c>
      <c r="E1642" s="18" t="s">
        <v>5135</v>
      </c>
    </row>
    <row r="1643" spans="1:5" x14ac:dyDescent="0.25">
      <c r="A1643" s="16">
        <v>1660</v>
      </c>
      <c r="B1643" s="18" t="s">
        <v>5125</v>
      </c>
      <c r="C1643" s="18" t="s">
        <v>5126</v>
      </c>
      <c r="D1643" s="18" t="s">
        <v>5126</v>
      </c>
      <c r="E1643" s="18" t="s">
        <v>5136</v>
      </c>
    </row>
    <row r="1644" spans="1:5" x14ac:dyDescent="0.25">
      <c r="A1644" s="16">
        <v>1661</v>
      </c>
      <c r="B1644" s="18" t="s">
        <v>5125</v>
      </c>
      <c r="C1644" s="18" t="s">
        <v>5126</v>
      </c>
      <c r="D1644" s="18" t="s">
        <v>5126</v>
      </c>
      <c r="E1644" s="18" t="s">
        <v>5137</v>
      </c>
    </row>
    <row r="1645" spans="1:5" x14ac:dyDescent="0.25">
      <c r="A1645" s="16">
        <v>1662</v>
      </c>
      <c r="B1645" s="18" t="s">
        <v>5125</v>
      </c>
      <c r="C1645" s="18" t="s">
        <v>5126</v>
      </c>
      <c r="D1645" s="18" t="s">
        <v>5126</v>
      </c>
      <c r="E1645" s="18" t="s">
        <v>5138</v>
      </c>
    </row>
    <row r="1646" spans="1:5" x14ac:dyDescent="0.25">
      <c r="A1646" s="16">
        <v>1663</v>
      </c>
      <c r="B1646" s="18" t="s">
        <v>5125</v>
      </c>
      <c r="C1646" s="18" t="s">
        <v>5126</v>
      </c>
      <c r="D1646" s="18" t="s">
        <v>5126</v>
      </c>
      <c r="E1646" s="18" t="s">
        <v>5139</v>
      </c>
    </row>
    <row r="1647" spans="1:5" x14ac:dyDescent="0.25">
      <c r="A1647" s="16">
        <v>1664</v>
      </c>
      <c r="B1647" s="18" t="s">
        <v>5125</v>
      </c>
      <c r="C1647" s="18" t="s">
        <v>5126</v>
      </c>
      <c r="D1647" s="18" t="s">
        <v>5126</v>
      </c>
      <c r="E1647" s="18" t="s">
        <v>5140</v>
      </c>
    </row>
    <row r="1648" spans="1:5" ht="36" customHeight="1" x14ac:dyDescent="0.25">
      <c r="A1648" s="16">
        <v>1665</v>
      </c>
      <c r="B1648" s="18" t="s">
        <v>5125</v>
      </c>
      <c r="C1648" s="18" t="s">
        <v>5126</v>
      </c>
      <c r="D1648" s="18" t="s">
        <v>5141</v>
      </c>
      <c r="E1648" s="18" t="s">
        <v>5142</v>
      </c>
    </row>
    <row r="1649" spans="1:5" ht="36" customHeight="1" x14ac:dyDescent="0.25">
      <c r="A1649" s="16">
        <v>1666</v>
      </c>
      <c r="B1649" s="18" t="s">
        <v>5125</v>
      </c>
      <c r="C1649" s="18" t="s">
        <v>5126</v>
      </c>
      <c r="D1649" s="18" t="s">
        <v>5141</v>
      </c>
      <c r="E1649" s="18" t="s">
        <v>5143</v>
      </c>
    </row>
    <row r="1650" spans="1:5" ht="36" customHeight="1" x14ac:dyDescent="0.25">
      <c r="A1650" s="16">
        <v>1667</v>
      </c>
      <c r="B1650" s="18" t="s">
        <v>5125</v>
      </c>
      <c r="C1650" s="18" t="s">
        <v>5126</v>
      </c>
      <c r="D1650" s="18" t="s">
        <v>5141</v>
      </c>
      <c r="E1650" s="18" t="s">
        <v>5144</v>
      </c>
    </row>
    <row r="1651" spans="1:5" ht="24" customHeight="1" x14ac:dyDescent="0.25">
      <c r="A1651" s="16">
        <v>1668</v>
      </c>
      <c r="B1651" s="18" t="s">
        <v>5125</v>
      </c>
      <c r="C1651" s="18" t="s">
        <v>5126</v>
      </c>
      <c r="D1651" s="18" t="s">
        <v>5141</v>
      </c>
      <c r="E1651" s="18" t="s">
        <v>5145</v>
      </c>
    </row>
    <row r="1652" spans="1:5" ht="24" customHeight="1" x14ac:dyDescent="0.25">
      <c r="A1652" s="16">
        <v>1669</v>
      </c>
      <c r="B1652" s="18" t="s">
        <v>5125</v>
      </c>
      <c r="C1652" s="18" t="s">
        <v>5126</v>
      </c>
      <c r="D1652" s="18" t="s">
        <v>5141</v>
      </c>
      <c r="E1652" s="18" t="s">
        <v>5146</v>
      </c>
    </row>
    <row r="1653" spans="1:5" ht="24" customHeight="1" x14ac:dyDescent="0.25">
      <c r="A1653" s="16">
        <v>1670</v>
      </c>
      <c r="B1653" s="18" t="s">
        <v>5125</v>
      </c>
      <c r="C1653" s="18" t="s">
        <v>5126</v>
      </c>
      <c r="D1653" s="18" t="s">
        <v>5141</v>
      </c>
      <c r="E1653" s="18" t="s">
        <v>5147</v>
      </c>
    </row>
    <row r="1654" spans="1:5" ht="24" customHeight="1" x14ac:dyDescent="0.25">
      <c r="A1654" s="16">
        <v>1671</v>
      </c>
      <c r="B1654" s="18" t="s">
        <v>5125</v>
      </c>
      <c r="C1654" s="18" t="s">
        <v>5126</v>
      </c>
      <c r="D1654" s="18" t="s">
        <v>5141</v>
      </c>
      <c r="E1654" s="18" t="s">
        <v>5148</v>
      </c>
    </row>
    <row r="1655" spans="1:5" x14ac:dyDescent="0.25">
      <c r="A1655" s="16">
        <v>1672</v>
      </c>
      <c r="B1655" s="18" t="s">
        <v>5125</v>
      </c>
      <c r="C1655" s="18" t="s">
        <v>5126</v>
      </c>
      <c r="D1655" s="18" t="s">
        <v>5149</v>
      </c>
      <c r="E1655" s="18" t="s">
        <v>4131</v>
      </c>
    </row>
    <row r="1656" spans="1:5" ht="24" customHeight="1" x14ac:dyDescent="0.25">
      <c r="A1656" s="16">
        <v>1673</v>
      </c>
      <c r="B1656" s="18" t="s">
        <v>5125</v>
      </c>
      <c r="C1656" s="18" t="s">
        <v>5126</v>
      </c>
      <c r="D1656" s="18" t="s">
        <v>5149</v>
      </c>
      <c r="E1656" s="18" t="s">
        <v>5150</v>
      </c>
    </row>
    <row r="1657" spans="1:5" ht="24" customHeight="1" x14ac:dyDescent="0.25">
      <c r="A1657" s="16">
        <v>1674</v>
      </c>
      <c r="B1657" s="18" t="s">
        <v>5125</v>
      </c>
      <c r="C1657" s="18" t="s">
        <v>5126</v>
      </c>
      <c r="D1657" s="18" t="s">
        <v>5149</v>
      </c>
      <c r="E1657" s="18" t="s">
        <v>5151</v>
      </c>
    </row>
    <row r="1658" spans="1:5" ht="24" customHeight="1" x14ac:dyDescent="0.25">
      <c r="A1658" s="16">
        <v>1675</v>
      </c>
      <c r="B1658" s="18" t="s">
        <v>5125</v>
      </c>
      <c r="C1658" s="18" t="s">
        <v>5126</v>
      </c>
      <c r="D1658" s="18" t="s">
        <v>5149</v>
      </c>
      <c r="E1658" s="18" t="s">
        <v>5152</v>
      </c>
    </row>
    <row r="1659" spans="1:5" ht="24" customHeight="1" x14ac:dyDescent="0.25">
      <c r="A1659" s="16">
        <v>1676</v>
      </c>
      <c r="B1659" s="18" t="s">
        <v>5125</v>
      </c>
      <c r="C1659" s="18" t="s">
        <v>5126</v>
      </c>
      <c r="D1659" s="18" t="s">
        <v>5149</v>
      </c>
      <c r="E1659" s="18" t="s">
        <v>5153</v>
      </c>
    </row>
    <row r="1660" spans="1:5" ht="24" customHeight="1" x14ac:dyDescent="0.25">
      <c r="A1660" s="16">
        <v>1677</v>
      </c>
      <c r="B1660" s="18" t="s">
        <v>5125</v>
      </c>
      <c r="C1660" s="18" t="s">
        <v>5126</v>
      </c>
      <c r="D1660" s="18" t="s">
        <v>5149</v>
      </c>
      <c r="E1660" s="18" t="s">
        <v>5154</v>
      </c>
    </row>
    <row r="1661" spans="1:5" ht="24" customHeight="1" x14ac:dyDescent="0.25">
      <c r="A1661" s="16">
        <v>1678</v>
      </c>
      <c r="B1661" s="18" t="s">
        <v>5125</v>
      </c>
      <c r="C1661" s="18" t="s">
        <v>5126</v>
      </c>
      <c r="D1661" s="18" t="s">
        <v>5149</v>
      </c>
      <c r="E1661" s="18" t="s">
        <v>5155</v>
      </c>
    </row>
    <row r="1662" spans="1:5" ht="24" customHeight="1" x14ac:dyDescent="0.25">
      <c r="A1662" s="16">
        <v>1679</v>
      </c>
      <c r="B1662" s="18" t="s">
        <v>5125</v>
      </c>
      <c r="C1662" s="18" t="s">
        <v>5126</v>
      </c>
      <c r="D1662" s="18" t="s">
        <v>5149</v>
      </c>
      <c r="E1662" s="18" t="s">
        <v>5156</v>
      </c>
    </row>
    <row r="1663" spans="1:5" x14ac:dyDescent="0.25">
      <c r="A1663" s="16">
        <v>1680</v>
      </c>
      <c r="B1663" s="18" t="s">
        <v>5125</v>
      </c>
      <c r="C1663" s="18" t="s">
        <v>5126</v>
      </c>
      <c r="D1663" s="18" t="s">
        <v>5149</v>
      </c>
      <c r="E1663" s="18" t="s">
        <v>5157</v>
      </c>
    </row>
    <row r="1664" spans="1:5" ht="24" customHeight="1" x14ac:dyDescent="0.25">
      <c r="A1664" s="16">
        <v>1681</v>
      </c>
      <c r="B1664" s="18" t="s">
        <v>5125</v>
      </c>
      <c r="C1664" s="18" t="s">
        <v>5126</v>
      </c>
      <c r="D1664" s="18" t="s">
        <v>5149</v>
      </c>
      <c r="E1664" s="18" t="s">
        <v>5158</v>
      </c>
    </row>
    <row r="1665" spans="1:5" x14ac:dyDescent="0.25">
      <c r="A1665" s="16">
        <v>1682</v>
      </c>
      <c r="B1665" s="18" t="s">
        <v>5125</v>
      </c>
      <c r="C1665" s="18" t="s">
        <v>5126</v>
      </c>
      <c r="D1665" s="18" t="s">
        <v>5149</v>
      </c>
      <c r="E1665" s="18" t="s">
        <v>5159</v>
      </c>
    </row>
    <row r="1666" spans="1:5" x14ac:dyDescent="0.25">
      <c r="A1666" s="16">
        <v>1683</v>
      </c>
      <c r="B1666" s="18" t="s">
        <v>5125</v>
      </c>
      <c r="C1666" s="18" t="s">
        <v>5126</v>
      </c>
      <c r="D1666" s="18" t="s">
        <v>5160</v>
      </c>
      <c r="E1666" s="18" t="s">
        <v>5161</v>
      </c>
    </row>
    <row r="1667" spans="1:5" ht="24" customHeight="1" x14ac:dyDescent="0.25">
      <c r="A1667" s="16">
        <v>1684</v>
      </c>
      <c r="B1667" s="18" t="s">
        <v>5125</v>
      </c>
      <c r="C1667" s="18" t="s">
        <v>5126</v>
      </c>
      <c r="D1667" s="18" t="s">
        <v>5160</v>
      </c>
      <c r="E1667" s="18" t="s">
        <v>5162</v>
      </c>
    </row>
    <row r="1668" spans="1:5" ht="24" customHeight="1" x14ac:dyDescent="0.25">
      <c r="A1668" s="16">
        <v>1685</v>
      </c>
      <c r="B1668" s="18" t="s">
        <v>5125</v>
      </c>
      <c r="C1668" s="18" t="s">
        <v>5126</v>
      </c>
      <c r="D1668" s="18" t="s">
        <v>5160</v>
      </c>
      <c r="E1668" s="18" t="s">
        <v>5163</v>
      </c>
    </row>
    <row r="1669" spans="1:5" x14ac:dyDescent="0.25">
      <c r="A1669" s="16">
        <v>1686</v>
      </c>
      <c r="B1669" s="18" t="s">
        <v>5125</v>
      </c>
      <c r="C1669" s="18" t="s">
        <v>5126</v>
      </c>
      <c r="D1669" s="18" t="s">
        <v>5160</v>
      </c>
      <c r="E1669" s="18" t="s">
        <v>5164</v>
      </c>
    </row>
    <row r="1670" spans="1:5" x14ac:dyDescent="0.25">
      <c r="A1670" s="16">
        <v>1687</v>
      </c>
      <c r="B1670" s="18" t="s">
        <v>5125</v>
      </c>
      <c r="C1670" s="18" t="s">
        <v>5126</v>
      </c>
      <c r="D1670" s="18" t="s">
        <v>5160</v>
      </c>
      <c r="E1670" s="18" t="s">
        <v>5165</v>
      </c>
    </row>
    <row r="1671" spans="1:5" x14ac:dyDescent="0.25">
      <c r="A1671" s="16">
        <v>1688</v>
      </c>
      <c r="B1671" s="18" t="s">
        <v>5125</v>
      </c>
      <c r="C1671" s="18" t="s">
        <v>5126</v>
      </c>
      <c r="D1671" s="18" t="s">
        <v>5160</v>
      </c>
      <c r="E1671" s="18" t="s">
        <v>5166</v>
      </c>
    </row>
    <row r="1672" spans="1:5" ht="24" customHeight="1" x14ac:dyDescent="0.25">
      <c r="A1672" s="16">
        <v>1689</v>
      </c>
      <c r="B1672" s="18" t="s">
        <v>5125</v>
      </c>
      <c r="C1672" s="18" t="s">
        <v>5126</v>
      </c>
      <c r="D1672" s="18" t="s">
        <v>5160</v>
      </c>
      <c r="E1672" s="18" t="s">
        <v>5167</v>
      </c>
    </row>
    <row r="1673" spans="1:5" x14ac:dyDescent="0.25">
      <c r="A1673" s="16">
        <v>1690</v>
      </c>
      <c r="B1673" s="18" t="s">
        <v>5125</v>
      </c>
      <c r="C1673" s="18" t="s">
        <v>5126</v>
      </c>
      <c r="D1673" s="18" t="s">
        <v>5160</v>
      </c>
      <c r="E1673" s="18" t="s">
        <v>5168</v>
      </c>
    </row>
    <row r="1674" spans="1:5" x14ac:dyDescent="0.25">
      <c r="A1674" s="16">
        <v>1691</v>
      </c>
      <c r="B1674" s="18" t="s">
        <v>5125</v>
      </c>
      <c r="C1674" s="18" t="s">
        <v>5126</v>
      </c>
      <c r="D1674" s="18" t="s">
        <v>5160</v>
      </c>
      <c r="E1674" s="18" t="s">
        <v>5169</v>
      </c>
    </row>
    <row r="1675" spans="1:5" ht="24" customHeight="1" x14ac:dyDescent="0.25">
      <c r="A1675" s="16">
        <v>1692</v>
      </c>
      <c r="B1675" s="18" t="s">
        <v>5125</v>
      </c>
      <c r="C1675" s="18" t="s">
        <v>5126</v>
      </c>
      <c r="D1675" s="18" t="s">
        <v>5160</v>
      </c>
      <c r="E1675" s="18" t="s">
        <v>5170</v>
      </c>
    </row>
    <row r="1676" spans="1:5" x14ac:dyDescent="0.25">
      <c r="A1676" s="16">
        <v>1693</v>
      </c>
      <c r="B1676" s="18" t="s">
        <v>5125</v>
      </c>
      <c r="C1676" s="18" t="s">
        <v>5126</v>
      </c>
      <c r="D1676" s="18" t="s">
        <v>5160</v>
      </c>
      <c r="E1676" s="18" t="s">
        <v>5171</v>
      </c>
    </row>
    <row r="1677" spans="1:5" ht="24" customHeight="1" x14ac:dyDescent="0.25">
      <c r="A1677" s="16">
        <v>1694</v>
      </c>
      <c r="B1677" s="18" t="s">
        <v>5125</v>
      </c>
      <c r="C1677" s="18" t="s">
        <v>5126</v>
      </c>
      <c r="D1677" s="18" t="s">
        <v>5160</v>
      </c>
      <c r="E1677" s="18" t="s">
        <v>5172</v>
      </c>
    </row>
    <row r="1678" spans="1:5" x14ac:dyDescent="0.25">
      <c r="A1678" s="16">
        <v>1695</v>
      </c>
      <c r="B1678" s="18" t="s">
        <v>5125</v>
      </c>
      <c r="C1678" s="18" t="s">
        <v>5126</v>
      </c>
      <c r="D1678" s="18" t="s">
        <v>5160</v>
      </c>
      <c r="E1678" s="18" t="s">
        <v>5173</v>
      </c>
    </row>
    <row r="1679" spans="1:5" x14ac:dyDescent="0.25">
      <c r="A1679" s="16">
        <v>1696</v>
      </c>
      <c r="B1679" s="18" t="s">
        <v>5125</v>
      </c>
      <c r="C1679" s="18" t="s">
        <v>5126</v>
      </c>
      <c r="D1679" s="18" t="s">
        <v>5174</v>
      </c>
      <c r="E1679" s="18" t="s">
        <v>5175</v>
      </c>
    </row>
    <row r="1680" spans="1:5" ht="24" customHeight="1" x14ac:dyDescent="0.25">
      <c r="A1680" s="16">
        <v>1697</v>
      </c>
      <c r="B1680" s="18" t="s">
        <v>5125</v>
      </c>
      <c r="C1680" s="18" t="s">
        <v>5126</v>
      </c>
      <c r="D1680" s="18" t="s">
        <v>5174</v>
      </c>
      <c r="E1680" s="18" t="s">
        <v>5176</v>
      </c>
    </row>
    <row r="1681" spans="1:5" ht="36" customHeight="1" x14ac:dyDescent="0.25">
      <c r="A1681" s="16">
        <v>1698</v>
      </c>
      <c r="B1681" s="18" t="s">
        <v>5125</v>
      </c>
      <c r="C1681" s="18" t="s">
        <v>5126</v>
      </c>
      <c r="D1681" s="18" t="s">
        <v>5174</v>
      </c>
      <c r="E1681" s="18" t="s">
        <v>5177</v>
      </c>
    </row>
    <row r="1682" spans="1:5" ht="36" customHeight="1" x14ac:dyDescent="0.25">
      <c r="A1682" s="16">
        <v>1699</v>
      </c>
      <c r="B1682" s="18" t="s">
        <v>5125</v>
      </c>
      <c r="C1682" s="18" t="s">
        <v>5126</v>
      </c>
      <c r="D1682" s="18" t="s">
        <v>5174</v>
      </c>
      <c r="E1682" s="18" t="s">
        <v>5178</v>
      </c>
    </row>
    <row r="1683" spans="1:5" x14ac:dyDescent="0.25">
      <c r="A1683" s="16">
        <v>1700</v>
      </c>
      <c r="B1683" s="18" t="s">
        <v>5125</v>
      </c>
      <c r="C1683" s="18" t="s">
        <v>5126</v>
      </c>
      <c r="D1683" s="18" t="s">
        <v>5174</v>
      </c>
      <c r="E1683" s="18" t="s">
        <v>5179</v>
      </c>
    </row>
    <row r="1684" spans="1:5" x14ac:dyDescent="0.25">
      <c r="A1684" s="16">
        <v>1701</v>
      </c>
      <c r="B1684" s="18" t="s">
        <v>5125</v>
      </c>
      <c r="C1684" s="18" t="s">
        <v>5126</v>
      </c>
      <c r="D1684" s="18" t="s">
        <v>5174</v>
      </c>
      <c r="E1684" s="18" t="s">
        <v>5180</v>
      </c>
    </row>
    <row r="1685" spans="1:5" x14ac:dyDescent="0.25">
      <c r="A1685" s="16">
        <v>1702</v>
      </c>
      <c r="B1685" s="18" t="s">
        <v>5125</v>
      </c>
      <c r="C1685" s="18" t="s">
        <v>5126</v>
      </c>
      <c r="D1685" s="18" t="s">
        <v>5174</v>
      </c>
      <c r="E1685" s="18" t="s">
        <v>5181</v>
      </c>
    </row>
    <row r="1686" spans="1:5" x14ac:dyDescent="0.25">
      <c r="A1686" s="16">
        <v>1703</v>
      </c>
      <c r="B1686" s="18" t="s">
        <v>5125</v>
      </c>
      <c r="C1686" s="18" t="s">
        <v>5126</v>
      </c>
      <c r="D1686" s="18" t="s">
        <v>5174</v>
      </c>
      <c r="E1686" s="18" t="s">
        <v>5182</v>
      </c>
    </row>
    <row r="1687" spans="1:5" x14ac:dyDescent="0.25">
      <c r="A1687" s="16">
        <v>1704</v>
      </c>
      <c r="B1687" s="18" t="s">
        <v>5125</v>
      </c>
      <c r="C1687" s="18" t="s">
        <v>5126</v>
      </c>
      <c r="D1687" s="18" t="s">
        <v>5174</v>
      </c>
      <c r="E1687" s="18" t="s">
        <v>5183</v>
      </c>
    </row>
    <row r="1688" spans="1:5" x14ac:dyDescent="0.25">
      <c r="A1688" s="16">
        <v>1705</v>
      </c>
      <c r="B1688" s="18" t="s">
        <v>5125</v>
      </c>
      <c r="C1688" s="18" t="s">
        <v>5126</v>
      </c>
      <c r="D1688" s="18" t="s">
        <v>5174</v>
      </c>
      <c r="E1688" s="18" t="s">
        <v>5184</v>
      </c>
    </row>
    <row r="1689" spans="1:5" x14ac:dyDescent="0.25">
      <c r="A1689" s="16">
        <v>1706</v>
      </c>
      <c r="B1689" s="18" t="s">
        <v>5125</v>
      </c>
      <c r="C1689" s="18" t="s">
        <v>5126</v>
      </c>
      <c r="D1689" s="18" t="s">
        <v>5174</v>
      </c>
      <c r="E1689" s="18" t="s">
        <v>5185</v>
      </c>
    </row>
    <row r="1690" spans="1:5" x14ac:dyDescent="0.25">
      <c r="A1690" s="16">
        <v>1707</v>
      </c>
      <c r="B1690" s="18" t="s">
        <v>5125</v>
      </c>
      <c r="C1690" s="18" t="s">
        <v>5126</v>
      </c>
      <c r="D1690" s="18" t="s">
        <v>5174</v>
      </c>
      <c r="E1690" s="18" t="s">
        <v>5186</v>
      </c>
    </row>
    <row r="1691" spans="1:5" ht="24" customHeight="1" x14ac:dyDescent="0.25">
      <c r="A1691" s="16">
        <v>1708</v>
      </c>
      <c r="B1691" s="18" t="s">
        <v>5125</v>
      </c>
      <c r="C1691" s="18" t="s">
        <v>5126</v>
      </c>
      <c r="D1691" s="18" t="s">
        <v>5174</v>
      </c>
      <c r="E1691" s="18" t="s">
        <v>5187</v>
      </c>
    </row>
    <row r="1692" spans="1:5" x14ac:dyDescent="0.25">
      <c r="A1692" s="16">
        <v>1709</v>
      </c>
      <c r="B1692" s="18" t="s">
        <v>5125</v>
      </c>
      <c r="C1692" s="18" t="s">
        <v>5188</v>
      </c>
      <c r="D1692" s="18" t="s">
        <v>5189</v>
      </c>
      <c r="E1692" s="18" t="s">
        <v>5190</v>
      </c>
    </row>
    <row r="1693" spans="1:5" x14ac:dyDescent="0.25">
      <c r="A1693" s="16">
        <v>1710</v>
      </c>
      <c r="B1693" s="18" t="s">
        <v>5125</v>
      </c>
      <c r="C1693" s="18" t="s">
        <v>5188</v>
      </c>
      <c r="D1693" s="18" t="s">
        <v>5189</v>
      </c>
      <c r="E1693" s="18" t="s">
        <v>5191</v>
      </c>
    </row>
    <row r="1694" spans="1:5" ht="36" customHeight="1" x14ac:dyDescent="0.25">
      <c r="A1694" s="16">
        <v>1711</v>
      </c>
      <c r="B1694" s="18" t="s">
        <v>5125</v>
      </c>
      <c r="C1694" s="18" t="s">
        <v>5188</v>
      </c>
      <c r="D1694" s="18" t="s">
        <v>5189</v>
      </c>
      <c r="E1694" s="18" t="s">
        <v>5192</v>
      </c>
    </row>
    <row r="1695" spans="1:5" x14ac:dyDescent="0.25">
      <c r="A1695" s="16">
        <v>1712</v>
      </c>
      <c r="B1695" s="18" t="s">
        <v>5125</v>
      </c>
      <c r="C1695" s="18" t="s">
        <v>5188</v>
      </c>
      <c r="D1695" s="18" t="s">
        <v>5189</v>
      </c>
      <c r="E1695" s="18" t="s">
        <v>5193</v>
      </c>
    </row>
    <row r="1696" spans="1:5" ht="24" customHeight="1" x14ac:dyDescent="0.25">
      <c r="A1696" s="16">
        <v>1713</v>
      </c>
      <c r="B1696" s="18" t="s">
        <v>5125</v>
      </c>
      <c r="C1696" s="18" t="s">
        <v>5188</v>
      </c>
      <c r="D1696" s="18" t="s">
        <v>5189</v>
      </c>
      <c r="E1696" s="18" t="s">
        <v>5194</v>
      </c>
    </row>
    <row r="1697" spans="1:5" x14ac:dyDescent="0.25">
      <c r="A1697" s="16">
        <v>1714</v>
      </c>
      <c r="B1697" s="18" t="s">
        <v>5125</v>
      </c>
      <c r="C1697" s="18" t="s">
        <v>5188</v>
      </c>
      <c r="D1697" s="18" t="s">
        <v>5189</v>
      </c>
      <c r="E1697" s="18" t="s">
        <v>5195</v>
      </c>
    </row>
    <row r="1698" spans="1:5" x14ac:dyDescent="0.25">
      <c r="A1698" s="16">
        <v>1715</v>
      </c>
      <c r="B1698" s="18" t="s">
        <v>5125</v>
      </c>
      <c r="C1698" s="18" t="s">
        <v>5188</v>
      </c>
      <c r="D1698" s="18" t="s">
        <v>5189</v>
      </c>
      <c r="E1698" s="18" t="s">
        <v>5196</v>
      </c>
    </row>
    <row r="1699" spans="1:5" x14ac:dyDescent="0.25">
      <c r="A1699" s="16">
        <v>1716</v>
      </c>
      <c r="B1699" s="18" t="s">
        <v>5125</v>
      </c>
      <c r="C1699" s="18" t="s">
        <v>5188</v>
      </c>
      <c r="D1699" s="18" t="s">
        <v>5189</v>
      </c>
      <c r="E1699" s="18" t="s">
        <v>5197</v>
      </c>
    </row>
    <row r="1700" spans="1:5" ht="24" customHeight="1" x14ac:dyDescent="0.25">
      <c r="A1700" s="16">
        <v>1717</v>
      </c>
      <c r="B1700" s="18" t="s">
        <v>5125</v>
      </c>
      <c r="C1700" s="18" t="s">
        <v>5188</v>
      </c>
      <c r="D1700" s="18" t="s">
        <v>5198</v>
      </c>
      <c r="E1700" s="18" t="s">
        <v>5199</v>
      </c>
    </row>
    <row r="1701" spans="1:5" ht="24" customHeight="1" x14ac:dyDescent="0.25">
      <c r="A1701" s="16">
        <v>1718</v>
      </c>
      <c r="B1701" s="18" t="s">
        <v>5125</v>
      </c>
      <c r="C1701" s="18" t="s">
        <v>5188</v>
      </c>
      <c r="D1701" s="18" t="s">
        <v>5198</v>
      </c>
      <c r="E1701" s="18" t="s">
        <v>5200</v>
      </c>
    </row>
    <row r="1702" spans="1:5" ht="36" customHeight="1" x14ac:dyDescent="0.25">
      <c r="A1702" s="16">
        <v>1719</v>
      </c>
      <c r="B1702" s="18" t="s">
        <v>5125</v>
      </c>
      <c r="C1702" s="18" t="s">
        <v>5188</v>
      </c>
      <c r="D1702" s="18" t="s">
        <v>5198</v>
      </c>
      <c r="E1702" s="18" t="s">
        <v>5201</v>
      </c>
    </row>
    <row r="1703" spans="1:5" ht="24" customHeight="1" x14ac:dyDescent="0.25">
      <c r="A1703" s="16">
        <v>1720</v>
      </c>
      <c r="B1703" s="18" t="s">
        <v>5125</v>
      </c>
      <c r="C1703" s="18" t="s">
        <v>5188</v>
      </c>
      <c r="D1703" s="18" t="s">
        <v>5198</v>
      </c>
      <c r="E1703" s="18" t="s">
        <v>5202</v>
      </c>
    </row>
    <row r="1704" spans="1:5" ht="24" customHeight="1" x14ac:dyDescent="0.25">
      <c r="A1704" s="16">
        <v>1721</v>
      </c>
      <c r="B1704" s="18" t="s">
        <v>5125</v>
      </c>
      <c r="C1704" s="18" t="s">
        <v>5188</v>
      </c>
      <c r="D1704" s="18" t="s">
        <v>5198</v>
      </c>
      <c r="E1704" s="18" t="s">
        <v>5203</v>
      </c>
    </row>
    <row r="1705" spans="1:5" ht="24" customHeight="1" x14ac:dyDescent="0.25">
      <c r="A1705" s="16">
        <v>1722</v>
      </c>
      <c r="B1705" s="18" t="s">
        <v>5125</v>
      </c>
      <c r="C1705" s="18" t="s">
        <v>5188</v>
      </c>
      <c r="D1705" s="18" t="s">
        <v>5198</v>
      </c>
      <c r="E1705" s="18" t="s">
        <v>5204</v>
      </c>
    </row>
    <row r="1706" spans="1:5" ht="24" customHeight="1" x14ac:dyDescent="0.25">
      <c r="A1706" s="16">
        <v>1723</v>
      </c>
      <c r="B1706" s="18" t="s">
        <v>5125</v>
      </c>
      <c r="C1706" s="18" t="s">
        <v>5188</v>
      </c>
      <c r="D1706" s="18" t="s">
        <v>5198</v>
      </c>
      <c r="E1706" s="18" t="s">
        <v>5205</v>
      </c>
    </row>
    <row r="1707" spans="1:5" ht="24" customHeight="1" x14ac:dyDescent="0.25">
      <c r="A1707" s="16">
        <v>1724</v>
      </c>
      <c r="B1707" s="18" t="s">
        <v>5125</v>
      </c>
      <c r="C1707" s="18" t="s">
        <v>5188</v>
      </c>
      <c r="D1707" s="18" t="s">
        <v>5198</v>
      </c>
      <c r="E1707" s="18" t="s">
        <v>5206</v>
      </c>
    </row>
    <row r="1708" spans="1:5" ht="24" customHeight="1" x14ac:dyDescent="0.25">
      <c r="A1708" s="16">
        <v>1725</v>
      </c>
      <c r="B1708" s="18" t="s">
        <v>5125</v>
      </c>
      <c r="C1708" s="18" t="s">
        <v>5188</v>
      </c>
      <c r="D1708" s="18" t="s">
        <v>5198</v>
      </c>
      <c r="E1708" s="18" t="s">
        <v>5207</v>
      </c>
    </row>
    <row r="1709" spans="1:5" ht="36" customHeight="1" x14ac:dyDescent="0.25">
      <c r="A1709" s="16">
        <v>1726</v>
      </c>
      <c r="B1709" s="18" t="s">
        <v>5125</v>
      </c>
      <c r="C1709" s="18" t="s">
        <v>5188</v>
      </c>
      <c r="D1709" s="18" t="s">
        <v>5198</v>
      </c>
      <c r="E1709" s="18" t="s">
        <v>5208</v>
      </c>
    </row>
    <row r="1710" spans="1:5" x14ac:dyDescent="0.25">
      <c r="A1710" s="16">
        <v>1727</v>
      </c>
      <c r="B1710" s="18" t="s">
        <v>5125</v>
      </c>
      <c r="C1710" s="18" t="s">
        <v>5188</v>
      </c>
      <c r="D1710" s="18" t="s">
        <v>5188</v>
      </c>
      <c r="E1710" s="18" t="s">
        <v>5209</v>
      </c>
    </row>
    <row r="1711" spans="1:5" x14ac:dyDescent="0.25">
      <c r="A1711" s="16">
        <v>1728</v>
      </c>
      <c r="B1711" s="18" t="s">
        <v>5125</v>
      </c>
      <c r="C1711" s="18" t="s">
        <v>5188</v>
      </c>
      <c r="D1711" s="18" t="s">
        <v>5188</v>
      </c>
      <c r="E1711" s="18" t="s">
        <v>5210</v>
      </c>
    </row>
    <row r="1712" spans="1:5" ht="36" customHeight="1" x14ac:dyDescent="0.25">
      <c r="A1712" s="16">
        <v>1729</v>
      </c>
      <c r="B1712" s="18" t="s">
        <v>5125</v>
      </c>
      <c r="C1712" s="18" t="s">
        <v>5188</v>
      </c>
      <c r="D1712" s="18" t="s">
        <v>5188</v>
      </c>
      <c r="E1712" s="18" t="s">
        <v>5211</v>
      </c>
    </row>
    <row r="1713" spans="1:5" x14ac:dyDescent="0.25">
      <c r="A1713" s="16">
        <v>1730</v>
      </c>
      <c r="B1713" s="18" t="s">
        <v>5125</v>
      </c>
      <c r="C1713" s="18" t="s">
        <v>5188</v>
      </c>
      <c r="D1713" s="18" t="s">
        <v>5188</v>
      </c>
      <c r="E1713" s="18" t="s">
        <v>5212</v>
      </c>
    </row>
    <row r="1714" spans="1:5" x14ac:dyDescent="0.25">
      <c r="A1714" s="16">
        <v>1731</v>
      </c>
      <c r="B1714" s="18" t="s">
        <v>5125</v>
      </c>
      <c r="C1714" s="18" t="s">
        <v>5188</v>
      </c>
      <c r="D1714" s="18" t="s">
        <v>5188</v>
      </c>
      <c r="E1714" s="18" t="s">
        <v>5213</v>
      </c>
    </row>
    <row r="1715" spans="1:5" x14ac:dyDescent="0.25">
      <c r="A1715" s="16">
        <v>1732</v>
      </c>
      <c r="B1715" s="18" t="s">
        <v>5125</v>
      </c>
      <c r="C1715" s="18" t="s">
        <v>5188</v>
      </c>
      <c r="D1715" s="18" t="s">
        <v>5188</v>
      </c>
      <c r="E1715" s="18" t="s">
        <v>5214</v>
      </c>
    </row>
    <row r="1716" spans="1:5" x14ac:dyDescent="0.25">
      <c r="A1716" s="16">
        <v>1733</v>
      </c>
      <c r="B1716" s="18" t="s">
        <v>5125</v>
      </c>
      <c r="C1716" s="18" t="s">
        <v>5188</v>
      </c>
      <c r="D1716" s="18" t="s">
        <v>5188</v>
      </c>
      <c r="E1716" s="18" t="s">
        <v>5215</v>
      </c>
    </row>
    <row r="1717" spans="1:5" ht="24" customHeight="1" x14ac:dyDescent="0.25">
      <c r="A1717" s="16">
        <v>1734</v>
      </c>
      <c r="B1717" s="18" t="s">
        <v>5125</v>
      </c>
      <c r="C1717" s="18" t="s">
        <v>5188</v>
      </c>
      <c r="D1717" s="18" t="s">
        <v>5188</v>
      </c>
      <c r="E1717" s="18" t="s">
        <v>5216</v>
      </c>
    </row>
    <row r="1718" spans="1:5" ht="24" customHeight="1" x14ac:dyDescent="0.25">
      <c r="A1718" s="16">
        <v>1735</v>
      </c>
      <c r="B1718" s="18" t="s">
        <v>5125</v>
      </c>
      <c r="C1718" s="18" t="s">
        <v>5188</v>
      </c>
      <c r="D1718" s="18" t="s">
        <v>5188</v>
      </c>
      <c r="E1718" s="18" t="s">
        <v>5217</v>
      </c>
    </row>
    <row r="1719" spans="1:5" x14ac:dyDescent="0.25">
      <c r="A1719" s="16">
        <v>1736</v>
      </c>
      <c r="B1719" s="18" t="s">
        <v>5125</v>
      </c>
      <c r="C1719" s="18" t="s">
        <v>5188</v>
      </c>
      <c r="D1719" s="18" t="s">
        <v>5188</v>
      </c>
      <c r="E1719" s="18" t="s">
        <v>5218</v>
      </c>
    </row>
    <row r="1720" spans="1:5" x14ac:dyDescent="0.25">
      <c r="A1720" s="16">
        <v>1737</v>
      </c>
      <c r="B1720" s="18" t="s">
        <v>5125</v>
      </c>
      <c r="C1720" s="18" t="s">
        <v>5188</v>
      </c>
      <c r="D1720" s="18" t="s">
        <v>5188</v>
      </c>
      <c r="E1720" s="18" t="s">
        <v>5219</v>
      </c>
    </row>
    <row r="1721" spans="1:5" ht="24" customHeight="1" x14ac:dyDescent="0.25">
      <c r="A1721" s="16">
        <v>1738</v>
      </c>
      <c r="B1721" s="18" t="s">
        <v>5125</v>
      </c>
      <c r="C1721" s="18" t="s">
        <v>5188</v>
      </c>
      <c r="D1721" s="18" t="s">
        <v>5188</v>
      </c>
      <c r="E1721" s="18" t="s">
        <v>5220</v>
      </c>
    </row>
    <row r="1722" spans="1:5" x14ac:dyDescent="0.25">
      <c r="A1722" s="16">
        <v>1739</v>
      </c>
      <c r="B1722" s="18" t="s">
        <v>5125</v>
      </c>
      <c r="C1722" s="18" t="s">
        <v>5188</v>
      </c>
      <c r="D1722" s="18" t="s">
        <v>5188</v>
      </c>
      <c r="E1722" s="18" t="s">
        <v>5221</v>
      </c>
    </row>
    <row r="1723" spans="1:5" ht="24" customHeight="1" x14ac:dyDescent="0.25">
      <c r="A1723" s="16">
        <v>1740</v>
      </c>
      <c r="B1723" s="18" t="s">
        <v>5125</v>
      </c>
      <c r="C1723" s="18" t="s">
        <v>5188</v>
      </c>
      <c r="D1723" s="18" t="s">
        <v>5188</v>
      </c>
      <c r="E1723" s="18" t="s">
        <v>5222</v>
      </c>
    </row>
    <row r="1724" spans="1:5" x14ac:dyDescent="0.25">
      <c r="A1724" s="16">
        <v>1741</v>
      </c>
      <c r="B1724" s="18" t="s">
        <v>5125</v>
      </c>
      <c r="C1724" s="18" t="s">
        <v>5188</v>
      </c>
      <c r="D1724" s="18" t="s">
        <v>5188</v>
      </c>
      <c r="E1724" s="18" t="s">
        <v>5223</v>
      </c>
    </row>
    <row r="1725" spans="1:5" ht="24" customHeight="1" x14ac:dyDescent="0.25">
      <c r="A1725" s="16">
        <v>1742</v>
      </c>
      <c r="B1725" s="18" t="s">
        <v>5125</v>
      </c>
      <c r="C1725" s="18" t="s">
        <v>5188</v>
      </c>
      <c r="D1725" s="18" t="s">
        <v>5188</v>
      </c>
      <c r="E1725" s="18" t="s">
        <v>5224</v>
      </c>
    </row>
    <row r="1726" spans="1:5" x14ac:dyDescent="0.25">
      <c r="A1726" s="16">
        <v>1743</v>
      </c>
      <c r="B1726" s="18" t="s">
        <v>5125</v>
      </c>
      <c r="C1726" s="18" t="s">
        <v>5188</v>
      </c>
      <c r="D1726" s="18" t="s">
        <v>5188</v>
      </c>
      <c r="E1726" s="18" t="s">
        <v>5225</v>
      </c>
    </row>
    <row r="1727" spans="1:5" ht="24" customHeight="1" x14ac:dyDescent="0.25">
      <c r="A1727" s="16">
        <v>1744</v>
      </c>
      <c r="B1727" s="18" t="s">
        <v>5125</v>
      </c>
      <c r="C1727" s="18" t="s">
        <v>5188</v>
      </c>
      <c r="D1727" s="18" t="s">
        <v>5188</v>
      </c>
      <c r="E1727" s="18" t="s">
        <v>5226</v>
      </c>
    </row>
    <row r="1728" spans="1:5" ht="24" customHeight="1" x14ac:dyDescent="0.25">
      <c r="A1728" s="16">
        <v>1745</v>
      </c>
      <c r="B1728" s="18" t="s">
        <v>5125</v>
      </c>
      <c r="C1728" s="18" t="s">
        <v>5188</v>
      </c>
      <c r="D1728" s="18" t="s">
        <v>5188</v>
      </c>
      <c r="E1728" s="18" t="s">
        <v>5227</v>
      </c>
    </row>
    <row r="1729" spans="1:5" x14ac:dyDescent="0.25">
      <c r="A1729" s="16">
        <v>1746</v>
      </c>
      <c r="B1729" s="18" t="s">
        <v>5125</v>
      </c>
      <c r="C1729" s="18" t="s">
        <v>5188</v>
      </c>
      <c r="D1729" s="18" t="s">
        <v>5188</v>
      </c>
      <c r="E1729" s="18" t="s">
        <v>5228</v>
      </c>
    </row>
    <row r="1730" spans="1:5" x14ac:dyDescent="0.25">
      <c r="A1730" s="16">
        <v>1747</v>
      </c>
      <c r="B1730" s="18" t="s">
        <v>5125</v>
      </c>
      <c r="C1730" s="18" t="s">
        <v>5188</v>
      </c>
      <c r="D1730" s="18" t="s">
        <v>5188</v>
      </c>
      <c r="E1730" s="18" t="s">
        <v>5229</v>
      </c>
    </row>
    <row r="1731" spans="1:5" x14ac:dyDescent="0.25">
      <c r="A1731" s="16">
        <v>1748</v>
      </c>
      <c r="B1731" s="18" t="s">
        <v>5125</v>
      </c>
      <c r="C1731" s="18" t="s">
        <v>5188</v>
      </c>
      <c r="D1731" s="18" t="s">
        <v>5188</v>
      </c>
      <c r="E1731" s="18" t="s">
        <v>5230</v>
      </c>
    </row>
    <row r="1732" spans="1:5" x14ac:dyDescent="0.25">
      <c r="A1732" s="16">
        <v>1749</v>
      </c>
      <c r="B1732" s="18" t="s">
        <v>5125</v>
      </c>
      <c r="C1732" s="18" t="s">
        <v>5188</v>
      </c>
      <c r="D1732" s="18" t="s">
        <v>5188</v>
      </c>
      <c r="E1732" s="18" t="s">
        <v>5231</v>
      </c>
    </row>
    <row r="1733" spans="1:5" x14ac:dyDescent="0.25">
      <c r="A1733" s="16">
        <v>1750</v>
      </c>
      <c r="B1733" s="18" t="s">
        <v>5125</v>
      </c>
      <c r="C1733" s="18" t="s">
        <v>5188</v>
      </c>
      <c r="D1733" s="18" t="s">
        <v>5188</v>
      </c>
      <c r="E1733" s="18" t="s">
        <v>5232</v>
      </c>
    </row>
    <row r="1734" spans="1:5" x14ac:dyDescent="0.25">
      <c r="A1734" s="16">
        <v>1751</v>
      </c>
      <c r="B1734" s="18" t="s">
        <v>5125</v>
      </c>
      <c r="C1734" s="18" t="s">
        <v>5188</v>
      </c>
      <c r="D1734" s="18" t="s">
        <v>5188</v>
      </c>
      <c r="E1734" s="18" t="s">
        <v>5233</v>
      </c>
    </row>
    <row r="1735" spans="1:5" x14ac:dyDescent="0.25">
      <c r="A1735" s="16">
        <v>1752</v>
      </c>
      <c r="B1735" s="18" t="s">
        <v>5125</v>
      </c>
      <c r="C1735" s="18" t="s">
        <v>5188</v>
      </c>
      <c r="D1735" s="18" t="s">
        <v>5188</v>
      </c>
      <c r="E1735" s="18" t="s">
        <v>5234</v>
      </c>
    </row>
    <row r="1736" spans="1:5" x14ac:dyDescent="0.25">
      <c r="A1736" s="16">
        <v>1753</v>
      </c>
      <c r="B1736" s="18" t="s">
        <v>5125</v>
      </c>
      <c r="C1736" s="18" t="s">
        <v>5188</v>
      </c>
      <c r="D1736" s="18" t="s">
        <v>5188</v>
      </c>
      <c r="E1736" s="18" t="s">
        <v>5235</v>
      </c>
    </row>
    <row r="1737" spans="1:5" ht="24" customHeight="1" x14ac:dyDescent="0.25">
      <c r="A1737" s="16">
        <v>1754</v>
      </c>
      <c r="B1737" s="18" t="s">
        <v>5125</v>
      </c>
      <c r="C1737" s="18" t="s">
        <v>5188</v>
      </c>
      <c r="D1737" s="18" t="s">
        <v>5188</v>
      </c>
      <c r="E1737" s="18" t="s">
        <v>5236</v>
      </c>
    </row>
    <row r="1738" spans="1:5" x14ac:dyDescent="0.25">
      <c r="A1738" s="16">
        <v>1755</v>
      </c>
      <c r="B1738" s="18" t="s">
        <v>5125</v>
      </c>
      <c r="C1738" s="18" t="s">
        <v>5188</v>
      </c>
      <c r="D1738" s="18" t="s">
        <v>5188</v>
      </c>
      <c r="E1738" s="18" t="s">
        <v>5237</v>
      </c>
    </row>
    <row r="1739" spans="1:5" x14ac:dyDescent="0.25">
      <c r="A1739" s="16">
        <v>1756</v>
      </c>
      <c r="B1739" s="18" t="s">
        <v>5125</v>
      </c>
      <c r="C1739" s="18" t="s">
        <v>5188</v>
      </c>
      <c r="D1739" s="18" t="s">
        <v>5188</v>
      </c>
      <c r="E1739" s="18" t="s">
        <v>5238</v>
      </c>
    </row>
    <row r="1740" spans="1:5" ht="24" customHeight="1" x14ac:dyDescent="0.25">
      <c r="A1740" s="16">
        <v>1757</v>
      </c>
      <c r="B1740" s="18" t="s">
        <v>5125</v>
      </c>
      <c r="C1740" s="18" t="s">
        <v>5188</v>
      </c>
      <c r="D1740" s="18" t="s">
        <v>5188</v>
      </c>
      <c r="E1740" s="18" t="s">
        <v>5239</v>
      </c>
    </row>
    <row r="1741" spans="1:5" x14ac:dyDescent="0.25">
      <c r="A1741" s="16">
        <v>1758</v>
      </c>
      <c r="B1741" s="18" t="s">
        <v>5125</v>
      </c>
      <c r="C1741" s="18" t="s">
        <v>5188</v>
      </c>
      <c r="D1741" s="18" t="s">
        <v>5240</v>
      </c>
      <c r="E1741" s="18" t="s">
        <v>5241</v>
      </c>
    </row>
    <row r="1742" spans="1:5" x14ac:dyDescent="0.25">
      <c r="A1742" s="16">
        <v>1759</v>
      </c>
      <c r="B1742" s="18" t="s">
        <v>5125</v>
      </c>
      <c r="C1742" s="18" t="s">
        <v>5188</v>
      </c>
      <c r="D1742" s="18" t="s">
        <v>5240</v>
      </c>
      <c r="E1742" s="18" t="s">
        <v>5242</v>
      </c>
    </row>
    <row r="1743" spans="1:5" x14ac:dyDescent="0.25">
      <c r="A1743" s="16">
        <v>1760</v>
      </c>
      <c r="B1743" s="18" t="s">
        <v>5125</v>
      </c>
      <c r="C1743" s="18" t="s">
        <v>5188</v>
      </c>
      <c r="D1743" s="18" t="s">
        <v>5240</v>
      </c>
      <c r="E1743" s="18" t="s">
        <v>5243</v>
      </c>
    </row>
    <row r="1744" spans="1:5" x14ac:dyDescent="0.25">
      <c r="A1744" s="16">
        <v>1761</v>
      </c>
      <c r="B1744" s="18" t="s">
        <v>5125</v>
      </c>
      <c r="C1744" s="18" t="s">
        <v>5188</v>
      </c>
      <c r="D1744" s="18" t="s">
        <v>5240</v>
      </c>
      <c r="E1744" s="18" t="s">
        <v>5244</v>
      </c>
    </row>
    <row r="1745" spans="1:5" ht="24" customHeight="1" x14ac:dyDescent="0.25">
      <c r="A1745" s="16">
        <v>1762</v>
      </c>
      <c r="B1745" s="18" t="s">
        <v>5125</v>
      </c>
      <c r="C1745" s="18" t="s">
        <v>5188</v>
      </c>
      <c r="D1745" s="18" t="s">
        <v>5240</v>
      </c>
      <c r="E1745" s="18" t="s">
        <v>5245</v>
      </c>
    </row>
    <row r="1746" spans="1:5" x14ac:dyDescent="0.25">
      <c r="A1746" s="16">
        <v>1763</v>
      </c>
      <c r="B1746" s="18" t="s">
        <v>5125</v>
      </c>
      <c r="C1746" s="18" t="s">
        <v>5188</v>
      </c>
      <c r="D1746" s="18" t="s">
        <v>5240</v>
      </c>
      <c r="E1746" s="18" t="s">
        <v>5246</v>
      </c>
    </row>
    <row r="1747" spans="1:5" x14ac:dyDescent="0.25">
      <c r="A1747" s="16">
        <v>1764</v>
      </c>
      <c r="B1747" s="18" t="s">
        <v>5125</v>
      </c>
      <c r="C1747" s="18" t="s">
        <v>5188</v>
      </c>
      <c r="D1747" s="18" t="s">
        <v>5240</v>
      </c>
      <c r="E1747" s="18" t="s">
        <v>5247</v>
      </c>
    </row>
    <row r="1748" spans="1:5" x14ac:dyDescent="0.25">
      <c r="A1748" s="16">
        <v>1765</v>
      </c>
      <c r="B1748" s="18" t="s">
        <v>5125</v>
      </c>
      <c r="C1748" s="18" t="s">
        <v>5188</v>
      </c>
      <c r="D1748" s="18" t="s">
        <v>5240</v>
      </c>
      <c r="E1748" s="18" t="s">
        <v>5248</v>
      </c>
    </row>
    <row r="1749" spans="1:5" ht="36" customHeight="1" x14ac:dyDescent="0.25">
      <c r="A1749" s="16">
        <v>1766</v>
      </c>
      <c r="B1749" s="18" t="s">
        <v>5125</v>
      </c>
      <c r="C1749" s="18" t="s">
        <v>5188</v>
      </c>
      <c r="D1749" s="18" t="s">
        <v>5240</v>
      </c>
      <c r="E1749" s="18" t="s">
        <v>5249</v>
      </c>
    </row>
    <row r="1750" spans="1:5" ht="24" customHeight="1" x14ac:dyDescent="0.25">
      <c r="A1750" s="16">
        <v>1767</v>
      </c>
      <c r="B1750" s="18" t="s">
        <v>5125</v>
      </c>
      <c r="C1750" s="18" t="s">
        <v>5188</v>
      </c>
      <c r="D1750" s="18" t="s">
        <v>5240</v>
      </c>
      <c r="E1750" s="18" t="s">
        <v>5250</v>
      </c>
    </row>
    <row r="1751" spans="1:5" x14ac:dyDescent="0.25">
      <c r="A1751" s="16">
        <v>1768</v>
      </c>
      <c r="B1751" s="18" t="s">
        <v>5125</v>
      </c>
      <c r="C1751" s="18" t="s">
        <v>5188</v>
      </c>
      <c r="D1751" s="18" t="s">
        <v>5240</v>
      </c>
      <c r="E1751" s="18" t="s">
        <v>5251</v>
      </c>
    </row>
    <row r="1752" spans="1:5" ht="24" customHeight="1" x14ac:dyDescent="0.25">
      <c r="A1752" s="16">
        <v>1769</v>
      </c>
      <c r="B1752" s="18" t="s">
        <v>5125</v>
      </c>
      <c r="C1752" s="18" t="s">
        <v>5188</v>
      </c>
      <c r="D1752" s="18" t="s">
        <v>5240</v>
      </c>
      <c r="E1752" s="18" t="s">
        <v>5252</v>
      </c>
    </row>
    <row r="1753" spans="1:5" x14ac:dyDescent="0.25">
      <c r="A1753" s="16">
        <v>1770</v>
      </c>
      <c r="B1753" s="18" t="s">
        <v>5125</v>
      </c>
      <c r="C1753" s="18" t="s">
        <v>5188</v>
      </c>
      <c r="D1753" s="18" t="s">
        <v>5240</v>
      </c>
      <c r="E1753" s="18" t="s">
        <v>5253</v>
      </c>
    </row>
    <row r="1754" spans="1:5" x14ac:dyDescent="0.25">
      <c r="A1754" s="16">
        <v>1771</v>
      </c>
      <c r="B1754" s="18" t="s">
        <v>5125</v>
      </c>
      <c r="C1754" s="18" t="s">
        <v>5188</v>
      </c>
      <c r="D1754" s="18" t="s">
        <v>5254</v>
      </c>
      <c r="E1754" s="18" t="s">
        <v>5255</v>
      </c>
    </row>
    <row r="1755" spans="1:5" x14ac:dyDescent="0.25">
      <c r="A1755" s="16">
        <v>1772</v>
      </c>
      <c r="B1755" s="18" t="s">
        <v>5125</v>
      </c>
      <c r="C1755" s="18" t="s">
        <v>5188</v>
      </c>
      <c r="D1755" s="18" t="s">
        <v>5254</v>
      </c>
      <c r="E1755" s="18" t="s">
        <v>5256</v>
      </c>
    </row>
    <row r="1756" spans="1:5" ht="24" customHeight="1" x14ac:dyDescent="0.25">
      <c r="A1756" s="16">
        <v>1773</v>
      </c>
      <c r="B1756" s="18" t="s">
        <v>5125</v>
      </c>
      <c r="C1756" s="18" t="s">
        <v>5188</v>
      </c>
      <c r="D1756" s="18" t="s">
        <v>5254</v>
      </c>
      <c r="E1756" s="18" t="s">
        <v>5257</v>
      </c>
    </row>
    <row r="1757" spans="1:5" x14ac:dyDescent="0.25">
      <c r="A1757" s="16">
        <v>1774</v>
      </c>
      <c r="B1757" s="18" t="s">
        <v>5125</v>
      </c>
      <c r="C1757" s="18" t="s">
        <v>5188</v>
      </c>
      <c r="D1757" s="18" t="s">
        <v>5254</v>
      </c>
      <c r="E1757" s="18" t="s">
        <v>5258</v>
      </c>
    </row>
    <row r="1758" spans="1:5" x14ac:dyDescent="0.25">
      <c r="A1758" s="16">
        <v>1775</v>
      </c>
      <c r="B1758" s="18" t="s">
        <v>5125</v>
      </c>
      <c r="C1758" s="18" t="s">
        <v>5188</v>
      </c>
      <c r="D1758" s="18" t="s">
        <v>5254</v>
      </c>
      <c r="E1758" s="18" t="s">
        <v>5259</v>
      </c>
    </row>
    <row r="1759" spans="1:5" x14ac:dyDescent="0.25">
      <c r="A1759" s="16">
        <v>1776</v>
      </c>
      <c r="B1759" s="18" t="s">
        <v>5125</v>
      </c>
      <c r="C1759" s="18" t="s">
        <v>5188</v>
      </c>
      <c r="D1759" s="18" t="s">
        <v>5254</v>
      </c>
      <c r="E1759" s="18" t="s">
        <v>5260</v>
      </c>
    </row>
    <row r="1760" spans="1:5" x14ac:dyDescent="0.25">
      <c r="A1760" s="16">
        <v>1777</v>
      </c>
      <c r="B1760" s="18" t="s">
        <v>5125</v>
      </c>
      <c r="C1760" s="18" t="s">
        <v>5188</v>
      </c>
      <c r="D1760" s="18" t="s">
        <v>5254</v>
      </c>
      <c r="E1760" s="18" t="s">
        <v>5261</v>
      </c>
    </row>
    <row r="1761" spans="1:5" ht="24" customHeight="1" x14ac:dyDescent="0.25">
      <c r="A1761" s="16">
        <v>1778</v>
      </c>
      <c r="B1761" s="18" t="s">
        <v>5125</v>
      </c>
      <c r="C1761" s="18" t="s">
        <v>5188</v>
      </c>
      <c r="D1761" s="18" t="s">
        <v>5254</v>
      </c>
      <c r="E1761" s="18" t="s">
        <v>5262</v>
      </c>
    </row>
    <row r="1762" spans="1:5" ht="24" customHeight="1" x14ac:dyDescent="0.25">
      <c r="A1762" s="16">
        <v>1779</v>
      </c>
      <c r="B1762" s="18" t="s">
        <v>5125</v>
      </c>
      <c r="C1762" s="18" t="s">
        <v>5188</v>
      </c>
      <c r="D1762" s="18" t="s">
        <v>5254</v>
      </c>
      <c r="E1762" s="18" t="s">
        <v>5263</v>
      </c>
    </row>
    <row r="1763" spans="1:5" ht="36" customHeight="1" x14ac:dyDescent="0.25">
      <c r="A1763" s="16">
        <v>1780</v>
      </c>
      <c r="B1763" s="18" t="s">
        <v>5125</v>
      </c>
      <c r="C1763" s="18" t="s">
        <v>5188</v>
      </c>
      <c r="D1763" s="18" t="s">
        <v>5254</v>
      </c>
      <c r="E1763" s="18" t="s">
        <v>5264</v>
      </c>
    </row>
    <row r="1764" spans="1:5" ht="24" customHeight="1" x14ac:dyDescent="0.25">
      <c r="A1764" s="16">
        <v>1781</v>
      </c>
      <c r="B1764" s="18" t="s">
        <v>5125</v>
      </c>
      <c r="C1764" s="18" t="s">
        <v>5188</v>
      </c>
      <c r="D1764" s="18" t="s">
        <v>5254</v>
      </c>
      <c r="E1764" s="18" t="s">
        <v>5265</v>
      </c>
    </row>
    <row r="1765" spans="1:5" x14ac:dyDescent="0.25">
      <c r="A1765" s="16">
        <v>1782</v>
      </c>
      <c r="B1765" s="18" t="s">
        <v>5125</v>
      </c>
      <c r="C1765" s="18" t="s">
        <v>5188</v>
      </c>
      <c r="D1765" s="18" t="s">
        <v>5254</v>
      </c>
      <c r="E1765" s="18" t="s">
        <v>5266</v>
      </c>
    </row>
    <row r="1766" spans="1:5" x14ac:dyDescent="0.25">
      <c r="A1766" s="16">
        <v>1783</v>
      </c>
      <c r="B1766" s="18" t="s">
        <v>5125</v>
      </c>
      <c r="C1766" s="18" t="s">
        <v>5188</v>
      </c>
      <c r="D1766" s="18" t="s">
        <v>5267</v>
      </c>
      <c r="E1766" s="18" t="s">
        <v>5268</v>
      </c>
    </row>
    <row r="1767" spans="1:5" ht="24" customHeight="1" x14ac:dyDescent="0.25">
      <c r="A1767" s="16">
        <v>1784</v>
      </c>
      <c r="B1767" s="18" t="s">
        <v>5125</v>
      </c>
      <c r="C1767" s="18" t="s">
        <v>5188</v>
      </c>
      <c r="D1767" s="18" t="s">
        <v>5267</v>
      </c>
      <c r="E1767" s="18" t="s">
        <v>5269</v>
      </c>
    </row>
    <row r="1768" spans="1:5" x14ac:dyDescent="0.25">
      <c r="A1768" s="16">
        <v>1785</v>
      </c>
      <c r="B1768" s="18" t="s">
        <v>5125</v>
      </c>
      <c r="C1768" s="18" t="s">
        <v>5188</v>
      </c>
      <c r="D1768" s="18" t="s">
        <v>5267</v>
      </c>
      <c r="E1768" s="18" t="s">
        <v>5270</v>
      </c>
    </row>
    <row r="1769" spans="1:5" ht="24" customHeight="1" x14ac:dyDescent="0.25">
      <c r="A1769" s="16">
        <v>1786</v>
      </c>
      <c r="B1769" s="18" t="s">
        <v>5125</v>
      </c>
      <c r="C1769" s="18" t="s">
        <v>5188</v>
      </c>
      <c r="D1769" s="18" t="s">
        <v>5267</v>
      </c>
      <c r="E1769" s="18" t="s">
        <v>5271</v>
      </c>
    </row>
    <row r="1770" spans="1:5" x14ac:dyDescent="0.25">
      <c r="A1770" s="16">
        <v>1787</v>
      </c>
      <c r="B1770" s="18" t="s">
        <v>5125</v>
      </c>
      <c r="C1770" s="18" t="s">
        <v>5188</v>
      </c>
      <c r="D1770" s="18" t="s">
        <v>5267</v>
      </c>
      <c r="E1770" s="18" t="s">
        <v>5272</v>
      </c>
    </row>
    <row r="1771" spans="1:5" x14ac:dyDescent="0.25">
      <c r="A1771" s="16">
        <v>1788</v>
      </c>
      <c r="B1771" s="18" t="s">
        <v>5125</v>
      </c>
      <c r="C1771" s="18" t="s">
        <v>5188</v>
      </c>
      <c r="D1771" s="18" t="s">
        <v>5267</v>
      </c>
      <c r="E1771" s="18" t="s">
        <v>5273</v>
      </c>
    </row>
    <row r="1772" spans="1:5" x14ac:dyDescent="0.25">
      <c r="A1772" s="16">
        <v>1789</v>
      </c>
      <c r="B1772" s="18" t="s">
        <v>5125</v>
      </c>
      <c r="C1772" s="18" t="s">
        <v>5188</v>
      </c>
      <c r="D1772" s="18" t="s">
        <v>5267</v>
      </c>
      <c r="E1772" s="18" t="s">
        <v>5274</v>
      </c>
    </row>
    <row r="1773" spans="1:5" ht="24" customHeight="1" x14ac:dyDescent="0.25">
      <c r="A1773" s="16">
        <v>1790</v>
      </c>
      <c r="B1773" s="18" t="s">
        <v>5125</v>
      </c>
      <c r="C1773" s="18" t="s">
        <v>5188</v>
      </c>
      <c r="D1773" s="18" t="s">
        <v>5275</v>
      </c>
      <c r="E1773" s="18" t="s">
        <v>5276</v>
      </c>
    </row>
    <row r="1774" spans="1:5" x14ac:dyDescent="0.25">
      <c r="A1774" s="16">
        <v>1791</v>
      </c>
      <c r="B1774" s="18" t="s">
        <v>5125</v>
      </c>
      <c r="C1774" s="18" t="s">
        <v>5188</v>
      </c>
      <c r="D1774" s="18" t="s">
        <v>5275</v>
      </c>
      <c r="E1774" s="18" t="s">
        <v>5277</v>
      </c>
    </row>
    <row r="1775" spans="1:5" x14ac:dyDescent="0.25">
      <c r="A1775" s="16">
        <v>1792</v>
      </c>
      <c r="B1775" s="18" t="s">
        <v>5125</v>
      </c>
      <c r="C1775" s="18" t="s">
        <v>5188</v>
      </c>
      <c r="D1775" s="18" t="s">
        <v>5275</v>
      </c>
      <c r="E1775" s="18" t="s">
        <v>5278</v>
      </c>
    </row>
    <row r="1776" spans="1:5" ht="24" customHeight="1" x14ac:dyDescent="0.25">
      <c r="A1776" s="16">
        <v>1793</v>
      </c>
      <c r="B1776" s="18" t="s">
        <v>5125</v>
      </c>
      <c r="C1776" s="18" t="s">
        <v>5188</v>
      </c>
      <c r="D1776" s="18" t="s">
        <v>5275</v>
      </c>
      <c r="E1776" s="18" t="s">
        <v>5279</v>
      </c>
    </row>
    <row r="1777" spans="1:5" x14ac:dyDescent="0.25">
      <c r="A1777" s="16">
        <v>1794</v>
      </c>
      <c r="B1777" s="18" t="s">
        <v>5125</v>
      </c>
      <c r="C1777" s="18" t="s">
        <v>5188</v>
      </c>
      <c r="D1777" s="18" t="s">
        <v>5275</v>
      </c>
      <c r="E1777" s="18" t="s">
        <v>5280</v>
      </c>
    </row>
    <row r="1778" spans="1:5" x14ac:dyDescent="0.25">
      <c r="A1778" s="16">
        <v>1795</v>
      </c>
      <c r="B1778" s="18" t="s">
        <v>5125</v>
      </c>
      <c r="C1778" s="18" t="s">
        <v>5188</v>
      </c>
      <c r="D1778" s="18" t="s">
        <v>5275</v>
      </c>
      <c r="E1778" s="18" t="s">
        <v>5281</v>
      </c>
    </row>
    <row r="1779" spans="1:5" ht="24" customHeight="1" x14ac:dyDescent="0.25">
      <c r="A1779" s="16">
        <v>1796</v>
      </c>
      <c r="B1779" s="18" t="s">
        <v>5125</v>
      </c>
      <c r="C1779" s="18" t="s">
        <v>5188</v>
      </c>
      <c r="D1779" s="18" t="s">
        <v>5275</v>
      </c>
      <c r="E1779" s="18" t="s">
        <v>5282</v>
      </c>
    </row>
    <row r="1780" spans="1:5" ht="24" customHeight="1" x14ac:dyDescent="0.25">
      <c r="A1780" s="16">
        <v>1797</v>
      </c>
      <c r="B1780" s="18" t="s">
        <v>5125</v>
      </c>
      <c r="C1780" s="18" t="s">
        <v>5188</v>
      </c>
      <c r="D1780" s="18" t="s">
        <v>5275</v>
      </c>
      <c r="E1780" s="18" t="s">
        <v>5283</v>
      </c>
    </row>
    <row r="1781" spans="1:5" x14ac:dyDescent="0.25">
      <c r="A1781" s="16">
        <v>1798</v>
      </c>
      <c r="B1781" s="18" t="s">
        <v>5125</v>
      </c>
      <c r="C1781" s="18" t="s">
        <v>5188</v>
      </c>
      <c r="D1781" s="18" t="s">
        <v>5275</v>
      </c>
      <c r="E1781" s="18" t="s">
        <v>5284</v>
      </c>
    </row>
    <row r="1782" spans="1:5" x14ac:dyDescent="0.25">
      <c r="A1782" s="16">
        <v>1799</v>
      </c>
      <c r="B1782" s="18" t="s">
        <v>5125</v>
      </c>
      <c r="C1782" s="18" t="s">
        <v>5188</v>
      </c>
      <c r="D1782" s="18" t="s">
        <v>5275</v>
      </c>
      <c r="E1782" s="18" t="s">
        <v>5285</v>
      </c>
    </row>
    <row r="1783" spans="1:5" x14ac:dyDescent="0.25">
      <c r="A1783" s="16">
        <v>1800</v>
      </c>
      <c r="B1783" s="18" t="s">
        <v>5125</v>
      </c>
      <c r="C1783" s="18" t="s">
        <v>5286</v>
      </c>
      <c r="D1783" s="18" t="s">
        <v>5287</v>
      </c>
      <c r="E1783" s="18" t="s">
        <v>5288</v>
      </c>
    </row>
    <row r="1784" spans="1:5" x14ac:dyDescent="0.25">
      <c r="A1784" s="16">
        <v>1801</v>
      </c>
      <c r="B1784" s="18" t="s">
        <v>5125</v>
      </c>
      <c r="C1784" s="18" t="s">
        <v>5286</v>
      </c>
      <c r="D1784" s="18" t="s">
        <v>5287</v>
      </c>
      <c r="E1784" s="18" t="s">
        <v>5289</v>
      </c>
    </row>
    <row r="1785" spans="1:5" ht="24" customHeight="1" x14ac:dyDescent="0.25">
      <c r="A1785" s="16">
        <v>1802</v>
      </c>
      <c r="B1785" s="18" t="s">
        <v>5125</v>
      </c>
      <c r="C1785" s="18" t="s">
        <v>5286</v>
      </c>
      <c r="D1785" s="18" t="s">
        <v>5287</v>
      </c>
      <c r="E1785" s="18" t="s">
        <v>5290</v>
      </c>
    </row>
    <row r="1786" spans="1:5" x14ac:dyDescent="0.25">
      <c r="A1786" s="16">
        <v>1803</v>
      </c>
      <c r="B1786" s="18" t="s">
        <v>5125</v>
      </c>
      <c r="C1786" s="18" t="s">
        <v>5286</v>
      </c>
      <c r="D1786" s="18" t="s">
        <v>5287</v>
      </c>
      <c r="E1786" s="18" t="s">
        <v>5291</v>
      </c>
    </row>
    <row r="1787" spans="1:5" x14ac:dyDescent="0.25">
      <c r="A1787" s="16">
        <v>1804</v>
      </c>
      <c r="B1787" s="18" t="s">
        <v>5125</v>
      </c>
      <c r="C1787" s="18" t="s">
        <v>5286</v>
      </c>
      <c r="D1787" s="18" t="s">
        <v>5287</v>
      </c>
      <c r="E1787" s="18" t="s">
        <v>5292</v>
      </c>
    </row>
    <row r="1788" spans="1:5" x14ac:dyDescent="0.25">
      <c r="A1788" s="16">
        <v>1805</v>
      </c>
      <c r="B1788" s="18" t="s">
        <v>5125</v>
      </c>
      <c r="C1788" s="18" t="s">
        <v>5286</v>
      </c>
      <c r="D1788" s="18" t="s">
        <v>5287</v>
      </c>
      <c r="E1788" s="18" t="s">
        <v>5293</v>
      </c>
    </row>
    <row r="1789" spans="1:5" x14ac:dyDescent="0.25">
      <c r="A1789" s="16">
        <v>1806</v>
      </c>
      <c r="B1789" s="18" t="s">
        <v>5125</v>
      </c>
      <c r="C1789" s="18" t="s">
        <v>5286</v>
      </c>
      <c r="D1789" s="18" t="s">
        <v>5287</v>
      </c>
      <c r="E1789" s="18" t="s">
        <v>5294</v>
      </c>
    </row>
    <row r="1790" spans="1:5" x14ac:dyDescent="0.25">
      <c r="A1790" s="16">
        <v>1807</v>
      </c>
      <c r="B1790" s="18" t="s">
        <v>5125</v>
      </c>
      <c r="C1790" s="18" t="s">
        <v>5286</v>
      </c>
      <c r="D1790" s="18" t="s">
        <v>5287</v>
      </c>
      <c r="E1790" s="18" t="s">
        <v>5295</v>
      </c>
    </row>
    <row r="1791" spans="1:5" x14ac:dyDescent="0.25">
      <c r="A1791" s="16">
        <v>1808</v>
      </c>
      <c r="B1791" s="18" t="s">
        <v>5125</v>
      </c>
      <c r="C1791" s="18" t="s">
        <v>5286</v>
      </c>
      <c r="D1791" s="18" t="s">
        <v>5287</v>
      </c>
      <c r="E1791" s="18" t="s">
        <v>5296</v>
      </c>
    </row>
    <row r="1792" spans="1:5" x14ac:dyDescent="0.25">
      <c r="A1792" s="16">
        <v>1809</v>
      </c>
      <c r="B1792" s="18" t="s">
        <v>5125</v>
      </c>
      <c r="C1792" s="18" t="s">
        <v>5286</v>
      </c>
      <c r="D1792" s="18" t="s">
        <v>5287</v>
      </c>
      <c r="E1792" s="18" t="s">
        <v>5297</v>
      </c>
    </row>
    <row r="1793" spans="1:5" x14ac:dyDescent="0.25">
      <c r="A1793" s="16">
        <v>1810</v>
      </c>
      <c r="B1793" s="18" t="s">
        <v>5125</v>
      </c>
      <c r="C1793" s="18" t="s">
        <v>5286</v>
      </c>
      <c r="D1793" s="18" t="s">
        <v>5298</v>
      </c>
      <c r="E1793" s="18" t="s">
        <v>5299</v>
      </c>
    </row>
    <row r="1794" spans="1:5" ht="24" customHeight="1" x14ac:dyDescent="0.25">
      <c r="A1794" s="16">
        <v>1811</v>
      </c>
      <c r="B1794" s="18" t="s">
        <v>5125</v>
      </c>
      <c r="C1794" s="18" t="s">
        <v>5286</v>
      </c>
      <c r="D1794" s="18" t="s">
        <v>5298</v>
      </c>
      <c r="E1794" s="18" t="s">
        <v>5300</v>
      </c>
    </row>
    <row r="1795" spans="1:5" ht="24" customHeight="1" x14ac:dyDescent="0.25">
      <c r="A1795" s="16">
        <v>1812</v>
      </c>
      <c r="B1795" s="18" t="s">
        <v>5125</v>
      </c>
      <c r="C1795" s="18" t="s">
        <v>5286</v>
      </c>
      <c r="D1795" s="18" t="s">
        <v>5298</v>
      </c>
      <c r="E1795" s="18" t="s">
        <v>5301</v>
      </c>
    </row>
    <row r="1796" spans="1:5" ht="24" customHeight="1" x14ac:dyDescent="0.25">
      <c r="A1796" s="16">
        <v>1813</v>
      </c>
      <c r="B1796" s="18" t="s">
        <v>5125</v>
      </c>
      <c r="C1796" s="18" t="s">
        <v>5286</v>
      </c>
      <c r="D1796" s="18" t="s">
        <v>5298</v>
      </c>
      <c r="E1796" s="18" t="s">
        <v>5302</v>
      </c>
    </row>
    <row r="1797" spans="1:5" ht="24" customHeight="1" x14ac:dyDescent="0.25">
      <c r="A1797" s="16">
        <v>1814</v>
      </c>
      <c r="B1797" s="18" t="s">
        <v>5125</v>
      </c>
      <c r="C1797" s="18" t="s">
        <v>5286</v>
      </c>
      <c r="D1797" s="18" t="s">
        <v>5298</v>
      </c>
      <c r="E1797" s="18" t="s">
        <v>5303</v>
      </c>
    </row>
    <row r="1798" spans="1:5" ht="24" customHeight="1" x14ac:dyDescent="0.25">
      <c r="A1798" s="16">
        <v>1815</v>
      </c>
      <c r="B1798" s="18" t="s">
        <v>5125</v>
      </c>
      <c r="C1798" s="18" t="s">
        <v>5286</v>
      </c>
      <c r="D1798" s="18" t="s">
        <v>5298</v>
      </c>
      <c r="E1798" s="18" t="s">
        <v>5304</v>
      </c>
    </row>
    <row r="1799" spans="1:5" ht="24" customHeight="1" x14ac:dyDescent="0.25">
      <c r="A1799" s="16">
        <v>1816</v>
      </c>
      <c r="B1799" s="18" t="s">
        <v>5125</v>
      </c>
      <c r="C1799" s="18" t="s">
        <v>5286</v>
      </c>
      <c r="D1799" s="18" t="s">
        <v>5298</v>
      </c>
      <c r="E1799" s="18" t="s">
        <v>5305</v>
      </c>
    </row>
    <row r="1800" spans="1:5" x14ac:dyDescent="0.25">
      <c r="A1800" s="16">
        <v>1817</v>
      </c>
      <c r="B1800" s="18" t="s">
        <v>5125</v>
      </c>
      <c r="C1800" s="18" t="s">
        <v>5286</v>
      </c>
      <c r="D1800" s="18" t="s">
        <v>5298</v>
      </c>
      <c r="E1800" s="18" t="s">
        <v>5306</v>
      </c>
    </row>
    <row r="1801" spans="1:5" ht="24" customHeight="1" x14ac:dyDescent="0.25">
      <c r="A1801" s="16">
        <v>1818</v>
      </c>
      <c r="B1801" s="18" t="s">
        <v>5125</v>
      </c>
      <c r="C1801" s="18" t="s">
        <v>5286</v>
      </c>
      <c r="D1801" s="18" t="s">
        <v>5298</v>
      </c>
      <c r="E1801" s="18" t="s">
        <v>5307</v>
      </c>
    </row>
    <row r="1802" spans="1:5" x14ac:dyDescent="0.25">
      <c r="A1802" s="16">
        <v>1819</v>
      </c>
      <c r="B1802" s="18" t="s">
        <v>5125</v>
      </c>
      <c r="C1802" s="18" t="s">
        <v>5286</v>
      </c>
      <c r="D1802" s="18" t="s">
        <v>5308</v>
      </c>
      <c r="E1802" s="18" t="s">
        <v>5309</v>
      </c>
    </row>
    <row r="1803" spans="1:5" x14ac:dyDescent="0.25">
      <c r="A1803" s="16">
        <v>1820</v>
      </c>
      <c r="B1803" s="18" t="s">
        <v>5125</v>
      </c>
      <c r="C1803" s="18" t="s">
        <v>5286</v>
      </c>
      <c r="D1803" s="18" t="s">
        <v>5308</v>
      </c>
      <c r="E1803" s="18" t="s">
        <v>5310</v>
      </c>
    </row>
    <row r="1804" spans="1:5" x14ac:dyDescent="0.25">
      <c r="A1804" s="16">
        <v>1821</v>
      </c>
      <c r="B1804" s="18" t="s">
        <v>5125</v>
      </c>
      <c r="C1804" s="18" t="s">
        <v>5286</v>
      </c>
      <c r="D1804" s="18" t="s">
        <v>5308</v>
      </c>
      <c r="E1804" s="18" t="s">
        <v>5311</v>
      </c>
    </row>
    <row r="1805" spans="1:5" x14ac:dyDescent="0.25">
      <c r="A1805" s="16">
        <v>1822</v>
      </c>
      <c r="B1805" s="18" t="s">
        <v>5125</v>
      </c>
      <c r="C1805" s="18" t="s">
        <v>5286</v>
      </c>
      <c r="D1805" s="18" t="s">
        <v>5308</v>
      </c>
      <c r="E1805" s="18" t="s">
        <v>5312</v>
      </c>
    </row>
    <row r="1806" spans="1:5" ht="24" customHeight="1" x14ac:dyDescent="0.25">
      <c r="A1806" s="16">
        <v>1823</v>
      </c>
      <c r="B1806" s="18" t="s">
        <v>5125</v>
      </c>
      <c r="C1806" s="18" t="s">
        <v>5286</v>
      </c>
      <c r="D1806" s="18" t="s">
        <v>5308</v>
      </c>
      <c r="E1806" s="18" t="s">
        <v>5313</v>
      </c>
    </row>
    <row r="1807" spans="1:5" ht="24" customHeight="1" x14ac:dyDescent="0.25">
      <c r="A1807" s="16">
        <v>1824</v>
      </c>
      <c r="B1807" s="18" t="s">
        <v>5125</v>
      </c>
      <c r="C1807" s="18" t="s">
        <v>5286</v>
      </c>
      <c r="D1807" s="18" t="s">
        <v>5308</v>
      </c>
      <c r="E1807" s="18" t="s">
        <v>5314</v>
      </c>
    </row>
    <row r="1808" spans="1:5" x14ac:dyDescent="0.25">
      <c r="A1808" s="16">
        <v>1825</v>
      </c>
      <c r="B1808" s="18" t="s">
        <v>5125</v>
      </c>
      <c r="C1808" s="18" t="s">
        <v>5286</v>
      </c>
      <c r="D1808" s="18" t="s">
        <v>5308</v>
      </c>
      <c r="E1808" s="18" t="s">
        <v>5315</v>
      </c>
    </row>
    <row r="1809" spans="1:5" x14ac:dyDescent="0.25">
      <c r="A1809" s="16">
        <v>1826</v>
      </c>
      <c r="B1809" s="18" t="s">
        <v>5125</v>
      </c>
      <c r="C1809" s="18" t="s">
        <v>5286</v>
      </c>
      <c r="D1809" s="18" t="s">
        <v>5308</v>
      </c>
      <c r="E1809" s="18" t="s">
        <v>5316</v>
      </c>
    </row>
    <row r="1810" spans="1:5" ht="24" customHeight="1" x14ac:dyDescent="0.25">
      <c r="A1810" s="16">
        <v>1827</v>
      </c>
      <c r="B1810" s="18" t="s">
        <v>5125</v>
      </c>
      <c r="C1810" s="18" t="s">
        <v>5286</v>
      </c>
      <c r="D1810" s="18" t="s">
        <v>5308</v>
      </c>
      <c r="E1810" s="18" t="s">
        <v>5317</v>
      </c>
    </row>
    <row r="1811" spans="1:5" ht="24" customHeight="1" x14ac:dyDescent="0.25">
      <c r="A1811" s="16">
        <v>1828</v>
      </c>
      <c r="B1811" s="18" t="s">
        <v>5125</v>
      </c>
      <c r="C1811" s="18" t="s">
        <v>5286</v>
      </c>
      <c r="D1811" s="18" t="s">
        <v>5308</v>
      </c>
      <c r="E1811" s="18" t="s">
        <v>5318</v>
      </c>
    </row>
    <row r="1812" spans="1:5" x14ac:dyDescent="0.25">
      <c r="A1812" s="16">
        <v>1829</v>
      </c>
      <c r="B1812" s="18" t="s">
        <v>5125</v>
      </c>
      <c r="C1812" s="18" t="s">
        <v>5286</v>
      </c>
      <c r="D1812" s="18" t="s">
        <v>5286</v>
      </c>
      <c r="E1812" s="18" t="s">
        <v>5319</v>
      </c>
    </row>
    <row r="1813" spans="1:5" x14ac:dyDescent="0.25">
      <c r="A1813" s="16">
        <v>1830</v>
      </c>
      <c r="B1813" s="18" t="s">
        <v>5125</v>
      </c>
      <c r="C1813" s="18" t="s">
        <v>5286</v>
      </c>
      <c r="D1813" s="18" t="s">
        <v>5286</v>
      </c>
      <c r="E1813" s="18" t="s">
        <v>5320</v>
      </c>
    </row>
    <row r="1814" spans="1:5" x14ac:dyDescent="0.25">
      <c r="A1814" s="16">
        <v>1831</v>
      </c>
      <c r="B1814" s="18" t="s">
        <v>5125</v>
      </c>
      <c r="C1814" s="18" t="s">
        <v>5286</v>
      </c>
      <c r="D1814" s="18" t="s">
        <v>5286</v>
      </c>
      <c r="E1814" s="18" t="s">
        <v>5321</v>
      </c>
    </row>
    <row r="1815" spans="1:5" x14ac:dyDescent="0.25">
      <c r="A1815" s="16">
        <v>1832</v>
      </c>
      <c r="B1815" s="18" t="s">
        <v>5125</v>
      </c>
      <c r="C1815" s="18" t="s">
        <v>5286</v>
      </c>
      <c r="D1815" s="18" t="s">
        <v>5286</v>
      </c>
      <c r="E1815" s="18" t="s">
        <v>5322</v>
      </c>
    </row>
    <row r="1816" spans="1:5" ht="24" customHeight="1" x14ac:dyDescent="0.25">
      <c r="A1816" s="16">
        <v>1833</v>
      </c>
      <c r="B1816" s="18" t="s">
        <v>5125</v>
      </c>
      <c r="C1816" s="18" t="s">
        <v>5286</v>
      </c>
      <c r="D1816" s="18" t="s">
        <v>5286</v>
      </c>
      <c r="E1816" s="18" t="s">
        <v>5323</v>
      </c>
    </row>
    <row r="1817" spans="1:5" ht="24" customHeight="1" x14ac:dyDescent="0.25">
      <c r="A1817" s="16">
        <v>1834</v>
      </c>
      <c r="B1817" s="18" t="s">
        <v>5125</v>
      </c>
      <c r="C1817" s="18" t="s">
        <v>5286</v>
      </c>
      <c r="D1817" s="18" t="s">
        <v>5286</v>
      </c>
      <c r="E1817" s="18" t="s">
        <v>5324</v>
      </c>
    </row>
    <row r="1818" spans="1:5" ht="24" customHeight="1" x14ac:dyDescent="0.25">
      <c r="A1818" s="16">
        <v>1835</v>
      </c>
      <c r="B1818" s="18" t="s">
        <v>5125</v>
      </c>
      <c r="C1818" s="18" t="s">
        <v>5286</v>
      </c>
      <c r="D1818" s="18" t="s">
        <v>5286</v>
      </c>
      <c r="E1818" s="18" t="s">
        <v>5325</v>
      </c>
    </row>
    <row r="1819" spans="1:5" x14ac:dyDescent="0.25">
      <c r="A1819" s="16">
        <v>1836</v>
      </c>
      <c r="B1819" s="18" t="s">
        <v>5125</v>
      </c>
      <c r="C1819" s="18" t="s">
        <v>5286</v>
      </c>
      <c r="D1819" s="18" t="s">
        <v>5286</v>
      </c>
      <c r="E1819" s="18" t="s">
        <v>5326</v>
      </c>
    </row>
    <row r="1820" spans="1:5" ht="24" customHeight="1" x14ac:dyDescent="0.25">
      <c r="A1820" s="16">
        <v>1837</v>
      </c>
      <c r="B1820" s="18" t="s">
        <v>5125</v>
      </c>
      <c r="C1820" s="18" t="s">
        <v>5286</v>
      </c>
      <c r="D1820" s="18" t="s">
        <v>5286</v>
      </c>
      <c r="E1820" s="18" t="s">
        <v>5327</v>
      </c>
    </row>
    <row r="1821" spans="1:5" ht="24" customHeight="1" x14ac:dyDescent="0.25">
      <c r="A1821" s="16">
        <v>1838</v>
      </c>
      <c r="B1821" s="18" t="s">
        <v>5125</v>
      </c>
      <c r="C1821" s="18" t="s">
        <v>5286</v>
      </c>
      <c r="D1821" s="18" t="s">
        <v>5286</v>
      </c>
      <c r="E1821" s="18" t="s">
        <v>5328</v>
      </c>
    </row>
    <row r="1822" spans="1:5" ht="24" customHeight="1" x14ac:dyDescent="0.25">
      <c r="A1822" s="16">
        <v>1839</v>
      </c>
      <c r="B1822" s="18" t="s">
        <v>5125</v>
      </c>
      <c r="C1822" s="18" t="s">
        <v>5286</v>
      </c>
      <c r="D1822" s="18" t="s">
        <v>5286</v>
      </c>
      <c r="E1822" s="18" t="s">
        <v>5329</v>
      </c>
    </row>
    <row r="1823" spans="1:5" x14ac:dyDescent="0.25">
      <c r="A1823" s="16">
        <v>1840</v>
      </c>
      <c r="B1823" s="18" t="s">
        <v>5125</v>
      </c>
      <c r="C1823" s="18" t="s">
        <v>5286</v>
      </c>
      <c r="D1823" s="18" t="s">
        <v>5286</v>
      </c>
      <c r="E1823" s="18" t="s">
        <v>5330</v>
      </c>
    </row>
    <row r="1824" spans="1:5" x14ac:dyDescent="0.25">
      <c r="A1824" s="16">
        <v>1841</v>
      </c>
      <c r="B1824" s="18" t="s">
        <v>5125</v>
      </c>
      <c r="C1824" s="18" t="s">
        <v>5286</v>
      </c>
      <c r="D1824" s="18" t="s">
        <v>5286</v>
      </c>
      <c r="E1824" s="18" t="s">
        <v>5331</v>
      </c>
    </row>
    <row r="1825" spans="1:5" x14ac:dyDescent="0.25">
      <c r="A1825" s="16">
        <v>1842</v>
      </c>
      <c r="B1825" s="18" t="s">
        <v>5125</v>
      </c>
      <c r="C1825" s="18" t="s">
        <v>5286</v>
      </c>
      <c r="D1825" s="18" t="s">
        <v>5286</v>
      </c>
      <c r="E1825" s="18" t="s">
        <v>5332</v>
      </c>
    </row>
    <row r="1826" spans="1:5" ht="24" customHeight="1" x14ac:dyDescent="0.25">
      <c r="A1826" s="16">
        <v>1843</v>
      </c>
      <c r="B1826" s="18" t="s">
        <v>5125</v>
      </c>
      <c r="C1826" s="18" t="s">
        <v>5333</v>
      </c>
      <c r="D1826" s="18" t="s">
        <v>5334</v>
      </c>
      <c r="E1826" s="18" t="s">
        <v>5335</v>
      </c>
    </row>
    <row r="1827" spans="1:5" x14ac:dyDescent="0.25">
      <c r="A1827" s="16">
        <v>1844</v>
      </c>
      <c r="B1827" s="18" t="s">
        <v>5125</v>
      </c>
      <c r="C1827" s="18" t="s">
        <v>5333</v>
      </c>
      <c r="D1827" s="18" t="s">
        <v>5334</v>
      </c>
      <c r="E1827" s="18" t="s">
        <v>5336</v>
      </c>
    </row>
    <row r="1828" spans="1:5" x14ac:dyDescent="0.25">
      <c r="A1828" s="16">
        <v>1845</v>
      </c>
      <c r="B1828" s="18" t="s">
        <v>5125</v>
      </c>
      <c r="C1828" s="18" t="s">
        <v>5333</v>
      </c>
      <c r="D1828" s="18" t="s">
        <v>5334</v>
      </c>
      <c r="E1828" s="18" t="s">
        <v>5337</v>
      </c>
    </row>
    <row r="1829" spans="1:5" ht="24" customHeight="1" x14ac:dyDescent="0.25">
      <c r="A1829" s="16">
        <v>1846</v>
      </c>
      <c r="B1829" s="18" t="s">
        <v>5125</v>
      </c>
      <c r="C1829" s="18" t="s">
        <v>5333</v>
      </c>
      <c r="D1829" s="18" t="s">
        <v>5334</v>
      </c>
      <c r="E1829" s="18" t="s">
        <v>5338</v>
      </c>
    </row>
    <row r="1830" spans="1:5" x14ac:dyDescent="0.25">
      <c r="A1830" s="16">
        <v>1847</v>
      </c>
      <c r="B1830" s="18" t="s">
        <v>5125</v>
      </c>
      <c r="C1830" s="18" t="s">
        <v>5333</v>
      </c>
      <c r="D1830" s="18" t="s">
        <v>5334</v>
      </c>
      <c r="E1830" s="18" t="s">
        <v>5339</v>
      </c>
    </row>
    <row r="1831" spans="1:5" x14ac:dyDescent="0.25">
      <c r="A1831" s="16">
        <v>1848</v>
      </c>
      <c r="B1831" s="18" t="s">
        <v>5125</v>
      </c>
      <c r="C1831" s="18" t="s">
        <v>5333</v>
      </c>
      <c r="D1831" s="18" t="s">
        <v>5334</v>
      </c>
      <c r="E1831" s="18" t="s">
        <v>5340</v>
      </c>
    </row>
    <row r="1832" spans="1:5" x14ac:dyDescent="0.25">
      <c r="A1832" s="16">
        <v>1849</v>
      </c>
      <c r="B1832" s="18" t="s">
        <v>5125</v>
      </c>
      <c r="C1832" s="18" t="s">
        <v>5333</v>
      </c>
      <c r="D1832" s="18" t="s">
        <v>5334</v>
      </c>
      <c r="E1832" s="18" t="s">
        <v>5341</v>
      </c>
    </row>
    <row r="1833" spans="1:5" x14ac:dyDescent="0.25">
      <c r="A1833" s="16">
        <v>1850</v>
      </c>
      <c r="B1833" s="18" t="s">
        <v>5125</v>
      </c>
      <c r="C1833" s="18" t="s">
        <v>5333</v>
      </c>
      <c r="D1833" s="18" t="s">
        <v>5334</v>
      </c>
      <c r="E1833" s="18" t="s">
        <v>5342</v>
      </c>
    </row>
    <row r="1834" spans="1:5" ht="24" customHeight="1" x14ac:dyDescent="0.25">
      <c r="A1834" s="16">
        <v>1851</v>
      </c>
      <c r="B1834" s="18" t="s">
        <v>5125</v>
      </c>
      <c r="C1834" s="18" t="s">
        <v>5333</v>
      </c>
      <c r="D1834" s="18" t="s">
        <v>5334</v>
      </c>
      <c r="E1834" s="18" t="s">
        <v>5343</v>
      </c>
    </row>
    <row r="1835" spans="1:5" x14ac:dyDescent="0.25">
      <c r="A1835" s="16">
        <v>1852</v>
      </c>
      <c r="B1835" s="18" t="s">
        <v>5125</v>
      </c>
      <c r="C1835" s="18" t="s">
        <v>5333</v>
      </c>
      <c r="D1835" s="18" t="s">
        <v>5344</v>
      </c>
      <c r="E1835" s="18" t="s">
        <v>5345</v>
      </c>
    </row>
    <row r="1836" spans="1:5" ht="24" customHeight="1" x14ac:dyDescent="0.25">
      <c r="A1836" s="16">
        <v>1853</v>
      </c>
      <c r="B1836" s="18" t="s">
        <v>5125</v>
      </c>
      <c r="C1836" s="18" t="s">
        <v>5333</v>
      </c>
      <c r="D1836" s="18" t="s">
        <v>5344</v>
      </c>
      <c r="E1836" s="18" t="s">
        <v>5346</v>
      </c>
    </row>
    <row r="1837" spans="1:5" x14ac:dyDescent="0.25">
      <c r="A1837" s="16">
        <v>1854</v>
      </c>
      <c r="B1837" s="18" t="s">
        <v>5125</v>
      </c>
      <c r="C1837" s="18" t="s">
        <v>5333</v>
      </c>
      <c r="D1837" s="18" t="s">
        <v>5344</v>
      </c>
      <c r="E1837" s="18" t="s">
        <v>5347</v>
      </c>
    </row>
    <row r="1838" spans="1:5" ht="24" customHeight="1" x14ac:dyDescent="0.25">
      <c r="A1838" s="16">
        <v>1855</v>
      </c>
      <c r="B1838" s="18" t="s">
        <v>5125</v>
      </c>
      <c r="C1838" s="18" t="s">
        <v>5333</v>
      </c>
      <c r="D1838" s="18" t="s">
        <v>5344</v>
      </c>
      <c r="E1838" s="18" t="s">
        <v>5348</v>
      </c>
    </row>
    <row r="1839" spans="1:5" ht="24" customHeight="1" x14ac:dyDescent="0.25">
      <c r="A1839" s="16">
        <v>1856</v>
      </c>
      <c r="B1839" s="18" t="s">
        <v>5125</v>
      </c>
      <c r="C1839" s="18" t="s">
        <v>5333</v>
      </c>
      <c r="D1839" s="18" t="s">
        <v>5344</v>
      </c>
      <c r="E1839" s="18" t="s">
        <v>5349</v>
      </c>
    </row>
    <row r="1840" spans="1:5" ht="24" customHeight="1" x14ac:dyDescent="0.25">
      <c r="A1840" s="16">
        <v>1857</v>
      </c>
      <c r="B1840" s="18" t="s">
        <v>5125</v>
      </c>
      <c r="C1840" s="18" t="s">
        <v>5333</v>
      </c>
      <c r="D1840" s="18" t="s">
        <v>5344</v>
      </c>
      <c r="E1840" s="18" t="s">
        <v>5350</v>
      </c>
    </row>
    <row r="1841" spans="1:5" x14ac:dyDescent="0.25">
      <c r="A1841" s="16">
        <v>1858</v>
      </c>
      <c r="B1841" s="18" t="s">
        <v>5125</v>
      </c>
      <c r="C1841" s="18" t="s">
        <v>5333</v>
      </c>
      <c r="D1841" s="18" t="s">
        <v>5344</v>
      </c>
      <c r="E1841" s="18" t="s">
        <v>5351</v>
      </c>
    </row>
    <row r="1842" spans="1:5" ht="24" customHeight="1" x14ac:dyDescent="0.25">
      <c r="A1842" s="16">
        <v>1859</v>
      </c>
      <c r="B1842" s="18" t="s">
        <v>5125</v>
      </c>
      <c r="C1842" s="18" t="s">
        <v>5333</v>
      </c>
      <c r="D1842" s="18" t="s">
        <v>5344</v>
      </c>
      <c r="E1842" s="18" t="s">
        <v>5352</v>
      </c>
    </row>
    <row r="1843" spans="1:5" x14ac:dyDescent="0.25">
      <c r="A1843" s="16">
        <v>1860</v>
      </c>
      <c r="B1843" s="18" t="s">
        <v>5125</v>
      </c>
      <c r="C1843" s="18" t="s">
        <v>5333</v>
      </c>
      <c r="D1843" s="18" t="s">
        <v>5344</v>
      </c>
      <c r="E1843" s="18" t="s">
        <v>5353</v>
      </c>
    </row>
    <row r="1844" spans="1:5" ht="36" customHeight="1" x14ac:dyDescent="0.25">
      <c r="A1844" s="16">
        <v>1861</v>
      </c>
      <c r="B1844" s="18" t="s">
        <v>5125</v>
      </c>
      <c r="C1844" s="18" t="s">
        <v>5333</v>
      </c>
      <c r="D1844" s="18" t="s">
        <v>5344</v>
      </c>
      <c r="E1844" s="18" t="s">
        <v>5354</v>
      </c>
    </row>
    <row r="1845" spans="1:5" ht="24" customHeight="1" x14ac:dyDescent="0.25">
      <c r="A1845" s="16">
        <v>1862</v>
      </c>
      <c r="B1845" s="18" t="s">
        <v>5125</v>
      </c>
      <c r="C1845" s="18" t="s">
        <v>5333</v>
      </c>
      <c r="D1845" s="18" t="s">
        <v>5344</v>
      </c>
      <c r="E1845" s="18" t="s">
        <v>5355</v>
      </c>
    </row>
    <row r="1846" spans="1:5" x14ac:dyDescent="0.25">
      <c r="A1846" s="16">
        <v>1863</v>
      </c>
      <c r="B1846" s="18" t="s">
        <v>5125</v>
      </c>
      <c r="C1846" s="18" t="s">
        <v>5333</v>
      </c>
      <c r="D1846" s="18" t="s">
        <v>5344</v>
      </c>
      <c r="E1846" s="18" t="s">
        <v>5356</v>
      </c>
    </row>
    <row r="1847" spans="1:5" x14ac:dyDescent="0.25">
      <c r="A1847" s="16">
        <v>1864</v>
      </c>
      <c r="B1847" s="18" t="s">
        <v>5125</v>
      </c>
      <c r="C1847" s="18" t="s">
        <v>5333</v>
      </c>
      <c r="D1847" s="18" t="s">
        <v>5344</v>
      </c>
      <c r="E1847" s="18" t="s">
        <v>5357</v>
      </c>
    </row>
    <row r="1848" spans="1:5" x14ac:dyDescent="0.25">
      <c r="A1848" s="16">
        <v>1865</v>
      </c>
      <c r="B1848" s="18" t="s">
        <v>5125</v>
      </c>
      <c r="C1848" s="18" t="s">
        <v>5333</v>
      </c>
      <c r="D1848" s="18" t="s">
        <v>5344</v>
      </c>
      <c r="E1848" s="18" t="s">
        <v>5358</v>
      </c>
    </row>
    <row r="1849" spans="1:5" ht="24" customHeight="1" x14ac:dyDescent="0.25">
      <c r="A1849" s="16">
        <v>1866</v>
      </c>
      <c r="B1849" s="18" t="s">
        <v>5125</v>
      </c>
      <c r="C1849" s="18" t="s">
        <v>5333</v>
      </c>
      <c r="D1849" s="18" t="s">
        <v>5344</v>
      </c>
      <c r="E1849" s="18" t="s">
        <v>5359</v>
      </c>
    </row>
    <row r="1850" spans="1:5" ht="24" customHeight="1" x14ac:dyDescent="0.25">
      <c r="A1850" s="16">
        <v>1867</v>
      </c>
      <c r="B1850" s="18" t="s">
        <v>5125</v>
      </c>
      <c r="C1850" s="18" t="s">
        <v>5333</v>
      </c>
      <c r="D1850" s="18" t="s">
        <v>5360</v>
      </c>
      <c r="E1850" s="18" t="s">
        <v>5361</v>
      </c>
    </row>
    <row r="1851" spans="1:5" x14ac:dyDescent="0.25">
      <c r="A1851" s="16">
        <v>1868</v>
      </c>
      <c r="B1851" s="18" t="s">
        <v>5125</v>
      </c>
      <c r="C1851" s="18" t="s">
        <v>5333</v>
      </c>
      <c r="D1851" s="18" t="s">
        <v>5360</v>
      </c>
      <c r="E1851" s="18" t="s">
        <v>5362</v>
      </c>
    </row>
    <row r="1852" spans="1:5" ht="24" customHeight="1" x14ac:dyDescent="0.25">
      <c r="A1852" s="16">
        <v>1869</v>
      </c>
      <c r="B1852" s="18" t="s">
        <v>5125</v>
      </c>
      <c r="C1852" s="18" t="s">
        <v>5333</v>
      </c>
      <c r="D1852" s="18" t="s">
        <v>5360</v>
      </c>
      <c r="E1852" s="18" t="s">
        <v>5363</v>
      </c>
    </row>
    <row r="1853" spans="1:5" x14ac:dyDescent="0.25">
      <c r="A1853" s="16">
        <v>1870</v>
      </c>
      <c r="B1853" s="18" t="s">
        <v>5125</v>
      </c>
      <c r="C1853" s="18" t="s">
        <v>5333</v>
      </c>
      <c r="D1853" s="18" t="s">
        <v>5360</v>
      </c>
      <c r="E1853" s="18" t="s">
        <v>5364</v>
      </c>
    </row>
    <row r="1854" spans="1:5" x14ac:dyDescent="0.25">
      <c r="A1854" s="16">
        <v>1871</v>
      </c>
      <c r="B1854" s="18" t="s">
        <v>5125</v>
      </c>
      <c r="C1854" s="18" t="s">
        <v>5333</v>
      </c>
      <c r="D1854" s="18" t="s">
        <v>5360</v>
      </c>
      <c r="E1854" s="18" t="s">
        <v>5365</v>
      </c>
    </row>
    <row r="1855" spans="1:5" ht="24" customHeight="1" x14ac:dyDescent="0.25">
      <c r="A1855" s="16">
        <v>1872</v>
      </c>
      <c r="B1855" s="18" t="s">
        <v>5125</v>
      </c>
      <c r="C1855" s="18" t="s">
        <v>5333</v>
      </c>
      <c r="D1855" s="18" t="s">
        <v>5360</v>
      </c>
      <c r="E1855" s="18" t="s">
        <v>5366</v>
      </c>
    </row>
    <row r="1856" spans="1:5" x14ac:dyDescent="0.25">
      <c r="A1856" s="16">
        <v>1873</v>
      </c>
      <c r="B1856" s="18" t="s">
        <v>5125</v>
      </c>
      <c r="C1856" s="18" t="s">
        <v>5333</v>
      </c>
      <c r="D1856" s="18" t="s">
        <v>5360</v>
      </c>
      <c r="E1856" s="18" t="s">
        <v>5367</v>
      </c>
    </row>
    <row r="1857" spans="1:5" x14ac:dyDescent="0.25">
      <c r="A1857" s="16">
        <v>1874</v>
      </c>
      <c r="B1857" s="18" t="s">
        <v>5125</v>
      </c>
      <c r="C1857" s="18" t="s">
        <v>5333</v>
      </c>
      <c r="D1857" s="18" t="s">
        <v>5360</v>
      </c>
      <c r="E1857" s="18" t="s">
        <v>5368</v>
      </c>
    </row>
    <row r="1858" spans="1:5" x14ac:dyDescent="0.25">
      <c r="A1858" s="16">
        <v>1875</v>
      </c>
      <c r="B1858" s="18" t="s">
        <v>5125</v>
      </c>
      <c r="C1858" s="18" t="s">
        <v>5333</v>
      </c>
      <c r="D1858" s="18" t="s">
        <v>5360</v>
      </c>
      <c r="E1858" s="18" t="s">
        <v>5369</v>
      </c>
    </row>
    <row r="1859" spans="1:5" x14ac:dyDescent="0.25">
      <c r="A1859" s="16">
        <v>1876</v>
      </c>
      <c r="B1859" s="18" t="s">
        <v>5125</v>
      </c>
      <c r="C1859" s="18" t="s">
        <v>5333</v>
      </c>
      <c r="D1859" s="18" t="s">
        <v>5360</v>
      </c>
      <c r="E1859" s="18" t="s">
        <v>5370</v>
      </c>
    </row>
    <row r="1860" spans="1:5" x14ac:dyDescent="0.25">
      <c r="A1860" s="16">
        <v>1877</v>
      </c>
      <c r="B1860" s="18" t="s">
        <v>5125</v>
      </c>
      <c r="C1860" s="18" t="s">
        <v>5333</v>
      </c>
      <c r="D1860" s="18" t="s">
        <v>5360</v>
      </c>
      <c r="E1860" s="18" t="s">
        <v>5371</v>
      </c>
    </row>
    <row r="1861" spans="1:5" ht="24" customHeight="1" x14ac:dyDescent="0.25">
      <c r="A1861" s="16">
        <v>1878</v>
      </c>
      <c r="B1861" s="18" t="s">
        <v>5125</v>
      </c>
      <c r="C1861" s="18" t="s">
        <v>5333</v>
      </c>
      <c r="D1861" s="18" t="s">
        <v>5372</v>
      </c>
      <c r="E1861" s="18" t="s">
        <v>5373</v>
      </c>
    </row>
    <row r="1862" spans="1:5" x14ac:dyDescent="0.25">
      <c r="A1862" s="16">
        <v>1879</v>
      </c>
      <c r="B1862" s="18" t="s">
        <v>5125</v>
      </c>
      <c r="C1862" s="18" t="s">
        <v>5333</v>
      </c>
      <c r="D1862" s="18" t="s">
        <v>5372</v>
      </c>
      <c r="E1862" s="18" t="s">
        <v>5374</v>
      </c>
    </row>
    <row r="1863" spans="1:5" x14ac:dyDescent="0.25">
      <c r="A1863" s="16">
        <v>1880</v>
      </c>
      <c r="B1863" s="18" t="s">
        <v>5125</v>
      </c>
      <c r="C1863" s="18" t="s">
        <v>5333</v>
      </c>
      <c r="D1863" s="18" t="s">
        <v>5372</v>
      </c>
      <c r="E1863" s="18" t="s">
        <v>5375</v>
      </c>
    </row>
    <row r="1864" spans="1:5" x14ac:dyDescent="0.25">
      <c r="A1864" s="16">
        <v>1881</v>
      </c>
      <c r="B1864" s="18" t="s">
        <v>5125</v>
      </c>
      <c r="C1864" s="18" t="s">
        <v>5333</v>
      </c>
      <c r="D1864" s="18" t="s">
        <v>5372</v>
      </c>
      <c r="E1864" s="18" t="s">
        <v>5376</v>
      </c>
    </row>
    <row r="1865" spans="1:5" ht="24" customHeight="1" x14ac:dyDescent="0.25">
      <c r="A1865" s="16">
        <v>1882</v>
      </c>
      <c r="B1865" s="18" t="s">
        <v>5125</v>
      </c>
      <c r="C1865" s="18" t="s">
        <v>5333</v>
      </c>
      <c r="D1865" s="18" t="s">
        <v>5372</v>
      </c>
      <c r="E1865" s="18" t="s">
        <v>5377</v>
      </c>
    </row>
    <row r="1866" spans="1:5" ht="24" customHeight="1" x14ac:dyDescent="0.25">
      <c r="A1866" s="16">
        <v>1883</v>
      </c>
      <c r="B1866" s="18" t="s">
        <v>5125</v>
      </c>
      <c r="C1866" s="18" t="s">
        <v>5333</v>
      </c>
      <c r="D1866" s="18" t="s">
        <v>5372</v>
      </c>
      <c r="E1866" s="18" t="s">
        <v>5378</v>
      </c>
    </row>
    <row r="1867" spans="1:5" x14ac:dyDescent="0.25">
      <c r="A1867" s="16">
        <v>1884</v>
      </c>
      <c r="B1867" s="18" t="s">
        <v>5125</v>
      </c>
      <c r="C1867" s="18" t="s">
        <v>5333</v>
      </c>
      <c r="D1867" s="18" t="s">
        <v>5372</v>
      </c>
      <c r="E1867" s="18" t="s">
        <v>5379</v>
      </c>
    </row>
    <row r="1868" spans="1:5" x14ac:dyDescent="0.25">
      <c r="A1868" s="16">
        <v>1885</v>
      </c>
      <c r="B1868" s="18" t="s">
        <v>5125</v>
      </c>
      <c r="C1868" s="18" t="s">
        <v>5333</v>
      </c>
      <c r="D1868" s="18" t="s">
        <v>5372</v>
      </c>
      <c r="E1868" s="18" t="s">
        <v>5380</v>
      </c>
    </row>
    <row r="1869" spans="1:5" ht="24" customHeight="1" x14ac:dyDescent="0.25">
      <c r="A1869" s="16">
        <v>1886</v>
      </c>
      <c r="B1869" s="18" t="s">
        <v>5125</v>
      </c>
      <c r="C1869" s="18" t="s">
        <v>5333</v>
      </c>
      <c r="D1869" s="18" t="s">
        <v>5372</v>
      </c>
      <c r="E1869" s="18" t="s">
        <v>5381</v>
      </c>
    </row>
    <row r="1870" spans="1:5" ht="36" customHeight="1" x14ac:dyDescent="0.25">
      <c r="A1870" s="16">
        <v>1887</v>
      </c>
      <c r="B1870" s="18" t="s">
        <v>5125</v>
      </c>
      <c r="C1870" s="18" t="s">
        <v>5333</v>
      </c>
      <c r="D1870" s="18" t="s">
        <v>5372</v>
      </c>
      <c r="E1870" s="18" t="s">
        <v>5382</v>
      </c>
    </row>
    <row r="1871" spans="1:5" x14ac:dyDescent="0.25">
      <c r="A1871" s="16">
        <v>1888</v>
      </c>
      <c r="B1871" s="18" t="s">
        <v>5125</v>
      </c>
      <c r="C1871" s="18" t="s">
        <v>5333</v>
      </c>
      <c r="D1871" s="18" t="s">
        <v>5372</v>
      </c>
      <c r="E1871" s="18" t="s">
        <v>5383</v>
      </c>
    </row>
    <row r="1872" spans="1:5" x14ac:dyDescent="0.25">
      <c r="A1872" s="16">
        <v>1889</v>
      </c>
      <c r="B1872" s="18" t="s">
        <v>5125</v>
      </c>
      <c r="C1872" s="18" t="s">
        <v>5333</v>
      </c>
      <c r="D1872" s="18" t="s">
        <v>5372</v>
      </c>
      <c r="E1872" s="18" t="s">
        <v>5384</v>
      </c>
    </row>
    <row r="1873" spans="1:5" ht="24" customHeight="1" x14ac:dyDescent="0.25">
      <c r="A1873" s="16">
        <v>1890</v>
      </c>
      <c r="B1873" s="18" t="s">
        <v>5125</v>
      </c>
      <c r="C1873" s="18" t="s">
        <v>5333</v>
      </c>
      <c r="D1873" s="18" t="s">
        <v>5372</v>
      </c>
      <c r="E1873" s="18" t="s">
        <v>5385</v>
      </c>
    </row>
    <row r="1874" spans="1:5" x14ac:dyDescent="0.25">
      <c r="A1874" s="16">
        <v>1891</v>
      </c>
      <c r="B1874" s="18" t="s">
        <v>5125</v>
      </c>
      <c r="C1874" s="18" t="s">
        <v>5333</v>
      </c>
      <c r="D1874" s="18" t="s">
        <v>5333</v>
      </c>
      <c r="E1874" s="18" t="s">
        <v>5386</v>
      </c>
    </row>
    <row r="1875" spans="1:5" ht="24" customHeight="1" x14ac:dyDescent="0.25">
      <c r="A1875" s="16">
        <v>1892</v>
      </c>
      <c r="B1875" s="18" t="s">
        <v>5125</v>
      </c>
      <c r="C1875" s="18" t="s">
        <v>5333</v>
      </c>
      <c r="D1875" s="18" t="s">
        <v>5333</v>
      </c>
      <c r="E1875" s="18" t="s">
        <v>5387</v>
      </c>
    </row>
    <row r="1876" spans="1:5" ht="24" customHeight="1" x14ac:dyDescent="0.25">
      <c r="A1876" s="16">
        <v>1893</v>
      </c>
      <c r="B1876" s="18" t="s">
        <v>5125</v>
      </c>
      <c r="C1876" s="18" t="s">
        <v>5333</v>
      </c>
      <c r="D1876" s="18" t="s">
        <v>5333</v>
      </c>
      <c r="E1876" s="18" t="s">
        <v>5388</v>
      </c>
    </row>
    <row r="1877" spans="1:5" x14ac:dyDescent="0.25">
      <c r="A1877" s="16">
        <v>1894</v>
      </c>
      <c r="B1877" s="18" t="s">
        <v>5125</v>
      </c>
      <c r="C1877" s="18" t="s">
        <v>5333</v>
      </c>
      <c r="D1877" s="18" t="s">
        <v>5333</v>
      </c>
      <c r="E1877" s="18" t="s">
        <v>5389</v>
      </c>
    </row>
    <row r="1878" spans="1:5" ht="24" customHeight="1" x14ac:dyDescent="0.25">
      <c r="A1878" s="16">
        <v>1895</v>
      </c>
      <c r="B1878" s="18" t="s">
        <v>5125</v>
      </c>
      <c r="C1878" s="18" t="s">
        <v>5333</v>
      </c>
      <c r="D1878" s="18" t="s">
        <v>5333</v>
      </c>
      <c r="E1878" s="18" t="s">
        <v>5390</v>
      </c>
    </row>
    <row r="1879" spans="1:5" x14ac:dyDescent="0.25">
      <c r="A1879" s="16">
        <v>1896</v>
      </c>
      <c r="B1879" s="18" t="s">
        <v>5125</v>
      </c>
      <c r="C1879" s="18" t="s">
        <v>5333</v>
      </c>
      <c r="D1879" s="18" t="s">
        <v>5333</v>
      </c>
      <c r="E1879" s="18" t="s">
        <v>5391</v>
      </c>
    </row>
    <row r="1880" spans="1:5" x14ac:dyDescent="0.25">
      <c r="A1880" s="16">
        <v>1897</v>
      </c>
      <c r="B1880" s="18" t="s">
        <v>5125</v>
      </c>
      <c r="C1880" s="18" t="s">
        <v>5333</v>
      </c>
      <c r="D1880" s="18" t="s">
        <v>5333</v>
      </c>
      <c r="E1880" s="18" t="s">
        <v>5392</v>
      </c>
    </row>
    <row r="1881" spans="1:5" ht="24" customHeight="1" x14ac:dyDescent="0.25">
      <c r="A1881" s="16">
        <v>1898</v>
      </c>
      <c r="B1881" s="18" t="s">
        <v>5125</v>
      </c>
      <c r="C1881" s="18" t="s">
        <v>5333</v>
      </c>
      <c r="D1881" s="18" t="s">
        <v>5333</v>
      </c>
      <c r="E1881" s="18" t="s">
        <v>5393</v>
      </c>
    </row>
    <row r="1882" spans="1:5" ht="24" customHeight="1" x14ac:dyDescent="0.25">
      <c r="A1882" s="16">
        <v>1899</v>
      </c>
      <c r="B1882" s="18" t="s">
        <v>5125</v>
      </c>
      <c r="C1882" s="18" t="s">
        <v>5333</v>
      </c>
      <c r="D1882" s="18" t="s">
        <v>5333</v>
      </c>
      <c r="E1882" s="18" t="s">
        <v>5394</v>
      </c>
    </row>
    <row r="1883" spans="1:5" ht="24" customHeight="1" x14ac:dyDescent="0.25">
      <c r="A1883" s="16">
        <v>1900</v>
      </c>
      <c r="B1883" s="18" t="s">
        <v>5125</v>
      </c>
      <c r="C1883" s="18" t="s">
        <v>5333</v>
      </c>
      <c r="D1883" s="18" t="s">
        <v>5333</v>
      </c>
      <c r="E1883" s="18" t="s">
        <v>5395</v>
      </c>
    </row>
    <row r="1884" spans="1:5" ht="36" customHeight="1" x14ac:dyDescent="0.25">
      <c r="A1884" s="16">
        <v>1901</v>
      </c>
      <c r="B1884" s="18" t="s">
        <v>5125</v>
      </c>
      <c r="C1884" s="18" t="s">
        <v>5333</v>
      </c>
      <c r="D1884" s="18" t="s">
        <v>5333</v>
      </c>
      <c r="E1884" s="18" t="s">
        <v>5396</v>
      </c>
    </row>
    <row r="1885" spans="1:5" x14ac:dyDescent="0.25">
      <c r="A1885" s="16">
        <v>1902</v>
      </c>
      <c r="B1885" s="18" t="s">
        <v>5125</v>
      </c>
      <c r="C1885" s="18" t="s">
        <v>5333</v>
      </c>
      <c r="D1885" s="18" t="s">
        <v>5333</v>
      </c>
      <c r="E1885" s="18" t="s">
        <v>5397</v>
      </c>
    </row>
    <row r="1886" spans="1:5" ht="24" customHeight="1" x14ac:dyDescent="0.25">
      <c r="A1886" s="16">
        <v>1903</v>
      </c>
      <c r="B1886" s="18" t="s">
        <v>5125</v>
      </c>
      <c r="C1886" s="18" t="s">
        <v>5333</v>
      </c>
      <c r="D1886" s="18" t="s">
        <v>5333</v>
      </c>
      <c r="E1886" s="18" t="s">
        <v>5398</v>
      </c>
    </row>
    <row r="1887" spans="1:5" x14ac:dyDescent="0.25">
      <c r="A1887" s="16">
        <v>1904</v>
      </c>
      <c r="B1887" s="18" t="s">
        <v>5125</v>
      </c>
      <c r="C1887" s="18" t="s">
        <v>5333</v>
      </c>
      <c r="D1887" s="18" t="s">
        <v>5333</v>
      </c>
      <c r="E1887" s="18" t="s">
        <v>5399</v>
      </c>
    </row>
    <row r="1888" spans="1:5" x14ac:dyDescent="0.25">
      <c r="A1888" s="16">
        <v>1905</v>
      </c>
      <c r="B1888" s="18" t="s">
        <v>5125</v>
      </c>
      <c r="C1888" s="18" t="s">
        <v>5333</v>
      </c>
      <c r="D1888" s="18" t="s">
        <v>5333</v>
      </c>
      <c r="E1888" s="18" t="s">
        <v>5400</v>
      </c>
    </row>
    <row r="1889" spans="1:5" x14ac:dyDescent="0.25">
      <c r="A1889" s="16">
        <v>1906</v>
      </c>
      <c r="B1889" s="18" t="s">
        <v>5125</v>
      </c>
      <c r="C1889" s="18" t="s">
        <v>5333</v>
      </c>
      <c r="D1889" s="18" t="s">
        <v>5333</v>
      </c>
      <c r="E1889" s="18" t="s">
        <v>5401</v>
      </c>
    </row>
    <row r="1890" spans="1:5" x14ac:dyDescent="0.25">
      <c r="A1890" s="16">
        <v>1907</v>
      </c>
      <c r="B1890" s="18" t="s">
        <v>5125</v>
      </c>
      <c r="C1890" s="18" t="s">
        <v>5333</v>
      </c>
      <c r="D1890" s="18" t="s">
        <v>5333</v>
      </c>
      <c r="E1890" s="18" t="s">
        <v>5402</v>
      </c>
    </row>
    <row r="1891" spans="1:5" ht="24" customHeight="1" x14ac:dyDescent="0.25">
      <c r="A1891" s="16">
        <v>1908</v>
      </c>
      <c r="B1891" s="18" t="s">
        <v>5125</v>
      </c>
      <c r="C1891" s="18" t="s">
        <v>5333</v>
      </c>
      <c r="D1891" s="18" t="s">
        <v>5403</v>
      </c>
      <c r="E1891" s="18" t="s">
        <v>5404</v>
      </c>
    </row>
    <row r="1892" spans="1:5" x14ac:dyDescent="0.25">
      <c r="A1892" s="16">
        <v>1909</v>
      </c>
      <c r="B1892" s="18" t="s">
        <v>5125</v>
      </c>
      <c r="C1892" s="18" t="s">
        <v>5333</v>
      </c>
      <c r="D1892" s="18" t="s">
        <v>5403</v>
      </c>
      <c r="E1892" s="18" t="s">
        <v>5405</v>
      </c>
    </row>
    <row r="1893" spans="1:5" x14ac:dyDescent="0.25">
      <c r="A1893" s="16">
        <v>1910</v>
      </c>
      <c r="B1893" s="18" t="s">
        <v>5125</v>
      </c>
      <c r="C1893" s="18" t="s">
        <v>5333</v>
      </c>
      <c r="D1893" s="18" t="s">
        <v>5403</v>
      </c>
      <c r="E1893" s="18" t="s">
        <v>5406</v>
      </c>
    </row>
    <row r="1894" spans="1:5" x14ac:dyDescent="0.25">
      <c r="A1894" s="16">
        <v>1911</v>
      </c>
      <c r="B1894" s="18" t="s">
        <v>5125</v>
      </c>
      <c r="C1894" s="18" t="s">
        <v>5333</v>
      </c>
      <c r="D1894" s="18" t="s">
        <v>5403</v>
      </c>
      <c r="E1894" s="18" t="s">
        <v>5407</v>
      </c>
    </row>
    <row r="1895" spans="1:5" ht="24" customHeight="1" x14ac:dyDescent="0.25">
      <c r="A1895" s="16">
        <v>1912</v>
      </c>
      <c r="B1895" s="18" t="s">
        <v>5125</v>
      </c>
      <c r="C1895" s="18" t="s">
        <v>5333</v>
      </c>
      <c r="D1895" s="18" t="s">
        <v>5403</v>
      </c>
      <c r="E1895" s="18" t="s">
        <v>5408</v>
      </c>
    </row>
    <row r="1896" spans="1:5" x14ac:dyDescent="0.25">
      <c r="A1896" s="16">
        <v>1913</v>
      </c>
      <c r="B1896" s="18" t="s">
        <v>5125</v>
      </c>
      <c r="C1896" s="18" t="s">
        <v>5333</v>
      </c>
      <c r="D1896" s="18" t="s">
        <v>5403</v>
      </c>
      <c r="E1896" s="18" t="s">
        <v>5409</v>
      </c>
    </row>
    <row r="1897" spans="1:5" x14ac:dyDescent="0.25">
      <c r="A1897" s="16">
        <v>1914</v>
      </c>
      <c r="B1897" s="18" t="s">
        <v>5125</v>
      </c>
      <c r="C1897" s="18" t="s">
        <v>5333</v>
      </c>
      <c r="D1897" s="18" t="s">
        <v>5403</v>
      </c>
      <c r="E1897" s="18" t="s">
        <v>5410</v>
      </c>
    </row>
    <row r="1898" spans="1:5" x14ac:dyDescent="0.25">
      <c r="A1898" s="16">
        <v>1915</v>
      </c>
      <c r="B1898" s="18" t="s">
        <v>5125</v>
      </c>
      <c r="C1898" s="18" t="s">
        <v>5333</v>
      </c>
      <c r="D1898" s="18" t="s">
        <v>5403</v>
      </c>
      <c r="E1898" s="18" t="s">
        <v>5411</v>
      </c>
    </row>
    <row r="1899" spans="1:5" x14ac:dyDescent="0.25">
      <c r="A1899" s="16">
        <v>1916</v>
      </c>
      <c r="B1899" s="18" t="s">
        <v>5125</v>
      </c>
      <c r="C1899" s="18" t="s">
        <v>5333</v>
      </c>
      <c r="D1899" s="18" t="s">
        <v>5403</v>
      </c>
      <c r="E1899" s="18" t="s">
        <v>5412</v>
      </c>
    </row>
    <row r="1900" spans="1:5" x14ac:dyDescent="0.25">
      <c r="A1900" s="16">
        <v>1917</v>
      </c>
      <c r="B1900" s="18" t="s">
        <v>5125</v>
      </c>
      <c r="C1900" s="18" t="s">
        <v>5333</v>
      </c>
      <c r="D1900" s="18" t="s">
        <v>5403</v>
      </c>
      <c r="E1900" s="18" t="s">
        <v>5413</v>
      </c>
    </row>
    <row r="1901" spans="1:5" x14ac:dyDescent="0.25">
      <c r="A1901" s="16">
        <v>1918</v>
      </c>
      <c r="B1901" s="18" t="s">
        <v>5125</v>
      </c>
      <c r="C1901" s="18" t="s">
        <v>5333</v>
      </c>
      <c r="D1901" s="18" t="s">
        <v>5403</v>
      </c>
      <c r="E1901" s="18" t="s">
        <v>5414</v>
      </c>
    </row>
    <row r="1902" spans="1:5" ht="36" customHeight="1" x14ac:dyDescent="0.25">
      <c r="A1902" s="16">
        <v>1919</v>
      </c>
      <c r="B1902" s="18" t="s">
        <v>5125</v>
      </c>
      <c r="C1902" s="18" t="s">
        <v>5415</v>
      </c>
      <c r="D1902" s="18" t="s">
        <v>5416</v>
      </c>
      <c r="E1902" s="18" t="s">
        <v>5417</v>
      </c>
    </row>
    <row r="1903" spans="1:5" ht="36" customHeight="1" x14ac:dyDescent="0.25">
      <c r="A1903" s="16">
        <v>1920</v>
      </c>
      <c r="B1903" s="18" t="s">
        <v>5125</v>
      </c>
      <c r="C1903" s="18" t="s">
        <v>5415</v>
      </c>
      <c r="D1903" s="18" t="s">
        <v>5416</v>
      </c>
      <c r="E1903" s="18" t="s">
        <v>5418</v>
      </c>
    </row>
    <row r="1904" spans="1:5" ht="36" customHeight="1" x14ac:dyDescent="0.25">
      <c r="A1904" s="16">
        <v>1921</v>
      </c>
      <c r="B1904" s="18" t="s">
        <v>5125</v>
      </c>
      <c r="C1904" s="18" t="s">
        <v>5415</v>
      </c>
      <c r="D1904" s="18" t="s">
        <v>5416</v>
      </c>
      <c r="E1904" s="18" t="s">
        <v>5419</v>
      </c>
    </row>
    <row r="1905" spans="1:5" ht="36" customHeight="1" x14ac:dyDescent="0.25">
      <c r="A1905" s="16">
        <v>1922</v>
      </c>
      <c r="B1905" s="18" t="s">
        <v>5125</v>
      </c>
      <c r="C1905" s="18" t="s">
        <v>5415</v>
      </c>
      <c r="D1905" s="18" t="s">
        <v>5416</v>
      </c>
      <c r="E1905" s="18" t="s">
        <v>5420</v>
      </c>
    </row>
    <row r="1906" spans="1:5" ht="36" customHeight="1" x14ac:dyDescent="0.25">
      <c r="A1906" s="16">
        <v>1923</v>
      </c>
      <c r="B1906" s="18" t="s">
        <v>5125</v>
      </c>
      <c r="C1906" s="18" t="s">
        <v>5415</v>
      </c>
      <c r="D1906" s="18" t="s">
        <v>5416</v>
      </c>
      <c r="E1906" s="18" t="s">
        <v>5421</v>
      </c>
    </row>
    <row r="1907" spans="1:5" ht="36" customHeight="1" x14ac:dyDescent="0.25">
      <c r="A1907" s="16">
        <v>1924</v>
      </c>
      <c r="B1907" s="18" t="s">
        <v>5125</v>
      </c>
      <c r="C1907" s="18" t="s">
        <v>5415</v>
      </c>
      <c r="D1907" s="18" t="s">
        <v>5416</v>
      </c>
      <c r="E1907" s="18" t="s">
        <v>5422</v>
      </c>
    </row>
    <row r="1908" spans="1:5" ht="36" customHeight="1" x14ac:dyDescent="0.25">
      <c r="A1908" s="16">
        <v>1925</v>
      </c>
      <c r="B1908" s="18" t="s">
        <v>5125</v>
      </c>
      <c r="C1908" s="18" t="s">
        <v>5415</v>
      </c>
      <c r="D1908" s="18" t="s">
        <v>5416</v>
      </c>
      <c r="E1908" s="18" t="s">
        <v>5423</v>
      </c>
    </row>
    <row r="1909" spans="1:5" ht="36" customHeight="1" x14ac:dyDescent="0.25">
      <c r="A1909" s="16">
        <v>1926</v>
      </c>
      <c r="B1909" s="18" t="s">
        <v>5125</v>
      </c>
      <c r="C1909" s="18" t="s">
        <v>5415</v>
      </c>
      <c r="D1909" s="18" t="s">
        <v>5416</v>
      </c>
      <c r="E1909" s="18" t="s">
        <v>5424</v>
      </c>
    </row>
    <row r="1910" spans="1:5" ht="36" customHeight="1" x14ac:dyDescent="0.25">
      <c r="A1910" s="16">
        <v>1927</v>
      </c>
      <c r="B1910" s="18" t="s">
        <v>5125</v>
      </c>
      <c r="C1910" s="18" t="s">
        <v>5415</v>
      </c>
      <c r="D1910" s="18" t="s">
        <v>5416</v>
      </c>
      <c r="E1910" s="18" t="s">
        <v>5425</v>
      </c>
    </row>
    <row r="1911" spans="1:5" ht="36" customHeight="1" x14ac:dyDescent="0.25">
      <c r="A1911" s="16">
        <v>1928</v>
      </c>
      <c r="B1911" s="18" t="s">
        <v>5125</v>
      </c>
      <c r="C1911" s="18" t="s">
        <v>5415</v>
      </c>
      <c r="D1911" s="18" t="s">
        <v>5416</v>
      </c>
      <c r="E1911" s="18" t="s">
        <v>5426</v>
      </c>
    </row>
    <row r="1912" spans="1:5" ht="36" customHeight="1" x14ac:dyDescent="0.25">
      <c r="A1912" s="16">
        <v>1929</v>
      </c>
      <c r="B1912" s="18" t="s">
        <v>5125</v>
      </c>
      <c r="C1912" s="18" t="s">
        <v>5415</v>
      </c>
      <c r="D1912" s="18" t="s">
        <v>5416</v>
      </c>
      <c r="E1912" s="18" t="s">
        <v>5427</v>
      </c>
    </row>
    <row r="1913" spans="1:5" ht="36" customHeight="1" x14ac:dyDescent="0.25">
      <c r="A1913" s="16">
        <v>1930</v>
      </c>
      <c r="B1913" s="18" t="s">
        <v>5125</v>
      </c>
      <c r="C1913" s="18" t="s">
        <v>5415</v>
      </c>
      <c r="D1913" s="18" t="s">
        <v>5416</v>
      </c>
      <c r="E1913" s="18" t="s">
        <v>5428</v>
      </c>
    </row>
    <row r="1914" spans="1:5" ht="36" customHeight="1" x14ac:dyDescent="0.25">
      <c r="A1914" s="16">
        <v>1931</v>
      </c>
      <c r="B1914" s="18" t="s">
        <v>5125</v>
      </c>
      <c r="C1914" s="18" t="s">
        <v>5415</v>
      </c>
      <c r="D1914" s="18" t="s">
        <v>5416</v>
      </c>
      <c r="E1914" s="18" t="s">
        <v>5429</v>
      </c>
    </row>
    <row r="1915" spans="1:5" ht="36" customHeight="1" x14ac:dyDescent="0.25">
      <c r="A1915" s="16">
        <v>1932</v>
      </c>
      <c r="B1915" s="18" t="s">
        <v>5125</v>
      </c>
      <c r="C1915" s="18" t="s">
        <v>5415</v>
      </c>
      <c r="D1915" s="18" t="s">
        <v>5416</v>
      </c>
      <c r="E1915" s="18" t="s">
        <v>5430</v>
      </c>
    </row>
    <row r="1916" spans="1:5" ht="36" customHeight="1" x14ac:dyDescent="0.25">
      <c r="A1916" s="16">
        <v>1933</v>
      </c>
      <c r="B1916" s="18" t="s">
        <v>5125</v>
      </c>
      <c r="C1916" s="18" t="s">
        <v>5415</v>
      </c>
      <c r="D1916" s="18" t="s">
        <v>5416</v>
      </c>
      <c r="E1916" s="18" t="s">
        <v>5431</v>
      </c>
    </row>
    <row r="1917" spans="1:5" ht="36" customHeight="1" x14ac:dyDescent="0.25">
      <c r="A1917" s="16">
        <v>1934</v>
      </c>
      <c r="B1917" s="18" t="s">
        <v>5125</v>
      </c>
      <c r="C1917" s="18" t="s">
        <v>5415</v>
      </c>
      <c r="D1917" s="18" t="s">
        <v>5416</v>
      </c>
      <c r="E1917" s="18" t="s">
        <v>5432</v>
      </c>
    </row>
    <row r="1918" spans="1:5" ht="36" customHeight="1" x14ac:dyDescent="0.25">
      <c r="A1918" s="16">
        <v>1935</v>
      </c>
      <c r="B1918" s="18" t="s">
        <v>5125</v>
      </c>
      <c r="C1918" s="18" t="s">
        <v>5415</v>
      </c>
      <c r="D1918" s="18" t="s">
        <v>5416</v>
      </c>
      <c r="E1918" s="18" t="s">
        <v>5433</v>
      </c>
    </row>
    <row r="1919" spans="1:5" ht="36" customHeight="1" x14ac:dyDescent="0.25">
      <c r="A1919" s="16">
        <v>1936</v>
      </c>
      <c r="B1919" s="18" t="s">
        <v>5125</v>
      </c>
      <c r="C1919" s="18" t="s">
        <v>5415</v>
      </c>
      <c r="D1919" s="18" t="s">
        <v>5416</v>
      </c>
      <c r="E1919" s="18" t="s">
        <v>5434</v>
      </c>
    </row>
    <row r="1920" spans="1:5" ht="36" customHeight="1" x14ac:dyDescent="0.25">
      <c r="A1920" s="16">
        <v>1937</v>
      </c>
      <c r="B1920" s="18" t="s">
        <v>5125</v>
      </c>
      <c r="C1920" s="18" t="s">
        <v>5415</v>
      </c>
      <c r="D1920" s="18" t="s">
        <v>5416</v>
      </c>
      <c r="E1920" s="18" t="s">
        <v>5435</v>
      </c>
    </row>
    <row r="1921" spans="1:5" ht="36" customHeight="1" x14ac:dyDescent="0.25">
      <c r="A1921" s="16">
        <v>1938</v>
      </c>
      <c r="B1921" s="18" t="s">
        <v>5125</v>
      </c>
      <c r="C1921" s="18" t="s">
        <v>5415</v>
      </c>
      <c r="D1921" s="18" t="s">
        <v>5416</v>
      </c>
      <c r="E1921" s="18" t="s">
        <v>5436</v>
      </c>
    </row>
    <row r="1922" spans="1:5" ht="36" customHeight="1" x14ac:dyDescent="0.25">
      <c r="A1922" s="16">
        <v>1939</v>
      </c>
      <c r="B1922" s="18" t="s">
        <v>5125</v>
      </c>
      <c r="C1922" s="18" t="s">
        <v>5415</v>
      </c>
      <c r="D1922" s="18" t="s">
        <v>5416</v>
      </c>
      <c r="E1922" s="18" t="s">
        <v>5437</v>
      </c>
    </row>
    <row r="1923" spans="1:5" ht="36" customHeight="1" x14ac:dyDescent="0.25">
      <c r="A1923" s="16">
        <v>1940</v>
      </c>
      <c r="B1923" s="18" t="s">
        <v>5125</v>
      </c>
      <c r="C1923" s="18" t="s">
        <v>5415</v>
      </c>
      <c r="D1923" s="18" t="s">
        <v>5416</v>
      </c>
      <c r="E1923" s="18" t="s">
        <v>5438</v>
      </c>
    </row>
    <row r="1924" spans="1:5" ht="36" customHeight="1" x14ac:dyDescent="0.25">
      <c r="A1924" s="16">
        <v>1941</v>
      </c>
      <c r="B1924" s="18" t="s">
        <v>5125</v>
      </c>
      <c r="C1924" s="18" t="s">
        <v>5415</v>
      </c>
      <c r="D1924" s="18" t="s">
        <v>5416</v>
      </c>
      <c r="E1924" s="18" t="s">
        <v>5439</v>
      </c>
    </row>
    <row r="1925" spans="1:5" ht="36" customHeight="1" x14ac:dyDescent="0.25">
      <c r="A1925" s="16">
        <v>1942</v>
      </c>
      <c r="B1925" s="18" t="s">
        <v>5125</v>
      </c>
      <c r="C1925" s="18" t="s">
        <v>5415</v>
      </c>
      <c r="D1925" s="18" t="s">
        <v>5416</v>
      </c>
      <c r="E1925" s="18" t="s">
        <v>5440</v>
      </c>
    </row>
    <row r="1926" spans="1:5" ht="36" customHeight="1" x14ac:dyDescent="0.25">
      <c r="A1926" s="16">
        <v>1943</v>
      </c>
      <c r="B1926" s="18" t="s">
        <v>5125</v>
      </c>
      <c r="C1926" s="18" t="s">
        <v>5415</v>
      </c>
      <c r="D1926" s="18" t="s">
        <v>5416</v>
      </c>
      <c r="E1926" s="18" t="s">
        <v>5441</v>
      </c>
    </row>
    <row r="1927" spans="1:5" ht="36" customHeight="1" x14ac:dyDescent="0.25">
      <c r="A1927" s="16">
        <v>1944</v>
      </c>
      <c r="B1927" s="18" t="s">
        <v>5125</v>
      </c>
      <c r="C1927" s="18" t="s">
        <v>5415</v>
      </c>
      <c r="D1927" s="18" t="s">
        <v>5416</v>
      </c>
      <c r="E1927" s="18" t="s">
        <v>5442</v>
      </c>
    </row>
    <row r="1928" spans="1:5" ht="36" customHeight="1" x14ac:dyDescent="0.25">
      <c r="A1928" s="16">
        <v>1945</v>
      </c>
      <c r="B1928" s="18" t="s">
        <v>5125</v>
      </c>
      <c r="C1928" s="18" t="s">
        <v>5415</v>
      </c>
      <c r="D1928" s="18" t="s">
        <v>5416</v>
      </c>
      <c r="E1928" s="18" t="s">
        <v>5443</v>
      </c>
    </row>
    <row r="1929" spans="1:5" ht="36" customHeight="1" x14ac:dyDescent="0.25">
      <c r="A1929" s="16">
        <v>1946</v>
      </c>
      <c r="B1929" s="18" t="s">
        <v>5125</v>
      </c>
      <c r="C1929" s="18" t="s">
        <v>5415</v>
      </c>
      <c r="D1929" s="18" t="s">
        <v>5416</v>
      </c>
      <c r="E1929" s="18" t="s">
        <v>5444</v>
      </c>
    </row>
    <row r="1930" spans="1:5" ht="36" customHeight="1" x14ac:dyDescent="0.25">
      <c r="A1930" s="16">
        <v>1947</v>
      </c>
      <c r="B1930" s="18" t="s">
        <v>5125</v>
      </c>
      <c r="C1930" s="18" t="s">
        <v>5415</v>
      </c>
      <c r="D1930" s="18" t="s">
        <v>5416</v>
      </c>
      <c r="E1930" s="18" t="s">
        <v>5445</v>
      </c>
    </row>
    <row r="1931" spans="1:5" ht="36" customHeight="1" x14ac:dyDescent="0.25">
      <c r="A1931" s="16">
        <v>1948</v>
      </c>
      <c r="B1931" s="18" t="s">
        <v>5125</v>
      </c>
      <c r="C1931" s="18" t="s">
        <v>5415</v>
      </c>
      <c r="D1931" s="18" t="s">
        <v>5446</v>
      </c>
      <c r="E1931" s="18" t="s">
        <v>5447</v>
      </c>
    </row>
    <row r="1932" spans="1:5" ht="36" customHeight="1" x14ac:dyDescent="0.25">
      <c r="A1932" s="16">
        <v>1949</v>
      </c>
      <c r="B1932" s="18" t="s">
        <v>5125</v>
      </c>
      <c r="C1932" s="18" t="s">
        <v>5415</v>
      </c>
      <c r="D1932" s="18" t="s">
        <v>5446</v>
      </c>
      <c r="E1932" s="18" t="s">
        <v>5448</v>
      </c>
    </row>
    <row r="1933" spans="1:5" ht="36" customHeight="1" x14ac:dyDescent="0.25">
      <c r="A1933" s="16">
        <v>1950</v>
      </c>
      <c r="B1933" s="18" t="s">
        <v>5125</v>
      </c>
      <c r="C1933" s="18" t="s">
        <v>5415</v>
      </c>
      <c r="D1933" s="18" t="s">
        <v>5446</v>
      </c>
      <c r="E1933" s="18" t="s">
        <v>5449</v>
      </c>
    </row>
    <row r="1934" spans="1:5" ht="36" customHeight="1" x14ac:dyDescent="0.25">
      <c r="A1934" s="16">
        <v>1951</v>
      </c>
      <c r="B1934" s="18" t="s">
        <v>5125</v>
      </c>
      <c r="C1934" s="18" t="s">
        <v>5415</v>
      </c>
      <c r="D1934" s="18" t="s">
        <v>5446</v>
      </c>
      <c r="E1934" s="18" t="s">
        <v>5450</v>
      </c>
    </row>
    <row r="1935" spans="1:5" ht="36" customHeight="1" x14ac:dyDescent="0.25">
      <c r="A1935" s="16">
        <v>1952</v>
      </c>
      <c r="B1935" s="18" t="s">
        <v>5125</v>
      </c>
      <c r="C1935" s="18" t="s">
        <v>5415</v>
      </c>
      <c r="D1935" s="18" t="s">
        <v>5446</v>
      </c>
      <c r="E1935" s="18" t="s">
        <v>5451</v>
      </c>
    </row>
    <row r="1936" spans="1:5" ht="36" customHeight="1" x14ac:dyDescent="0.25">
      <c r="A1936" s="16">
        <v>1953</v>
      </c>
      <c r="B1936" s="18" t="s">
        <v>5125</v>
      </c>
      <c r="C1936" s="18" t="s">
        <v>5415</v>
      </c>
      <c r="D1936" s="18" t="s">
        <v>5446</v>
      </c>
      <c r="E1936" s="18" t="s">
        <v>5452</v>
      </c>
    </row>
    <row r="1937" spans="1:5" ht="36" customHeight="1" x14ac:dyDescent="0.25">
      <c r="A1937" s="16">
        <v>1954</v>
      </c>
      <c r="B1937" s="18" t="s">
        <v>5125</v>
      </c>
      <c r="C1937" s="18" t="s">
        <v>5415</v>
      </c>
      <c r="D1937" s="18" t="s">
        <v>5446</v>
      </c>
      <c r="E1937" s="18" t="s">
        <v>5453</v>
      </c>
    </row>
    <row r="1938" spans="1:5" ht="36" customHeight="1" x14ac:dyDescent="0.25">
      <c r="A1938" s="16">
        <v>1955</v>
      </c>
      <c r="B1938" s="18" t="s">
        <v>5125</v>
      </c>
      <c r="C1938" s="18" t="s">
        <v>5415</v>
      </c>
      <c r="D1938" s="18" t="s">
        <v>5446</v>
      </c>
      <c r="E1938" s="18" t="s">
        <v>5454</v>
      </c>
    </row>
    <row r="1939" spans="1:5" ht="36" customHeight="1" x14ac:dyDescent="0.25">
      <c r="A1939" s="16">
        <v>1956</v>
      </c>
      <c r="B1939" s="18" t="s">
        <v>5125</v>
      </c>
      <c r="C1939" s="18" t="s">
        <v>5415</v>
      </c>
      <c r="D1939" s="18" t="s">
        <v>5446</v>
      </c>
      <c r="E1939" s="18" t="s">
        <v>5455</v>
      </c>
    </row>
    <row r="1940" spans="1:5" ht="36" customHeight="1" x14ac:dyDescent="0.25">
      <c r="A1940" s="16">
        <v>1957</v>
      </c>
      <c r="B1940" s="18" t="s">
        <v>5125</v>
      </c>
      <c r="C1940" s="18" t="s">
        <v>5415</v>
      </c>
      <c r="D1940" s="18" t="s">
        <v>5446</v>
      </c>
      <c r="E1940" s="18" t="s">
        <v>5456</v>
      </c>
    </row>
    <row r="1941" spans="1:5" ht="36" customHeight="1" x14ac:dyDescent="0.25">
      <c r="A1941" s="16">
        <v>1958</v>
      </c>
      <c r="B1941" s="18" t="s">
        <v>5125</v>
      </c>
      <c r="C1941" s="18" t="s">
        <v>5415</v>
      </c>
      <c r="D1941" s="18" t="s">
        <v>5446</v>
      </c>
      <c r="E1941" s="18" t="s">
        <v>5457</v>
      </c>
    </row>
    <row r="1942" spans="1:5" ht="36" customHeight="1" x14ac:dyDescent="0.25">
      <c r="A1942" s="16">
        <v>1959</v>
      </c>
      <c r="B1942" s="18" t="s">
        <v>5125</v>
      </c>
      <c r="C1942" s="18" t="s">
        <v>5415</v>
      </c>
      <c r="D1942" s="18" t="s">
        <v>5446</v>
      </c>
      <c r="E1942" s="18" t="s">
        <v>5458</v>
      </c>
    </row>
    <row r="1943" spans="1:5" ht="36" customHeight="1" x14ac:dyDescent="0.25">
      <c r="A1943" s="16">
        <v>1960</v>
      </c>
      <c r="B1943" s="18" t="s">
        <v>5125</v>
      </c>
      <c r="C1943" s="18" t="s">
        <v>5415</v>
      </c>
      <c r="D1943" s="18" t="s">
        <v>5446</v>
      </c>
      <c r="E1943" s="18" t="s">
        <v>5459</v>
      </c>
    </row>
    <row r="1944" spans="1:5" ht="36" customHeight="1" x14ac:dyDescent="0.25">
      <c r="A1944" s="16">
        <v>1961</v>
      </c>
      <c r="B1944" s="18" t="s">
        <v>5125</v>
      </c>
      <c r="C1944" s="18" t="s">
        <v>5415</v>
      </c>
      <c r="D1944" s="18" t="s">
        <v>5446</v>
      </c>
      <c r="E1944" s="18" t="s">
        <v>5460</v>
      </c>
    </row>
    <row r="1945" spans="1:5" ht="36" customHeight="1" x14ac:dyDescent="0.25">
      <c r="A1945" s="16">
        <v>1962</v>
      </c>
      <c r="B1945" s="18" t="s">
        <v>5125</v>
      </c>
      <c r="C1945" s="18" t="s">
        <v>5415</v>
      </c>
      <c r="D1945" s="18" t="s">
        <v>5446</v>
      </c>
      <c r="E1945" s="18" t="s">
        <v>5461</v>
      </c>
    </row>
    <row r="1946" spans="1:5" ht="36" customHeight="1" x14ac:dyDescent="0.25">
      <c r="A1946" s="16">
        <v>1963</v>
      </c>
      <c r="B1946" s="18" t="s">
        <v>5125</v>
      </c>
      <c r="C1946" s="18" t="s">
        <v>5415</v>
      </c>
      <c r="D1946" s="18" t="s">
        <v>5446</v>
      </c>
      <c r="E1946" s="18" t="s">
        <v>5462</v>
      </c>
    </row>
    <row r="1947" spans="1:5" ht="36" customHeight="1" x14ac:dyDescent="0.25">
      <c r="A1947" s="16">
        <v>1964</v>
      </c>
      <c r="B1947" s="18" t="s">
        <v>5125</v>
      </c>
      <c r="C1947" s="18" t="s">
        <v>5415</v>
      </c>
      <c r="D1947" s="18" t="s">
        <v>5446</v>
      </c>
      <c r="E1947" s="18" t="s">
        <v>5463</v>
      </c>
    </row>
    <row r="1948" spans="1:5" ht="36" customHeight="1" x14ac:dyDescent="0.25">
      <c r="A1948" s="16">
        <v>1965</v>
      </c>
      <c r="B1948" s="18" t="s">
        <v>5125</v>
      </c>
      <c r="C1948" s="18" t="s">
        <v>5415</v>
      </c>
      <c r="D1948" s="18" t="s">
        <v>5464</v>
      </c>
      <c r="E1948" s="18" t="s">
        <v>5465</v>
      </c>
    </row>
    <row r="1949" spans="1:5" ht="36" customHeight="1" x14ac:dyDescent="0.25">
      <c r="A1949" s="16">
        <v>1966</v>
      </c>
      <c r="B1949" s="18" t="s">
        <v>5125</v>
      </c>
      <c r="C1949" s="18" t="s">
        <v>5415</v>
      </c>
      <c r="D1949" s="18" t="s">
        <v>5464</v>
      </c>
      <c r="E1949" s="18" t="s">
        <v>5466</v>
      </c>
    </row>
    <row r="1950" spans="1:5" ht="36" customHeight="1" x14ac:dyDescent="0.25">
      <c r="A1950" s="16">
        <v>1967</v>
      </c>
      <c r="B1950" s="18" t="s">
        <v>5125</v>
      </c>
      <c r="C1950" s="18" t="s">
        <v>5415</v>
      </c>
      <c r="D1950" s="18" t="s">
        <v>5464</v>
      </c>
      <c r="E1950" s="18" t="s">
        <v>5467</v>
      </c>
    </row>
    <row r="1951" spans="1:5" ht="36" customHeight="1" x14ac:dyDescent="0.25">
      <c r="A1951" s="16">
        <v>1968</v>
      </c>
      <c r="B1951" s="18" t="s">
        <v>5125</v>
      </c>
      <c r="C1951" s="18" t="s">
        <v>5415</v>
      </c>
      <c r="D1951" s="18" t="s">
        <v>5464</v>
      </c>
      <c r="E1951" s="18" t="s">
        <v>5468</v>
      </c>
    </row>
    <row r="1952" spans="1:5" ht="36" customHeight="1" x14ac:dyDescent="0.25">
      <c r="A1952" s="16">
        <v>1969</v>
      </c>
      <c r="B1952" s="18" t="s">
        <v>5125</v>
      </c>
      <c r="C1952" s="18" t="s">
        <v>5415</v>
      </c>
      <c r="D1952" s="18" t="s">
        <v>5464</v>
      </c>
      <c r="E1952" s="18" t="s">
        <v>5469</v>
      </c>
    </row>
    <row r="1953" spans="1:5" ht="36" customHeight="1" x14ac:dyDescent="0.25">
      <c r="A1953" s="16">
        <v>1970</v>
      </c>
      <c r="B1953" s="18" t="s">
        <v>5125</v>
      </c>
      <c r="C1953" s="18" t="s">
        <v>5415</v>
      </c>
      <c r="D1953" s="18" t="s">
        <v>5464</v>
      </c>
      <c r="E1953" s="18" t="s">
        <v>5470</v>
      </c>
    </row>
    <row r="1954" spans="1:5" ht="36" customHeight="1" x14ac:dyDescent="0.25">
      <c r="A1954" s="16">
        <v>1971</v>
      </c>
      <c r="B1954" s="18" t="s">
        <v>5125</v>
      </c>
      <c r="C1954" s="18" t="s">
        <v>5415</v>
      </c>
      <c r="D1954" s="18" t="s">
        <v>5464</v>
      </c>
      <c r="E1954" s="18" t="s">
        <v>5471</v>
      </c>
    </row>
    <row r="1955" spans="1:5" ht="36" customHeight="1" x14ac:dyDescent="0.25">
      <c r="A1955" s="16">
        <v>1972</v>
      </c>
      <c r="B1955" s="18" t="s">
        <v>5125</v>
      </c>
      <c r="C1955" s="18" t="s">
        <v>5415</v>
      </c>
      <c r="D1955" s="18" t="s">
        <v>5464</v>
      </c>
      <c r="E1955" s="18" t="s">
        <v>5472</v>
      </c>
    </row>
    <row r="1956" spans="1:5" ht="36" customHeight="1" x14ac:dyDescent="0.25">
      <c r="A1956" s="16">
        <v>1973</v>
      </c>
      <c r="B1956" s="18" t="s">
        <v>5125</v>
      </c>
      <c r="C1956" s="18" t="s">
        <v>5415</v>
      </c>
      <c r="D1956" s="18" t="s">
        <v>5464</v>
      </c>
      <c r="E1956" s="18" t="s">
        <v>5473</v>
      </c>
    </row>
    <row r="1957" spans="1:5" ht="36" customHeight="1" x14ac:dyDescent="0.25">
      <c r="A1957" s="16">
        <v>1974</v>
      </c>
      <c r="B1957" s="18" t="s">
        <v>5125</v>
      </c>
      <c r="C1957" s="18" t="s">
        <v>5415</v>
      </c>
      <c r="D1957" s="18" t="s">
        <v>5464</v>
      </c>
      <c r="E1957" s="18" t="s">
        <v>5474</v>
      </c>
    </row>
    <row r="1958" spans="1:5" ht="36" customHeight="1" x14ac:dyDescent="0.25">
      <c r="A1958" s="16">
        <v>1975</v>
      </c>
      <c r="B1958" s="18" t="s">
        <v>5125</v>
      </c>
      <c r="C1958" s="18" t="s">
        <v>5415</v>
      </c>
      <c r="D1958" s="18" t="s">
        <v>5464</v>
      </c>
      <c r="E1958" s="18" t="s">
        <v>5475</v>
      </c>
    </row>
    <row r="1959" spans="1:5" ht="36" customHeight="1" x14ac:dyDescent="0.25">
      <c r="A1959" s="16">
        <v>1976</v>
      </c>
      <c r="B1959" s="18" t="s">
        <v>5125</v>
      </c>
      <c r="C1959" s="18" t="s">
        <v>5415</v>
      </c>
      <c r="D1959" s="18" t="s">
        <v>5464</v>
      </c>
      <c r="E1959" s="18" t="s">
        <v>5476</v>
      </c>
    </row>
    <row r="1960" spans="1:5" ht="24" customHeight="1" x14ac:dyDescent="0.25">
      <c r="A1960" s="16">
        <v>1977</v>
      </c>
      <c r="B1960" s="18" t="s">
        <v>5125</v>
      </c>
      <c r="C1960" s="18" t="s">
        <v>5477</v>
      </c>
      <c r="D1960" s="18" t="s">
        <v>5478</v>
      </c>
      <c r="E1960" s="18" t="s">
        <v>5404</v>
      </c>
    </row>
    <row r="1961" spans="1:5" x14ac:dyDescent="0.25">
      <c r="A1961" s="16">
        <v>1978</v>
      </c>
      <c r="B1961" s="18" t="s">
        <v>5125</v>
      </c>
      <c r="C1961" s="18" t="s">
        <v>5477</v>
      </c>
      <c r="D1961" s="18" t="s">
        <v>5478</v>
      </c>
      <c r="E1961" s="18" t="s">
        <v>5479</v>
      </c>
    </row>
    <row r="1962" spans="1:5" x14ac:dyDescent="0.25">
      <c r="A1962" s="16">
        <v>1979</v>
      </c>
      <c r="B1962" s="18" t="s">
        <v>5125</v>
      </c>
      <c r="C1962" s="18" t="s">
        <v>5477</v>
      </c>
      <c r="D1962" s="18" t="s">
        <v>5478</v>
      </c>
      <c r="E1962" s="18" t="s">
        <v>5480</v>
      </c>
    </row>
    <row r="1963" spans="1:5" ht="24" customHeight="1" x14ac:dyDescent="0.25">
      <c r="A1963" s="16">
        <v>1980</v>
      </c>
      <c r="B1963" s="18" t="s">
        <v>5125</v>
      </c>
      <c r="C1963" s="18" t="s">
        <v>5477</v>
      </c>
      <c r="D1963" s="18" t="s">
        <v>5478</v>
      </c>
      <c r="E1963" s="18" t="s">
        <v>5481</v>
      </c>
    </row>
    <row r="1964" spans="1:5" x14ac:dyDescent="0.25">
      <c r="A1964" s="16">
        <v>1981</v>
      </c>
      <c r="B1964" s="18" t="s">
        <v>5125</v>
      </c>
      <c r="C1964" s="18" t="s">
        <v>5477</v>
      </c>
      <c r="D1964" s="18" t="s">
        <v>5478</v>
      </c>
      <c r="E1964" s="18" t="s">
        <v>5482</v>
      </c>
    </row>
    <row r="1965" spans="1:5" ht="24" customHeight="1" x14ac:dyDescent="0.25">
      <c r="A1965" s="16">
        <v>1982</v>
      </c>
      <c r="B1965" s="18" t="s">
        <v>5125</v>
      </c>
      <c r="C1965" s="18" t="s">
        <v>5477</v>
      </c>
      <c r="D1965" s="18" t="s">
        <v>5478</v>
      </c>
      <c r="E1965" s="18" t="s">
        <v>5483</v>
      </c>
    </row>
    <row r="1966" spans="1:5" x14ac:dyDescent="0.25">
      <c r="A1966" s="16">
        <v>1983</v>
      </c>
      <c r="B1966" s="18" t="s">
        <v>5125</v>
      </c>
      <c r="C1966" s="18" t="s">
        <v>5477</v>
      </c>
      <c r="D1966" s="18" t="s">
        <v>5478</v>
      </c>
      <c r="E1966" s="18" t="s">
        <v>5484</v>
      </c>
    </row>
    <row r="1967" spans="1:5" x14ac:dyDescent="0.25">
      <c r="A1967" s="16">
        <v>1984</v>
      </c>
      <c r="B1967" s="18" t="s">
        <v>5125</v>
      </c>
      <c r="C1967" s="18" t="s">
        <v>5477</v>
      </c>
      <c r="D1967" s="18" t="s">
        <v>5478</v>
      </c>
      <c r="E1967" s="18" t="s">
        <v>5485</v>
      </c>
    </row>
    <row r="1968" spans="1:5" x14ac:dyDescent="0.25">
      <c r="A1968" s="16">
        <v>1985</v>
      </c>
      <c r="B1968" s="18" t="s">
        <v>5125</v>
      </c>
      <c r="C1968" s="18" t="s">
        <v>5477</v>
      </c>
      <c r="D1968" s="18" t="s">
        <v>5478</v>
      </c>
      <c r="E1968" s="18" t="s">
        <v>5486</v>
      </c>
    </row>
    <row r="1969" spans="1:5" ht="24" customHeight="1" x14ac:dyDescent="0.25">
      <c r="A1969" s="16">
        <v>1986</v>
      </c>
      <c r="B1969" s="18" t="s">
        <v>5125</v>
      </c>
      <c r="C1969" s="18" t="s">
        <v>5477</v>
      </c>
      <c r="D1969" s="18" t="s">
        <v>5478</v>
      </c>
      <c r="E1969" s="18" t="s">
        <v>5487</v>
      </c>
    </row>
    <row r="1970" spans="1:5" ht="36" customHeight="1" x14ac:dyDescent="0.25">
      <c r="A1970" s="16">
        <v>1987</v>
      </c>
      <c r="B1970" s="18" t="s">
        <v>5125</v>
      </c>
      <c r="C1970" s="18" t="s">
        <v>5477</v>
      </c>
      <c r="D1970" s="18" t="s">
        <v>5478</v>
      </c>
      <c r="E1970" s="18" t="s">
        <v>5488</v>
      </c>
    </row>
    <row r="1971" spans="1:5" ht="24" customHeight="1" x14ac:dyDescent="0.25">
      <c r="A1971" s="16">
        <v>1988</v>
      </c>
      <c r="B1971" s="18" t="s">
        <v>5125</v>
      </c>
      <c r="C1971" s="18" t="s">
        <v>5477</v>
      </c>
      <c r="D1971" s="18" t="s">
        <v>5478</v>
      </c>
      <c r="E1971" s="18" t="s">
        <v>5489</v>
      </c>
    </row>
    <row r="1972" spans="1:5" ht="36" customHeight="1" x14ac:dyDescent="0.25">
      <c r="A1972" s="16">
        <v>1989</v>
      </c>
      <c r="B1972" s="18" t="s">
        <v>5125</v>
      </c>
      <c r="C1972" s="18" t="s">
        <v>5477</v>
      </c>
      <c r="D1972" s="18" t="s">
        <v>5478</v>
      </c>
      <c r="E1972" s="18" t="s">
        <v>5490</v>
      </c>
    </row>
    <row r="1973" spans="1:5" ht="36" customHeight="1" x14ac:dyDescent="0.25">
      <c r="A1973" s="16">
        <v>1990</v>
      </c>
      <c r="B1973" s="18" t="s">
        <v>5125</v>
      </c>
      <c r="C1973" s="18" t="s">
        <v>5477</v>
      </c>
      <c r="D1973" s="18" t="s">
        <v>5478</v>
      </c>
      <c r="E1973" s="18" t="s">
        <v>5491</v>
      </c>
    </row>
    <row r="1974" spans="1:5" x14ac:dyDescent="0.25">
      <c r="A1974" s="16">
        <v>1991</v>
      </c>
      <c r="B1974" s="18" t="s">
        <v>5125</v>
      </c>
      <c r="C1974" s="18" t="s">
        <v>5477</v>
      </c>
      <c r="D1974" s="18" t="s">
        <v>5478</v>
      </c>
      <c r="E1974" s="18" t="s">
        <v>5492</v>
      </c>
    </row>
    <row r="1975" spans="1:5" x14ac:dyDescent="0.25">
      <c r="A1975" s="16">
        <v>1992</v>
      </c>
      <c r="B1975" s="18" t="s">
        <v>5125</v>
      </c>
      <c r="C1975" s="18" t="s">
        <v>5477</v>
      </c>
      <c r="D1975" s="18" t="s">
        <v>5478</v>
      </c>
      <c r="E1975" s="18" t="s">
        <v>5493</v>
      </c>
    </row>
    <row r="1976" spans="1:5" ht="24" customHeight="1" x14ac:dyDescent="0.25">
      <c r="A1976" s="16">
        <v>1993</v>
      </c>
      <c r="B1976" s="18" t="s">
        <v>5125</v>
      </c>
      <c r="C1976" s="18" t="s">
        <v>5477</v>
      </c>
      <c r="D1976" s="18" t="s">
        <v>5478</v>
      </c>
      <c r="E1976" s="18" t="s">
        <v>5494</v>
      </c>
    </row>
    <row r="1977" spans="1:5" ht="24" customHeight="1" x14ac:dyDescent="0.25">
      <c r="A1977" s="16">
        <v>1994</v>
      </c>
      <c r="B1977" s="18" t="s">
        <v>5125</v>
      </c>
      <c r="C1977" s="18" t="s">
        <v>5477</v>
      </c>
      <c r="D1977" s="18" t="s">
        <v>5495</v>
      </c>
      <c r="E1977" s="18" t="s">
        <v>5241</v>
      </c>
    </row>
    <row r="1978" spans="1:5" ht="24" customHeight="1" x14ac:dyDescent="0.25">
      <c r="A1978" s="16">
        <v>1995</v>
      </c>
      <c r="B1978" s="18" t="s">
        <v>5125</v>
      </c>
      <c r="C1978" s="18" t="s">
        <v>5477</v>
      </c>
      <c r="D1978" s="18" t="s">
        <v>5495</v>
      </c>
      <c r="E1978" s="18" t="s">
        <v>5496</v>
      </c>
    </row>
    <row r="1979" spans="1:5" ht="24" customHeight="1" x14ac:dyDescent="0.25">
      <c r="A1979" s="16">
        <v>1996</v>
      </c>
      <c r="B1979" s="18" t="s">
        <v>5125</v>
      </c>
      <c r="C1979" s="18" t="s">
        <v>5477</v>
      </c>
      <c r="D1979" s="18" t="s">
        <v>5495</v>
      </c>
      <c r="E1979" s="18" t="s">
        <v>5497</v>
      </c>
    </row>
    <row r="1980" spans="1:5" ht="24" customHeight="1" x14ac:dyDescent="0.25">
      <c r="A1980" s="16">
        <v>1997</v>
      </c>
      <c r="B1980" s="18" t="s">
        <v>5125</v>
      </c>
      <c r="C1980" s="18" t="s">
        <v>5477</v>
      </c>
      <c r="D1980" s="18" t="s">
        <v>5495</v>
      </c>
      <c r="E1980" s="18" t="s">
        <v>5498</v>
      </c>
    </row>
    <row r="1981" spans="1:5" ht="24" customHeight="1" x14ac:dyDescent="0.25">
      <c r="A1981" s="16">
        <v>1998</v>
      </c>
      <c r="B1981" s="18" t="s">
        <v>5125</v>
      </c>
      <c r="C1981" s="18" t="s">
        <v>5477</v>
      </c>
      <c r="D1981" s="18" t="s">
        <v>5495</v>
      </c>
      <c r="E1981" s="18" t="s">
        <v>5499</v>
      </c>
    </row>
    <row r="1982" spans="1:5" ht="24" customHeight="1" x14ac:dyDescent="0.25">
      <c r="A1982" s="16">
        <v>1999</v>
      </c>
      <c r="B1982" s="18" t="s">
        <v>5125</v>
      </c>
      <c r="C1982" s="18" t="s">
        <v>5477</v>
      </c>
      <c r="D1982" s="18" t="s">
        <v>5495</v>
      </c>
      <c r="E1982" s="18" t="s">
        <v>5500</v>
      </c>
    </row>
    <row r="1983" spans="1:5" ht="36" customHeight="1" x14ac:dyDescent="0.25">
      <c r="A1983" s="16">
        <v>2000</v>
      </c>
      <c r="B1983" s="18" t="s">
        <v>5125</v>
      </c>
      <c r="C1983" s="18" t="s">
        <v>5477</v>
      </c>
      <c r="D1983" s="18" t="s">
        <v>5495</v>
      </c>
      <c r="E1983" s="18" t="s">
        <v>5501</v>
      </c>
    </row>
    <row r="1984" spans="1:5" x14ac:dyDescent="0.25">
      <c r="A1984" s="16">
        <v>2001</v>
      </c>
      <c r="B1984" s="18" t="s">
        <v>5125</v>
      </c>
      <c r="C1984" s="18" t="s">
        <v>5477</v>
      </c>
      <c r="D1984" s="18" t="s">
        <v>5477</v>
      </c>
      <c r="E1984" s="18" t="s">
        <v>5502</v>
      </c>
    </row>
    <row r="1985" spans="1:5" ht="24" customHeight="1" x14ac:dyDescent="0.25">
      <c r="A1985" s="16">
        <v>2002</v>
      </c>
      <c r="B1985" s="18" t="s">
        <v>5125</v>
      </c>
      <c r="C1985" s="18" t="s">
        <v>5477</v>
      </c>
      <c r="D1985" s="18" t="s">
        <v>5477</v>
      </c>
      <c r="E1985" s="18" t="s">
        <v>5503</v>
      </c>
    </row>
    <row r="1986" spans="1:5" x14ac:dyDescent="0.25">
      <c r="A1986" s="16">
        <v>2003</v>
      </c>
      <c r="B1986" s="18" t="s">
        <v>5125</v>
      </c>
      <c r="C1986" s="18" t="s">
        <v>5477</v>
      </c>
      <c r="D1986" s="18" t="s">
        <v>5477</v>
      </c>
      <c r="E1986" s="18" t="s">
        <v>5504</v>
      </c>
    </row>
    <row r="1987" spans="1:5" ht="24" customHeight="1" x14ac:dyDescent="0.25">
      <c r="A1987" s="16">
        <v>2004</v>
      </c>
      <c r="B1987" s="18" t="s">
        <v>5125</v>
      </c>
      <c r="C1987" s="18" t="s">
        <v>5477</v>
      </c>
      <c r="D1987" s="18" t="s">
        <v>5477</v>
      </c>
      <c r="E1987" s="18" t="s">
        <v>5505</v>
      </c>
    </row>
    <row r="1988" spans="1:5" x14ac:dyDescent="0.25">
      <c r="A1988" s="16">
        <v>2005</v>
      </c>
      <c r="B1988" s="18" t="s">
        <v>5125</v>
      </c>
      <c r="C1988" s="18" t="s">
        <v>5477</v>
      </c>
      <c r="D1988" s="18" t="s">
        <v>5477</v>
      </c>
      <c r="E1988" s="18" t="s">
        <v>5506</v>
      </c>
    </row>
    <row r="1989" spans="1:5" x14ac:dyDescent="0.25">
      <c r="A1989" s="16">
        <v>2006</v>
      </c>
      <c r="B1989" s="18" t="s">
        <v>5125</v>
      </c>
      <c r="C1989" s="18" t="s">
        <v>5477</v>
      </c>
      <c r="D1989" s="18" t="s">
        <v>5477</v>
      </c>
      <c r="E1989" s="18" t="s">
        <v>5507</v>
      </c>
    </row>
    <row r="1990" spans="1:5" x14ac:dyDescent="0.25">
      <c r="A1990" s="16">
        <v>2007</v>
      </c>
      <c r="B1990" s="18" t="s">
        <v>5125</v>
      </c>
      <c r="C1990" s="18" t="s">
        <v>5477</v>
      </c>
      <c r="D1990" s="18" t="s">
        <v>5477</v>
      </c>
      <c r="E1990" s="18" t="s">
        <v>5508</v>
      </c>
    </row>
    <row r="1991" spans="1:5" x14ac:dyDescent="0.25">
      <c r="A1991" s="16">
        <v>2008</v>
      </c>
      <c r="B1991" s="18" t="s">
        <v>5125</v>
      </c>
      <c r="C1991" s="18" t="s">
        <v>5477</v>
      </c>
      <c r="D1991" s="18" t="s">
        <v>5477</v>
      </c>
      <c r="E1991" s="18" t="s">
        <v>5509</v>
      </c>
    </row>
    <row r="1992" spans="1:5" x14ac:dyDescent="0.25">
      <c r="A1992" s="16">
        <v>2009</v>
      </c>
      <c r="B1992" s="18" t="s">
        <v>5125</v>
      </c>
      <c r="C1992" s="18" t="s">
        <v>5477</v>
      </c>
      <c r="D1992" s="18" t="s">
        <v>5477</v>
      </c>
      <c r="E1992" s="18" t="s">
        <v>5510</v>
      </c>
    </row>
    <row r="1993" spans="1:5" ht="24" customHeight="1" x14ac:dyDescent="0.25">
      <c r="A1993" s="16">
        <v>2010</v>
      </c>
      <c r="B1993" s="18" t="s">
        <v>5125</v>
      </c>
      <c r="C1993" s="18" t="s">
        <v>5477</v>
      </c>
      <c r="D1993" s="18" t="s">
        <v>5477</v>
      </c>
      <c r="E1993" s="18" t="s">
        <v>5511</v>
      </c>
    </row>
    <row r="1994" spans="1:5" x14ac:dyDescent="0.25">
      <c r="A1994" s="16">
        <v>2011</v>
      </c>
      <c r="B1994" s="18" t="s">
        <v>5125</v>
      </c>
      <c r="C1994" s="18" t="s">
        <v>5477</v>
      </c>
      <c r="D1994" s="18" t="s">
        <v>5477</v>
      </c>
      <c r="E1994" s="18" t="s">
        <v>5512</v>
      </c>
    </row>
    <row r="1995" spans="1:5" ht="24" customHeight="1" x14ac:dyDescent="0.25">
      <c r="A1995" s="16">
        <v>2012</v>
      </c>
      <c r="B1995" s="18" t="s">
        <v>5125</v>
      </c>
      <c r="C1995" s="18" t="s">
        <v>5477</v>
      </c>
      <c r="D1995" s="18" t="s">
        <v>5477</v>
      </c>
      <c r="E1995" s="18" t="s">
        <v>5513</v>
      </c>
    </row>
    <row r="1996" spans="1:5" ht="24" customHeight="1" x14ac:dyDescent="0.25">
      <c r="A1996" s="16">
        <v>2013</v>
      </c>
      <c r="B1996" s="18" t="s">
        <v>5125</v>
      </c>
      <c r="C1996" s="18" t="s">
        <v>5477</v>
      </c>
      <c r="D1996" s="18" t="s">
        <v>5477</v>
      </c>
      <c r="E1996" s="18" t="s">
        <v>5514</v>
      </c>
    </row>
    <row r="1997" spans="1:5" x14ac:dyDescent="0.25">
      <c r="A1997" s="16">
        <v>2014</v>
      </c>
      <c r="B1997" s="18" t="s">
        <v>5125</v>
      </c>
      <c r="C1997" s="18" t="s">
        <v>5477</v>
      </c>
      <c r="D1997" s="18" t="s">
        <v>5515</v>
      </c>
      <c r="E1997" s="18" t="s">
        <v>5516</v>
      </c>
    </row>
    <row r="1998" spans="1:5" x14ac:dyDescent="0.25">
      <c r="A1998" s="16">
        <v>2015</v>
      </c>
      <c r="B1998" s="18" t="s">
        <v>5125</v>
      </c>
      <c r="C1998" s="18" t="s">
        <v>5477</v>
      </c>
      <c r="D1998" s="18" t="s">
        <v>5515</v>
      </c>
      <c r="E1998" s="18" t="s">
        <v>5517</v>
      </c>
    </row>
    <row r="1999" spans="1:5" x14ac:dyDescent="0.25">
      <c r="A1999" s="16">
        <v>2016</v>
      </c>
      <c r="B1999" s="18" t="s">
        <v>5125</v>
      </c>
      <c r="C1999" s="18" t="s">
        <v>5477</v>
      </c>
      <c r="D1999" s="18" t="s">
        <v>5515</v>
      </c>
      <c r="E1999" s="18" t="s">
        <v>5518</v>
      </c>
    </row>
    <row r="2000" spans="1:5" ht="24" customHeight="1" x14ac:dyDescent="0.25">
      <c r="A2000" s="16">
        <v>2017</v>
      </c>
      <c r="B2000" s="18" t="s">
        <v>5125</v>
      </c>
      <c r="C2000" s="18" t="s">
        <v>5477</v>
      </c>
      <c r="D2000" s="18" t="s">
        <v>5515</v>
      </c>
      <c r="E2000" s="18" t="s">
        <v>5519</v>
      </c>
    </row>
    <row r="2001" spans="1:5" ht="24" customHeight="1" x14ac:dyDescent="0.25">
      <c r="A2001" s="16">
        <v>2018</v>
      </c>
      <c r="B2001" s="18" t="s">
        <v>5125</v>
      </c>
      <c r="C2001" s="18" t="s">
        <v>5477</v>
      </c>
      <c r="D2001" s="18" t="s">
        <v>5515</v>
      </c>
      <c r="E2001" s="18" t="s">
        <v>5520</v>
      </c>
    </row>
    <row r="2002" spans="1:5" x14ac:dyDescent="0.25">
      <c r="A2002" s="16">
        <v>2019</v>
      </c>
      <c r="B2002" s="18" t="s">
        <v>5125</v>
      </c>
      <c r="C2002" s="18" t="s">
        <v>5477</v>
      </c>
      <c r="D2002" s="18" t="s">
        <v>5515</v>
      </c>
      <c r="E2002" s="18" t="s">
        <v>5521</v>
      </c>
    </row>
    <row r="2003" spans="1:5" x14ac:dyDescent="0.25">
      <c r="A2003" s="16">
        <v>2020</v>
      </c>
      <c r="B2003" s="18" t="s">
        <v>5125</v>
      </c>
      <c r="C2003" s="18" t="s">
        <v>5477</v>
      </c>
      <c r="D2003" s="18" t="s">
        <v>5515</v>
      </c>
      <c r="E2003" s="18" t="s">
        <v>5522</v>
      </c>
    </row>
    <row r="2004" spans="1:5" x14ac:dyDescent="0.25">
      <c r="A2004" s="16">
        <v>2021</v>
      </c>
      <c r="B2004" s="18" t="s">
        <v>5125</v>
      </c>
      <c r="C2004" s="18" t="s">
        <v>5477</v>
      </c>
      <c r="D2004" s="18" t="s">
        <v>5515</v>
      </c>
      <c r="E2004" s="18" t="s">
        <v>5523</v>
      </c>
    </row>
    <row r="2005" spans="1:5" x14ac:dyDescent="0.25">
      <c r="A2005" s="16">
        <v>2022</v>
      </c>
      <c r="B2005" s="18" t="s">
        <v>5125</v>
      </c>
      <c r="C2005" s="18" t="s">
        <v>5477</v>
      </c>
      <c r="D2005" s="18" t="s">
        <v>5515</v>
      </c>
      <c r="E2005" s="18" t="s">
        <v>5524</v>
      </c>
    </row>
    <row r="2006" spans="1:5" x14ac:dyDescent="0.25">
      <c r="A2006" s="16">
        <v>2023</v>
      </c>
      <c r="B2006" s="18" t="s">
        <v>5125</v>
      </c>
      <c r="C2006" s="18" t="s">
        <v>5477</v>
      </c>
      <c r="D2006" s="18" t="s">
        <v>5515</v>
      </c>
      <c r="E2006" s="18" t="s">
        <v>5525</v>
      </c>
    </row>
    <row r="2007" spans="1:5" x14ac:dyDescent="0.25">
      <c r="A2007" s="16">
        <v>2024</v>
      </c>
      <c r="B2007" s="18" t="s">
        <v>5125</v>
      </c>
      <c r="C2007" s="18" t="s">
        <v>5477</v>
      </c>
      <c r="D2007" s="18" t="s">
        <v>5515</v>
      </c>
      <c r="E2007" s="18" t="s">
        <v>5526</v>
      </c>
    </row>
    <row r="2008" spans="1:5" x14ac:dyDescent="0.25">
      <c r="A2008" s="16">
        <v>2025</v>
      </c>
      <c r="B2008" s="18" t="s">
        <v>5125</v>
      </c>
      <c r="C2008" s="18" t="s">
        <v>5477</v>
      </c>
      <c r="D2008" s="18" t="s">
        <v>5515</v>
      </c>
      <c r="E2008" s="18" t="s">
        <v>5527</v>
      </c>
    </row>
    <row r="2009" spans="1:5" x14ac:dyDescent="0.25">
      <c r="A2009" s="16">
        <v>2026</v>
      </c>
      <c r="B2009" s="18" t="s">
        <v>5125</v>
      </c>
      <c r="C2009" s="18" t="s">
        <v>5477</v>
      </c>
      <c r="D2009" s="18" t="s">
        <v>5515</v>
      </c>
      <c r="E2009" s="18" t="s">
        <v>5528</v>
      </c>
    </row>
    <row r="2010" spans="1:5" x14ac:dyDescent="0.25">
      <c r="A2010" s="16">
        <v>2027</v>
      </c>
      <c r="B2010" s="18" t="s">
        <v>5125</v>
      </c>
      <c r="C2010" s="18" t="s">
        <v>5477</v>
      </c>
      <c r="D2010" s="18" t="s">
        <v>5515</v>
      </c>
      <c r="E2010" s="18" t="s">
        <v>5529</v>
      </c>
    </row>
    <row r="2011" spans="1:5" x14ac:dyDescent="0.25">
      <c r="A2011" s="16">
        <v>2028</v>
      </c>
      <c r="B2011" s="18" t="s">
        <v>5125</v>
      </c>
      <c r="C2011" s="18" t="s">
        <v>5477</v>
      </c>
      <c r="D2011" s="18" t="s">
        <v>5515</v>
      </c>
      <c r="E2011" s="18" t="s">
        <v>5530</v>
      </c>
    </row>
    <row r="2012" spans="1:5" ht="24" customHeight="1" x14ac:dyDescent="0.25">
      <c r="A2012" s="16">
        <v>2029</v>
      </c>
      <c r="B2012" s="18" t="s">
        <v>5125</v>
      </c>
      <c r="C2012" s="18" t="s">
        <v>5477</v>
      </c>
      <c r="D2012" s="18" t="s">
        <v>5240</v>
      </c>
      <c r="E2012" s="18" t="s">
        <v>5531</v>
      </c>
    </row>
    <row r="2013" spans="1:5" x14ac:dyDescent="0.25">
      <c r="A2013" s="16">
        <v>2030</v>
      </c>
      <c r="B2013" s="18" t="s">
        <v>5125</v>
      </c>
      <c r="C2013" s="18" t="s">
        <v>5477</v>
      </c>
      <c r="D2013" s="18" t="s">
        <v>5240</v>
      </c>
      <c r="E2013" s="18" t="s">
        <v>5532</v>
      </c>
    </row>
    <row r="2014" spans="1:5" x14ac:dyDescent="0.25">
      <c r="A2014" s="16">
        <v>2031</v>
      </c>
      <c r="B2014" s="18" t="s">
        <v>5125</v>
      </c>
      <c r="C2014" s="18" t="s">
        <v>5477</v>
      </c>
      <c r="D2014" s="18" t="s">
        <v>5240</v>
      </c>
      <c r="E2014" s="18" t="s">
        <v>5533</v>
      </c>
    </row>
    <row r="2015" spans="1:5" x14ac:dyDescent="0.25">
      <c r="A2015" s="16">
        <v>2032</v>
      </c>
      <c r="B2015" s="18" t="s">
        <v>5125</v>
      </c>
      <c r="C2015" s="18" t="s">
        <v>5477</v>
      </c>
      <c r="D2015" s="18" t="s">
        <v>5240</v>
      </c>
      <c r="E2015" s="18" t="s">
        <v>5534</v>
      </c>
    </row>
    <row r="2016" spans="1:5" x14ac:dyDescent="0.25">
      <c r="A2016" s="16">
        <v>2033</v>
      </c>
      <c r="B2016" s="18" t="s">
        <v>5125</v>
      </c>
      <c r="C2016" s="18" t="s">
        <v>5477</v>
      </c>
      <c r="D2016" s="18" t="s">
        <v>5240</v>
      </c>
      <c r="E2016" s="18" t="s">
        <v>5535</v>
      </c>
    </row>
    <row r="2017" spans="1:5" ht="36" customHeight="1" x14ac:dyDescent="0.25">
      <c r="A2017" s="16">
        <v>2034</v>
      </c>
      <c r="B2017" s="18" t="s">
        <v>5125</v>
      </c>
      <c r="C2017" s="18" t="s">
        <v>5477</v>
      </c>
      <c r="D2017" s="18" t="s">
        <v>5240</v>
      </c>
      <c r="E2017" s="18" t="s">
        <v>5536</v>
      </c>
    </row>
    <row r="2018" spans="1:5" x14ac:dyDescent="0.25">
      <c r="A2018" s="16">
        <v>2035</v>
      </c>
      <c r="B2018" s="18" t="s">
        <v>5125</v>
      </c>
      <c r="C2018" s="18" t="s">
        <v>5477</v>
      </c>
      <c r="D2018" s="18" t="s">
        <v>5240</v>
      </c>
      <c r="E2018" s="18" t="s">
        <v>5537</v>
      </c>
    </row>
    <row r="2019" spans="1:5" ht="24" customHeight="1" x14ac:dyDescent="0.25">
      <c r="A2019" s="16">
        <v>2036</v>
      </c>
      <c r="B2019" s="18" t="s">
        <v>5125</v>
      </c>
      <c r="C2019" s="18" t="s">
        <v>5477</v>
      </c>
      <c r="D2019" s="18" t="s">
        <v>5240</v>
      </c>
      <c r="E2019" s="18" t="s">
        <v>5538</v>
      </c>
    </row>
    <row r="2020" spans="1:5" ht="24" customHeight="1" x14ac:dyDescent="0.25">
      <c r="A2020" s="16">
        <v>2037</v>
      </c>
      <c r="B2020" s="18" t="s">
        <v>5125</v>
      </c>
      <c r="C2020" s="18" t="s">
        <v>5477</v>
      </c>
      <c r="D2020" s="18" t="s">
        <v>5240</v>
      </c>
      <c r="E2020" s="18" t="s">
        <v>5539</v>
      </c>
    </row>
    <row r="2021" spans="1:5" x14ac:dyDescent="0.25">
      <c r="A2021" s="16">
        <v>2038</v>
      </c>
      <c r="B2021" s="18" t="s">
        <v>5125</v>
      </c>
      <c r="C2021" s="18" t="s">
        <v>5477</v>
      </c>
      <c r="D2021" s="18" t="s">
        <v>5240</v>
      </c>
      <c r="E2021" s="18" t="s">
        <v>5540</v>
      </c>
    </row>
    <row r="2022" spans="1:5" x14ac:dyDescent="0.25">
      <c r="A2022" s="16">
        <v>2039</v>
      </c>
      <c r="B2022" s="18" t="s">
        <v>5125</v>
      </c>
      <c r="C2022" s="18" t="s">
        <v>5477</v>
      </c>
      <c r="D2022" s="18" t="s">
        <v>5240</v>
      </c>
      <c r="E2022" s="18" t="s">
        <v>5541</v>
      </c>
    </row>
    <row r="2023" spans="1:5" x14ac:dyDescent="0.25">
      <c r="A2023" s="16">
        <v>2040</v>
      </c>
      <c r="B2023" s="18" t="s">
        <v>5125</v>
      </c>
      <c r="C2023" s="18" t="s">
        <v>5477</v>
      </c>
      <c r="D2023" s="18" t="s">
        <v>5240</v>
      </c>
      <c r="E2023" s="18" t="s">
        <v>5542</v>
      </c>
    </row>
    <row r="2024" spans="1:5" ht="24" customHeight="1" x14ac:dyDescent="0.25">
      <c r="A2024" s="16">
        <v>2041</v>
      </c>
      <c r="B2024" s="18" t="s">
        <v>5125</v>
      </c>
      <c r="C2024" s="18" t="s">
        <v>5543</v>
      </c>
      <c r="D2024" s="18" t="s">
        <v>5544</v>
      </c>
      <c r="E2024" s="18" t="s">
        <v>5545</v>
      </c>
    </row>
    <row r="2025" spans="1:5" x14ac:dyDescent="0.25">
      <c r="A2025" s="16">
        <v>2042</v>
      </c>
      <c r="B2025" s="18" t="s">
        <v>5125</v>
      </c>
      <c r="C2025" s="18" t="s">
        <v>5543</v>
      </c>
      <c r="D2025" s="18" t="s">
        <v>5544</v>
      </c>
      <c r="E2025" s="18" t="s">
        <v>3682</v>
      </c>
    </row>
    <row r="2026" spans="1:5" x14ac:dyDescent="0.25">
      <c r="A2026" s="16">
        <v>2043</v>
      </c>
      <c r="B2026" s="18" t="s">
        <v>5125</v>
      </c>
      <c r="C2026" s="18" t="s">
        <v>5543</v>
      </c>
      <c r="D2026" s="18" t="s">
        <v>5544</v>
      </c>
      <c r="E2026" s="18" t="s">
        <v>5546</v>
      </c>
    </row>
    <row r="2027" spans="1:5" ht="24" customHeight="1" x14ac:dyDescent="0.25">
      <c r="A2027" s="16">
        <v>2044</v>
      </c>
      <c r="B2027" s="18" t="s">
        <v>5125</v>
      </c>
      <c r="C2027" s="18" t="s">
        <v>5543</v>
      </c>
      <c r="D2027" s="18" t="s">
        <v>5544</v>
      </c>
      <c r="E2027" s="18" t="s">
        <v>5547</v>
      </c>
    </row>
    <row r="2028" spans="1:5" x14ac:dyDescent="0.25">
      <c r="A2028" s="16">
        <v>2045</v>
      </c>
      <c r="B2028" s="18" t="s">
        <v>5125</v>
      </c>
      <c r="C2028" s="18" t="s">
        <v>5543</v>
      </c>
      <c r="D2028" s="18" t="s">
        <v>5544</v>
      </c>
      <c r="E2028" s="18" t="s">
        <v>5548</v>
      </c>
    </row>
    <row r="2029" spans="1:5" ht="24" customHeight="1" x14ac:dyDescent="0.25">
      <c r="A2029" s="16">
        <v>2046</v>
      </c>
      <c r="B2029" s="18" t="s">
        <v>5125</v>
      </c>
      <c r="C2029" s="18" t="s">
        <v>5543</v>
      </c>
      <c r="D2029" s="18" t="s">
        <v>5544</v>
      </c>
      <c r="E2029" s="18" t="s">
        <v>5549</v>
      </c>
    </row>
    <row r="2030" spans="1:5" ht="24" customHeight="1" x14ac:dyDescent="0.25">
      <c r="A2030" s="16">
        <v>2047</v>
      </c>
      <c r="B2030" s="18" t="s">
        <v>5125</v>
      </c>
      <c r="C2030" s="18" t="s">
        <v>5543</v>
      </c>
      <c r="D2030" s="18" t="s">
        <v>5544</v>
      </c>
      <c r="E2030" s="18" t="s">
        <v>5550</v>
      </c>
    </row>
    <row r="2031" spans="1:5" x14ac:dyDescent="0.25">
      <c r="A2031" s="16">
        <v>2048</v>
      </c>
      <c r="B2031" s="18" t="s">
        <v>5125</v>
      </c>
      <c r="C2031" s="18" t="s">
        <v>5543</v>
      </c>
      <c r="D2031" s="18" t="s">
        <v>5544</v>
      </c>
      <c r="E2031" s="18" t="s">
        <v>5551</v>
      </c>
    </row>
    <row r="2032" spans="1:5" ht="24" customHeight="1" x14ac:dyDescent="0.25">
      <c r="A2032" s="16">
        <v>2049</v>
      </c>
      <c r="B2032" s="18" t="s">
        <v>5125</v>
      </c>
      <c r="C2032" s="18" t="s">
        <v>5543</v>
      </c>
      <c r="D2032" s="18" t="s">
        <v>5544</v>
      </c>
      <c r="E2032" s="18" t="s">
        <v>5552</v>
      </c>
    </row>
    <row r="2033" spans="1:5" x14ac:dyDescent="0.25">
      <c r="A2033" s="16">
        <v>2050</v>
      </c>
      <c r="B2033" s="18" t="s">
        <v>5125</v>
      </c>
      <c r="C2033" s="18" t="s">
        <v>5543</v>
      </c>
      <c r="D2033" s="18" t="s">
        <v>5544</v>
      </c>
      <c r="E2033" s="18" t="s">
        <v>5553</v>
      </c>
    </row>
    <row r="2034" spans="1:5" ht="24" customHeight="1" x14ac:dyDescent="0.25">
      <c r="A2034" s="16">
        <v>2051</v>
      </c>
      <c r="B2034" s="18" t="s">
        <v>5125</v>
      </c>
      <c r="C2034" s="18" t="s">
        <v>5543</v>
      </c>
      <c r="D2034" s="18" t="s">
        <v>5544</v>
      </c>
      <c r="E2034" s="18" t="s">
        <v>5554</v>
      </c>
    </row>
    <row r="2035" spans="1:5" x14ac:dyDescent="0.25">
      <c r="A2035" s="16">
        <v>2052</v>
      </c>
      <c r="B2035" s="18" t="s">
        <v>5125</v>
      </c>
      <c r="C2035" s="18" t="s">
        <v>5543</v>
      </c>
      <c r="D2035" s="18" t="s">
        <v>5544</v>
      </c>
      <c r="E2035" s="18" t="s">
        <v>5555</v>
      </c>
    </row>
    <row r="2036" spans="1:5" ht="36" customHeight="1" x14ac:dyDescent="0.25">
      <c r="A2036" s="16">
        <v>2053</v>
      </c>
      <c r="B2036" s="18" t="s">
        <v>5125</v>
      </c>
      <c r="C2036" s="18" t="s">
        <v>5543</v>
      </c>
      <c r="D2036" s="18" t="s">
        <v>5544</v>
      </c>
      <c r="E2036" s="18" t="s">
        <v>5556</v>
      </c>
    </row>
    <row r="2037" spans="1:5" ht="24" customHeight="1" x14ac:dyDescent="0.25">
      <c r="A2037" s="16">
        <v>2054</v>
      </c>
      <c r="B2037" s="18" t="s">
        <v>5125</v>
      </c>
      <c r="C2037" s="18" t="s">
        <v>5543</v>
      </c>
      <c r="D2037" s="18" t="s">
        <v>5557</v>
      </c>
      <c r="E2037" s="18" t="s">
        <v>5558</v>
      </c>
    </row>
    <row r="2038" spans="1:5" ht="24" customHeight="1" x14ac:dyDescent="0.25">
      <c r="A2038" s="16">
        <v>2055</v>
      </c>
      <c r="B2038" s="18" t="s">
        <v>5125</v>
      </c>
      <c r="C2038" s="18" t="s">
        <v>5543</v>
      </c>
      <c r="D2038" s="18" t="s">
        <v>5557</v>
      </c>
      <c r="E2038" s="18" t="s">
        <v>5559</v>
      </c>
    </row>
    <row r="2039" spans="1:5" ht="24" customHeight="1" x14ac:dyDescent="0.25">
      <c r="A2039" s="16">
        <v>2056</v>
      </c>
      <c r="B2039" s="18" t="s">
        <v>5125</v>
      </c>
      <c r="C2039" s="18" t="s">
        <v>5543</v>
      </c>
      <c r="D2039" s="18" t="s">
        <v>5557</v>
      </c>
      <c r="E2039" s="18" t="s">
        <v>5560</v>
      </c>
    </row>
    <row r="2040" spans="1:5" ht="24" customHeight="1" x14ac:dyDescent="0.25">
      <c r="A2040" s="16">
        <v>2057</v>
      </c>
      <c r="B2040" s="18" t="s">
        <v>5125</v>
      </c>
      <c r="C2040" s="18" t="s">
        <v>5543</v>
      </c>
      <c r="D2040" s="18" t="s">
        <v>5557</v>
      </c>
      <c r="E2040" s="18" t="s">
        <v>5561</v>
      </c>
    </row>
    <row r="2041" spans="1:5" ht="24" customHeight="1" x14ac:dyDescent="0.25">
      <c r="A2041" s="16">
        <v>2058</v>
      </c>
      <c r="B2041" s="18" t="s">
        <v>5125</v>
      </c>
      <c r="C2041" s="18" t="s">
        <v>5543</v>
      </c>
      <c r="D2041" s="18" t="s">
        <v>5557</v>
      </c>
      <c r="E2041" s="18" t="s">
        <v>5562</v>
      </c>
    </row>
    <row r="2042" spans="1:5" ht="24" customHeight="1" x14ac:dyDescent="0.25">
      <c r="A2042" s="16">
        <v>2059</v>
      </c>
      <c r="B2042" s="18" t="s">
        <v>5125</v>
      </c>
      <c r="C2042" s="18" t="s">
        <v>5543</v>
      </c>
      <c r="D2042" s="18" t="s">
        <v>5557</v>
      </c>
      <c r="E2042" s="18" t="s">
        <v>5563</v>
      </c>
    </row>
    <row r="2043" spans="1:5" ht="24" customHeight="1" x14ac:dyDescent="0.25">
      <c r="A2043" s="16">
        <v>2060</v>
      </c>
      <c r="B2043" s="18" t="s">
        <v>5125</v>
      </c>
      <c r="C2043" s="18" t="s">
        <v>5543</v>
      </c>
      <c r="D2043" s="18" t="s">
        <v>5557</v>
      </c>
      <c r="E2043" s="18" t="s">
        <v>5564</v>
      </c>
    </row>
    <row r="2044" spans="1:5" ht="24" customHeight="1" x14ac:dyDescent="0.25">
      <c r="A2044" s="16">
        <v>2061</v>
      </c>
      <c r="B2044" s="18" t="s">
        <v>5125</v>
      </c>
      <c r="C2044" s="18" t="s">
        <v>5543</v>
      </c>
      <c r="D2044" s="18" t="s">
        <v>5557</v>
      </c>
      <c r="E2044" s="18" t="s">
        <v>5565</v>
      </c>
    </row>
    <row r="2045" spans="1:5" ht="24" customHeight="1" x14ac:dyDescent="0.25">
      <c r="A2045" s="16">
        <v>2062</v>
      </c>
      <c r="B2045" s="18" t="s">
        <v>5125</v>
      </c>
      <c r="C2045" s="18" t="s">
        <v>5543</v>
      </c>
      <c r="D2045" s="18" t="s">
        <v>5557</v>
      </c>
      <c r="E2045" s="18" t="s">
        <v>5566</v>
      </c>
    </row>
    <row r="2046" spans="1:5" ht="36" customHeight="1" x14ac:dyDescent="0.25">
      <c r="A2046" s="16">
        <v>2063</v>
      </c>
      <c r="B2046" s="18" t="s">
        <v>5125</v>
      </c>
      <c r="C2046" s="18" t="s">
        <v>5543</v>
      </c>
      <c r="D2046" s="18" t="s">
        <v>5557</v>
      </c>
      <c r="E2046" s="18" t="s">
        <v>5567</v>
      </c>
    </row>
    <row r="2047" spans="1:5" ht="24" customHeight="1" x14ac:dyDescent="0.25">
      <c r="A2047" s="16">
        <v>2064</v>
      </c>
      <c r="B2047" s="18" t="s">
        <v>5125</v>
      </c>
      <c r="C2047" s="18" t="s">
        <v>5543</v>
      </c>
      <c r="D2047" s="18" t="s">
        <v>5557</v>
      </c>
      <c r="E2047" s="18" t="s">
        <v>5568</v>
      </c>
    </row>
    <row r="2048" spans="1:5" ht="24" customHeight="1" x14ac:dyDescent="0.25">
      <c r="A2048" s="16">
        <v>2065</v>
      </c>
      <c r="B2048" s="18" t="s">
        <v>5125</v>
      </c>
      <c r="C2048" s="18" t="s">
        <v>5543</v>
      </c>
      <c r="D2048" s="18" t="s">
        <v>5557</v>
      </c>
      <c r="E2048" s="18" t="s">
        <v>5569</v>
      </c>
    </row>
    <row r="2049" spans="1:5" ht="24" customHeight="1" x14ac:dyDescent="0.25">
      <c r="A2049" s="16">
        <v>2066</v>
      </c>
      <c r="B2049" s="18" t="s">
        <v>5125</v>
      </c>
      <c r="C2049" s="18" t="s">
        <v>5543</v>
      </c>
      <c r="D2049" s="18" t="s">
        <v>5557</v>
      </c>
      <c r="E2049" s="18" t="s">
        <v>5570</v>
      </c>
    </row>
    <row r="2050" spans="1:5" ht="24" customHeight="1" x14ac:dyDescent="0.25">
      <c r="A2050" s="16">
        <v>2067</v>
      </c>
      <c r="B2050" s="18" t="s">
        <v>5125</v>
      </c>
      <c r="C2050" s="18" t="s">
        <v>5543</v>
      </c>
      <c r="D2050" s="18" t="s">
        <v>5557</v>
      </c>
      <c r="E2050" s="18" t="s">
        <v>5571</v>
      </c>
    </row>
    <row r="2051" spans="1:5" ht="24" customHeight="1" x14ac:dyDescent="0.25">
      <c r="A2051" s="16">
        <v>2068</v>
      </c>
      <c r="B2051" s="18" t="s">
        <v>5125</v>
      </c>
      <c r="C2051" s="18" t="s">
        <v>5543</v>
      </c>
      <c r="D2051" s="18" t="s">
        <v>5557</v>
      </c>
      <c r="E2051" s="18" t="s">
        <v>5572</v>
      </c>
    </row>
    <row r="2052" spans="1:5" ht="24" customHeight="1" x14ac:dyDescent="0.25">
      <c r="A2052" s="16">
        <v>2069</v>
      </c>
      <c r="B2052" s="18" t="s">
        <v>5125</v>
      </c>
      <c r="C2052" s="18" t="s">
        <v>5543</v>
      </c>
      <c r="D2052" s="18" t="s">
        <v>5557</v>
      </c>
      <c r="E2052" s="18" t="s">
        <v>5573</v>
      </c>
    </row>
    <row r="2053" spans="1:5" ht="24" customHeight="1" x14ac:dyDescent="0.25">
      <c r="A2053" s="16">
        <v>2070</v>
      </c>
      <c r="B2053" s="18" t="s">
        <v>5125</v>
      </c>
      <c r="C2053" s="18" t="s">
        <v>5543</v>
      </c>
      <c r="D2053" s="18" t="s">
        <v>5557</v>
      </c>
      <c r="E2053" s="18" t="s">
        <v>5574</v>
      </c>
    </row>
    <row r="2054" spans="1:5" ht="24" customHeight="1" x14ac:dyDescent="0.25">
      <c r="A2054" s="16">
        <v>2071</v>
      </c>
      <c r="B2054" s="18" t="s">
        <v>5125</v>
      </c>
      <c r="C2054" s="18" t="s">
        <v>5543</v>
      </c>
      <c r="D2054" s="18" t="s">
        <v>5557</v>
      </c>
      <c r="E2054" s="18" t="s">
        <v>5575</v>
      </c>
    </row>
    <row r="2055" spans="1:5" ht="24" customHeight="1" x14ac:dyDescent="0.25">
      <c r="A2055" s="16">
        <v>2072</v>
      </c>
      <c r="B2055" s="18" t="s">
        <v>5125</v>
      </c>
      <c r="C2055" s="18" t="s">
        <v>5543</v>
      </c>
      <c r="D2055" s="18" t="s">
        <v>5557</v>
      </c>
      <c r="E2055" s="18" t="s">
        <v>5576</v>
      </c>
    </row>
    <row r="2056" spans="1:5" ht="24" customHeight="1" x14ac:dyDescent="0.25">
      <c r="A2056" s="16">
        <v>2073</v>
      </c>
      <c r="B2056" s="18" t="s">
        <v>5125</v>
      </c>
      <c r="C2056" s="18" t="s">
        <v>5543</v>
      </c>
      <c r="D2056" s="18" t="s">
        <v>5557</v>
      </c>
      <c r="E2056" s="18" t="s">
        <v>5577</v>
      </c>
    </row>
    <row r="2057" spans="1:5" x14ac:dyDescent="0.25">
      <c r="A2057" s="16">
        <v>2074</v>
      </c>
      <c r="B2057" s="18" t="s">
        <v>5125</v>
      </c>
      <c r="C2057" s="18" t="s">
        <v>5543</v>
      </c>
      <c r="D2057" s="18" t="s">
        <v>5578</v>
      </c>
      <c r="E2057" s="18" t="s">
        <v>5579</v>
      </c>
    </row>
    <row r="2058" spans="1:5" x14ac:dyDescent="0.25">
      <c r="A2058" s="16">
        <v>2075</v>
      </c>
      <c r="B2058" s="18" t="s">
        <v>5125</v>
      </c>
      <c r="C2058" s="18" t="s">
        <v>5543</v>
      </c>
      <c r="D2058" s="18" t="s">
        <v>5578</v>
      </c>
      <c r="E2058" s="18" t="s">
        <v>5580</v>
      </c>
    </row>
    <row r="2059" spans="1:5" ht="24" customHeight="1" x14ac:dyDescent="0.25">
      <c r="A2059" s="16">
        <v>2076</v>
      </c>
      <c r="B2059" s="18" t="s">
        <v>5125</v>
      </c>
      <c r="C2059" s="18" t="s">
        <v>5543</v>
      </c>
      <c r="D2059" s="18" t="s">
        <v>5578</v>
      </c>
      <c r="E2059" s="18" t="s">
        <v>5581</v>
      </c>
    </row>
    <row r="2060" spans="1:5" x14ac:dyDescent="0.25">
      <c r="A2060" s="16">
        <v>2077</v>
      </c>
      <c r="B2060" s="18" t="s">
        <v>5125</v>
      </c>
      <c r="C2060" s="18" t="s">
        <v>5543</v>
      </c>
      <c r="D2060" s="18" t="s">
        <v>5578</v>
      </c>
      <c r="E2060" s="18" t="s">
        <v>5582</v>
      </c>
    </row>
    <row r="2061" spans="1:5" x14ac:dyDescent="0.25">
      <c r="A2061" s="16">
        <v>2078</v>
      </c>
      <c r="B2061" s="18" t="s">
        <v>5125</v>
      </c>
      <c r="C2061" s="18" t="s">
        <v>5543</v>
      </c>
      <c r="D2061" s="18" t="s">
        <v>5578</v>
      </c>
      <c r="E2061" s="18" t="s">
        <v>5583</v>
      </c>
    </row>
    <row r="2062" spans="1:5" x14ac:dyDescent="0.25">
      <c r="A2062" s="16">
        <v>2079</v>
      </c>
      <c r="B2062" s="18" t="s">
        <v>5125</v>
      </c>
      <c r="C2062" s="18" t="s">
        <v>5543</v>
      </c>
      <c r="D2062" s="18" t="s">
        <v>5584</v>
      </c>
      <c r="E2062" s="18" t="s">
        <v>5585</v>
      </c>
    </row>
    <row r="2063" spans="1:5" x14ac:dyDescent="0.25">
      <c r="A2063" s="16">
        <v>2080</v>
      </c>
      <c r="B2063" s="18" t="s">
        <v>5125</v>
      </c>
      <c r="C2063" s="18" t="s">
        <v>5543</v>
      </c>
      <c r="D2063" s="18" t="s">
        <v>5584</v>
      </c>
      <c r="E2063" s="18" t="s">
        <v>5586</v>
      </c>
    </row>
    <row r="2064" spans="1:5" x14ac:dyDescent="0.25">
      <c r="A2064" s="16">
        <v>2081</v>
      </c>
      <c r="B2064" s="18" t="s">
        <v>5125</v>
      </c>
      <c r="C2064" s="18" t="s">
        <v>5543</v>
      </c>
      <c r="D2064" s="18" t="s">
        <v>5584</v>
      </c>
      <c r="E2064" s="18" t="s">
        <v>5587</v>
      </c>
    </row>
    <row r="2065" spans="1:5" x14ac:dyDescent="0.25">
      <c r="A2065" s="16">
        <v>2082</v>
      </c>
      <c r="B2065" s="18" t="s">
        <v>5125</v>
      </c>
      <c r="C2065" s="18" t="s">
        <v>5543</v>
      </c>
      <c r="D2065" s="18" t="s">
        <v>5543</v>
      </c>
      <c r="E2065" s="18" t="s">
        <v>5588</v>
      </c>
    </row>
    <row r="2066" spans="1:5" x14ac:dyDescent="0.25">
      <c r="A2066" s="16">
        <v>2083</v>
      </c>
      <c r="B2066" s="18" t="s">
        <v>5125</v>
      </c>
      <c r="C2066" s="18" t="s">
        <v>5543</v>
      </c>
      <c r="D2066" s="18" t="s">
        <v>5543</v>
      </c>
      <c r="E2066" s="18" t="s">
        <v>5589</v>
      </c>
    </row>
    <row r="2067" spans="1:5" x14ac:dyDescent="0.25">
      <c r="A2067" s="16">
        <v>2084</v>
      </c>
      <c r="B2067" s="18" t="s">
        <v>5125</v>
      </c>
      <c r="C2067" s="18" t="s">
        <v>5543</v>
      </c>
      <c r="D2067" s="18" t="s">
        <v>5543</v>
      </c>
      <c r="E2067" s="18" t="s">
        <v>5590</v>
      </c>
    </row>
    <row r="2068" spans="1:5" x14ac:dyDescent="0.25">
      <c r="A2068" s="16">
        <v>2085</v>
      </c>
      <c r="B2068" s="18" t="s">
        <v>5125</v>
      </c>
      <c r="C2068" s="18" t="s">
        <v>5543</v>
      </c>
      <c r="D2068" s="18" t="s">
        <v>5543</v>
      </c>
      <c r="E2068" s="18" t="s">
        <v>5591</v>
      </c>
    </row>
    <row r="2069" spans="1:5" x14ac:dyDescent="0.25">
      <c r="A2069" s="16">
        <v>2086</v>
      </c>
      <c r="B2069" s="18" t="s">
        <v>5125</v>
      </c>
      <c r="C2069" s="18" t="s">
        <v>5543</v>
      </c>
      <c r="D2069" s="18" t="s">
        <v>5543</v>
      </c>
      <c r="E2069" s="18" t="s">
        <v>5592</v>
      </c>
    </row>
    <row r="2070" spans="1:5" x14ac:dyDescent="0.25">
      <c r="A2070" s="16">
        <v>2087</v>
      </c>
      <c r="B2070" s="18" t="s">
        <v>5125</v>
      </c>
      <c r="C2070" s="18" t="s">
        <v>5543</v>
      </c>
      <c r="D2070" s="18" t="s">
        <v>5543</v>
      </c>
      <c r="E2070" s="18" t="s">
        <v>5593</v>
      </c>
    </row>
    <row r="2071" spans="1:5" x14ac:dyDescent="0.25">
      <c r="A2071" s="16">
        <v>2088</v>
      </c>
      <c r="B2071" s="18" t="s">
        <v>5125</v>
      </c>
      <c r="C2071" s="18" t="s">
        <v>5543</v>
      </c>
      <c r="D2071" s="18" t="s">
        <v>5543</v>
      </c>
      <c r="E2071" s="18" t="s">
        <v>5594</v>
      </c>
    </row>
    <row r="2072" spans="1:5" ht="24" customHeight="1" x14ac:dyDescent="0.25">
      <c r="A2072" s="16">
        <v>2089</v>
      </c>
      <c r="B2072" s="18" t="s">
        <v>5125</v>
      </c>
      <c r="C2072" s="18" t="s">
        <v>5543</v>
      </c>
      <c r="D2072" s="18" t="s">
        <v>5543</v>
      </c>
      <c r="E2072" s="18" t="s">
        <v>5595</v>
      </c>
    </row>
    <row r="2073" spans="1:5" ht="24" customHeight="1" x14ac:dyDescent="0.25">
      <c r="A2073" s="16">
        <v>2090</v>
      </c>
      <c r="B2073" s="18" t="s">
        <v>5125</v>
      </c>
      <c r="C2073" s="18" t="s">
        <v>5543</v>
      </c>
      <c r="D2073" s="18" t="s">
        <v>5543</v>
      </c>
      <c r="E2073" s="18" t="s">
        <v>5596</v>
      </c>
    </row>
    <row r="2074" spans="1:5" x14ac:dyDescent="0.25">
      <c r="A2074" s="16">
        <v>2091</v>
      </c>
      <c r="B2074" s="18" t="s">
        <v>5125</v>
      </c>
      <c r="C2074" s="18" t="s">
        <v>5543</v>
      </c>
      <c r="D2074" s="18" t="s">
        <v>5543</v>
      </c>
      <c r="E2074" s="18" t="s">
        <v>5597</v>
      </c>
    </row>
    <row r="2075" spans="1:5" x14ac:dyDescent="0.25">
      <c r="A2075" s="16">
        <v>2092</v>
      </c>
      <c r="B2075" s="18" t="s">
        <v>5125</v>
      </c>
      <c r="C2075" s="18" t="s">
        <v>5543</v>
      </c>
      <c r="D2075" s="18" t="s">
        <v>5543</v>
      </c>
      <c r="E2075" s="18" t="s">
        <v>5598</v>
      </c>
    </row>
    <row r="2076" spans="1:5" x14ac:dyDescent="0.25">
      <c r="A2076" s="16">
        <v>2093</v>
      </c>
      <c r="B2076" s="18" t="s">
        <v>5125</v>
      </c>
      <c r="C2076" s="18" t="s">
        <v>5543</v>
      </c>
      <c r="D2076" s="18" t="s">
        <v>5543</v>
      </c>
      <c r="E2076" s="18" t="s">
        <v>5599</v>
      </c>
    </row>
    <row r="2077" spans="1:5" x14ac:dyDescent="0.25">
      <c r="A2077" s="16">
        <v>2094</v>
      </c>
      <c r="B2077" s="18" t="s">
        <v>5125</v>
      </c>
      <c r="C2077" s="18" t="s">
        <v>5543</v>
      </c>
      <c r="D2077" s="18" t="s">
        <v>5543</v>
      </c>
      <c r="E2077" s="18" t="s">
        <v>5600</v>
      </c>
    </row>
    <row r="2078" spans="1:5" x14ac:dyDescent="0.25">
      <c r="A2078" s="16">
        <v>2095</v>
      </c>
      <c r="B2078" s="18" t="s">
        <v>5125</v>
      </c>
      <c r="C2078" s="18" t="s">
        <v>5543</v>
      </c>
      <c r="D2078" s="18" t="s">
        <v>5543</v>
      </c>
      <c r="E2078" s="18" t="s">
        <v>5601</v>
      </c>
    </row>
    <row r="2079" spans="1:5" x14ac:dyDescent="0.25">
      <c r="A2079" s="16">
        <v>2096</v>
      </c>
      <c r="B2079" s="18" t="s">
        <v>5125</v>
      </c>
      <c r="C2079" s="18" t="s">
        <v>5543</v>
      </c>
      <c r="D2079" s="18" t="s">
        <v>5602</v>
      </c>
      <c r="E2079" s="18" t="s">
        <v>5241</v>
      </c>
    </row>
    <row r="2080" spans="1:5" x14ac:dyDescent="0.25">
      <c r="A2080" s="16">
        <v>2097</v>
      </c>
      <c r="B2080" s="18" t="s">
        <v>5125</v>
      </c>
      <c r="C2080" s="18" t="s">
        <v>5543</v>
      </c>
      <c r="D2080" s="18" t="s">
        <v>5602</v>
      </c>
      <c r="E2080" s="18" t="s">
        <v>5603</v>
      </c>
    </row>
    <row r="2081" spans="1:5" x14ac:dyDescent="0.25">
      <c r="A2081" s="16">
        <v>2098</v>
      </c>
      <c r="B2081" s="18" t="s">
        <v>5125</v>
      </c>
      <c r="C2081" s="18" t="s">
        <v>5543</v>
      </c>
      <c r="D2081" s="18" t="s">
        <v>5602</v>
      </c>
      <c r="E2081" s="18" t="s">
        <v>5604</v>
      </c>
    </row>
    <row r="2082" spans="1:5" ht="24" customHeight="1" x14ac:dyDescent="0.25">
      <c r="A2082" s="16">
        <v>2099</v>
      </c>
      <c r="B2082" s="18" t="s">
        <v>5125</v>
      </c>
      <c r="C2082" s="18" t="s">
        <v>5543</v>
      </c>
      <c r="D2082" s="18" t="s">
        <v>5602</v>
      </c>
      <c r="E2082" s="18" t="s">
        <v>5605</v>
      </c>
    </row>
    <row r="2083" spans="1:5" x14ac:dyDescent="0.25">
      <c r="A2083" s="16">
        <v>2100</v>
      </c>
      <c r="B2083" s="18" t="s">
        <v>5125</v>
      </c>
      <c r="C2083" s="18" t="s">
        <v>5543</v>
      </c>
      <c r="D2083" s="18" t="s">
        <v>5602</v>
      </c>
      <c r="E2083" s="18" t="s">
        <v>5606</v>
      </c>
    </row>
    <row r="2084" spans="1:5" x14ac:dyDescent="0.25">
      <c r="A2084" s="16">
        <v>2101</v>
      </c>
      <c r="B2084" s="18" t="s">
        <v>5125</v>
      </c>
      <c r="C2084" s="18" t="s">
        <v>5543</v>
      </c>
      <c r="D2084" s="18" t="s">
        <v>5602</v>
      </c>
      <c r="E2084" s="18" t="s">
        <v>5607</v>
      </c>
    </row>
    <row r="2085" spans="1:5" ht="24" customHeight="1" x14ac:dyDescent="0.25">
      <c r="A2085" s="16">
        <v>2102</v>
      </c>
      <c r="B2085" s="18" t="s">
        <v>5125</v>
      </c>
      <c r="C2085" s="18" t="s">
        <v>5608</v>
      </c>
      <c r="D2085" s="18" t="s">
        <v>5609</v>
      </c>
      <c r="E2085" s="18" t="s">
        <v>5610</v>
      </c>
    </row>
    <row r="2086" spans="1:5" ht="24" customHeight="1" x14ac:dyDescent="0.25">
      <c r="A2086" s="16">
        <v>2103</v>
      </c>
      <c r="B2086" s="18" t="s">
        <v>5125</v>
      </c>
      <c r="C2086" s="18" t="s">
        <v>5608</v>
      </c>
      <c r="D2086" s="18" t="s">
        <v>5609</v>
      </c>
      <c r="E2086" s="18" t="s">
        <v>5611</v>
      </c>
    </row>
    <row r="2087" spans="1:5" ht="24" customHeight="1" x14ac:dyDescent="0.25">
      <c r="A2087" s="16">
        <v>2104</v>
      </c>
      <c r="B2087" s="18" t="s">
        <v>5125</v>
      </c>
      <c r="C2087" s="18" t="s">
        <v>5608</v>
      </c>
      <c r="D2087" s="18" t="s">
        <v>5609</v>
      </c>
      <c r="E2087" s="18" t="s">
        <v>5612</v>
      </c>
    </row>
    <row r="2088" spans="1:5" ht="24" customHeight="1" x14ac:dyDescent="0.25">
      <c r="A2088" s="16">
        <v>2105</v>
      </c>
      <c r="B2088" s="18" t="s">
        <v>5125</v>
      </c>
      <c r="C2088" s="18" t="s">
        <v>5608</v>
      </c>
      <c r="D2088" s="18" t="s">
        <v>5609</v>
      </c>
      <c r="E2088" s="18" t="s">
        <v>5613</v>
      </c>
    </row>
    <row r="2089" spans="1:5" ht="24" customHeight="1" x14ac:dyDescent="0.25">
      <c r="A2089" s="16">
        <v>2106</v>
      </c>
      <c r="B2089" s="18" t="s">
        <v>5125</v>
      </c>
      <c r="C2089" s="18" t="s">
        <v>5608</v>
      </c>
      <c r="D2089" s="18" t="s">
        <v>5609</v>
      </c>
      <c r="E2089" s="18" t="s">
        <v>5614</v>
      </c>
    </row>
    <row r="2090" spans="1:5" ht="24" customHeight="1" x14ac:dyDescent="0.25">
      <c r="A2090" s="16">
        <v>2107</v>
      </c>
      <c r="B2090" s="18" t="s">
        <v>5125</v>
      </c>
      <c r="C2090" s="18" t="s">
        <v>5608</v>
      </c>
      <c r="D2090" s="18" t="s">
        <v>5609</v>
      </c>
      <c r="E2090" s="18" t="s">
        <v>5615</v>
      </c>
    </row>
    <row r="2091" spans="1:5" ht="24" customHeight="1" x14ac:dyDescent="0.25">
      <c r="A2091" s="16">
        <v>2108</v>
      </c>
      <c r="B2091" s="18" t="s">
        <v>5125</v>
      </c>
      <c r="C2091" s="18" t="s">
        <v>5608</v>
      </c>
      <c r="D2091" s="18" t="s">
        <v>5609</v>
      </c>
      <c r="E2091" s="18" t="s">
        <v>5616</v>
      </c>
    </row>
    <row r="2092" spans="1:5" ht="24" customHeight="1" x14ac:dyDescent="0.25">
      <c r="A2092" s="16">
        <v>2109</v>
      </c>
      <c r="B2092" s="18" t="s">
        <v>5125</v>
      </c>
      <c r="C2092" s="18" t="s">
        <v>5608</v>
      </c>
      <c r="D2092" s="18" t="s">
        <v>5609</v>
      </c>
      <c r="E2092" s="18" t="s">
        <v>5617</v>
      </c>
    </row>
    <row r="2093" spans="1:5" ht="24" customHeight="1" x14ac:dyDescent="0.25">
      <c r="A2093" s="16">
        <v>2110</v>
      </c>
      <c r="B2093" s="18" t="s">
        <v>5125</v>
      </c>
      <c r="C2093" s="18" t="s">
        <v>5608</v>
      </c>
      <c r="D2093" s="18" t="s">
        <v>5618</v>
      </c>
      <c r="E2093" s="18" t="s">
        <v>5619</v>
      </c>
    </row>
    <row r="2094" spans="1:5" ht="24" customHeight="1" x14ac:dyDescent="0.25">
      <c r="A2094" s="16">
        <v>2111</v>
      </c>
      <c r="B2094" s="18" t="s">
        <v>5125</v>
      </c>
      <c r="C2094" s="18" t="s">
        <v>5608</v>
      </c>
      <c r="D2094" s="18" t="s">
        <v>5618</v>
      </c>
      <c r="E2094" s="18" t="s">
        <v>5620</v>
      </c>
    </row>
    <row r="2095" spans="1:5" ht="24" customHeight="1" x14ac:dyDescent="0.25">
      <c r="A2095" s="16">
        <v>2112</v>
      </c>
      <c r="B2095" s="18" t="s">
        <v>5125</v>
      </c>
      <c r="C2095" s="18" t="s">
        <v>5608</v>
      </c>
      <c r="D2095" s="18" t="s">
        <v>5618</v>
      </c>
      <c r="E2095" s="18" t="s">
        <v>5621</v>
      </c>
    </row>
    <row r="2096" spans="1:5" ht="24" customHeight="1" x14ac:dyDescent="0.25">
      <c r="A2096" s="16">
        <v>2113</v>
      </c>
      <c r="B2096" s="18" t="s">
        <v>5125</v>
      </c>
      <c r="C2096" s="18" t="s">
        <v>5608</v>
      </c>
      <c r="D2096" s="18" t="s">
        <v>5618</v>
      </c>
      <c r="E2096" s="18" t="s">
        <v>5622</v>
      </c>
    </row>
    <row r="2097" spans="1:5" ht="24" customHeight="1" x14ac:dyDescent="0.25">
      <c r="A2097" s="16">
        <v>2114</v>
      </c>
      <c r="B2097" s="18" t="s">
        <v>5125</v>
      </c>
      <c r="C2097" s="18" t="s">
        <v>5608</v>
      </c>
      <c r="D2097" s="18" t="s">
        <v>5618</v>
      </c>
      <c r="E2097" s="18" t="s">
        <v>5623</v>
      </c>
    </row>
    <row r="2098" spans="1:5" ht="24" customHeight="1" x14ac:dyDescent="0.25">
      <c r="A2098" s="16">
        <v>2115</v>
      </c>
      <c r="B2098" s="18" t="s">
        <v>5125</v>
      </c>
      <c r="C2098" s="18" t="s">
        <v>5608</v>
      </c>
      <c r="D2098" s="18" t="s">
        <v>5618</v>
      </c>
      <c r="E2098" s="18" t="s">
        <v>5624</v>
      </c>
    </row>
    <row r="2099" spans="1:5" ht="24" customHeight="1" x14ac:dyDescent="0.25">
      <c r="A2099" s="16">
        <v>2116</v>
      </c>
      <c r="B2099" s="18" t="s">
        <v>5125</v>
      </c>
      <c r="C2099" s="18" t="s">
        <v>5608</v>
      </c>
      <c r="D2099" s="18" t="s">
        <v>5618</v>
      </c>
      <c r="E2099" s="18" t="s">
        <v>5625</v>
      </c>
    </row>
    <row r="2100" spans="1:5" ht="24" customHeight="1" x14ac:dyDescent="0.25">
      <c r="A2100" s="16">
        <v>2117</v>
      </c>
      <c r="B2100" s="18" t="s">
        <v>5125</v>
      </c>
      <c r="C2100" s="18" t="s">
        <v>5608</v>
      </c>
      <c r="D2100" s="18" t="s">
        <v>5618</v>
      </c>
      <c r="E2100" s="18" t="s">
        <v>5626</v>
      </c>
    </row>
    <row r="2101" spans="1:5" ht="24" customHeight="1" x14ac:dyDescent="0.25">
      <c r="A2101" s="16">
        <v>2118</v>
      </c>
      <c r="B2101" s="18" t="s">
        <v>5125</v>
      </c>
      <c r="C2101" s="18" t="s">
        <v>5608</v>
      </c>
      <c r="D2101" s="18" t="s">
        <v>5618</v>
      </c>
      <c r="E2101" s="18" t="s">
        <v>5627</v>
      </c>
    </row>
    <row r="2102" spans="1:5" ht="24" customHeight="1" x14ac:dyDescent="0.25">
      <c r="A2102" s="16">
        <v>2119</v>
      </c>
      <c r="B2102" s="18" t="s">
        <v>5125</v>
      </c>
      <c r="C2102" s="18" t="s">
        <v>5608</v>
      </c>
      <c r="D2102" s="18" t="s">
        <v>5618</v>
      </c>
      <c r="E2102" s="18" t="s">
        <v>5628</v>
      </c>
    </row>
    <row r="2103" spans="1:5" ht="24" customHeight="1" x14ac:dyDescent="0.25">
      <c r="A2103" s="16">
        <v>2120</v>
      </c>
      <c r="B2103" s="18" t="s">
        <v>5125</v>
      </c>
      <c r="C2103" s="18" t="s">
        <v>5608</v>
      </c>
      <c r="D2103" s="18" t="s">
        <v>5618</v>
      </c>
      <c r="E2103" s="18" t="s">
        <v>5629</v>
      </c>
    </row>
    <row r="2104" spans="1:5" ht="24" customHeight="1" x14ac:dyDescent="0.25">
      <c r="A2104" s="16">
        <v>2121</v>
      </c>
      <c r="B2104" s="18" t="s">
        <v>5125</v>
      </c>
      <c r="C2104" s="18" t="s">
        <v>5608</v>
      </c>
      <c r="D2104" s="18" t="s">
        <v>5618</v>
      </c>
      <c r="E2104" s="18" t="s">
        <v>5630</v>
      </c>
    </row>
    <row r="2105" spans="1:5" ht="24" customHeight="1" x14ac:dyDescent="0.25">
      <c r="A2105" s="16">
        <v>2122</v>
      </c>
      <c r="B2105" s="18" t="s">
        <v>5125</v>
      </c>
      <c r="C2105" s="18" t="s">
        <v>5608</v>
      </c>
      <c r="D2105" s="18" t="s">
        <v>5631</v>
      </c>
      <c r="E2105" s="18" t="s">
        <v>5632</v>
      </c>
    </row>
    <row r="2106" spans="1:5" ht="24" customHeight="1" x14ac:dyDescent="0.25">
      <c r="A2106" s="16">
        <v>2123</v>
      </c>
      <c r="B2106" s="18" t="s">
        <v>5125</v>
      </c>
      <c r="C2106" s="18" t="s">
        <v>5608</v>
      </c>
      <c r="D2106" s="18" t="s">
        <v>5631</v>
      </c>
      <c r="E2106" s="18" t="s">
        <v>5633</v>
      </c>
    </row>
    <row r="2107" spans="1:5" ht="24" customHeight="1" x14ac:dyDescent="0.25">
      <c r="A2107" s="16">
        <v>2124</v>
      </c>
      <c r="B2107" s="18" t="s">
        <v>5125</v>
      </c>
      <c r="C2107" s="18" t="s">
        <v>5608</v>
      </c>
      <c r="D2107" s="18" t="s">
        <v>5631</v>
      </c>
      <c r="E2107" s="18" t="s">
        <v>5634</v>
      </c>
    </row>
    <row r="2108" spans="1:5" ht="24" customHeight="1" x14ac:dyDescent="0.25">
      <c r="A2108" s="16">
        <v>2125</v>
      </c>
      <c r="B2108" s="18" t="s">
        <v>5125</v>
      </c>
      <c r="C2108" s="18" t="s">
        <v>5608</v>
      </c>
      <c r="D2108" s="18" t="s">
        <v>5631</v>
      </c>
      <c r="E2108" s="18" t="s">
        <v>5635</v>
      </c>
    </row>
    <row r="2109" spans="1:5" ht="36" customHeight="1" x14ac:dyDescent="0.25">
      <c r="A2109" s="16">
        <v>2126</v>
      </c>
      <c r="B2109" s="18" t="s">
        <v>5125</v>
      </c>
      <c r="C2109" s="18" t="s">
        <v>5608</v>
      </c>
      <c r="D2109" s="18" t="s">
        <v>5636</v>
      </c>
      <c r="E2109" s="18" t="s">
        <v>5637</v>
      </c>
    </row>
    <row r="2110" spans="1:5" ht="24" customHeight="1" x14ac:dyDescent="0.25">
      <c r="A2110" s="16">
        <v>2127</v>
      </c>
      <c r="B2110" s="18" t="s">
        <v>5125</v>
      </c>
      <c r="C2110" s="18" t="s">
        <v>5608</v>
      </c>
      <c r="D2110" s="18" t="s">
        <v>5636</v>
      </c>
      <c r="E2110" s="18" t="s">
        <v>5638</v>
      </c>
    </row>
    <row r="2111" spans="1:5" ht="24" customHeight="1" x14ac:dyDescent="0.25">
      <c r="A2111" s="16">
        <v>2128</v>
      </c>
      <c r="B2111" s="18" t="s">
        <v>5125</v>
      </c>
      <c r="C2111" s="18" t="s">
        <v>5608</v>
      </c>
      <c r="D2111" s="18" t="s">
        <v>5636</v>
      </c>
      <c r="E2111" s="18" t="s">
        <v>5639</v>
      </c>
    </row>
    <row r="2112" spans="1:5" ht="24" customHeight="1" x14ac:dyDescent="0.25">
      <c r="A2112" s="16">
        <v>2129</v>
      </c>
      <c r="B2112" s="18" t="s">
        <v>5125</v>
      </c>
      <c r="C2112" s="18" t="s">
        <v>5608</v>
      </c>
      <c r="D2112" s="18" t="s">
        <v>5636</v>
      </c>
      <c r="E2112" s="18" t="s">
        <v>5640</v>
      </c>
    </row>
    <row r="2113" spans="1:5" ht="24" customHeight="1" x14ac:dyDescent="0.25">
      <c r="A2113" s="16">
        <v>2130</v>
      </c>
      <c r="B2113" s="18" t="s">
        <v>5125</v>
      </c>
      <c r="C2113" s="18" t="s">
        <v>5608</v>
      </c>
      <c r="D2113" s="18" t="s">
        <v>5636</v>
      </c>
      <c r="E2113" s="18" t="s">
        <v>5641</v>
      </c>
    </row>
    <row r="2114" spans="1:5" ht="24" customHeight="1" x14ac:dyDescent="0.25">
      <c r="A2114" s="16">
        <v>2131</v>
      </c>
      <c r="B2114" s="18" t="s">
        <v>5125</v>
      </c>
      <c r="C2114" s="18" t="s">
        <v>5608</v>
      </c>
      <c r="D2114" s="18" t="s">
        <v>5636</v>
      </c>
      <c r="E2114" s="18" t="s">
        <v>5642</v>
      </c>
    </row>
    <row r="2115" spans="1:5" ht="24" customHeight="1" x14ac:dyDescent="0.25">
      <c r="A2115" s="16">
        <v>2132</v>
      </c>
      <c r="B2115" s="18" t="s">
        <v>5125</v>
      </c>
      <c r="C2115" s="18" t="s">
        <v>5608</v>
      </c>
      <c r="D2115" s="18" t="s">
        <v>5636</v>
      </c>
      <c r="E2115" s="18" t="s">
        <v>5643</v>
      </c>
    </row>
    <row r="2116" spans="1:5" ht="24" customHeight="1" x14ac:dyDescent="0.25">
      <c r="A2116" s="16">
        <v>2133</v>
      </c>
      <c r="B2116" s="18" t="s">
        <v>5125</v>
      </c>
      <c r="C2116" s="18" t="s">
        <v>5608</v>
      </c>
      <c r="D2116" s="18" t="s">
        <v>5636</v>
      </c>
      <c r="E2116" s="18" t="s">
        <v>5644</v>
      </c>
    </row>
    <row r="2117" spans="1:5" ht="24" customHeight="1" x14ac:dyDescent="0.25">
      <c r="A2117" s="16">
        <v>2134</v>
      </c>
      <c r="B2117" s="18" t="s">
        <v>5125</v>
      </c>
      <c r="C2117" s="18" t="s">
        <v>5608</v>
      </c>
      <c r="D2117" s="18" t="s">
        <v>5636</v>
      </c>
      <c r="E2117" s="18" t="s">
        <v>5645</v>
      </c>
    </row>
    <row r="2118" spans="1:5" ht="24" customHeight="1" x14ac:dyDescent="0.25">
      <c r="A2118" s="16">
        <v>2135</v>
      </c>
      <c r="B2118" s="18" t="s">
        <v>5125</v>
      </c>
      <c r="C2118" s="18" t="s">
        <v>5608</v>
      </c>
      <c r="D2118" s="18" t="s">
        <v>5636</v>
      </c>
      <c r="E2118" s="18" t="s">
        <v>5646</v>
      </c>
    </row>
    <row r="2119" spans="1:5" ht="24" customHeight="1" x14ac:dyDescent="0.25">
      <c r="A2119" s="16">
        <v>2136</v>
      </c>
      <c r="B2119" s="18" t="s">
        <v>5125</v>
      </c>
      <c r="C2119" s="18" t="s">
        <v>5608</v>
      </c>
      <c r="D2119" s="18" t="s">
        <v>5636</v>
      </c>
      <c r="E2119" s="18" t="s">
        <v>5647</v>
      </c>
    </row>
    <row r="2120" spans="1:5" ht="36" customHeight="1" x14ac:dyDescent="0.25">
      <c r="A2120" s="16">
        <v>2137</v>
      </c>
      <c r="B2120" s="18" t="s">
        <v>5125</v>
      </c>
      <c r="C2120" s="18" t="s">
        <v>5608</v>
      </c>
      <c r="D2120" s="18" t="s">
        <v>5636</v>
      </c>
      <c r="E2120" s="18" t="s">
        <v>5648</v>
      </c>
    </row>
    <row r="2121" spans="1:5" ht="24" customHeight="1" x14ac:dyDescent="0.25">
      <c r="A2121" s="16">
        <v>2138</v>
      </c>
      <c r="B2121" s="18" t="s">
        <v>5125</v>
      </c>
      <c r="C2121" s="18" t="s">
        <v>5608</v>
      </c>
      <c r="D2121" s="18" t="s">
        <v>5636</v>
      </c>
      <c r="E2121" s="18" t="s">
        <v>5649</v>
      </c>
    </row>
    <row r="2122" spans="1:5" ht="24" customHeight="1" x14ac:dyDescent="0.25">
      <c r="A2122" s="16">
        <v>2139</v>
      </c>
      <c r="B2122" s="18" t="s">
        <v>5125</v>
      </c>
      <c r="C2122" s="18" t="s">
        <v>5608</v>
      </c>
      <c r="D2122" s="18" t="s">
        <v>5636</v>
      </c>
      <c r="E2122" s="18" t="s">
        <v>5650</v>
      </c>
    </row>
    <row r="2123" spans="1:5" ht="24" customHeight="1" x14ac:dyDescent="0.25">
      <c r="A2123" s="16">
        <v>2140</v>
      </c>
      <c r="B2123" s="18" t="s">
        <v>5125</v>
      </c>
      <c r="C2123" s="18" t="s">
        <v>5608</v>
      </c>
      <c r="D2123" s="18" t="s">
        <v>5636</v>
      </c>
      <c r="E2123" s="18" t="s">
        <v>5651</v>
      </c>
    </row>
    <row r="2124" spans="1:5" ht="24" customHeight="1" x14ac:dyDescent="0.25">
      <c r="A2124" s="16">
        <v>2141</v>
      </c>
      <c r="B2124" s="18" t="s">
        <v>5125</v>
      </c>
      <c r="C2124" s="18" t="s">
        <v>5608</v>
      </c>
      <c r="D2124" s="18" t="s">
        <v>5636</v>
      </c>
      <c r="E2124" s="18" t="s">
        <v>5652</v>
      </c>
    </row>
    <row r="2125" spans="1:5" ht="24" customHeight="1" x14ac:dyDescent="0.25">
      <c r="A2125" s="16">
        <v>2142</v>
      </c>
      <c r="B2125" s="18" t="s">
        <v>5125</v>
      </c>
      <c r="C2125" s="18" t="s">
        <v>5608</v>
      </c>
      <c r="D2125" s="18" t="s">
        <v>5636</v>
      </c>
      <c r="E2125" s="18" t="s">
        <v>5653</v>
      </c>
    </row>
    <row r="2126" spans="1:5" ht="24" customHeight="1" x14ac:dyDescent="0.25">
      <c r="A2126" s="16">
        <v>2143</v>
      </c>
      <c r="B2126" s="18" t="s">
        <v>5125</v>
      </c>
      <c r="C2126" s="18" t="s">
        <v>5608</v>
      </c>
      <c r="D2126" s="18" t="s">
        <v>5636</v>
      </c>
      <c r="E2126" s="18" t="s">
        <v>5654</v>
      </c>
    </row>
    <row r="2127" spans="1:5" ht="24" customHeight="1" x14ac:dyDescent="0.25">
      <c r="A2127" s="16">
        <v>2144</v>
      </c>
      <c r="B2127" s="18" t="s">
        <v>5125</v>
      </c>
      <c r="C2127" s="18" t="s">
        <v>5608</v>
      </c>
      <c r="D2127" s="18" t="s">
        <v>5636</v>
      </c>
      <c r="E2127" s="18" t="s">
        <v>5655</v>
      </c>
    </row>
    <row r="2128" spans="1:5" ht="24" customHeight="1" x14ac:dyDescent="0.25">
      <c r="A2128" s="16">
        <v>2145</v>
      </c>
      <c r="B2128" s="18" t="s">
        <v>5125</v>
      </c>
      <c r="C2128" s="18" t="s">
        <v>5608</v>
      </c>
      <c r="D2128" s="18" t="s">
        <v>5636</v>
      </c>
      <c r="E2128" s="18" t="s">
        <v>5656</v>
      </c>
    </row>
    <row r="2129" spans="1:5" ht="24" customHeight="1" x14ac:dyDescent="0.25">
      <c r="A2129" s="16">
        <v>2146</v>
      </c>
      <c r="B2129" s="18" t="s">
        <v>5125</v>
      </c>
      <c r="C2129" s="18" t="s">
        <v>5608</v>
      </c>
      <c r="D2129" s="18" t="s">
        <v>5636</v>
      </c>
      <c r="E2129" s="18" t="s">
        <v>5657</v>
      </c>
    </row>
    <row r="2130" spans="1:5" ht="24" customHeight="1" x14ac:dyDescent="0.25">
      <c r="A2130" s="16">
        <v>2147</v>
      </c>
      <c r="B2130" s="18" t="s">
        <v>5125</v>
      </c>
      <c r="C2130" s="18" t="s">
        <v>5608</v>
      </c>
      <c r="D2130" s="18" t="s">
        <v>5658</v>
      </c>
      <c r="E2130" s="18" t="s">
        <v>5659</v>
      </c>
    </row>
    <row r="2131" spans="1:5" ht="24" customHeight="1" x14ac:dyDescent="0.25">
      <c r="A2131" s="16">
        <v>2148</v>
      </c>
      <c r="B2131" s="18" t="s">
        <v>5125</v>
      </c>
      <c r="C2131" s="18" t="s">
        <v>5608</v>
      </c>
      <c r="D2131" s="18" t="s">
        <v>5658</v>
      </c>
      <c r="E2131" s="18" t="s">
        <v>5660</v>
      </c>
    </row>
    <row r="2132" spans="1:5" ht="24" customHeight="1" x14ac:dyDescent="0.25">
      <c r="A2132" s="16">
        <v>2149</v>
      </c>
      <c r="B2132" s="18" t="s">
        <v>5125</v>
      </c>
      <c r="C2132" s="18" t="s">
        <v>5608</v>
      </c>
      <c r="D2132" s="18" t="s">
        <v>5658</v>
      </c>
      <c r="E2132" s="18" t="s">
        <v>5661</v>
      </c>
    </row>
    <row r="2133" spans="1:5" ht="24" customHeight="1" x14ac:dyDescent="0.25">
      <c r="A2133" s="16">
        <v>2150</v>
      </c>
      <c r="B2133" s="18" t="s">
        <v>5125</v>
      </c>
      <c r="C2133" s="18" t="s">
        <v>5608</v>
      </c>
      <c r="D2133" s="18" t="s">
        <v>5658</v>
      </c>
      <c r="E2133" s="18" t="s">
        <v>5662</v>
      </c>
    </row>
    <row r="2134" spans="1:5" ht="24" customHeight="1" x14ac:dyDescent="0.25">
      <c r="A2134" s="16">
        <v>2151</v>
      </c>
      <c r="B2134" s="18" t="s">
        <v>5125</v>
      </c>
      <c r="C2134" s="18" t="s">
        <v>5608</v>
      </c>
      <c r="D2134" s="18" t="s">
        <v>5658</v>
      </c>
      <c r="E2134" s="18" t="s">
        <v>5663</v>
      </c>
    </row>
    <row r="2135" spans="1:5" ht="24" customHeight="1" x14ac:dyDescent="0.25">
      <c r="A2135" s="16">
        <v>2152</v>
      </c>
      <c r="B2135" s="18" t="s">
        <v>5125</v>
      </c>
      <c r="C2135" s="18" t="s">
        <v>5608</v>
      </c>
      <c r="D2135" s="18" t="s">
        <v>5658</v>
      </c>
      <c r="E2135" s="18" t="s">
        <v>5664</v>
      </c>
    </row>
    <row r="2136" spans="1:5" ht="24" customHeight="1" x14ac:dyDescent="0.25">
      <c r="A2136" s="16">
        <v>2153</v>
      </c>
      <c r="B2136" s="18" t="s">
        <v>5125</v>
      </c>
      <c r="C2136" s="18" t="s">
        <v>5608</v>
      </c>
      <c r="D2136" s="18" t="s">
        <v>5658</v>
      </c>
      <c r="E2136" s="18" t="s">
        <v>5665</v>
      </c>
    </row>
    <row r="2137" spans="1:5" ht="24" customHeight="1" x14ac:dyDescent="0.25">
      <c r="A2137" s="16">
        <v>2154</v>
      </c>
      <c r="B2137" s="18" t="s">
        <v>5125</v>
      </c>
      <c r="C2137" s="18" t="s">
        <v>5608</v>
      </c>
      <c r="D2137" s="18" t="s">
        <v>5658</v>
      </c>
      <c r="E2137" s="18" t="s">
        <v>5666</v>
      </c>
    </row>
    <row r="2138" spans="1:5" ht="24" customHeight="1" x14ac:dyDescent="0.25">
      <c r="A2138" s="16">
        <v>2155</v>
      </c>
      <c r="B2138" s="18" t="s">
        <v>5125</v>
      </c>
      <c r="C2138" s="18" t="s">
        <v>5608</v>
      </c>
      <c r="D2138" s="18" t="s">
        <v>5658</v>
      </c>
      <c r="E2138" s="18" t="s">
        <v>5667</v>
      </c>
    </row>
    <row r="2139" spans="1:5" ht="24" customHeight="1" x14ac:dyDescent="0.25">
      <c r="A2139" s="16">
        <v>2156</v>
      </c>
      <c r="B2139" s="18" t="s">
        <v>5125</v>
      </c>
      <c r="C2139" s="18" t="s">
        <v>5608</v>
      </c>
      <c r="D2139" s="18" t="s">
        <v>5658</v>
      </c>
      <c r="E2139" s="18" t="s">
        <v>5668</v>
      </c>
    </row>
    <row r="2140" spans="1:5" ht="24" customHeight="1" x14ac:dyDescent="0.25">
      <c r="A2140" s="16">
        <v>2157</v>
      </c>
      <c r="B2140" s="18" t="s">
        <v>5125</v>
      </c>
      <c r="C2140" s="18" t="s">
        <v>5608</v>
      </c>
      <c r="D2140" s="18" t="s">
        <v>5669</v>
      </c>
      <c r="E2140" s="18" t="s">
        <v>5670</v>
      </c>
    </row>
    <row r="2141" spans="1:5" ht="24" customHeight="1" x14ac:dyDescent="0.25">
      <c r="A2141" s="16">
        <v>2158</v>
      </c>
      <c r="B2141" s="18" t="s">
        <v>5125</v>
      </c>
      <c r="C2141" s="18" t="s">
        <v>5608</v>
      </c>
      <c r="D2141" s="18" t="s">
        <v>5669</v>
      </c>
      <c r="E2141" s="18" t="s">
        <v>5671</v>
      </c>
    </row>
    <row r="2142" spans="1:5" ht="24" customHeight="1" x14ac:dyDescent="0.25">
      <c r="A2142" s="16">
        <v>2159</v>
      </c>
      <c r="B2142" s="18" t="s">
        <v>5125</v>
      </c>
      <c r="C2142" s="18" t="s">
        <v>5608</v>
      </c>
      <c r="D2142" s="18" t="s">
        <v>5669</v>
      </c>
      <c r="E2142" s="18" t="s">
        <v>5672</v>
      </c>
    </row>
    <row r="2143" spans="1:5" ht="24" customHeight="1" x14ac:dyDescent="0.25">
      <c r="A2143" s="16">
        <v>2160</v>
      </c>
      <c r="B2143" s="18" t="s">
        <v>5125</v>
      </c>
      <c r="C2143" s="18" t="s">
        <v>5608</v>
      </c>
      <c r="D2143" s="18" t="s">
        <v>5669</v>
      </c>
      <c r="E2143" s="18" t="s">
        <v>5673</v>
      </c>
    </row>
    <row r="2144" spans="1:5" ht="24" customHeight="1" x14ac:dyDescent="0.25">
      <c r="A2144" s="16">
        <v>2161</v>
      </c>
      <c r="B2144" s="18" t="s">
        <v>5125</v>
      </c>
      <c r="C2144" s="18" t="s">
        <v>5608</v>
      </c>
      <c r="D2144" s="18" t="s">
        <v>5669</v>
      </c>
      <c r="E2144" s="18" t="s">
        <v>5674</v>
      </c>
    </row>
    <row r="2145" spans="1:5" ht="24" customHeight="1" x14ac:dyDescent="0.25">
      <c r="A2145" s="16">
        <v>2162</v>
      </c>
      <c r="B2145" s="18" t="s">
        <v>5125</v>
      </c>
      <c r="C2145" s="18" t="s">
        <v>5608</v>
      </c>
      <c r="D2145" s="18" t="s">
        <v>5669</v>
      </c>
      <c r="E2145" s="18" t="s">
        <v>5675</v>
      </c>
    </row>
    <row r="2146" spans="1:5" ht="36" customHeight="1" x14ac:dyDescent="0.25">
      <c r="A2146" s="16">
        <v>2163</v>
      </c>
      <c r="B2146" s="18" t="s">
        <v>5125</v>
      </c>
      <c r="C2146" s="18" t="s">
        <v>5608</v>
      </c>
      <c r="D2146" s="18" t="s">
        <v>5669</v>
      </c>
      <c r="E2146" s="18" t="s">
        <v>5676</v>
      </c>
    </row>
    <row r="2147" spans="1:5" ht="24" customHeight="1" x14ac:dyDescent="0.25">
      <c r="A2147" s="16">
        <v>2164</v>
      </c>
      <c r="B2147" s="18" t="s">
        <v>5125</v>
      </c>
      <c r="C2147" s="18" t="s">
        <v>5608</v>
      </c>
      <c r="D2147" s="18" t="s">
        <v>5669</v>
      </c>
      <c r="E2147" s="18" t="s">
        <v>5677</v>
      </c>
    </row>
    <row r="2148" spans="1:5" ht="24" customHeight="1" x14ac:dyDescent="0.25">
      <c r="A2148" s="16">
        <v>2165</v>
      </c>
      <c r="B2148" s="18" t="s">
        <v>5125</v>
      </c>
      <c r="C2148" s="18" t="s">
        <v>5608</v>
      </c>
      <c r="D2148" s="18" t="s">
        <v>5669</v>
      </c>
      <c r="E2148" s="18" t="s">
        <v>5678</v>
      </c>
    </row>
    <row r="2149" spans="1:5" ht="24" customHeight="1" x14ac:dyDescent="0.25">
      <c r="A2149" s="16">
        <v>2166</v>
      </c>
      <c r="B2149" s="18" t="s">
        <v>5125</v>
      </c>
      <c r="C2149" s="18" t="s">
        <v>5608</v>
      </c>
      <c r="D2149" s="18" t="s">
        <v>5669</v>
      </c>
      <c r="E2149" s="18" t="s">
        <v>5679</v>
      </c>
    </row>
    <row r="2150" spans="1:5" ht="24" customHeight="1" x14ac:dyDescent="0.25">
      <c r="A2150" s="16">
        <v>2167</v>
      </c>
      <c r="B2150" s="18" t="s">
        <v>5125</v>
      </c>
      <c r="C2150" s="18" t="s">
        <v>5608</v>
      </c>
      <c r="D2150" s="18" t="s">
        <v>5669</v>
      </c>
      <c r="E2150" s="18" t="s">
        <v>5680</v>
      </c>
    </row>
    <row r="2151" spans="1:5" ht="24" customHeight="1" x14ac:dyDescent="0.25">
      <c r="A2151" s="16">
        <v>2168</v>
      </c>
      <c r="B2151" s="18" t="s">
        <v>5125</v>
      </c>
      <c r="C2151" s="18" t="s">
        <v>5608</v>
      </c>
      <c r="D2151" s="18" t="s">
        <v>5669</v>
      </c>
      <c r="E2151" s="18" t="s">
        <v>5681</v>
      </c>
    </row>
    <row r="2152" spans="1:5" ht="24" customHeight="1" x14ac:dyDescent="0.25">
      <c r="A2152" s="16">
        <v>2169</v>
      </c>
      <c r="B2152" s="18" t="s">
        <v>5125</v>
      </c>
      <c r="C2152" s="18" t="s">
        <v>5608</v>
      </c>
      <c r="D2152" s="18" t="s">
        <v>5669</v>
      </c>
      <c r="E2152" s="18" t="s">
        <v>5682</v>
      </c>
    </row>
    <row r="2153" spans="1:5" ht="24" customHeight="1" x14ac:dyDescent="0.25">
      <c r="A2153" s="16">
        <v>2170</v>
      </c>
      <c r="B2153" s="18" t="s">
        <v>5125</v>
      </c>
      <c r="C2153" s="18" t="s">
        <v>5608</v>
      </c>
      <c r="D2153" s="18" t="s">
        <v>5669</v>
      </c>
      <c r="E2153" s="18" t="s">
        <v>5683</v>
      </c>
    </row>
    <row r="2154" spans="1:5" ht="24" customHeight="1" x14ac:dyDescent="0.25">
      <c r="A2154" s="16">
        <v>2171</v>
      </c>
      <c r="B2154" s="18" t="s">
        <v>5125</v>
      </c>
      <c r="C2154" s="18" t="s">
        <v>5608</v>
      </c>
      <c r="D2154" s="18" t="s">
        <v>5669</v>
      </c>
      <c r="E2154" s="18" t="s">
        <v>5684</v>
      </c>
    </row>
    <row r="2155" spans="1:5" ht="24" customHeight="1" x14ac:dyDescent="0.25">
      <c r="A2155" s="16">
        <v>2172</v>
      </c>
      <c r="B2155" s="18" t="s">
        <v>5125</v>
      </c>
      <c r="C2155" s="18" t="s">
        <v>5608</v>
      </c>
      <c r="D2155" s="18" t="s">
        <v>5669</v>
      </c>
      <c r="E2155" s="18" t="s">
        <v>5685</v>
      </c>
    </row>
    <row r="2156" spans="1:5" ht="36" customHeight="1" x14ac:dyDescent="0.25">
      <c r="A2156" s="16">
        <v>2173</v>
      </c>
      <c r="B2156" s="18" t="s">
        <v>5125</v>
      </c>
      <c r="C2156" s="18" t="s">
        <v>5608</v>
      </c>
      <c r="D2156" s="18" t="s">
        <v>5608</v>
      </c>
      <c r="E2156" s="18" t="s">
        <v>5686</v>
      </c>
    </row>
    <row r="2157" spans="1:5" ht="24" customHeight="1" x14ac:dyDescent="0.25">
      <c r="A2157" s="16">
        <v>2174</v>
      </c>
      <c r="B2157" s="18" t="s">
        <v>5125</v>
      </c>
      <c r="C2157" s="18" t="s">
        <v>5608</v>
      </c>
      <c r="D2157" s="18" t="s">
        <v>5608</v>
      </c>
      <c r="E2157" s="18" t="s">
        <v>5687</v>
      </c>
    </row>
    <row r="2158" spans="1:5" ht="24" customHeight="1" x14ac:dyDescent="0.25">
      <c r="A2158" s="16">
        <v>2175</v>
      </c>
      <c r="B2158" s="18" t="s">
        <v>5125</v>
      </c>
      <c r="C2158" s="18" t="s">
        <v>5608</v>
      </c>
      <c r="D2158" s="18" t="s">
        <v>5608</v>
      </c>
      <c r="E2158" s="18" t="s">
        <v>5688</v>
      </c>
    </row>
    <row r="2159" spans="1:5" ht="24" customHeight="1" x14ac:dyDescent="0.25">
      <c r="A2159" s="16">
        <v>2176</v>
      </c>
      <c r="B2159" s="18" t="s">
        <v>5125</v>
      </c>
      <c r="C2159" s="18" t="s">
        <v>5608</v>
      </c>
      <c r="D2159" s="18" t="s">
        <v>5608</v>
      </c>
      <c r="E2159" s="18" t="s">
        <v>5689</v>
      </c>
    </row>
    <row r="2160" spans="1:5" ht="24" customHeight="1" x14ac:dyDescent="0.25">
      <c r="A2160" s="16">
        <v>2177</v>
      </c>
      <c r="B2160" s="18" t="s">
        <v>5125</v>
      </c>
      <c r="C2160" s="18" t="s">
        <v>5608</v>
      </c>
      <c r="D2160" s="18" t="s">
        <v>5608</v>
      </c>
      <c r="E2160" s="18" t="s">
        <v>5690</v>
      </c>
    </row>
    <row r="2161" spans="1:5" ht="24" customHeight="1" x14ac:dyDescent="0.25">
      <c r="A2161" s="16">
        <v>2178</v>
      </c>
      <c r="B2161" s="18" t="s">
        <v>5125</v>
      </c>
      <c r="C2161" s="18" t="s">
        <v>5608</v>
      </c>
      <c r="D2161" s="18" t="s">
        <v>5608</v>
      </c>
      <c r="E2161" s="18" t="s">
        <v>5691</v>
      </c>
    </row>
    <row r="2162" spans="1:5" ht="24" customHeight="1" x14ac:dyDescent="0.25">
      <c r="A2162" s="16">
        <v>2179</v>
      </c>
      <c r="B2162" s="18" t="s">
        <v>5125</v>
      </c>
      <c r="C2162" s="18" t="s">
        <v>5608</v>
      </c>
      <c r="D2162" s="18" t="s">
        <v>5608</v>
      </c>
      <c r="E2162" s="18" t="s">
        <v>5692</v>
      </c>
    </row>
    <row r="2163" spans="1:5" ht="24" customHeight="1" x14ac:dyDescent="0.25">
      <c r="A2163" s="16">
        <v>2180</v>
      </c>
      <c r="B2163" s="18" t="s">
        <v>5125</v>
      </c>
      <c r="C2163" s="18" t="s">
        <v>5608</v>
      </c>
      <c r="D2163" s="18" t="s">
        <v>5608</v>
      </c>
      <c r="E2163" s="18" t="s">
        <v>5693</v>
      </c>
    </row>
    <row r="2164" spans="1:5" ht="24" customHeight="1" x14ac:dyDescent="0.25">
      <c r="A2164" s="16">
        <v>2181</v>
      </c>
      <c r="B2164" s="18" t="s">
        <v>5125</v>
      </c>
      <c r="C2164" s="18" t="s">
        <v>5608</v>
      </c>
      <c r="D2164" s="18" t="s">
        <v>5608</v>
      </c>
      <c r="E2164" s="18" t="s">
        <v>5694</v>
      </c>
    </row>
    <row r="2165" spans="1:5" ht="24" customHeight="1" x14ac:dyDescent="0.25">
      <c r="A2165" s="16">
        <v>2182</v>
      </c>
      <c r="B2165" s="18" t="s">
        <v>5125</v>
      </c>
      <c r="C2165" s="18" t="s">
        <v>5608</v>
      </c>
      <c r="D2165" s="18" t="s">
        <v>5608</v>
      </c>
      <c r="E2165" s="18" t="s">
        <v>5695</v>
      </c>
    </row>
    <row r="2166" spans="1:5" ht="24" customHeight="1" x14ac:dyDescent="0.25">
      <c r="A2166" s="16">
        <v>2183</v>
      </c>
      <c r="B2166" s="18" t="s">
        <v>5125</v>
      </c>
      <c r="C2166" s="18" t="s">
        <v>5608</v>
      </c>
      <c r="D2166" s="18" t="s">
        <v>5608</v>
      </c>
      <c r="E2166" s="18" t="s">
        <v>5696</v>
      </c>
    </row>
    <row r="2167" spans="1:5" ht="24" customHeight="1" x14ac:dyDescent="0.25">
      <c r="A2167" s="16">
        <v>2184</v>
      </c>
      <c r="B2167" s="18" t="s">
        <v>5125</v>
      </c>
      <c r="C2167" s="18" t="s">
        <v>5608</v>
      </c>
      <c r="D2167" s="18" t="s">
        <v>5608</v>
      </c>
      <c r="E2167" s="18" t="s">
        <v>5697</v>
      </c>
    </row>
    <row r="2168" spans="1:5" ht="24" customHeight="1" x14ac:dyDescent="0.25">
      <c r="A2168" s="16">
        <v>2185</v>
      </c>
      <c r="B2168" s="18" t="s">
        <v>5125</v>
      </c>
      <c r="C2168" s="18" t="s">
        <v>5608</v>
      </c>
      <c r="D2168" s="18" t="s">
        <v>5608</v>
      </c>
      <c r="E2168" s="18" t="s">
        <v>5698</v>
      </c>
    </row>
    <row r="2169" spans="1:5" ht="24" customHeight="1" x14ac:dyDescent="0.25">
      <c r="A2169" s="16">
        <v>2186</v>
      </c>
      <c r="B2169" s="18" t="s">
        <v>5125</v>
      </c>
      <c r="C2169" s="18" t="s">
        <v>5608</v>
      </c>
      <c r="D2169" s="18" t="s">
        <v>5608</v>
      </c>
      <c r="E2169" s="18" t="s">
        <v>5699</v>
      </c>
    </row>
    <row r="2170" spans="1:5" ht="24" customHeight="1" x14ac:dyDescent="0.25">
      <c r="A2170" s="16">
        <v>2187</v>
      </c>
      <c r="B2170" s="18" t="s">
        <v>5125</v>
      </c>
      <c r="C2170" s="18" t="s">
        <v>5608</v>
      </c>
      <c r="D2170" s="18" t="s">
        <v>5608</v>
      </c>
      <c r="E2170" s="18" t="s">
        <v>5700</v>
      </c>
    </row>
    <row r="2171" spans="1:5" ht="36" customHeight="1" x14ac:dyDescent="0.25">
      <c r="A2171" s="16">
        <v>2188</v>
      </c>
      <c r="B2171" s="18" t="s">
        <v>5125</v>
      </c>
      <c r="C2171" s="18" t="s">
        <v>5608</v>
      </c>
      <c r="D2171" s="18" t="s">
        <v>5608</v>
      </c>
      <c r="E2171" s="18" t="s">
        <v>5701</v>
      </c>
    </row>
    <row r="2172" spans="1:5" ht="36" customHeight="1" x14ac:dyDescent="0.25">
      <c r="A2172" s="16">
        <v>2189</v>
      </c>
      <c r="B2172" s="18" t="s">
        <v>5125</v>
      </c>
      <c r="C2172" s="18" t="s">
        <v>5608</v>
      </c>
      <c r="D2172" s="18" t="s">
        <v>5608</v>
      </c>
      <c r="E2172" s="18" t="s">
        <v>5702</v>
      </c>
    </row>
    <row r="2173" spans="1:5" ht="24" customHeight="1" x14ac:dyDescent="0.25">
      <c r="A2173" s="16">
        <v>2190</v>
      </c>
      <c r="B2173" s="18" t="s">
        <v>5125</v>
      </c>
      <c r="C2173" s="18" t="s">
        <v>5608</v>
      </c>
      <c r="D2173" s="18" t="s">
        <v>5608</v>
      </c>
      <c r="E2173" s="18" t="s">
        <v>5703</v>
      </c>
    </row>
    <row r="2174" spans="1:5" ht="24" customHeight="1" x14ac:dyDescent="0.25">
      <c r="A2174" s="16">
        <v>2191</v>
      </c>
      <c r="B2174" s="18" t="s">
        <v>5125</v>
      </c>
      <c r="C2174" s="18" t="s">
        <v>5608</v>
      </c>
      <c r="D2174" s="18" t="s">
        <v>5608</v>
      </c>
      <c r="E2174" s="18" t="s">
        <v>5704</v>
      </c>
    </row>
    <row r="2175" spans="1:5" x14ac:dyDescent="0.25">
      <c r="A2175" s="16">
        <v>2198</v>
      </c>
      <c r="B2175" s="18" t="s">
        <v>5705</v>
      </c>
      <c r="C2175" s="18" t="s">
        <v>5706</v>
      </c>
      <c r="D2175" s="18" t="s">
        <v>5707</v>
      </c>
      <c r="E2175" s="18" t="s">
        <v>5708</v>
      </c>
    </row>
    <row r="2176" spans="1:5" x14ac:dyDescent="0.25">
      <c r="A2176" s="16">
        <v>2199</v>
      </c>
      <c r="B2176" s="18" t="s">
        <v>5705</v>
      </c>
      <c r="C2176" s="18" t="s">
        <v>5706</v>
      </c>
      <c r="D2176" s="18" t="s">
        <v>5707</v>
      </c>
      <c r="E2176" s="18" t="s">
        <v>5709</v>
      </c>
    </row>
    <row r="2177" spans="1:5" x14ac:dyDescent="0.25">
      <c r="A2177" s="16">
        <v>2200</v>
      </c>
      <c r="B2177" s="18" t="s">
        <v>5705</v>
      </c>
      <c r="C2177" s="18" t="s">
        <v>5706</v>
      </c>
      <c r="D2177" s="18" t="s">
        <v>5707</v>
      </c>
      <c r="E2177" s="18" t="s">
        <v>5710</v>
      </c>
    </row>
    <row r="2178" spans="1:5" x14ac:dyDescent="0.25">
      <c r="A2178" s="16">
        <v>2201</v>
      </c>
      <c r="B2178" s="18" t="s">
        <v>5705</v>
      </c>
      <c r="C2178" s="18" t="s">
        <v>5706</v>
      </c>
      <c r="D2178" s="18" t="s">
        <v>5707</v>
      </c>
      <c r="E2178" s="18" t="s">
        <v>5711</v>
      </c>
    </row>
    <row r="2179" spans="1:5" x14ac:dyDescent="0.25">
      <c r="A2179" s="16">
        <v>2202</v>
      </c>
      <c r="B2179" s="18" t="s">
        <v>5705</v>
      </c>
      <c r="C2179" s="18" t="s">
        <v>5706</v>
      </c>
      <c r="D2179" s="18" t="s">
        <v>5712</v>
      </c>
      <c r="E2179" s="18" t="s">
        <v>5713</v>
      </c>
    </row>
    <row r="2180" spans="1:5" x14ac:dyDescent="0.25">
      <c r="A2180" s="16">
        <v>2203</v>
      </c>
      <c r="B2180" s="18" t="s">
        <v>5705</v>
      </c>
      <c r="C2180" s="18" t="s">
        <v>5706</v>
      </c>
      <c r="D2180" s="18" t="s">
        <v>5712</v>
      </c>
      <c r="E2180" s="18" t="s">
        <v>5714</v>
      </c>
    </row>
    <row r="2181" spans="1:5" x14ac:dyDescent="0.25">
      <c r="A2181" s="16">
        <v>2204</v>
      </c>
      <c r="B2181" s="18" t="s">
        <v>5705</v>
      </c>
      <c r="C2181" s="18" t="s">
        <v>5706</v>
      </c>
      <c r="D2181" s="18" t="s">
        <v>5712</v>
      </c>
      <c r="E2181" s="18" t="s">
        <v>5715</v>
      </c>
    </row>
    <row r="2182" spans="1:5" x14ac:dyDescent="0.25">
      <c r="A2182" s="16">
        <v>2205</v>
      </c>
      <c r="B2182" s="18" t="s">
        <v>5705</v>
      </c>
      <c r="C2182" s="18" t="s">
        <v>5706</v>
      </c>
      <c r="D2182" s="18" t="s">
        <v>5712</v>
      </c>
      <c r="E2182" s="18" t="s">
        <v>5716</v>
      </c>
    </row>
    <row r="2183" spans="1:5" x14ac:dyDescent="0.25">
      <c r="A2183" s="16">
        <v>2206</v>
      </c>
      <c r="B2183" s="18" t="s">
        <v>5705</v>
      </c>
      <c r="C2183" s="18" t="s">
        <v>5706</v>
      </c>
      <c r="D2183" s="18" t="s">
        <v>5717</v>
      </c>
      <c r="E2183" s="18" t="s">
        <v>5718</v>
      </c>
    </row>
    <row r="2184" spans="1:5" x14ac:dyDescent="0.25">
      <c r="A2184" s="16">
        <v>2207</v>
      </c>
      <c r="B2184" s="18" t="s">
        <v>5705</v>
      </c>
      <c r="C2184" s="18" t="s">
        <v>5706</v>
      </c>
      <c r="D2184" s="18" t="s">
        <v>5717</v>
      </c>
      <c r="E2184" s="18" t="s">
        <v>5719</v>
      </c>
    </row>
    <row r="2185" spans="1:5" x14ac:dyDescent="0.25">
      <c r="A2185" s="16">
        <v>2208</v>
      </c>
      <c r="B2185" s="18" t="s">
        <v>5705</v>
      </c>
      <c r="C2185" s="18" t="s">
        <v>5706</v>
      </c>
      <c r="D2185" s="18" t="s">
        <v>5717</v>
      </c>
      <c r="E2185" s="18" t="s">
        <v>5720</v>
      </c>
    </row>
    <row r="2186" spans="1:5" x14ac:dyDescent="0.25">
      <c r="A2186" s="16">
        <v>2209</v>
      </c>
      <c r="B2186" s="18" t="s">
        <v>5705</v>
      </c>
      <c r="C2186" s="18" t="s">
        <v>5706</v>
      </c>
      <c r="D2186" s="18" t="s">
        <v>5717</v>
      </c>
      <c r="E2186" s="18" t="s">
        <v>5721</v>
      </c>
    </row>
    <row r="2187" spans="1:5" x14ac:dyDescent="0.25">
      <c r="A2187" s="16">
        <v>2210</v>
      </c>
      <c r="B2187" s="18" t="s">
        <v>5705</v>
      </c>
      <c r="C2187" s="18" t="s">
        <v>5706</v>
      </c>
      <c r="D2187" s="18" t="s">
        <v>5717</v>
      </c>
      <c r="E2187" s="18" t="s">
        <v>5722</v>
      </c>
    </row>
    <row r="2188" spans="1:5" x14ac:dyDescent="0.25">
      <c r="A2188" s="16">
        <v>2211</v>
      </c>
      <c r="B2188" s="18" t="s">
        <v>5705</v>
      </c>
      <c r="C2188" s="18" t="s">
        <v>5706</v>
      </c>
      <c r="D2188" s="18" t="s">
        <v>5717</v>
      </c>
      <c r="E2188" s="18" t="s">
        <v>5723</v>
      </c>
    </row>
    <row r="2189" spans="1:5" ht="24" customHeight="1" x14ac:dyDescent="0.25">
      <c r="A2189" s="16">
        <v>2212</v>
      </c>
      <c r="B2189" s="18" t="s">
        <v>5705</v>
      </c>
      <c r="C2189" s="18" t="s">
        <v>5706</v>
      </c>
      <c r="D2189" s="18" t="s">
        <v>5717</v>
      </c>
      <c r="E2189" s="18" t="s">
        <v>5724</v>
      </c>
    </row>
    <row r="2190" spans="1:5" x14ac:dyDescent="0.25">
      <c r="A2190" s="16">
        <v>2213</v>
      </c>
      <c r="B2190" s="18" t="s">
        <v>5705</v>
      </c>
      <c r="C2190" s="18" t="s">
        <v>5706</v>
      </c>
      <c r="D2190" s="18" t="s">
        <v>5706</v>
      </c>
      <c r="E2190" s="18" t="s">
        <v>5725</v>
      </c>
    </row>
    <row r="2191" spans="1:5" x14ac:dyDescent="0.25">
      <c r="A2191" s="16">
        <v>2214</v>
      </c>
      <c r="B2191" s="18" t="s">
        <v>5705</v>
      </c>
      <c r="C2191" s="18" t="s">
        <v>5706</v>
      </c>
      <c r="D2191" s="18" t="s">
        <v>5706</v>
      </c>
      <c r="E2191" s="18" t="s">
        <v>5726</v>
      </c>
    </row>
    <row r="2192" spans="1:5" x14ac:dyDescent="0.25">
      <c r="A2192" s="16">
        <v>2215</v>
      </c>
      <c r="B2192" s="18" t="s">
        <v>5705</v>
      </c>
      <c r="C2192" s="18" t="s">
        <v>5706</v>
      </c>
      <c r="D2192" s="18" t="s">
        <v>5706</v>
      </c>
      <c r="E2192" s="18" t="s">
        <v>5727</v>
      </c>
    </row>
    <row r="2193" spans="1:5" x14ac:dyDescent="0.25">
      <c r="A2193" s="16">
        <v>2216</v>
      </c>
      <c r="B2193" s="18" t="s">
        <v>5705</v>
      </c>
      <c r="C2193" s="18" t="s">
        <v>5706</v>
      </c>
      <c r="D2193" s="18" t="s">
        <v>5706</v>
      </c>
      <c r="E2193" s="18" t="s">
        <v>5728</v>
      </c>
    </row>
    <row r="2194" spans="1:5" x14ac:dyDescent="0.25">
      <c r="A2194" s="16">
        <v>2217</v>
      </c>
      <c r="B2194" s="18" t="s">
        <v>5705</v>
      </c>
      <c r="C2194" s="18" t="s">
        <v>5706</v>
      </c>
      <c r="D2194" s="18" t="s">
        <v>5729</v>
      </c>
      <c r="E2194" s="18" t="s">
        <v>5730</v>
      </c>
    </row>
    <row r="2195" spans="1:5" x14ac:dyDescent="0.25">
      <c r="A2195" s="16">
        <v>2218</v>
      </c>
      <c r="B2195" s="18" t="s">
        <v>5705</v>
      </c>
      <c r="C2195" s="18" t="s">
        <v>5706</v>
      </c>
      <c r="D2195" s="18" t="s">
        <v>5729</v>
      </c>
      <c r="E2195" s="18" t="s">
        <v>5731</v>
      </c>
    </row>
    <row r="2196" spans="1:5" x14ac:dyDescent="0.25">
      <c r="A2196" s="16">
        <v>2219</v>
      </c>
      <c r="B2196" s="18" t="s">
        <v>5705</v>
      </c>
      <c r="C2196" s="18" t="s">
        <v>5706</v>
      </c>
      <c r="D2196" s="18" t="s">
        <v>5729</v>
      </c>
      <c r="E2196" s="18" t="s">
        <v>5732</v>
      </c>
    </row>
    <row r="2197" spans="1:5" x14ac:dyDescent="0.25">
      <c r="A2197" s="16">
        <v>2220</v>
      </c>
      <c r="B2197" s="18" t="s">
        <v>5705</v>
      </c>
      <c r="C2197" s="18" t="s">
        <v>5706</v>
      </c>
      <c r="D2197" s="18" t="s">
        <v>5729</v>
      </c>
      <c r="E2197" s="18" t="s">
        <v>5733</v>
      </c>
    </row>
    <row r="2198" spans="1:5" x14ac:dyDescent="0.25">
      <c r="A2198" s="16">
        <v>2221</v>
      </c>
      <c r="B2198" s="18" t="s">
        <v>5705</v>
      </c>
      <c r="C2198" s="18" t="s">
        <v>5706</v>
      </c>
      <c r="D2198" s="18" t="s">
        <v>5729</v>
      </c>
      <c r="E2198" s="18" t="s">
        <v>5734</v>
      </c>
    </row>
    <row r="2199" spans="1:5" x14ac:dyDescent="0.25">
      <c r="A2199" s="16">
        <v>2222</v>
      </c>
      <c r="B2199" s="18" t="s">
        <v>5705</v>
      </c>
      <c r="C2199" s="18" t="s">
        <v>5706</v>
      </c>
      <c r="D2199" s="18" t="s">
        <v>5735</v>
      </c>
      <c r="E2199" s="18" t="s">
        <v>5736</v>
      </c>
    </row>
    <row r="2200" spans="1:5" ht="24" customHeight="1" x14ac:dyDescent="0.25">
      <c r="A2200" s="16">
        <v>2223</v>
      </c>
      <c r="B2200" s="18" t="s">
        <v>5705</v>
      </c>
      <c r="C2200" s="18" t="s">
        <v>5706</v>
      </c>
      <c r="D2200" s="18" t="s">
        <v>5735</v>
      </c>
      <c r="E2200" s="18" t="s">
        <v>5737</v>
      </c>
    </row>
    <row r="2201" spans="1:5" x14ac:dyDescent="0.25">
      <c r="A2201" s="16">
        <v>2224</v>
      </c>
      <c r="B2201" s="18" t="s">
        <v>5705</v>
      </c>
      <c r="C2201" s="18" t="s">
        <v>5706</v>
      </c>
      <c r="D2201" s="18" t="s">
        <v>5735</v>
      </c>
      <c r="E2201" s="18" t="s">
        <v>5738</v>
      </c>
    </row>
    <row r="2202" spans="1:5" x14ac:dyDescent="0.25">
      <c r="A2202" s="16">
        <v>2225</v>
      </c>
      <c r="B2202" s="18" t="s">
        <v>5705</v>
      </c>
      <c r="C2202" s="18" t="s">
        <v>5706</v>
      </c>
      <c r="D2202" s="18" t="s">
        <v>5735</v>
      </c>
      <c r="E2202" s="18" t="s">
        <v>5739</v>
      </c>
    </row>
    <row r="2203" spans="1:5" x14ac:dyDescent="0.25">
      <c r="A2203" s="16">
        <v>2226</v>
      </c>
      <c r="B2203" s="18" t="s">
        <v>5705</v>
      </c>
      <c r="C2203" s="18" t="s">
        <v>5706</v>
      </c>
      <c r="D2203" s="18" t="s">
        <v>5735</v>
      </c>
      <c r="E2203" s="18" t="s">
        <v>5740</v>
      </c>
    </row>
    <row r="2204" spans="1:5" ht="24" customHeight="1" x14ac:dyDescent="0.25">
      <c r="A2204" s="16">
        <v>2227</v>
      </c>
      <c r="B2204" s="18" t="s">
        <v>5705</v>
      </c>
      <c r="C2204" s="18" t="s">
        <v>5706</v>
      </c>
      <c r="D2204" s="18" t="s">
        <v>5735</v>
      </c>
      <c r="E2204" s="18" t="s">
        <v>5741</v>
      </c>
    </row>
    <row r="2205" spans="1:5" ht="24" customHeight="1" x14ac:dyDescent="0.25">
      <c r="A2205" s="16">
        <v>2228</v>
      </c>
      <c r="B2205" s="18" t="s">
        <v>5705</v>
      </c>
      <c r="C2205" s="18" t="s">
        <v>5706</v>
      </c>
      <c r="D2205" s="18" t="s">
        <v>5735</v>
      </c>
      <c r="E2205" s="18" t="s">
        <v>5742</v>
      </c>
    </row>
    <row r="2206" spans="1:5" x14ac:dyDescent="0.25">
      <c r="A2206" s="16">
        <v>2229</v>
      </c>
      <c r="B2206" s="18" t="s">
        <v>5705</v>
      </c>
      <c r="C2206" s="18" t="s">
        <v>5706</v>
      </c>
      <c r="D2206" s="18" t="s">
        <v>5735</v>
      </c>
      <c r="E2206" s="18" t="s">
        <v>5743</v>
      </c>
    </row>
    <row r="2207" spans="1:5" ht="36" customHeight="1" x14ac:dyDescent="0.25">
      <c r="A2207" s="16">
        <v>2230</v>
      </c>
      <c r="B2207" s="18" t="s">
        <v>5705</v>
      </c>
      <c r="C2207" s="18" t="s">
        <v>5706</v>
      </c>
      <c r="D2207" s="18" t="s">
        <v>5735</v>
      </c>
      <c r="E2207" s="18" t="s">
        <v>5744</v>
      </c>
    </row>
    <row r="2208" spans="1:5" x14ac:dyDescent="0.25">
      <c r="A2208" s="16">
        <v>2231</v>
      </c>
      <c r="B2208" s="18" t="s">
        <v>5705</v>
      </c>
      <c r="C2208" s="18" t="s">
        <v>5706</v>
      </c>
      <c r="D2208" s="18" t="s">
        <v>5735</v>
      </c>
      <c r="E2208" s="18" t="s">
        <v>5745</v>
      </c>
    </row>
    <row r="2209" spans="1:5" x14ac:dyDescent="0.25">
      <c r="A2209" s="16">
        <v>2232</v>
      </c>
      <c r="B2209" s="18" t="s">
        <v>5705</v>
      </c>
      <c r="C2209" s="18" t="s">
        <v>5706</v>
      </c>
      <c r="D2209" s="18" t="s">
        <v>5735</v>
      </c>
      <c r="E2209" s="18" t="s">
        <v>5746</v>
      </c>
    </row>
    <row r="2210" spans="1:5" x14ac:dyDescent="0.25">
      <c r="A2210" s="16">
        <v>2233</v>
      </c>
      <c r="B2210" s="18" t="s">
        <v>5705</v>
      </c>
      <c r="C2210" s="18" t="s">
        <v>5706</v>
      </c>
      <c r="D2210" s="18" t="s">
        <v>5747</v>
      </c>
      <c r="E2210" s="18" t="s">
        <v>5748</v>
      </c>
    </row>
    <row r="2211" spans="1:5" x14ac:dyDescent="0.25">
      <c r="A2211" s="16">
        <v>2234</v>
      </c>
      <c r="B2211" s="18" t="s">
        <v>5705</v>
      </c>
      <c r="C2211" s="18" t="s">
        <v>5706</v>
      </c>
      <c r="D2211" s="18" t="s">
        <v>5747</v>
      </c>
      <c r="E2211" s="18" t="s">
        <v>5749</v>
      </c>
    </row>
    <row r="2212" spans="1:5" x14ac:dyDescent="0.25">
      <c r="A2212" s="16">
        <v>2235</v>
      </c>
      <c r="B2212" s="18" t="s">
        <v>5705</v>
      </c>
      <c r="C2212" s="18" t="s">
        <v>5706</v>
      </c>
      <c r="D2212" s="18" t="s">
        <v>5747</v>
      </c>
      <c r="E2212" s="18" t="s">
        <v>5750</v>
      </c>
    </row>
    <row r="2213" spans="1:5" x14ac:dyDescent="0.25">
      <c r="A2213" s="16">
        <v>2236</v>
      </c>
      <c r="B2213" s="18" t="s">
        <v>5705</v>
      </c>
      <c r="C2213" s="18" t="s">
        <v>5706</v>
      </c>
      <c r="D2213" s="18" t="s">
        <v>5747</v>
      </c>
      <c r="E2213" s="18" t="s">
        <v>5751</v>
      </c>
    </row>
    <row r="2214" spans="1:5" x14ac:dyDescent="0.25">
      <c r="A2214" s="16">
        <v>2237</v>
      </c>
      <c r="B2214" s="18" t="s">
        <v>5705</v>
      </c>
      <c r="C2214" s="18" t="s">
        <v>5706</v>
      </c>
      <c r="D2214" s="18" t="s">
        <v>5752</v>
      </c>
      <c r="E2214" s="18" t="s">
        <v>5753</v>
      </c>
    </row>
    <row r="2215" spans="1:5" x14ac:dyDescent="0.25">
      <c r="A2215" s="16">
        <v>2238</v>
      </c>
      <c r="B2215" s="18" t="s">
        <v>5705</v>
      </c>
      <c r="C2215" s="18" t="s">
        <v>5706</v>
      </c>
      <c r="D2215" s="18" t="s">
        <v>5752</v>
      </c>
      <c r="E2215" s="18" t="s">
        <v>5754</v>
      </c>
    </row>
    <row r="2216" spans="1:5" x14ac:dyDescent="0.25">
      <c r="A2216" s="16">
        <v>2239</v>
      </c>
      <c r="B2216" s="18" t="s">
        <v>5705</v>
      </c>
      <c r="C2216" s="18" t="s">
        <v>5706</v>
      </c>
      <c r="D2216" s="18" t="s">
        <v>5752</v>
      </c>
      <c r="E2216" s="18" t="s">
        <v>5755</v>
      </c>
    </row>
    <row r="2217" spans="1:5" x14ac:dyDescent="0.25">
      <c r="A2217" s="16">
        <v>2240</v>
      </c>
      <c r="B2217" s="18" t="s">
        <v>5705</v>
      </c>
      <c r="C2217" s="18" t="s">
        <v>5706</v>
      </c>
      <c r="D2217" s="18" t="s">
        <v>5756</v>
      </c>
      <c r="E2217" s="18" t="s">
        <v>5757</v>
      </c>
    </row>
    <row r="2218" spans="1:5" ht="24" customHeight="1" x14ac:dyDescent="0.25">
      <c r="A2218" s="16">
        <v>2241</v>
      </c>
      <c r="B2218" s="18" t="s">
        <v>5705</v>
      </c>
      <c r="C2218" s="18" t="s">
        <v>5706</v>
      </c>
      <c r="D2218" s="18" t="s">
        <v>5756</v>
      </c>
      <c r="E2218" s="18" t="s">
        <v>5758</v>
      </c>
    </row>
    <row r="2219" spans="1:5" x14ac:dyDescent="0.25">
      <c r="A2219" s="16">
        <v>2242</v>
      </c>
      <c r="B2219" s="18" t="s">
        <v>5705</v>
      </c>
      <c r="C2219" s="18" t="s">
        <v>5706</v>
      </c>
      <c r="D2219" s="18" t="s">
        <v>5756</v>
      </c>
      <c r="E2219" s="18" t="s">
        <v>5759</v>
      </c>
    </row>
    <row r="2220" spans="1:5" x14ac:dyDescent="0.25">
      <c r="A2220" s="16">
        <v>2243</v>
      </c>
      <c r="B2220" s="18" t="s">
        <v>5705</v>
      </c>
      <c r="C2220" s="18" t="s">
        <v>5706</v>
      </c>
      <c r="D2220" s="18" t="s">
        <v>5756</v>
      </c>
      <c r="E2220" s="18" t="s">
        <v>5760</v>
      </c>
    </row>
    <row r="2221" spans="1:5" x14ac:dyDescent="0.25">
      <c r="A2221" s="16">
        <v>2244</v>
      </c>
      <c r="B2221" s="18" t="s">
        <v>5705</v>
      </c>
      <c r="C2221" s="18" t="s">
        <v>5706</v>
      </c>
      <c r="D2221" s="18" t="s">
        <v>5756</v>
      </c>
      <c r="E2221" s="18" t="s">
        <v>5761</v>
      </c>
    </row>
    <row r="2222" spans="1:5" ht="24" customHeight="1" x14ac:dyDescent="0.25">
      <c r="A2222" s="16">
        <v>2245</v>
      </c>
      <c r="B2222" s="18" t="s">
        <v>5705</v>
      </c>
      <c r="C2222" s="18" t="s">
        <v>5706</v>
      </c>
      <c r="D2222" s="18" t="s">
        <v>5756</v>
      </c>
      <c r="E2222" s="18" t="s">
        <v>5762</v>
      </c>
    </row>
    <row r="2223" spans="1:5" ht="24" customHeight="1" x14ac:dyDescent="0.25">
      <c r="A2223" s="16">
        <v>2246</v>
      </c>
      <c r="B2223" s="18" t="s">
        <v>5705</v>
      </c>
      <c r="C2223" s="18" t="s">
        <v>5706</v>
      </c>
      <c r="D2223" s="18" t="s">
        <v>5756</v>
      </c>
      <c r="E2223" s="18" t="s">
        <v>5763</v>
      </c>
    </row>
    <row r="2224" spans="1:5" ht="24" customHeight="1" x14ac:dyDescent="0.25">
      <c r="A2224" s="16">
        <v>2247</v>
      </c>
      <c r="B2224" s="18" t="s">
        <v>5705</v>
      </c>
      <c r="C2224" s="18" t="s">
        <v>5764</v>
      </c>
      <c r="D2224" s="18" t="s">
        <v>5765</v>
      </c>
      <c r="E2224" s="18" t="s">
        <v>5766</v>
      </c>
    </row>
    <row r="2225" spans="1:5" ht="24" customHeight="1" x14ac:dyDescent="0.25">
      <c r="A2225" s="16">
        <v>2248</v>
      </c>
      <c r="B2225" s="18" t="s">
        <v>5705</v>
      </c>
      <c r="C2225" s="18" t="s">
        <v>5764</v>
      </c>
      <c r="D2225" s="18" t="s">
        <v>5765</v>
      </c>
      <c r="E2225" s="18" t="s">
        <v>5767</v>
      </c>
    </row>
    <row r="2226" spans="1:5" ht="24" customHeight="1" x14ac:dyDescent="0.25">
      <c r="A2226" s="16">
        <v>2249</v>
      </c>
      <c r="B2226" s="18" t="s">
        <v>5705</v>
      </c>
      <c r="C2226" s="18" t="s">
        <v>5764</v>
      </c>
      <c r="D2226" s="18" t="s">
        <v>5765</v>
      </c>
      <c r="E2226" s="18" t="s">
        <v>5768</v>
      </c>
    </row>
    <row r="2227" spans="1:5" ht="24" customHeight="1" x14ac:dyDescent="0.25">
      <c r="A2227" s="16">
        <v>2250</v>
      </c>
      <c r="B2227" s="18" t="s">
        <v>5705</v>
      </c>
      <c r="C2227" s="18" t="s">
        <v>5764</v>
      </c>
      <c r="D2227" s="18" t="s">
        <v>5765</v>
      </c>
      <c r="E2227" s="18" t="s">
        <v>5769</v>
      </c>
    </row>
    <row r="2228" spans="1:5" ht="24" customHeight="1" x14ac:dyDescent="0.25">
      <c r="A2228" s="16">
        <v>2251</v>
      </c>
      <c r="B2228" s="18" t="s">
        <v>5705</v>
      </c>
      <c r="C2228" s="18" t="s">
        <v>5764</v>
      </c>
      <c r="D2228" s="18" t="s">
        <v>5765</v>
      </c>
      <c r="E2228" s="18" t="s">
        <v>5770</v>
      </c>
    </row>
    <row r="2229" spans="1:5" ht="36" customHeight="1" x14ac:dyDescent="0.25">
      <c r="A2229" s="16">
        <v>2252</v>
      </c>
      <c r="B2229" s="18" t="s">
        <v>5705</v>
      </c>
      <c r="C2229" s="18" t="s">
        <v>5764</v>
      </c>
      <c r="D2229" s="18" t="s">
        <v>5765</v>
      </c>
      <c r="E2229" s="18" t="s">
        <v>5771</v>
      </c>
    </row>
    <row r="2230" spans="1:5" ht="24" customHeight="1" x14ac:dyDescent="0.25">
      <c r="A2230" s="16">
        <v>2253</v>
      </c>
      <c r="B2230" s="18" t="s">
        <v>5705</v>
      </c>
      <c r="C2230" s="18" t="s">
        <v>5764</v>
      </c>
      <c r="D2230" s="18" t="s">
        <v>5765</v>
      </c>
      <c r="E2230" s="18" t="s">
        <v>5772</v>
      </c>
    </row>
    <row r="2231" spans="1:5" ht="24" customHeight="1" x14ac:dyDescent="0.25">
      <c r="A2231" s="16">
        <v>2254</v>
      </c>
      <c r="B2231" s="18" t="s">
        <v>5705</v>
      </c>
      <c r="C2231" s="18" t="s">
        <v>5764</v>
      </c>
      <c r="D2231" s="18" t="s">
        <v>5773</v>
      </c>
      <c r="E2231" s="18" t="s">
        <v>5774</v>
      </c>
    </row>
    <row r="2232" spans="1:5" ht="24" customHeight="1" x14ac:dyDescent="0.25">
      <c r="A2232" s="16">
        <v>2255</v>
      </c>
      <c r="B2232" s="18" t="s">
        <v>5705</v>
      </c>
      <c r="C2232" s="18" t="s">
        <v>5764</v>
      </c>
      <c r="D2232" s="18" t="s">
        <v>5773</v>
      </c>
      <c r="E2232" s="18" t="s">
        <v>5775</v>
      </c>
    </row>
    <row r="2233" spans="1:5" ht="24" customHeight="1" x14ac:dyDescent="0.25">
      <c r="A2233" s="16">
        <v>2256</v>
      </c>
      <c r="B2233" s="18" t="s">
        <v>5705</v>
      </c>
      <c r="C2233" s="18" t="s">
        <v>5764</v>
      </c>
      <c r="D2233" s="18" t="s">
        <v>5773</v>
      </c>
      <c r="E2233" s="18" t="s">
        <v>5776</v>
      </c>
    </row>
    <row r="2234" spans="1:5" ht="24" customHeight="1" x14ac:dyDescent="0.25">
      <c r="A2234" s="16">
        <v>2257</v>
      </c>
      <c r="B2234" s="18" t="s">
        <v>5705</v>
      </c>
      <c r="C2234" s="18" t="s">
        <v>5764</v>
      </c>
      <c r="D2234" s="18" t="s">
        <v>5773</v>
      </c>
      <c r="E2234" s="18" t="s">
        <v>5777</v>
      </c>
    </row>
    <row r="2235" spans="1:5" ht="24" customHeight="1" x14ac:dyDescent="0.25">
      <c r="A2235" s="16">
        <v>2258</v>
      </c>
      <c r="B2235" s="18" t="s">
        <v>5705</v>
      </c>
      <c r="C2235" s="18" t="s">
        <v>5764</v>
      </c>
      <c r="D2235" s="18" t="s">
        <v>5773</v>
      </c>
      <c r="E2235" s="18" t="s">
        <v>5778</v>
      </c>
    </row>
    <row r="2236" spans="1:5" ht="24" customHeight="1" x14ac:dyDescent="0.25">
      <c r="A2236" s="16">
        <v>2259</v>
      </c>
      <c r="B2236" s="18" t="s">
        <v>5705</v>
      </c>
      <c r="C2236" s="18" t="s">
        <v>5764</v>
      </c>
      <c r="D2236" s="18" t="s">
        <v>5773</v>
      </c>
      <c r="E2236" s="18" t="s">
        <v>5779</v>
      </c>
    </row>
    <row r="2237" spans="1:5" ht="24" customHeight="1" x14ac:dyDescent="0.25">
      <c r="A2237" s="16">
        <v>2260</v>
      </c>
      <c r="B2237" s="18" t="s">
        <v>5705</v>
      </c>
      <c r="C2237" s="18" t="s">
        <v>5764</v>
      </c>
      <c r="D2237" s="18" t="s">
        <v>5773</v>
      </c>
      <c r="E2237" s="18" t="s">
        <v>5780</v>
      </c>
    </row>
    <row r="2238" spans="1:5" ht="24" customHeight="1" x14ac:dyDescent="0.25">
      <c r="A2238" s="16">
        <v>2261</v>
      </c>
      <c r="B2238" s="18" t="s">
        <v>5705</v>
      </c>
      <c r="C2238" s="18" t="s">
        <v>5764</v>
      </c>
      <c r="D2238" s="18" t="s">
        <v>5773</v>
      </c>
      <c r="E2238" s="18" t="s">
        <v>5781</v>
      </c>
    </row>
    <row r="2239" spans="1:5" ht="24" customHeight="1" x14ac:dyDescent="0.25">
      <c r="A2239" s="16">
        <v>2262</v>
      </c>
      <c r="B2239" s="18" t="s">
        <v>5705</v>
      </c>
      <c r="C2239" s="18" t="s">
        <v>5764</v>
      </c>
      <c r="D2239" s="18" t="s">
        <v>5782</v>
      </c>
      <c r="E2239" s="18" t="s">
        <v>5783</v>
      </c>
    </row>
    <row r="2240" spans="1:5" ht="24" customHeight="1" x14ac:dyDescent="0.25">
      <c r="A2240" s="16">
        <v>2263</v>
      </c>
      <c r="B2240" s="18" t="s">
        <v>5705</v>
      </c>
      <c r="C2240" s="18" t="s">
        <v>5764</v>
      </c>
      <c r="D2240" s="18" t="s">
        <v>5782</v>
      </c>
      <c r="E2240" s="18" t="s">
        <v>5784</v>
      </c>
    </row>
    <row r="2241" spans="1:5" ht="24" customHeight="1" x14ac:dyDescent="0.25">
      <c r="A2241" s="16">
        <v>2264</v>
      </c>
      <c r="B2241" s="18" t="s">
        <v>5705</v>
      </c>
      <c r="C2241" s="18" t="s">
        <v>5764</v>
      </c>
      <c r="D2241" s="18" t="s">
        <v>5782</v>
      </c>
      <c r="E2241" s="18" t="s">
        <v>5785</v>
      </c>
    </row>
    <row r="2242" spans="1:5" ht="24" customHeight="1" x14ac:dyDescent="0.25">
      <c r="A2242" s="16">
        <v>2265</v>
      </c>
      <c r="B2242" s="18" t="s">
        <v>5705</v>
      </c>
      <c r="C2242" s="18" t="s">
        <v>5764</v>
      </c>
      <c r="D2242" s="18" t="s">
        <v>5782</v>
      </c>
      <c r="E2242" s="18" t="s">
        <v>5786</v>
      </c>
    </row>
    <row r="2243" spans="1:5" ht="24" customHeight="1" x14ac:dyDescent="0.25">
      <c r="A2243" s="16">
        <v>2266</v>
      </c>
      <c r="B2243" s="18" t="s">
        <v>5705</v>
      </c>
      <c r="C2243" s="18" t="s">
        <v>5764</v>
      </c>
      <c r="D2243" s="18" t="s">
        <v>5782</v>
      </c>
      <c r="E2243" s="18" t="s">
        <v>5787</v>
      </c>
    </row>
    <row r="2244" spans="1:5" ht="24" customHeight="1" x14ac:dyDescent="0.25">
      <c r="A2244" s="16">
        <v>2267</v>
      </c>
      <c r="B2244" s="18" t="s">
        <v>5705</v>
      </c>
      <c r="C2244" s="18" t="s">
        <v>5764</v>
      </c>
      <c r="D2244" s="18" t="s">
        <v>5782</v>
      </c>
      <c r="E2244" s="18" t="s">
        <v>5788</v>
      </c>
    </row>
    <row r="2245" spans="1:5" ht="24" customHeight="1" x14ac:dyDescent="0.25">
      <c r="A2245" s="16">
        <v>2268</v>
      </c>
      <c r="B2245" s="18" t="s">
        <v>5705</v>
      </c>
      <c r="C2245" s="18" t="s">
        <v>5764</v>
      </c>
      <c r="D2245" s="18" t="s">
        <v>5782</v>
      </c>
      <c r="E2245" s="18" t="s">
        <v>5789</v>
      </c>
    </row>
    <row r="2246" spans="1:5" ht="24" customHeight="1" x14ac:dyDescent="0.25">
      <c r="A2246" s="16">
        <v>2269</v>
      </c>
      <c r="B2246" s="18" t="s">
        <v>5705</v>
      </c>
      <c r="C2246" s="18" t="s">
        <v>5764</v>
      </c>
      <c r="D2246" s="18" t="s">
        <v>5782</v>
      </c>
      <c r="E2246" s="18" t="s">
        <v>5790</v>
      </c>
    </row>
    <row r="2247" spans="1:5" ht="24" customHeight="1" x14ac:dyDescent="0.25">
      <c r="A2247" s="16">
        <v>2270</v>
      </c>
      <c r="B2247" s="18" t="s">
        <v>5705</v>
      </c>
      <c r="C2247" s="18" t="s">
        <v>5764</v>
      </c>
      <c r="D2247" s="18" t="s">
        <v>5782</v>
      </c>
      <c r="E2247" s="18" t="s">
        <v>5791</v>
      </c>
    </row>
    <row r="2248" spans="1:5" ht="24" customHeight="1" x14ac:dyDescent="0.25">
      <c r="A2248" s="16">
        <v>2271</v>
      </c>
      <c r="B2248" s="18" t="s">
        <v>5705</v>
      </c>
      <c r="C2248" s="18" t="s">
        <v>5764</v>
      </c>
      <c r="D2248" s="18" t="s">
        <v>5782</v>
      </c>
      <c r="E2248" s="18" t="s">
        <v>5792</v>
      </c>
    </row>
    <row r="2249" spans="1:5" ht="24" customHeight="1" x14ac:dyDescent="0.25">
      <c r="A2249" s="16">
        <v>2272</v>
      </c>
      <c r="B2249" s="18" t="s">
        <v>5705</v>
      </c>
      <c r="C2249" s="18" t="s">
        <v>5764</v>
      </c>
      <c r="D2249" s="18" t="s">
        <v>5782</v>
      </c>
      <c r="E2249" s="18" t="s">
        <v>5793</v>
      </c>
    </row>
    <row r="2250" spans="1:5" ht="24" customHeight="1" x14ac:dyDescent="0.25">
      <c r="A2250" s="16">
        <v>2273</v>
      </c>
      <c r="B2250" s="18" t="s">
        <v>5705</v>
      </c>
      <c r="C2250" s="18" t="s">
        <v>5764</v>
      </c>
      <c r="D2250" s="18" t="s">
        <v>5782</v>
      </c>
      <c r="E2250" s="18" t="s">
        <v>5794</v>
      </c>
    </row>
    <row r="2251" spans="1:5" ht="24" customHeight="1" x14ac:dyDescent="0.25">
      <c r="A2251" s="16">
        <v>2274</v>
      </c>
      <c r="B2251" s="18" t="s">
        <v>5705</v>
      </c>
      <c r="C2251" s="18" t="s">
        <v>5764</v>
      </c>
      <c r="D2251" s="18" t="s">
        <v>5782</v>
      </c>
      <c r="E2251" s="18" t="s">
        <v>5795</v>
      </c>
    </row>
    <row r="2252" spans="1:5" ht="24" customHeight="1" x14ac:dyDescent="0.25">
      <c r="A2252" s="16">
        <v>2275</v>
      </c>
      <c r="B2252" s="18" t="s">
        <v>5705</v>
      </c>
      <c r="C2252" s="18" t="s">
        <v>5764</v>
      </c>
      <c r="D2252" s="18" t="s">
        <v>5796</v>
      </c>
      <c r="E2252" s="18" t="s">
        <v>5797</v>
      </c>
    </row>
    <row r="2253" spans="1:5" ht="24" customHeight="1" x14ac:dyDescent="0.25">
      <c r="A2253" s="16">
        <v>2276</v>
      </c>
      <c r="B2253" s="18" t="s">
        <v>5705</v>
      </c>
      <c r="C2253" s="18" t="s">
        <v>5764</v>
      </c>
      <c r="D2253" s="18" t="s">
        <v>5796</v>
      </c>
      <c r="E2253" s="18" t="s">
        <v>5798</v>
      </c>
    </row>
    <row r="2254" spans="1:5" ht="24" customHeight="1" x14ac:dyDescent="0.25">
      <c r="A2254" s="16">
        <v>2277</v>
      </c>
      <c r="B2254" s="18" t="s">
        <v>5705</v>
      </c>
      <c r="C2254" s="18" t="s">
        <v>5764</v>
      </c>
      <c r="D2254" s="18" t="s">
        <v>5796</v>
      </c>
      <c r="E2254" s="18" t="s">
        <v>5799</v>
      </c>
    </row>
    <row r="2255" spans="1:5" ht="36" customHeight="1" x14ac:dyDescent="0.25">
      <c r="A2255" s="16">
        <v>2278</v>
      </c>
      <c r="B2255" s="18" t="s">
        <v>5705</v>
      </c>
      <c r="C2255" s="18" t="s">
        <v>5764</v>
      </c>
      <c r="D2255" s="18" t="s">
        <v>5796</v>
      </c>
      <c r="E2255" s="18" t="s">
        <v>5800</v>
      </c>
    </row>
    <row r="2256" spans="1:5" ht="24" customHeight="1" x14ac:dyDescent="0.25">
      <c r="A2256" s="16">
        <v>2279</v>
      </c>
      <c r="B2256" s="18" t="s">
        <v>5705</v>
      </c>
      <c r="C2256" s="18" t="s">
        <v>5764</v>
      </c>
      <c r="D2256" s="18" t="s">
        <v>5801</v>
      </c>
      <c r="E2256" s="18" t="s">
        <v>5802</v>
      </c>
    </row>
    <row r="2257" spans="1:5" ht="24" customHeight="1" x14ac:dyDescent="0.25">
      <c r="A2257" s="16">
        <v>2280</v>
      </c>
      <c r="B2257" s="18" t="s">
        <v>5705</v>
      </c>
      <c r="C2257" s="18" t="s">
        <v>5764</v>
      </c>
      <c r="D2257" s="18" t="s">
        <v>5801</v>
      </c>
      <c r="E2257" s="18" t="s">
        <v>5803</v>
      </c>
    </row>
    <row r="2258" spans="1:5" ht="24" customHeight="1" x14ac:dyDescent="0.25">
      <c r="A2258" s="16">
        <v>2281</v>
      </c>
      <c r="B2258" s="18" t="s">
        <v>5705</v>
      </c>
      <c r="C2258" s="18" t="s">
        <v>5764</v>
      </c>
      <c r="D2258" s="18" t="s">
        <v>5801</v>
      </c>
      <c r="E2258" s="18" t="s">
        <v>5804</v>
      </c>
    </row>
    <row r="2259" spans="1:5" ht="24" customHeight="1" x14ac:dyDescent="0.25">
      <c r="A2259" s="16">
        <v>2282</v>
      </c>
      <c r="B2259" s="18" t="s">
        <v>5705</v>
      </c>
      <c r="C2259" s="18" t="s">
        <v>5764</v>
      </c>
      <c r="D2259" s="18" t="s">
        <v>5801</v>
      </c>
      <c r="E2259" s="18" t="s">
        <v>5805</v>
      </c>
    </row>
    <row r="2260" spans="1:5" ht="24" customHeight="1" x14ac:dyDescent="0.25">
      <c r="A2260" s="16">
        <v>2283</v>
      </c>
      <c r="B2260" s="18" t="s">
        <v>5705</v>
      </c>
      <c r="C2260" s="18" t="s">
        <v>5764</v>
      </c>
      <c r="D2260" s="18" t="s">
        <v>5806</v>
      </c>
      <c r="E2260" s="18" t="s">
        <v>5807</v>
      </c>
    </row>
    <row r="2261" spans="1:5" ht="24" customHeight="1" x14ac:dyDescent="0.25">
      <c r="A2261" s="16">
        <v>2284</v>
      </c>
      <c r="B2261" s="18" t="s">
        <v>5705</v>
      </c>
      <c r="C2261" s="18" t="s">
        <v>5764</v>
      </c>
      <c r="D2261" s="18" t="s">
        <v>5806</v>
      </c>
      <c r="E2261" s="18" t="s">
        <v>5808</v>
      </c>
    </row>
    <row r="2262" spans="1:5" ht="24" customHeight="1" x14ac:dyDescent="0.25">
      <c r="A2262" s="16">
        <v>2285</v>
      </c>
      <c r="B2262" s="18" t="s">
        <v>5705</v>
      </c>
      <c r="C2262" s="18" t="s">
        <v>5764</v>
      </c>
      <c r="D2262" s="18" t="s">
        <v>5806</v>
      </c>
      <c r="E2262" s="18" t="s">
        <v>5809</v>
      </c>
    </row>
    <row r="2263" spans="1:5" ht="24" customHeight="1" x14ac:dyDescent="0.25">
      <c r="A2263" s="16">
        <v>2286</v>
      </c>
      <c r="B2263" s="18" t="s">
        <v>5705</v>
      </c>
      <c r="C2263" s="18" t="s">
        <v>5764</v>
      </c>
      <c r="D2263" s="18" t="s">
        <v>5806</v>
      </c>
      <c r="E2263" s="18" t="s">
        <v>5810</v>
      </c>
    </row>
    <row r="2264" spans="1:5" ht="24" customHeight="1" x14ac:dyDescent="0.25">
      <c r="A2264" s="16">
        <v>2287</v>
      </c>
      <c r="B2264" s="18" t="s">
        <v>5705</v>
      </c>
      <c r="C2264" s="18" t="s">
        <v>5764</v>
      </c>
      <c r="D2264" s="18" t="s">
        <v>5806</v>
      </c>
      <c r="E2264" s="18" t="s">
        <v>5811</v>
      </c>
    </row>
    <row r="2265" spans="1:5" ht="24" customHeight="1" x14ac:dyDescent="0.25">
      <c r="A2265" s="16">
        <v>2288</v>
      </c>
      <c r="B2265" s="18" t="s">
        <v>5705</v>
      </c>
      <c r="C2265" s="18" t="s">
        <v>5764</v>
      </c>
      <c r="D2265" s="18" t="s">
        <v>5806</v>
      </c>
      <c r="E2265" s="18" t="s">
        <v>5812</v>
      </c>
    </row>
    <row r="2266" spans="1:5" ht="24" customHeight="1" x14ac:dyDescent="0.25">
      <c r="A2266" s="16">
        <v>2289</v>
      </c>
      <c r="B2266" s="18" t="s">
        <v>5705</v>
      </c>
      <c r="C2266" s="18" t="s">
        <v>5764</v>
      </c>
      <c r="D2266" s="18" t="s">
        <v>5806</v>
      </c>
      <c r="E2266" s="18" t="s">
        <v>5813</v>
      </c>
    </row>
    <row r="2267" spans="1:5" ht="24" customHeight="1" x14ac:dyDescent="0.25">
      <c r="A2267" s="16">
        <v>2290</v>
      </c>
      <c r="B2267" s="18" t="s">
        <v>5705</v>
      </c>
      <c r="C2267" s="18" t="s">
        <v>5764</v>
      </c>
      <c r="D2267" s="18" t="s">
        <v>5806</v>
      </c>
      <c r="E2267" s="18" t="s">
        <v>5814</v>
      </c>
    </row>
    <row r="2268" spans="1:5" ht="24" customHeight="1" x14ac:dyDescent="0.25">
      <c r="A2268" s="16">
        <v>2291</v>
      </c>
      <c r="B2268" s="18" t="s">
        <v>5705</v>
      </c>
      <c r="C2268" s="18" t="s">
        <v>5764</v>
      </c>
      <c r="D2268" s="18" t="s">
        <v>5806</v>
      </c>
      <c r="E2268" s="18" t="s">
        <v>5815</v>
      </c>
    </row>
    <row r="2269" spans="1:5" ht="24" customHeight="1" x14ac:dyDescent="0.25">
      <c r="A2269" s="16">
        <v>2292</v>
      </c>
      <c r="B2269" s="18" t="s">
        <v>5705</v>
      </c>
      <c r="C2269" s="18" t="s">
        <v>5764</v>
      </c>
      <c r="D2269" s="18" t="s">
        <v>5806</v>
      </c>
      <c r="E2269" s="18" t="s">
        <v>5816</v>
      </c>
    </row>
    <row r="2270" spans="1:5" ht="24" customHeight="1" x14ac:dyDescent="0.25">
      <c r="A2270" s="16">
        <v>2293</v>
      </c>
      <c r="B2270" s="18" t="s">
        <v>5705</v>
      </c>
      <c r="C2270" s="18" t="s">
        <v>5764</v>
      </c>
      <c r="D2270" s="18" t="s">
        <v>5806</v>
      </c>
      <c r="E2270" s="18" t="s">
        <v>5817</v>
      </c>
    </row>
    <row r="2271" spans="1:5" ht="24" customHeight="1" x14ac:dyDescent="0.25">
      <c r="A2271" s="16">
        <v>2294</v>
      </c>
      <c r="B2271" s="18" t="s">
        <v>5705</v>
      </c>
      <c r="C2271" s="18" t="s">
        <v>5764</v>
      </c>
      <c r="D2271" s="18" t="s">
        <v>5818</v>
      </c>
      <c r="E2271" s="18" t="s">
        <v>5819</v>
      </c>
    </row>
    <row r="2272" spans="1:5" ht="24" customHeight="1" x14ac:dyDescent="0.25">
      <c r="A2272" s="16">
        <v>2295</v>
      </c>
      <c r="B2272" s="18" t="s">
        <v>5705</v>
      </c>
      <c r="C2272" s="18" t="s">
        <v>5764</v>
      </c>
      <c r="D2272" s="18" t="s">
        <v>5818</v>
      </c>
      <c r="E2272" s="18" t="s">
        <v>5820</v>
      </c>
    </row>
    <row r="2273" spans="1:5" ht="24" customHeight="1" x14ac:dyDescent="0.25">
      <c r="A2273" s="16">
        <v>2296</v>
      </c>
      <c r="B2273" s="18" t="s">
        <v>5705</v>
      </c>
      <c r="C2273" s="18" t="s">
        <v>5764</v>
      </c>
      <c r="D2273" s="18" t="s">
        <v>5818</v>
      </c>
      <c r="E2273" s="18" t="s">
        <v>5821</v>
      </c>
    </row>
    <row r="2274" spans="1:5" ht="24" customHeight="1" x14ac:dyDescent="0.25">
      <c r="A2274" s="16">
        <v>2297</v>
      </c>
      <c r="B2274" s="18" t="s">
        <v>5705</v>
      </c>
      <c r="C2274" s="18" t="s">
        <v>5764</v>
      </c>
      <c r="D2274" s="18" t="s">
        <v>5818</v>
      </c>
      <c r="E2274" s="18" t="s">
        <v>5822</v>
      </c>
    </row>
    <row r="2275" spans="1:5" ht="24" customHeight="1" x14ac:dyDescent="0.25">
      <c r="A2275" s="16">
        <v>2298</v>
      </c>
      <c r="B2275" s="18" t="s">
        <v>5705</v>
      </c>
      <c r="C2275" s="18" t="s">
        <v>5764</v>
      </c>
      <c r="D2275" s="18" t="s">
        <v>5818</v>
      </c>
      <c r="E2275" s="18" t="s">
        <v>5823</v>
      </c>
    </row>
    <row r="2276" spans="1:5" ht="24" customHeight="1" x14ac:dyDescent="0.25">
      <c r="A2276" s="16">
        <v>2299</v>
      </c>
      <c r="B2276" s="18" t="s">
        <v>5705</v>
      </c>
      <c r="C2276" s="18" t="s">
        <v>5764</v>
      </c>
      <c r="D2276" s="18" t="s">
        <v>5818</v>
      </c>
      <c r="E2276" s="18" t="s">
        <v>5824</v>
      </c>
    </row>
    <row r="2277" spans="1:5" ht="24" customHeight="1" x14ac:dyDescent="0.25">
      <c r="A2277" s="16">
        <v>2300</v>
      </c>
      <c r="B2277" s="18" t="s">
        <v>5705</v>
      </c>
      <c r="C2277" s="18" t="s">
        <v>5764</v>
      </c>
      <c r="D2277" s="18" t="s">
        <v>5818</v>
      </c>
      <c r="E2277" s="18" t="s">
        <v>5825</v>
      </c>
    </row>
    <row r="2278" spans="1:5" ht="24" customHeight="1" x14ac:dyDescent="0.25">
      <c r="A2278" s="16">
        <v>2301</v>
      </c>
      <c r="B2278" s="18" t="s">
        <v>5705</v>
      </c>
      <c r="C2278" s="18" t="s">
        <v>5764</v>
      </c>
      <c r="D2278" s="18" t="s">
        <v>5826</v>
      </c>
      <c r="E2278" s="18" t="s">
        <v>5827</v>
      </c>
    </row>
    <row r="2279" spans="1:5" ht="24" customHeight="1" x14ac:dyDescent="0.25">
      <c r="A2279" s="16">
        <v>2302</v>
      </c>
      <c r="B2279" s="18" t="s">
        <v>5705</v>
      </c>
      <c r="C2279" s="18" t="s">
        <v>5764</v>
      </c>
      <c r="D2279" s="18" t="s">
        <v>5826</v>
      </c>
      <c r="E2279" s="18" t="s">
        <v>5828</v>
      </c>
    </row>
    <row r="2280" spans="1:5" ht="24" customHeight="1" x14ac:dyDescent="0.25">
      <c r="A2280" s="16">
        <v>2303</v>
      </c>
      <c r="B2280" s="18" t="s">
        <v>5705</v>
      </c>
      <c r="C2280" s="18" t="s">
        <v>5764</v>
      </c>
      <c r="D2280" s="18" t="s">
        <v>5826</v>
      </c>
      <c r="E2280" s="18" t="s">
        <v>5829</v>
      </c>
    </row>
    <row r="2281" spans="1:5" ht="24" customHeight="1" x14ac:dyDescent="0.25">
      <c r="A2281" s="16">
        <v>2304</v>
      </c>
      <c r="B2281" s="18" t="s">
        <v>5705</v>
      </c>
      <c r="C2281" s="18" t="s">
        <v>5764</v>
      </c>
      <c r="D2281" s="18" t="s">
        <v>5826</v>
      </c>
      <c r="E2281" s="18" t="s">
        <v>4686</v>
      </c>
    </row>
    <row r="2282" spans="1:5" ht="24" customHeight="1" x14ac:dyDescent="0.25">
      <c r="A2282" s="16">
        <v>2305</v>
      </c>
      <c r="B2282" s="18" t="s">
        <v>5705</v>
      </c>
      <c r="C2282" s="18" t="s">
        <v>5764</v>
      </c>
      <c r="D2282" s="18" t="s">
        <v>5826</v>
      </c>
      <c r="E2282" s="18" t="s">
        <v>5830</v>
      </c>
    </row>
    <row r="2283" spans="1:5" ht="24" customHeight="1" x14ac:dyDescent="0.25">
      <c r="A2283" s="16">
        <v>2306</v>
      </c>
      <c r="B2283" s="18" t="s">
        <v>5705</v>
      </c>
      <c r="C2283" s="18" t="s">
        <v>5764</v>
      </c>
      <c r="D2283" s="18" t="s">
        <v>5826</v>
      </c>
      <c r="E2283" s="18" t="s">
        <v>5831</v>
      </c>
    </row>
    <row r="2284" spans="1:5" ht="24" customHeight="1" x14ac:dyDescent="0.25">
      <c r="A2284" s="16">
        <v>2307</v>
      </c>
      <c r="B2284" s="18" t="s">
        <v>5705</v>
      </c>
      <c r="C2284" s="18" t="s">
        <v>5764</v>
      </c>
      <c r="D2284" s="18" t="s">
        <v>5826</v>
      </c>
      <c r="E2284" s="18" t="s">
        <v>5832</v>
      </c>
    </row>
    <row r="2285" spans="1:5" ht="24" customHeight="1" x14ac:dyDescent="0.25">
      <c r="A2285" s="16">
        <v>2308</v>
      </c>
      <c r="B2285" s="18" t="s">
        <v>5705</v>
      </c>
      <c r="C2285" s="18" t="s">
        <v>5764</v>
      </c>
      <c r="D2285" s="18" t="s">
        <v>5826</v>
      </c>
      <c r="E2285" s="18" t="s">
        <v>5833</v>
      </c>
    </row>
    <row r="2286" spans="1:5" ht="24" customHeight="1" x14ac:dyDescent="0.25">
      <c r="A2286" s="16">
        <v>2309</v>
      </c>
      <c r="B2286" s="18" t="s">
        <v>5705</v>
      </c>
      <c r="C2286" s="18" t="s">
        <v>5764</v>
      </c>
      <c r="D2286" s="18" t="s">
        <v>5826</v>
      </c>
      <c r="E2286" s="18" t="s">
        <v>5834</v>
      </c>
    </row>
    <row r="2287" spans="1:5" ht="24" customHeight="1" x14ac:dyDescent="0.25">
      <c r="A2287" s="16">
        <v>2310</v>
      </c>
      <c r="B2287" s="18" t="s">
        <v>5705</v>
      </c>
      <c r="C2287" s="18" t="s">
        <v>5764</v>
      </c>
      <c r="D2287" s="18" t="s">
        <v>5826</v>
      </c>
      <c r="E2287" s="18" t="s">
        <v>4978</v>
      </c>
    </row>
    <row r="2288" spans="1:5" ht="24" customHeight="1" x14ac:dyDescent="0.25">
      <c r="A2288" s="16">
        <v>2311</v>
      </c>
      <c r="B2288" s="18" t="s">
        <v>5705</v>
      </c>
      <c r="C2288" s="18" t="s">
        <v>5764</v>
      </c>
      <c r="D2288" s="18" t="s">
        <v>5826</v>
      </c>
      <c r="E2288" s="18" t="s">
        <v>5835</v>
      </c>
    </row>
    <row r="2289" spans="1:5" ht="24" customHeight="1" x14ac:dyDescent="0.25">
      <c r="A2289" s="16">
        <v>2312</v>
      </c>
      <c r="B2289" s="18" t="s">
        <v>5705</v>
      </c>
      <c r="C2289" s="18" t="s">
        <v>5764</v>
      </c>
      <c r="D2289" s="18" t="s">
        <v>5826</v>
      </c>
      <c r="E2289" s="18" t="s">
        <v>5836</v>
      </c>
    </row>
    <row r="2290" spans="1:5" ht="24" customHeight="1" x14ac:dyDescent="0.25">
      <c r="A2290" s="16">
        <v>2313</v>
      </c>
      <c r="B2290" s="18" t="s">
        <v>5705</v>
      </c>
      <c r="C2290" s="18" t="s">
        <v>5764</v>
      </c>
      <c r="D2290" s="18" t="s">
        <v>5826</v>
      </c>
      <c r="E2290" s="18" t="s">
        <v>5837</v>
      </c>
    </row>
    <row r="2291" spans="1:5" ht="24" customHeight="1" x14ac:dyDescent="0.25">
      <c r="A2291" s="16">
        <v>2314</v>
      </c>
      <c r="B2291" s="18" t="s">
        <v>5705</v>
      </c>
      <c r="C2291" s="18" t="s">
        <v>5764</v>
      </c>
      <c r="D2291" s="18" t="s">
        <v>5826</v>
      </c>
      <c r="E2291" s="18" t="s">
        <v>5838</v>
      </c>
    </row>
    <row r="2292" spans="1:5" ht="24" customHeight="1" x14ac:dyDescent="0.25">
      <c r="A2292" s="16">
        <v>2315</v>
      </c>
      <c r="B2292" s="18" t="s">
        <v>5705</v>
      </c>
      <c r="C2292" s="18" t="s">
        <v>5764</v>
      </c>
      <c r="D2292" s="18" t="s">
        <v>5826</v>
      </c>
      <c r="E2292" s="18" t="s">
        <v>5839</v>
      </c>
    </row>
    <row r="2293" spans="1:5" ht="24" customHeight="1" x14ac:dyDescent="0.25">
      <c r="A2293" s="16">
        <v>2316</v>
      </c>
      <c r="B2293" s="18" t="s">
        <v>5705</v>
      </c>
      <c r="C2293" s="18" t="s">
        <v>5764</v>
      </c>
      <c r="D2293" s="18" t="s">
        <v>5826</v>
      </c>
      <c r="E2293" s="18" t="s">
        <v>5840</v>
      </c>
    </row>
    <row r="2294" spans="1:5" ht="24" customHeight="1" x14ac:dyDescent="0.25">
      <c r="A2294" s="16">
        <v>2317</v>
      </c>
      <c r="B2294" s="18" t="s">
        <v>5705</v>
      </c>
      <c r="C2294" s="18" t="s">
        <v>5764</v>
      </c>
      <c r="D2294" s="18" t="s">
        <v>5826</v>
      </c>
      <c r="E2294" s="18" t="s">
        <v>5841</v>
      </c>
    </row>
    <row r="2295" spans="1:5" ht="24" customHeight="1" x14ac:dyDescent="0.25">
      <c r="A2295" s="16">
        <v>2318</v>
      </c>
      <c r="B2295" s="18" t="s">
        <v>5705</v>
      </c>
      <c r="C2295" s="18" t="s">
        <v>5764</v>
      </c>
      <c r="D2295" s="18" t="s">
        <v>5826</v>
      </c>
      <c r="E2295" s="18" t="s">
        <v>5842</v>
      </c>
    </row>
    <row r="2296" spans="1:5" ht="24" customHeight="1" x14ac:dyDescent="0.25">
      <c r="A2296" s="16">
        <v>2319</v>
      </c>
      <c r="B2296" s="18" t="s">
        <v>5705</v>
      </c>
      <c r="C2296" s="18" t="s">
        <v>5764</v>
      </c>
      <c r="D2296" s="18" t="s">
        <v>5826</v>
      </c>
      <c r="E2296" s="18" t="s">
        <v>5843</v>
      </c>
    </row>
    <row r="2297" spans="1:5" ht="24" customHeight="1" x14ac:dyDescent="0.25">
      <c r="A2297" s="16">
        <v>2320</v>
      </c>
      <c r="B2297" s="18" t="s">
        <v>5705</v>
      </c>
      <c r="C2297" s="18" t="s">
        <v>5764</v>
      </c>
      <c r="D2297" s="18" t="s">
        <v>5826</v>
      </c>
      <c r="E2297" s="18" t="s">
        <v>5844</v>
      </c>
    </row>
    <row r="2298" spans="1:5" ht="24" customHeight="1" x14ac:dyDescent="0.25">
      <c r="A2298" s="16">
        <v>2321</v>
      </c>
      <c r="B2298" s="18" t="s">
        <v>5705</v>
      </c>
      <c r="C2298" s="18" t="s">
        <v>5764</v>
      </c>
      <c r="D2298" s="18" t="s">
        <v>5845</v>
      </c>
      <c r="E2298" s="18" t="s">
        <v>5846</v>
      </c>
    </row>
    <row r="2299" spans="1:5" ht="24" customHeight="1" x14ac:dyDescent="0.25">
      <c r="A2299" s="16">
        <v>2322</v>
      </c>
      <c r="B2299" s="18" t="s">
        <v>5705</v>
      </c>
      <c r="C2299" s="18" t="s">
        <v>5764</v>
      </c>
      <c r="D2299" s="18" t="s">
        <v>5845</v>
      </c>
      <c r="E2299" s="18" t="s">
        <v>5847</v>
      </c>
    </row>
    <row r="2300" spans="1:5" ht="24" customHeight="1" x14ac:dyDescent="0.25">
      <c r="A2300" s="16">
        <v>2323</v>
      </c>
      <c r="B2300" s="18" t="s">
        <v>5705</v>
      </c>
      <c r="C2300" s="18" t="s">
        <v>5764</v>
      </c>
      <c r="D2300" s="18" t="s">
        <v>5845</v>
      </c>
      <c r="E2300" s="18" t="s">
        <v>5848</v>
      </c>
    </row>
    <row r="2301" spans="1:5" ht="24" customHeight="1" x14ac:dyDescent="0.25">
      <c r="A2301" s="16">
        <v>2324</v>
      </c>
      <c r="B2301" s="18" t="s">
        <v>5705</v>
      </c>
      <c r="C2301" s="18" t="s">
        <v>5764</v>
      </c>
      <c r="D2301" s="18" t="s">
        <v>5845</v>
      </c>
      <c r="E2301" s="18" t="s">
        <v>5849</v>
      </c>
    </row>
    <row r="2302" spans="1:5" ht="24" customHeight="1" x14ac:dyDescent="0.25">
      <c r="A2302" s="16">
        <v>2325</v>
      </c>
      <c r="B2302" s="18" t="s">
        <v>5705</v>
      </c>
      <c r="C2302" s="18" t="s">
        <v>5764</v>
      </c>
      <c r="D2302" s="18" t="s">
        <v>5845</v>
      </c>
      <c r="E2302" s="18" t="s">
        <v>5850</v>
      </c>
    </row>
    <row r="2303" spans="1:5" ht="24" customHeight="1" x14ac:dyDescent="0.25">
      <c r="A2303" s="16">
        <v>2326</v>
      </c>
      <c r="B2303" s="18" t="s">
        <v>5705</v>
      </c>
      <c r="C2303" s="18" t="s">
        <v>5764</v>
      </c>
      <c r="D2303" s="18" t="s">
        <v>5845</v>
      </c>
      <c r="E2303" s="18" t="s">
        <v>5851</v>
      </c>
    </row>
    <row r="2304" spans="1:5" ht="24" customHeight="1" x14ac:dyDescent="0.25">
      <c r="A2304" s="16">
        <v>2327</v>
      </c>
      <c r="B2304" s="18" t="s">
        <v>5705</v>
      </c>
      <c r="C2304" s="18" t="s">
        <v>5764</v>
      </c>
      <c r="D2304" s="18" t="s">
        <v>5845</v>
      </c>
      <c r="E2304" s="18" t="s">
        <v>5852</v>
      </c>
    </row>
    <row r="2305" spans="1:5" ht="24" customHeight="1" x14ac:dyDescent="0.25">
      <c r="A2305" s="16">
        <v>2328</v>
      </c>
      <c r="B2305" s="18" t="s">
        <v>5705</v>
      </c>
      <c r="C2305" s="18" t="s">
        <v>5764</v>
      </c>
      <c r="D2305" s="18" t="s">
        <v>5845</v>
      </c>
      <c r="E2305" s="18" t="s">
        <v>5853</v>
      </c>
    </row>
    <row r="2306" spans="1:5" ht="24" customHeight="1" x14ac:dyDescent="0.25">
      <c r="A2306" s="16">
        <v>2329</v>
      </c>
      <c r="B2306" s="18" t="s">
        <v>5705</v>
      </c>
      <c r="C2306" s="18" t="s">
        <v>5764</v>
      </c>
      <c r="D2306" s="18" t="s">
        <v>5845</v>
      </c>
      <c r="E2306" s="18" t="s">
        <v>5854</v>
      </c>
    </row>
    <row r="2307" spans="1:5" ht="24" customHeight="1" x14ac:dyDescent="0.25">
      <c r="A2307" s="16">
        <v>2330</v>
      </c>
      <c r="B2307" s="18" t="s">
        <v>5705</v>
      </c>
      <c r="C2307" s="18" t="s">
        <v>5764</v>
      </c>
      <c r="D2307" s="18" t="s">
        <v>5845</v>
      </c>
      <c r="E2307" s="18" t="s">
        <v>5855</v>
      </c>
    </row>
    <row r="2308" spans="1:5" ht="24" customHeight="1" x14ac:dyDescent="0.25">
      <c r="A2308" s="16">
        <v>2331</v>
      </c>
      <c r="B2308" s="18" t="s">
        <v>5705</v>
      </c>
      <c r="C2308" s="18" t="s">
        <v>5764</v>
      </c>
      <c r="D2308" s="18" t="s">
        <v>5856</v>
      </c>
      <c r="E2308" s="18" t="s">
        <v>5857</v>
      </c>
    </row>
    <row r="2309" spans="1:5" ht="24" customHeight="1" x14ac:dyDescent="0.25">
      <c r="A2309" s="16">
        <v>2332</v>
      </c>
      <c r="B2309" s="18" t="s">
        <v>5705</v>
      </c>
      <c r="C2309" s="18" t="s">
        <v>5764</v>
      </c>
      <c r="D2309" s="18" t="s">
        <v>5856</v>
      </c>
      <c r="E2309" s="18" t="s">
        <v>5858</v>
      </c>
    </row>
    <row r="2310" spans="1:5" ht="24" customHeight="1" x14ac:dyDescent="0.25">
      <c r="A2310" s="16">
        <v>2333</v>
      </c>
      <c r="B2310" s="18" t="s">
        <v>5705</v>
      </c>
      <c r="C2310" s="18" t="s">
        <v>5764</v>
      </c>
      <c r="D2310" s="18" t="s">
        <v>5856</v>
      </c>
      <c r="E2310" s="18" t="s">
        <v>5859</v>
      </c>
    </row>
    <row r="2311" spans="1:5" ht="24" customHeight="1" x14ac:dyDescent="0.25">
      <c r="A2311" s="16">
        <v>2334</v>
      </c>
      <c r="B2311" s="18" t="s">
        <v>5705</v>
      </c>
      <c r="C2311" s="18" t="s">
        <v>5764</v>
      </c>
      <c r="D2311" s="18" t="s">
        <v>5856</v>
      </c>
      <c r="E2311" s="18" t="s">
        <v>5860</v>
      </c>
    </row>
    <row r="2312" spans="1:5" ht="24" customHeight="1" x14ac:dyDescent="0.25">
      <c r="A2312" s="16">
        <v>2335</v>
      </c>
      <c r="B2312" s="18" t="s">
        <v>5705</v>
      </c>
      <c r="C2312" s="18" t="s">
        <v>5764</v>
      </c>
      <c r="D2312" s="18" t="s">
        <v>5856</v>
      </c>
      <c r="E2312" s="18" t="s">
        <v>5861</v>
      </c>
    </row>
    <row r="2313" spans="1:5" ht="24" customHeight="1" x14ac:dyDescent="0.25">
      <c r="A2313" s="16">
        <v>2336</v>
      </c>
      <c r="B2313" s="18" t="s">
        <v>5705</v>
      </c>
      <c r="C2313" s="18" t="s">
        <v>5764</v>
      </c>
      <c r="D2313" s="18" t="s">
        <v>5856</v>
      </c>
      <c r="E2313" s="18" t="s">
        <v>5862</v>
      </c>
    </row>
    <row r="2314" spans="1:5" ht="24" customHeight="1" x14ac:dyDescent="0.25">
      <c r="A2314" s="16">
        <v>2337</v>
      </c>
      <c r="B2314" s="18" t="s">
        <v>5705</v>
      </c>
      <c r="C2314" s="18" t="s">
        <v>5764</v>
      </c>
      <c r="D2314" s="18" t="s">
        <v>5856</v>
      </c>
      <c r="E2314" s="18" t="s">
        <v>5863</v>
      </c>
    </row>
    <row r="2315" spans="1:5" ht="24" customHeight="1" x14ac:dyDescent="0.25">
      <c r="A2315" s="16">
        <v>2338</v>
      </c>
      <c r="B2315" s="18" t="s">
        <v>5705</v>
      </c>
      <c r="C2315" s="18" t="s">
        <v>5764</v>
      </c>
      <c r="D2315" s="18" t="s">
        <v>5856</v>
      </c>
      <c r="E2315" s="18" t="s">
        <v>5864</v>
      </c>
    </row>
    <row r="2316" spans="1:5" ht="36" customHeight="1" x14ac:dyDescent="0.25">
      <c r="A2316" s="16">
        <v>2339</v>
      </c>
      <c r="B2316" s="18" t="s">
        <v>5705</v>
      </c>
      <c r="C2316" s="18" t="s">
        <v>5764</v>
      </c>
      <c r="D2316" s="18" t="s">
        <v>5856</v>
      </c>
      <c r="E2316" s="18" t="s">
        <v>5865</v>
      </c>
    </row>
    <row r="2317" spans="1:5" ht="24" customHeight="1" x14ac:dyDescent="0.25">
      <c r="A2317" s="16">
        <v>2340</v>
      </c>
      <c r="B2317" s="18" t="s">
        <v>5705</v>
      </c>
      <c r="C2317" s="18" t="s">
        <v>5866</v>
      </c>
      <c r="D2317" s="18" t="s">
        <v>5867</v>
      </c>
      <c r="E2317" s="18" t="s">
        <v>5868</v>
      </c>
    </row>
    <row r="2318" spans="1:5" ht="24" customHeight="1" x14ac:dyDescent="0.25">
      <c r="A2318" s="16">
        <v>2341</v>
      </c>
      <c r="B2318" s="18" t="s">
        <v>5705</v>
      </c>
      <c r="C2318" s="18" t="s">
        <v>5866</v>
      </c>
      <c r="D2318" s="18" t="s">
        <v>5867</v>
      </c>
      <c r="E2318" s="18" t="s">
        <v>5869</v>
      </c>
    </row>
    <row r="2319" spans="1:5" ht="24" customHeight="1" x14ac:dyDescent="0.25">
      <c r="A2319" s="16">
        <v>2342</v>
      </c>
      <c r="B2319" s="18" t="s">
        <v>5705</v>
      </c>
      <c r="C2319" s="18" t="s">
        <v>5866</v>
      </c>
      <c r="D2319" s="18" t="s">
        <v>5867</v>
      </c>
      <c r="E2319" s="18" t="s">
        <v>5870</v>
      </c>
    </row>
    <row r="2320" spans="1:5" ht="24" customHeight="1" x14ac:dyDescent="0.25">
      <c r="A2320" s="16">
        <v>2343</v>
      </c>
      <c r="B2320" s="18" t="s">
        <v>5705</v>
      </c>
      <c r="C2320" s="18" t="s">
        <v>5866</v>
      </c>
      <c r="D2320" s="18" t="s">
        <v>5867</v>
      </c>
      <c r="E2320" s="18" t="s">
        <v>5871</v>
      </c>
    </row>
    <row r="2321" spans="1:5" ht="24" customHeight="1" x14ac:dyDescent="0.25">
      <c r="A2321" s="16">
        <v>2344</v>
      </c>
      <c r="B2321" s="18" t="s">
        <v>5705</v>
      </c>
      <c r="C2321" s="18" t="s">
        <v>5866</v>
      </c>
      <c r="D2321" s="18" t="s">
        <v>5867</v>
      </c>
      <c r="E2321" s="18" t="s">
        <v>5872</v>
      </c>
    </row>
    <row r="2322" spans="1:5" ht="24" customHeight="1" x14ac:dyDescent="0.25">
      <c r="A2322" s="16">
        <v>2345</v>
      </c>
      <c r="B2322" s="18" t="s">
        <v>5705</v>
      </c>
      <c r="C2322" s="18" t="s">
        <v>5866</v>
      </c>
      <c r="D2322" s="18" t="s">
        <v>5867</v>
      </c>
      <c r="E2322" s="18" t="s">
        <v>5873</v>
      </c>
    </row>
    <row r="2323" spans="1:5" ht="24" customHeight="1" x14ac:dyDescent="0.25">
      <c r="A2323" s="16">
        <v>2346</v>
      </c>
      <c r="B2323" s="18" t="s">
        <v>5705</v>
      </c>
      <c r="C2323" s="18" t="s">
        <v>5866</v>
      </c>
      <c r="D2323" s="18" t="s">
        <v>5867</v>
      </c>
      <c r="E2323" s="18" t="s">
        <v>5874</v>
      </c>
    </row>
    <row r="2324" spans="1:5" ht="24" customHeight="1" x14ac:dyDescent="0.25">
      <c r="A2324" s="16">
        <v>2347</v>
      </c>
      <c r="B2324" s="18" t="s">
        <v>5705</v>
      </c>
      <c r="C2324" s="18" t="s">
        <v>5866</v>
      </c>
      <c r="D2324" s="18" t="s">
        <v>5867</v>
      </c>
      <c r="E2324" s="18" t="s">
        <v>5875</v>
      </c>
    </row>
    <row r="2325" spans="1:5" ht="24" customHeight="1" x14ac:dyDescent="0.25">
      <c r="A2325" s="16">
        <v>2348</v>
      </c>
      <c r="B2325" s="18" t="s">
        <v>5705</v>
      </c>
      <c r="C2325" s="18" t="s">
        <v>5866</v>
      </c>
      <c r="D2325" s="18" t="s">
        <v>5867</v>
      </c>
      <c r="E2325" s="18" t="s">
        <v>5876</v>
      </c>
    </row>
    <row r="2326" spans="1:5" ht="24" customHeight="1" x14ac:dyDescent="0.25">
      <c r="A2326" s="16">
        <v>2349</v>
      </c>
      <c r="B2326" s="18" t="s">
        <v>5705</v>
      </c>
      <c r="C2326" s="18" t="s">
        <v>5866</v>
      </c>
      <c r="D2326" s="18" t="s">
        <v>5867</v>
      </c>
      <c r="E2326" s="18" t="s">
        <v>5877</v>
      </c>
    </row>
    <row r="2327" spans="1:5" ht="24" customHeight="1" x14ac:dyDescent="0.25">
      <c r="A2327" s="16">
        <v>2350</v>
      </c>
      <c r="B2327" s="18" t="s">
        <v>5705</v>
      </c>
      <c r="C2327" s="18" t="s">
        <v>5866</v>
      </c>
      <c r="D2327" s="18" t="s">
        <v>5878</v>
      </c>
      <c r="E2327" s="18" t="s">
        <v>5879</v>
      </c>
    </row>
    <row r="2328" spans="1:5" ht="24" customHeight="1" x14ac:dyDescent="0.25">
      <c r="A2328" s="16">
        <v>2351</v>
      </c>
      <c r="B2328" s="18" t="s">
        <v>5705</v>
      </c>
      <c r="C2328" s="18" t="s">
        <v>5866</v>
      </c>
      <c r="D2328" s="18" t="s">
        <v>5878</v>
      </c>
      <c r="E2328" s="18" t="s">
        <v>5880</v>
      </c>
    </row>
    <row r="2329" spans="1:5" ht="24" customHeight="1" x14ac:dyDescent="0.25">
      <c r="A2329" s="16">
        <v>2352</v>
      </c>
      <c r="B2329" s="18" t="s">
        <v>5705</v>
      </c>
      <c r="C2329" s="18" t="s">
        <v>5866</v>
      </c>
      <c r="D2329" s="18" t="s">
        <v>5878</v>
      </c>
      <c r="E2329" s="18" t="s">
        <v>5881</v>
      </c>
    </row>
    <row r="2330" spans="1:5" ht="24" customHeight="1" x14ac:dyDescent="0.25">
      <c r="A2330" s="16">
        <v>2353</v>
      </c>
      <c r="B2330" s="18" t="s">
        <v>5705</v>
      </c>
      <c r="C2330" s="18" t="s">
        <v>5866</v>
      </c>
      <c r="D2330" s="18" t="s">
        <v>5878</v>
      </c>
      <c r="E2330" s="18" t="s">
        <v>5882</v>
      </c>
    </row>
    <row r="2331" spans="1:5" ht="24" customHeight="1" x14ac:dyDescent="0.25">
      <c r="A2331" s="16">
        <v>2354</v>
      </c>
      <c r="B2331" s="18" t="s">
        <v>5705</v>
      </c>
      <c r="C2331" s="18" t="s">
        <v>5866</v>
      </c>
      <c r="D2331" s="18" t="s">
        <v>5878</v>
      </c>
      <c r="E2331" s="18" t="s">
        <v>5883</v>
      </c>
    </row>
    <row r="2332" spans="1:5" ht="24" customHeight="1" x14ac:dyDescent="0.25">
      <c r="A2332" s="16">
        <v>2355</v>
      </c>
      <c r="B2332" s="18" t="s">
        <v>5705</v>
      </c>
      <c r="C2332" s="18" t="s">
        <v>5866</v>
      </c>
      <c r="D2332" s="18" t="s">
        <v>5878</v>
      </c>
      <c r="E2332" s="18" t="s">
        <v>5884</v>
      </c>
    </row>
    <row r="2333" spans="1:5" ht="24" customHeight="1" x14ac:dyDescent="0.25">
      <c r="A2333" s="16">
        <v>2356</v>
      </c>
      <c r="B2333" s="18" t="s">
        <v>5705</v>
      </c>
      <c r="C2333" s="18" t="s">
        <v>5866</v>
      </c>
      <c r="D2333" s="18" t="s">
        <v>5878</v>
      </c>
      <c r="E2333" s="18" t="s">
        <v>5885</v>
      </c>
    </row>
    <row r="2334" spans="1:5" ht="36" customHeight="1" x14ac:dyDescent="0.25">
      <c r="A2334" s="16">
        <v>2357</v>
      </c>
      <c r="B2334" s="18" t="s">
        <v>5705</v>
      </c>
      <c r="C2334" s="18" t="s">
        <v>5866</v>
      </c>
      <c r="D2334" s="18" t="s">
        <v>5886</v>
      </c>
      <c r="E2334" s="18" t="s">
        <v>5887</v>
      </c>
    </row>
    <row r="2335" spans="1:5" ht="24" customHeight="1" x14ac:dyDescent="0.25">
      <c r="A2335" s="16">
        <v>2358</v>
      </c>
      <c r="B2335" s="18" t="s">
        <v>5705</v>
      </c>
      <c r="C2335" s="18" t="s">
        <v>5866</v>
      </c>
      <c r="D2335" s="18" t="s">
        <v>5886</v>
      </c>
      <c r="E2335" s="18" t="s">
        <v>5888</v>
      </c>
    </row>
    <row r="2336" spans="1:5" ht="24" customHeight="1" x14ac:dyDescent="0.25">
      <c r="A2336" s="16">
        <v>2359</v>
      </c>
      <c r="B2336" s="18" t="s">
        <v>5705</v>
      </c>
      <c r="C2336" s="18" t="s">
        <v>5866</v>
      </c>
      <c r="D2336" s="18" t="s">
        <v>5886</v>
      </c>
      <c r="E2336" s="18" t="s">
        <v>5889</v>
      </c>
    </row>
    <row r="2337" spans="1:5" ht="24" customHeight="1" x14ac:dyDescent="0.25">
      <c r="A2337" s="16">
        <v>2360</v>
      </c>
      <c r="B2337" s="18" t="s">
        <v>5705</v>
      </c>
      <c r="C2337" s="18" t="s">
        <v>5866</v>
      </c>
      <c r="D2337" s="18" t="s">
        <v>5886</v>
      </c>
      <c r="E2337" s="18" t="s">
        <v>5890</v>
      </c>
    </row>
    <row r="2338" spans="1:5" ht="24" customHeight="1" x14ac:dyDescent="0.25">
      <c r="A2338" s="16">
        <v>2361</v>
      </c>
      <c r="B2338" s="18" t="s">
        <v>5705</v>
      </c>
      <c r="C2338" s="18" t="s">
        <v>5866</v>
      </c>
      <c r="D2338" s="18" t="s">
        <v>5886</v>
      </c>
      <c r="E2338" s="18" t="s">
        <v>5891</v>
      </c>
    </row>
    <row r="2339" spans="1:5" ht="24" customHeight="1" x14ac:dyDescent="0.25">
      <c r="A2339" s="16">
        <v>2362</v>
      </c>
      <c r="B2339" s="18" t="s">
        <v>5705</v>
      </c>
      <c r="C2339" s="18" t="s">
        <v>5866</v>
      </c>
      <c r="D2339" s="18" t="s">
        <v>5886</v>
      </c>
      <c r="E2339" s="18" t="s">
        <v>5892</v>
      </c>
    </row>
    <row r="2340" spans="1:5" ht="24" customHeight="1" x14ac:dyDescent="0.25">
      <c r="A2340" s="16">
        <v>2363</v>
      </c>
      <c r="B2340" s="18" t="s">
        <v>5705</v>
      </c>
      <c r="C2340" s="18" t="s">
        <v>5866</v>
      </c>
      <c r="D2340" s="18" t="s">
        <v>5886</v>
      </c>
      <c r="E2340" s="18" t="s">
        <v>5893</v>
      </c>
    </row>
    <row r="2341" spans="1:5" ht="36" customHeight="1" x14ac:dyDescent="0.25">
      <c r="A2341" s="16">
        <v>2364</v>
      </c>
      <c r="B2341" s="18" t="s">
        <v>5705</v>
      </c>
      <c r="C2341" s="18" t="s">
        <v>5866</v>
      </c>
      <c r="D2341" s="18" t="s">
        <v>5894</v>
      </c>
      <c r="E2341" s="18" t="s">
        <v>5895</v>
      </c>
    </row>
    <row r="2342" spans="1:5" ht="24" customHeight="1" x14ac:dyDescent="0.25">
      <c r="A2342" s="16">
        <v>2365</v>
      </c>
      <c r="B2342" s="18" t="s">
        <v>5705</v>
      </c>
      <c r="C2342" s="18" t="s">
        <v>5866</v>
      </c>
      <c r="D2342" s="18" t="s">
        <v>5894</v>
      </c>
      <c r="E2342" s="18" t="s">
        <v>5896</v>
      </c>
    </row>
    <row r="2343" spans="1:5" ht="24" customHeight="1" x14ac:dyDescent="0.25">
      <c r="A2343" s="16">
        <v>2366</v>
      </c>
      <c r="B2343" s="18" t="s">
        <v>5705</v>
      </c>
      <c r="C2343" s="18" t="s">
        <v>5866</v>
      </c>
      <c r="D2343" s="18" t="s">
        <v>5894</v>
      </c>
      <c r="E2343" s="18" t="s">
        <v>5897</v>
      </c>
    </row>
    <row r="2344" spans="1:5" ht="24" customHeight="1" x14ac:dyDescent="0.25">
      <c r="A2344" s="16">
        <v>2367</v>
      </c>
      <c r="B2344" s="18" t="s">
        <v>5705</v>
      </c>
      <c r="C2344" s="18" t="s">
        <v>5866</v>
      </c>
      <c r="D2344" s="18" t="s">
        <v>5894</v>
      </c>
      <c r="E2344" s="18" t="s">
        <v>5898</v>
      </c>
    </row>
    <row r="2345" spans="1:5" ht="24" customHeight="1" x14ac:dyDescent="0.25">
      <c r="A2345" s="16">
        <v>2368</v>
      </c>
      <c r="B2345" s="18" t="s">
        <v>5705</v>
      </c>
      <c r="C2345" s="18" t="s">
        <v>5866</v>
      </c>
      <c r="D2345" s="18" t="s">
        <v>5894</v>
      </c>
      <c r="E2345" s="18" t="s">
        <v>5899</v>
      </c>
    </row>
    <row r="2346" spans="1:5" ht="24" customHeight="1" x14ac:dyDescent="0.25">
      <c r="A2346" s="16">
        <v>2369</v>
      </c>
      <c r="B2346" s="18" t="s">
        <v>5705</v>
      </c>
      <c r="C2346" s="18" t="s">
        <v>5866</v>
      </c>
      <c r="D2346" s="18" t="s">
        <v>5894</v>
      </c>
      <c r="E2346" s="18" t="s">
        <v>5900</v>
      </c>
    </row>
    <row r="2347" spans="1:5" ht="24" customHeight="1" x14ac:dyDescent="0.25">
      <c r="A2347" s="16">
        <v>2370</v>
      </c>
      <c r="B2347" s="18" t="s">
        <v>5705</v>
      </c>
      <c r="C2347" s="18" t="s">
        <v>5866</v>
      </c>
      <c r="D2347" s="18" t="s">
        <v>5894</v>
      </c>
      <c r="E2347" s="18" t="s">
        <v>5901</v>
      </c>
    </row>
    <row r="2348" spans="1:5" x14ac:dyDescent="0.25">
      <c r="A2348" s="16">
        <v>2371</v>
      </c>
      <c r="B2348" s="18" t="s">
        <v>5705</v>
      </c>
      <c r="C2348" s="18" t="s">
        <v>5866</v>
      </c>
      <c r="D2348" s="18" t="s">
        <v>5902</v>
      </c>
      <c r="E2348" s="18" t="s">
        <v>5903</v>
      </c>
    </row>
    <row r="2349" spans="1:5" x14ac:dyDescent="0.25">
      <c r="A2349" s="16">
        <v>2372</v>
      </c>
      <c r="B2349" s="18" t="s">
        <v>5705</v>
      </c>
      <c r="C2349" s="18" t="s">
        <v>5866</v>
      </c>
      <c r="D2349" s="18" t="s">
        <v>5902</v>
      </c>
      <c r="E2349" s="18" t="s">
        <v>5904</v>
      </c>
    </row>
    <row r="2350" spans="1:5" x14ac:dyDescent="0.25">
      <c r="A2350" s="16">
        <v>2373</v>
      </c>
      <c r="B2350" s="18" t="s">
        <v>5705</v>
      </c>
      <c r="C2350" s="18" t="s">
        <v>5866</v>
      </c>
      <c r="D2350" s="18" t="s">
        <v>5902</v>
      </c>
      <c r="E2350" s="18" t="s">
        <v>5905</v>
      </c>
    </row>
    <row r="2351" spans="1:5" x14ac:dyDescent="0.25">
      <c r="A2351" s="16">
        <v>2374</v>
      </c>
      <c r="B2351" s="18" t="s">
        <v>5705</v>
      </c>
      <c r="C2351" s="18" t="s">
        <v>5866</v>
      </c>
      <c r="D2351" s="18" t="s">
        <v>5902</v>
      </c>
      <c r="E2351" s="18" t="s">
        <v>5906</v>
      </c>
    </row>
    <row r="2352" spans="1:5" x14ac:dyDescent="0.25">
      <c r="A2352" s="16">
        <v>2375</v>
      </c>
      <c r="B2352" s="18" t="s">
        <v>5705</v>
      </c>
      <c r="C2352" s="18" t="s">
        <v>5866</v>
      </c>
      <c r="D2352" s="18" t="s">
        <v>5902</v>
      </c>
      <c r="E2352" s="18" t="s">
        <v>5907</v>
      </c>
    </row>
    <row r="2353" spans="1:5" ht="24" customHeight="1" x14ac:dyDescent="0.25">
      <c r="A2353" s="16">
        <v>2376</v>
      </c>
      <c r="B2353" s="18" t="s">
        <v>5705</v>
      </c>
      <c r="C2353" s="18" t="s">
        <v>5866</v>
      </c>
      <c r="D2353" s="18" t="s">
        <v>5902</v>
      </c>
      <c r="E2353" s="18" t="s">
        <v>5908</v>
      </c>
    </row>
    <row r="2354" spans="1:5" x14ac:dyDescent="0.25">
      <c r="A2354" s="16">
        <v>2377</v>
      </c>
      <c r="B2354" s="18" t="s">
        <v>5705</v>
      </c>
      <c r="C2354" s="18" t="s">
        <v>5866</v>
      </c>
      <c r="D2354" s="18" t="s">
        <v>5902</v>
      </c>
      <c r="E2354" s="18" t="s">
        <v>5909</v>
      </c>
    </row>
    <row r="2355" spans="1:5" x14ac:dyDescent="0.25">
      <c r="A2355" s="16">
        <v>2378</v>
      </c>
      <c r="B2355" s="18" t="s">
        <v>5705</v>
      </c>
      <c r="C2355" s="18" t="s">
        <v>5866</v>
      </c>
      <c r="D2355" s="18" t="s">
        <v>5902</v>
      </c>
      <c r="E2355" s="18" t="s">
        <v>5910</v>
      </c>
    </row>
    <row r="2356" spans="1:5" ht="24" customHeight="1" x14ac:dyDescent="0.25">
      <c r="A2356" s="16">
        <v>2379</v>
      </c>
      <c r="B2356" s="18" t="s">
        <v>5705</v>
      </c>
      <c r="C2356" s="18" t="s">
        <v>5866</v>
      </c>
      <c r="D2356" s="18" t="s">
        <v>5902</v>
      </c>
      <c r="E2356" s="18" t="s">
        <v>5911</v>
      </c>
    </row>
    <row r="2357" spans="1:5" ht="24" customHeight="1" x14ac:dyDescent="0.25">
      <c r="A2357" s="16">
        <v>2380</v>
      </c>
      <c r="B2357" s="18" t="s">
        <v>5705</v>
      </c>
      <c r="C2357" s="18" t="s">
        <v>5866</v>
      </c>
      <c r="D2357" s="18" t="s">
        <v>5902</v>
      </c>
      <c r="E2357" s="18" t="s">
        <v>5912</v>
      </c>
    </row>
    <row r="2358" spans="1:5" x14ac:dyDescent="0.25">
      <c r="A2358" s="16">
        <v>2381</v>
      </c>
      <c r="B2358" s="18" t="s">
        <v>5705</v>
      </c>
      <c r="C2358" s="18" t="s">
        <v>5866</v>
      </c>
      <c r="D2358" s="18" t="s">
        <v>5902</v>
      </c>
      <c r="E2358" s="18" t="s">
        <v>5913</v>
      </c>
    </row>
    <row r="2359" spans="1:5" x14ac:dyDescent="0.25">
      <c r="A2359" s="16">
        <v>2382</v>
      </c>
      <c r="B2359" s="18" t="s">
        <v>5705</v>
      </c>
      <c r="C2359" s="18" t="s">
        <v>5866</v>
      </c>
      <c r="D2359" s="18" t="s">
        <v>5902</v>
      </c>
      <c r="E2359" s="18" t="s">
        <v>5914</v>
      </c>
    </row>
    <row r="2360" spans="1:5" x14ac:dyDescent="0.25">
      <c r="A2360" s="16">
        <v>2383</v>
      </c>
      <c r="B2360" s="18" t="s">
        <v>5705</v>
      </c>
      <c r="C2360" s="18" t="s">
        <v>5866</v>
      </c>
      <c r="D2360" s="18" t="s">
        <v>5902</v>
      </c>
      <c r="E2360" s="18" t="s">
        <v>5915</v>
      </c>
    </row>
    <row r="2361" spans="1:5" x14ac:dyDescent="0.25">
      <c r="A2361" s="16">
        <v>2384</v>
      </c>
      <c r="B2361" s="18" t="s">
        <v>5705</v>
      </c>
      <c r="C2361" s="18" t="s">
        <v>5866</v>
      </c>
      <c r="D2361" s="18" t="s">
        <v>5902</v>
      </c>
      <c r="E2361" s="18" t="s">
        <v>5916</v>
      </c>
    </row>
    <row r="2362" spans="1:5" ht="24" customHeight="1" x14ac:dyDescent="0.25">
      <c r="A2362" s="16">
        <v>2385</v>
      </c>
      <c r="B2362" s="18" t="s">
        <v>5705</v>
      </c>
      <c r="C2362" s="18" t="s">
        <v>5866</v>
      </c>
      <c r="D2362" s="18" t="s">
        <v>5902</v>
      </c>
      <c r="E2362" s="18" t="s">
        <v>5917</v>
      </c>
    </row>
    <row r="2363" spans="1:5" ht="24" customHeight="1" x14ac:dyDescent="0.25">
      <c r="A2363" s="16">
        <v>2386</v>
      </c>
      <c r="B2363" s="18" t="s">
        <v>5705</v>
      </c>
      <c r="C2363" s="18" t="s">
        <v>5866</v>
      </c>
      <c r="D2363" s="18" t="s">
        <v>5902</v>
      </c>
      <c r="E2363" s="18" t="s">
        <v>5918</v>
      </c>
    </row>
    <row r="2364" spans="1:5" x14ac:dyDescent="0.25">
      <c r="A2364" s="16">
        <v>2387</v>
      </c>
      <c r="B2364" s="18" t="s">
        <v>5705</v>
      </c>
      <c r="C2364" s="18" t="s">
        <v>5866</v>
      </c>
      <c r="D2364" s="18" t="s">
        <v>5902</v>
      </c>
      <c r="E2364" s="18" t="s">
        <v>5919</v>
      </c>
    </row>
    <row r="2365" spans="1:5" ht="24" customHeight="1" x14ac:dyDescent="0.25">
      <c r="A2365" s="16">
        <v>2388</v>
      </c>
      <c r="B2365" s="18" t="s">
        <v>5705</v>
      </c>
      <c r="C2365" s="18" t="s">
        <v>5866</v>
      </c>
      <c r="D2365" s="18" t="s">
        <v>5902</v>
      </c>
      <c r="E2365" s="18" t="s">
        <v>5920</v>
      </c>
    </row>
    <row r="2366" spans="1:5" ht="24" customHeight="1" x14ac:dyDescent="0.25">
      <c r="A2366" s="16">
        <v>2389</v>
      </c>
      <c r="B2366" s="18" t="s">
        <v>5705</v>
      </c>
      <c r="C2366" s="18" t="s">
        <v>5866</v>
      </c>
      <c r="D2366" s="18" t="s">
        <v>5921</v>
      </c>
      <c r="E2366" s="18" t="s">
        <v>5922</v>
      </c>
    </row>
    <row r="2367" spans="1:5" x14ac:dyDescent="0.25">
      <c r="A2367" s="16">
        <v>2390</v>
      </c>
      <c r="B2367" s="18" t="s">
        <v>5705</v>
      </c>
      <c r="C2367" s="18" t="s">
        <v>5866</v>
      </c>
      <c r="D2367" s="18" t="s">
        <v>5921</v>
      </c>
      <c r="E2367" s="18" t="s">
        <v>5923</v>
      </c>
    </row>
    <row r="2368" spans="1:5" x14ac:dyDescent="0.25">
      <c r="A2368" s="16">
        <v>2391</v>
      </c>
      <c r="B2368" s="18" t="s">
        <v>5705</v>
      </c>
      <c r="C2368" s="18" t="s">
        <v>5866</v>
      </c>
      <c r="D2368" s="18" t="s">
        <v>5921</v>
      </c>
      <c r="E2368" s="18" t="s">
        <v>5924</v>
      </c>
    </row>
    <row r="2369" spans="1:5" x14ac:dyDescent="0.25">
      <c r="A2369" s="16">
        <v>2392</v>
      </c>
      <c r="B2369" s="18" t="s">
        <v>5705</v>
      </c>
      <c r="C2369" s="18" t="s">
        <v>5866</v>
      </c>
      <c r="D2369" s="18" t="s">
        <v>5921</v>
      </c>
      <c r="E2369" s="18" t="s">
        <v>5925</v>
      </c>
    </row>
    <row r="2370" spans="1:5" x14ac:dyDescent="0.25">
      <c r="A2370" s="16">
        <v>2393</v>
      </c>
      <c r="B2370" s="18" t="s">
        <v>5705</v>
      </c>
      <c r="C2370" s="18" t="s">
        <v>5866</v>
      </c>
      <c r="D2370" s="18" t="s">
        <v>5921</v>
      </c>
      <c r="E2370" s="18" t="s">
        <v>5926</v>
      </c>
    </row>
    <row r="2371" spans="1:5" x14ac:dyDescent="0.25">
      <c r="A2371" s="16">
        <v>2394</v>
      </c>
      <c r="B2371" s="18" t="s">
        <v>5705</v>
      </c>
      <c r="C2371" s="18" t="s">
        <v>5866</v>
      </c>
      <c r="D2371" s="18" t="s">
        <v>5921</v>
      </c>
      <c r="E2371" s="18" t="s">
        <v>5927</v>
      </c>
    </row>
    <row r="2372" spans="1:5" ht="36" customHeight="1" x14ac:dyDescent="0.25">
      <c r="A2372" s="16">
        <v>2395</v>
      </c>
      <c r="B2372" s="18" t="s">
        <v>5705</v>
      </c>
      <c r="C2372" s="18" t="s">
        <v>5866</v>
      </c>
      <c r="D2372" s="18" t="s">
        <v>5921</v>
      </c>
      <c r="E2372" s="18" t="s">
        <v>5928</v>
      </c>
    </row>
    <row r="2373" spans="1:5" x14ac:dyDescent="0.25">
      <c r="A2373" s="16">
        <v>2396</v>
      </c>
      <c r="B2373" s="18" t="s">
        <v>5705</v>
      </c>
      <c r="C2373" s="18" t="s">
        <v>5866</v>
      </c>
      <c r="D2373" s="18" t="s">
        <v>5929</v>
      </c>
      <c r="E2373" s="18" t="s">
        <v>5930</v>
      </c>
    </row>
    <row r="2374" spans="1:5" x14ac:dyDescent="0.25">
      <c r="A2374" s="16">
        <v>2397</v>
      </c>
      <c r="B2374" s="18" t="s">
        <v>5705</v>
      </c>
      <c r="C2374" s="18" t="s">
        <v>5866</v>
      </c>
      <c r="D2374" s="18" t="s">
        <v>5929</v>
      </c>
      <c r="E2374" s="18" t="s">
        <v>5931</v>
      </c>
    </row>
    <row r="2375" spans="1:5" x14ac:dyDescent="0.25">
      <c r="A2375" s="16">
        <v>2398</v>
      </c>
      <c r="B2375" s="18" t="s">
        <v>5705</v>
      </c>
      <c r="C2375" s="18" t="s">
        <v>5866</v>
      </c>
      <c r="D2375" s="18" t="s">
        <v>5929</v>
      </c>
      <c r="E2375" s="18" t="s">
        <v>5932</v>
      </c>
    </row>
    <row r="2376" spans="1:5" x14ac:dyDescent="0.25">
      <c r="A2376" s="16">
        <v>2399</v>
      </c>
      <c r="B2376" s="18" t="s">
        <v>5705</v>
      </c>
      <c r="C2376" s="18" t="s">
        <v>5866</v>
      </c>
      <c r="D2376" s="18" t="s">
        <v>5929</v>
      </c>
      <c r="E2376" s="18" t="s">
        <v>5933</v>
      </c>
    </row>
    <row r="2377" spans="1:5" x14ac:dyDescent="0.25">
      <c r="A2377" s="16">
        <v>2400</v>
      </c>
      <c r="B2377" s="18" t="s">
        <v>5705</v>
      </c>
      <c r="C2377" s="18" t="s">
        <v>5866</v>
      </c>
      <c r="D2377" s="18" t="s">
        <v>5929</v>
      </c>
      <c r="E2377" s="18" t="s">
        <v>5934</v>
      </c>
    </row>
    <row r="2378" spans="1:5" x14ac:dyDescent="0.25">
      <c r="A2378" s="16">
        <v>2401</v>
      </c>
      <c r="B2378" s="18" t="s">
        <v>5705</v>
      </c>
      <c r="C2378" s="18" t="s">
        <v>5866</v>
      </c>
      <c r="D2378" s="18" t="s">
        <v>5929</v>
      </c>
      <c r="E2378" s="18" t="s">
        <v>5935</v>
      </c>
    </row>
    <row r="2379" spans="1:5" x14ac:dyDescent="0.25">
      <c r="A2379" s="16">
        <v>2402</v>
      </c>
      <c r="B2379" s="18" t="s">
        <v>5705</v>
      </c>
      <c r="C2379" s="18" t="s">
        <v>5866</v>
      </c>
      <c r="D2379" s="18" t="s">
        <v>5929</v>
      </c>
      <c r="E2379" s="18" t="s">
        <v>5936</v>
      </c>
    </row>
    <row r="2380" spans="1:5" x14ac:dyDescent="0.25">
      <c r="A2380" s="16">
        <v>2403</v>
      </c>
      <c r="B2380" s="18" t="s">
        <v>5705</v>
      </c>
      <c r="C2380" s="18" t="s">
        <v>5866</v>
      </c>
      <c r="D2380" s="18" t="s">
        <v>5929</v>
      </c>
      <c r="E2380" s="18" t="s">
        <v>5937</v>
      </c>
    </row>
    <row r="2381" spans="1:5" x14ac:dyDescent="0.25">
      <c r="A2381" s="16">
        <v>2404</v>
      </c>
      <c r="B2381" s="18" t="s">
        <v>5705</v>
      </c>
      <c r="C2381" s="18" t="s">
        <v>5866</v>
      </c>
      <c r="D2381" s="18" t="s">
        <v>5938</v>
      </c>
      <c r="E2381" s="18" t="s">
        <v>5939</v>
      </c>
    </row>
    <row r="2382" spans="1:5" x14ac:dyDescent="0.25">
      <c r="A2382" s="16">
        <v>2405</v>
      </c>
      <c r="B2382" s="18" t="s">
        <v>5705</v>
      </c>
      <c r="C2382" s="18" t="s">
        <v>5866</v>
      </c>
      <c r="D2382" s="18" t="s">
        <v>5938</v>
      </c>
      <c r="E2382" s="18" t="s">
        <v>5940</v>
      </c>
    </row>
    <row r="2383" spans="1:5" ht="24" customHeight="1" x14ac:dyDescent="0.25">
      <c r="A2383" s="16">
        <v>2406</v>
      </c>
      <c r="B2383" s="18" t="s">
        <v>5705</v>
      </c>
      <c r="C2383" s="18" t="s">
        <v>5866</v>
      </c>
      <c r="D2383" s="18" t="s">
        <v>5938</v>
      </c>
      <c r="E2383" s="18" t="s">
        <v>5941</v>
      </c>
    </row>
    <row r="2384" spans="1:5" x14ac:dyDescent="0.25">
      <c r="A2384" s="16">
        <v>2407</v>
      </c>
      <c r="B2384" s="18" t="s">
        <v>5705</v>
      </c>
      <c r="C2384" s="18" t="s">
        <v>5866</v>
      </c>
      <c r="D2384" s="18" t="s">
        <v>5938</v>
      </c>
      <c r="E2384" s="18" t="s">
        <v>5942</v>
      </c>
    </row>
    <row r="2385" spans="1:5" ht="24" customHeight="1" x14ac:dyDescent="0.25">
      <c r="A2385" s="16">
        <v>2408</v>
      </c>
      <c r="B2385" s="18" t="s">
        <v>5705</v>
      </c>
      <c r="C2385" s="18" t="s">
        <v>5866</v>
      </c>
      <c r="D2385" s="18" t="s">
        <v>5938</v>
      </c>
      <c r="E2385" s="18" t="s">
        <v>5943</v>
      </c>
    </row>
    <row r="2386" spans="1:5" x14ac:dyDescent="0.25">
      <c r="A2386" s="16">
        <v>2409</v>
      </c>
      <c r="B2386" s="18" t="s">
        <v>5705</v>
      </c>
      <c r="C2386" s="18" t="s">
        <v>5866</v>
      </c>
      <c r="D2386" s="18" t="s">
        <v>5938</v>
      </c>
      <c r="E2386" s="18" t="s">
        <v>5944</v>
      </c>
    </row>
    <row r="2387" spans="1:5" x14ac:dyDescent="0.25">
      <c r="A2387" s="16">
        <v>2410</v>
      </c>
      <c r="B2387" s="18" t="s">
        <v>5705</v>
      </c>
      <c r="C2387" s="18" t="s">
        <v>5866</v>
      </c>
      <c r="D2387" s="18" t="s">
        <v>5938</v>
      </c>
      <c r="E2387" s="18" t="s">
        <v>5945</v>
      </c>
    </row>
    <row r="2388" spans="1:5" x14ac:dyDescent="0.25">
      <c r="A2388" s="16">
        <v>2411</v>
      </c>
      <c r="B2388" s="18" t="s">
        <v>5705</v>
      </c>
      <c r="C2388" s="18" t="s">
        <v>5866</v>
      </c>
      <c r="D2388" s="18" t="s">
        <v>5801</v>
      </c>
      <c r="E2388" s="18" t="s">
        <v>5946</v>
      </c>
    </row>
    <row r="2389" spans="1:5" x14ac:dyDescent="0.25">
      <c r="A2389" s="16">
        <v>2412</v>
      </c>
      <c r="B2389" s="18" t="s">
        <v>5705</v>
      </c>
      <c r="C2389" s="18" t="s">
        <v>5866</v>
      </c>
      <c r="D2389" s="18" t="s">
        <v>5801</v>
      </c>
      <c r="E2389" s="18" t="s">
        <v>5947</v>
      </c>
    </row>
    <row r="2390" spans="1:5" x14ac:dyDescent="0.25">
      <c r="A2390" s="16">
        <v>2413</v>
      </c>
      <c r="B2390" s="18" t="s">
        <v>5705</v>
      </c>
      <c r="C2390" s="18" t="s">
        <v>5866</v>
      </c>
      <c r="D2390" s="18" t="s">
        <v>5801</v>
      </c>
      <c r="E2390" s="18" t="s">
        <v>5948</v>
      </c>
    </row>
    <row r="2391" spans="1:5" x14ac:dyDescent="0.25">
      <c r="A2391" s="16">
        <v>2414</v>
      </c>
      <c r="B2391" s="18" t="s">
        <v>5705</v>
      </c>
      <c r="C2391" s="18" t="s">
        <v>5866</v>
      </c>
      <c r="D2391" s="18" t="s">
        <v>5801</v>
      </c>
      <c r="E2391" s="18" t="s">
        <v>5949</v>
      </c>
    </row>
    <row r="2392" spans="1:5" x14ac:dyDescent="0.25">
      <c r="A2392" s="16">
        <v>2415</v>
      </c>
      <c r="B2392" s="18" t="s">
        <v>5705</v>
      </c>
      <c r="C2392" s="18" t="s">
        <v>5866</v>
      </c>
      <c r="D2392" s="18" t="s">
        <v>5801</v>
      </c>
      <c r="E2392" s="18" t="s">
        <v>5950</v>
      </c>
    </row>
    <row r="2393" spans="1:5" x14ac:dyDescent="0.25">
      <c r="A2393" s="16">
        <v>2416</v>
      </c>
      <c r="B2393" s="18" t="s">
        <v>5705</v>
      </c>
      <c r="C2393" s="18" t="s">
        <v>5866</v>
      </c>
      <c r="D2393" s="18" t="s">
        <v>5951</v>
      </c>
      <c r="E2393" s="18" t="s">
        <v>5952</v>
      </c>
    </row>
    <row r="2394" spans="1:5" x14ac:dyDescent="0.25">
      <c r="A2394" s="16">
        <v>2417</v>
      </c>
      <c r="B2394" s="18" t="s">
        <v>5705</v>
      </c>
      <c r="C2394" s="18" t="s">
        <v>5866</v>
      </c>
      <c r="D2394" s="18" t="s">
        <v>5951</v>
      </c>
      <c r="E2394" s="18" t="s">
        <v>5953</v>
      </c>
    </row>
    <row r="2395" spans="1:5" x14ac:dyDescent="0.25">
      <c r="A2395" s="16">
        <v>2418</v>
      </c>
      <c r="B2395" s="18" t="s">
        <v>5705</v>
      </c>
      <c r="C2395" s="18" t="s">
        <v>5866</v>
      </c>
      <c r="D2395" s="18" t="s">
        <v>5951</v>
      </c>
      <c r="E2395" s="18" t="s">
        <v>5954</v>
      </c>
    </row>
    <row r="2396" spans="1:5" ht="24" customHeight="1" x14ac:dyDescent="0.25">
      <c r="A2396" s="16">
        <v>2419</v>
      </c>
      <c r="B2396" s="18" t="s">
        <v>5705</v>
      </c>
      <c r="C2396" s="18" t="s">
        <v>5866</v>
      </c>
      <c r="D2396" s="18" t="s">
        <v>5951</v>
      </c>
      <c r="E2396" s="18" t="s">
        <v>5955</v>
      </c>
    </row>
    <row r="2397" spans="1:5" x14ac:dyDescent="0.25">
      <c r="A2397" s="16">
        <v>2420</v>
      </c>
      <c r="B2397" s="18" t="s">
        <v>5705</v>
      </c>
      <c r="C2397" s="18" t="s">
        <v>5866</v>
      </c>
      <c r="D2397" s="18" t="s">
        <v>5951</v>
      </c>
      <c r="E2397" s="18" t="s">
        <v>5956</v>
      </c>
    </row>
    <row r="2398" spans="1:5" x14ac:dyDescent="0.25">
      <c r="A2398" s="16">
        <v>2421</v>
      </c>
      <c r="B2398" s="18" t="s">
        <v>5705</v>
      </c>
      <c r="C2398" s="18" t="s">
        <v>5866</v>
      </c>
      <c r="D2398" s="18" t="s">
        <v>5951</v>
      </c>
      <c r="E2398" s="18" t="s">
        <v>5957</v>
      </c>
    </row>
    <row r="2399" spans="1:5" x14ac:dyDescent="0.25">
      <c r="A2399" s="16">
        <v>2422</v>
      </c>
      <c r="B2399" s="18" t="s">
        <v>5705</v>
      </c>
      <c r="C2399" s="18" t="s">
        <v>5866</v>
      </c>
      <c r="D2399" s="18" t="s">
        <v>5951</v>
      </c>
      <c r="E2399" s="18" t="s">
        <v>5958</v>
      </c>
    </row>
    <row r="2400" spans="1:5" x14ac:dyDescent="0.25">
      <c r="A2400" s="16">
        <v>2423</v>
      </c>
      <c r="B2400" s="18" t="s">
        <v>5705</v>
      </c>
      <c r="C2400" s="18" t="s">
        <v>5866</v>
      </c>
      <c r="D2400" s="18" t="s">
        <v>5959</v>
      </c>
      <c r="E2400" s="18" t="s">
        <v>5960</v>
      </c>
    </row>
    <row r="2401" spans="1:5" x14ac:dyDescent="0.25">
      <c r="A2401" s="16">
        <v>2424</v>
      </c>
      <c r="B2401" s="18" t="s">
        <v>5705</v>
      </c>
      <c r="C2401" s="18" t="s">
        <v>5866</v>
      </c>
      <c r="D2401" s="18" t="s">
        <v>5959</v>
      </c>
      <c r="E2401" s="18" t="s">
        <v>5961</v>
      </c>
    </row>
    <row r="2402" spans="1:5" x14ac:dyDescent="0.25">
      <c r="A2402" s="16">
        <v>2425</v>
      </c>
      <c r="B2402" s="18" t="s">
        <v>5705</v>
      </c>
      <c r="C2402" s="18" t="s">
        <v>5866</v>
      </c>
      <c r="D2402" s="18" t="s">
        <v>5959</v>
      </c>
      <c r="E2402" s="18" t="s">
        <v>5962</v>
      </c>
    </row>
    <row r="2403" spans="1:5" x14ac:dyDescent="0.25">
      <c r="A2403" s="16">
        <v>2426</v>
      </c>
      <c r="B2403" s="18" t="s">
        <v>5705</v>
      </c>
      <c r="C2403" s="18" t="s">
        <v>5866</v>
      </c>
      <c r="D2403" s="18" t="s">
        <v>5959</v>
      </c>
      <c r="E2403" s="18" t="s">
        <v>5963</v>
      </c>
    </row>
    <row r="2404" spans="1:5" x14ac:dyDescent="0.25">
      <c r="A2404" s="16">
        <v>2427</v>
      </c>
      <c r="B2404" s="18" t="s">
        <v>5705</v>
      </c>
      <c r="C2404" s="18" t="s">
        <v>5866</v>
      </c>
      <c r="D2404" s="18" t="s">
        <v>5959</v>
      </c>
      <c r="E2404" s="18" t="s">
        <v>5950</v>
      </c>
    </row>
    <row r="2405" spans="1:5" ht="24" customHeight="1" x14ac:dyDescent="0.25">
      <c r="A2405" s="16">
        <v>2428</v>
      </c>
      <c r="B2405" s="18" t="s">
        <v>5705</v>
      </c>
      <c r="C2405" s="18" t="s">
        <v>5866</v>
      </c>
      <c r="D2405" s="18" t="s">
        <v>5964</v>
      </c>
      <c r="E2405" s="18" t="s">
        <v>5965</v>
      </c>
    </row>
    <row r="2406" spans="1:5" ht="24" customHeight="1" x14ac:dyDescent="0.25">
      <c r="A2406" s="16">
        <v>2429</v>
      </c>
      <c r="B2406" s="18" t="s">
        <v>5705</v>
      </c>
      <c r="C2406" s="18" t="s">
        <v>5866</v>
      </c>
      <c r="D2406" s="18" t="s">
        <v>5964</v>
      </c>
      <c r="E2406" s="18" t="s">
        <v>5966</v>
      </c>
    </row>
    <row r="2407" spans="1:5" x14ac:dyDescent="0.25">
      <c r="A2407" s="16">
        <v>2430</v>
      </c>
      <c r="B2407" s="18" t="s">
        <v>5705</v>
      </c>
      <c r="C2407" s="18" t="s">
        <v>5866</v>
      </c>
      <c r="D2407" s="18" t="s">
        <v>5964</v>
      </c>
      <c r="E2407" s="18" t="s">
        <v>5967</v>
      </c>
    </row>
    <row r="2408" spans="1:5" x14ac:dyDescent="0.25">
      <c r="A2408" s="16">
        <v>2431</v>
      </c>
      <c r="B2408" s="18" t="s">
        <v>5705</v>
      </c>
      <c r="C2408" s="18" t="s">
        <v>5866</v>
      </c>
      <c r="D2408" s="18" t="s">
        <v>5964</v>
      </c>
      <c r="E2408" s="18" t="s">
        <v>5968</v>
      </c>
    </row>
    <row r="2409" spans="1:5" ht="24" customHeight="1" x14ac:dyDescent="0.25">
      <c r="A2409" s="16">
        <v>2432</v>
      </c>
      <c r="B2409" s="18" t="s">
        <v>5705</v>
      </c>
      <c r="C2409" s="18" t="s">
        <v>5866</v>
      </c>
      <c r="D2409" s="18" t="s">
        <v>5964</v>
      </c>
      <c r="E2409" s="18" t="s">
        <v>5969</v>
      </c>
    </row>
    <row r="2410" spans="1:5" x14ac:dyDescent="0.25">
      <c r="A2410" s="16">
        <v>2433</v>
      </c>
      <c r="B2410" s="18" t="s">
        <v>5705</v>
      </c>
      <c r="C2410" s="18" t="s">
        <v>5866</v>
      </c>
      <c r="D2410" s="18" t="s">
        <v>5964</v>
      </c>
      <c r="E2410" s="18" t="s">
        <v>5970</v>
      </c>
    </row>
    <row r="2411" spans="1:5" x14ac:dyDescent="0.25">
      <c r="A2411" s="16">
        <v>2434</v>
      </c>
      <c r="B2411" s="18" t="s">
        <v>5705</v>
      </c>
      <c r="C2411" s="18" t="s">
        <v>5866</v>
      </c>
      <c r="D2411" s="18" t="s">
        <v>5964</v>
      </c>
      <c r="E2411" s="18" t="s">
        <v>5971</v>
      </c>
    </row>
    <row r="2412" spans="1:5" x14ac:dyDescent="0.25">
      <c r="A2412" s="16">
        <v>2435</v>
      </c>
      <c r="B2412" s="18" t="s">
        <v>5705</v>
      </c>
      <c r="C2412" s="18" t="s">
        <v>5866</v>
      </c>
      <c r="D2412" s="18" t="s">
        <v>5972</v>
      </c>
      <c r="E2412" s="18" t="s">
        <v>5973</v>
      </c>
    </row>
    <row r="2413" spans="1:5" x14ac:dyDescent="0.25">
      <c r="A2413" s="16">
        <v>2436</v>
      </c>
      <c r="B2413" s="18" t="s">
        <v>5705</v>
      </c>
      <c r="C2413" s="18" t="s">
        <v>5866</v>
      </c>
      <c r="D2413" s="18" t="s">
        <v>5972</v>
      </c>
      <c r="E2413" s="18" t="s">
        <v>5974</v>
      </c>
    </row>
    <row r="2414" spans="1:5" ht="24" customHeight="1" x14ac:dyDescent="0.25">
      <c r="A2414" s="16">
        <v>2437</v>
      </c>
      <c r="B2414" s="18" t="s">
        <v>5705</v>
      </c>
      <c r="C2414" s="18" t="s">
        <v>5866</v>
      </c>
      <c r="D2414" s="18" t="s">
        <v>5972</v>
      </c>
      <c r="E2414" s="18" t="s">
        <v>5975</v>
      </c>
    </row>
    <row r="2415" spans="1:5" x14ac:dyDescent="0.25">
      <c r="A2415" s="16">
        <v>2438</v>
      </c>
      <c r="B2415" s="18" t="s">
        <v>5705</v>
      </c>
      <c r="C2415" s="18" t="s">
        <v>5866</v>
      </c>
      <c r="D2415" s="18" t="s">
        <v>5972</v>
      </c>
      <c r="E2415" s="18" t="s">
        <v>5976</v>
      </c>
    </row>
    <row r="2416" spans="1:5" x14ac:dyDescent="0.25">
      <c r="A2416" s="16">
        <v>2439</v>
      </c>
      <c r="B2416" s="18" t="s">
        <v>5705</v>
      </c>
      <c r="C2416" s="18" t="s">
        <v>5866</v>
      </c>
      <c r="D2416" s="18" t="s">
        <v>5972</v>
      </c>
      <c r="E2416" s="18" t="s">
        <v>5977</v>
      </c>
    </row>
    <row r="2417" spans="1:5" x14ac:dyDescent="0.25">
      <c r="A2417" s="16">
        <v>2440</v>
      </c>
      <c r="B2417" s="18" t="s">
        <v>5705</v>
      </c>
      <c r="C2417" s="18" t="s">
        <v>5866</v>
      </c>
      <c r="D2417" s="18" t="s">
        <v>5972</v>
      </c>
      <c r="E2417" s="18" t="s">
        <v>5978</v>
      </c>
    </row>
    <row r="2418" spans="1:5" x14ac:dyDescent="0.25">
      <c r="A2418" s="16">
        <v>2441</v>
      </c>
      <c r="B2418" s="18" t="s">
        <v>5705</v>
      </c>
      <c r="C2418" s="18" t="s">
        <v>5866</v>
      </c>
      <c r="D2418" s="18" t="s">
        <v>5972</v>
      </c>
      <c r="E2418" s="18" t="s">
        <v>5979</v>
      </c>
    </row>
    <row r="2419" spans="1:5" ht="24" customHeight="1" x14ac:dyDescent="0.25">
      <c r="A2419" s="16">
        <v>2442</v>
      </c>
      <c r="B2419" s="18" t="s">
        <v>5705</v>
      </c>
      <c r="C2419" s="18" t="s">
        <v>5866</v>
      </c>
      <c r="D2419" s="18" t="s">
        <v>5972</v>
      </c>
      <c r="E2419" s="18" t="s">
        <v>5980</v>
      </c>
    </row>
    <row r="2420" spans="1:5" x14ac:dyDescent="0.25">
      <c r="A2420" s="16">
        <v>2443</v>
      </c>
      <c r="B2420" s="18" t="s">
        <v>5705</v>
      </c>
      <c r="C2420" s="18" t="s">
        <v>5866</v>
      </c>
      <c r="D2420" s="18" t="s">
        <v>5981</v>
      </c>
      <c r="E2420" s="18" t="s">
        <v>5982</v>
      </c>
    </row>
    <row r="2421" spans="1:5" x14ac:dyDescent="0.25">
      <c r="A2421" s="16">
        <v>2444</v>
      </c>
      <c r="B2421" s="18" t="s">
        <v>5705</v>
      </c>
      <c r="C2421" s="18" t="s">
        <v>5866</v>
      </c>
      <c r="D2421" s="18" t="s">
        <v>5981</v>
      </c>
      <c r="E2421" s="18" t="s">
        <v>5983</v>
      </c>
    </row>
    <row r="2422" spans="1:5" x14ac:dyDescent="0.25">
      <c r="A2422" s="16">
        <v>2445</v>
      </c>
      <c r="B2422" s="18" t="s">
        <v>5705</v>
      </c>
      <c r="C2422" s="18" t="s">
        <v>5866</v>
      </c>
      <c r="D2422" s="18" t="s">
        <v>5981</v>
      </c>
      <c r="E2422" s="18" t="s">
        <v>5984</v>
      </c>
    </row>
    <row r="2423" spans="1:5" x14ac:dyDescent="0.25">
      <c r="A2423" s="16">
        <v>2446</v>
      </c>
      <c r="B2423" s="18" t="s">
        <v>5705</v>
      </c>
      <c r="C2423" s="18" t="s">
        <v>5866</v>
      </c>
      <c r="D2423" s="18" t="s">
        <v>5981</v>
      </c>
      <c r="E2423" s="18" t="s">
        <v>5985</v>
      </c>
    </row>
    <row r="2424" spans="1:5" x14ac:dyDescent="0.25">
      <c r="A2424" s="16">
        <v>2447</v>
      </c>
      <c r="B2424" s="18" t="s">
        <v>5705</v>
      </c>
      <c r="C2424" s="18" t="s">
        <v>5866</v>
      </c>
      <c r="D2424" s="18" t="s">
        <v>5981</v>
      </c>
      <c r="E2424" s="18" t="s">
        <v>5986</v>
      </c>
    </row>
    <row r="2425" spans="1:5" x14ac:dyDescent="0.25">
      <c r="A2425" s="16">
        <v>2448</v>
      </c>
      <c r="B2425" s="18" t="s">
        <v>5705</v>
      </c>
      <c r="C2425" s="18" t="s">
        <v>5866</v>
      </c>
      <c r="D2425" s="18" t="s">
        <v>5981</v>
      </c>
      <c r="E2425" s="18" t="s">
        <v>5987</v>
      </c>
    </row>
    <row r="2426" spans="1:5" x14ac:dyDescent="0.25">
      <c r="A2426" s="16">
        <v>2449</v>
      </c>
      <c r="B2426" s="18" t="s">
        <v>5705</v>
      </c>
      <c r="C2426" s="18" t="s">
        <v>5866</v>
      </c>
      <c r="D2426" s="18" t="s">
        <v>5981</v>
      </c>
      <c r="E2426" s="18" t="s">
        <v>5988</v>
      </c>
    </row>
    <row r="2427" spans="1:5" x14ac:dyDescent="0.25">
      <c r="A2427" s="16">
        <v>2450</v>
      </c>
      <c r="B2427" s="18" t="s">
        <v>5705</v>
      </c>
      <c r="C2427" s="18" t="s">
        <v>5866</v>
      </c>
      <c r="D2427" s="18" t="s">
        <v>5981</v>
      </c>
      <c r="E2427" s="18" t="s">
        <v>5989</v>
      </c>
    </row>
    <row r="2428" spans="1:5" x14ac:dyDescent="0.25">
      <c r="A2428" s="16">
        <v>2451</v>
      </c>
      <c r="B2428" s="18" t="s">
        <v>5705</v>
      </c>
      <c r="C2428" s="18" t="s">
        <v>5990</v>
      </c>
      <c r="D2428" s="18" t="s">
        <v>5991</v>
      </c>
      <c r="E2428" s="18" t="s">
        <v>5992</v>
      </c>
    </row>
    <row r="2429" spans="1:5" ht="24" customHeight="1" x14ac:dyDescent="0.25">
      <c r="A2429" s="16">
        <v>2452</v>
      </c>
      <c r="B2429" s="18" t="s">
        <v>5705</v>
      </c>
      <c r="C2429" s="18" t="s">
        <v>5990</v>
      </c>
      <c r="D2429" s="18" t="s">
        <v>5991</v>
      </c>
      <c r="E2429" s="18" t="s">
        <v>5993</v>
      </c>
    </row>
    <row r="2430" spans="1:5" x14ac:dyDescent="0.25">
      <c r="A2430" s="16">
        <v>2453</v>
      </c>
      <c r="B2430" s="18" t="s">
        <v>5705</v>
      </c>
      <c r="C2430" s="18" t="s">
        <v>5990</v>
      </c>
      <c r="D2430" s="18" t="s">
        <v>5991</v>
      </c>
      <c r="E2430" s="18" t="s">
        <v>5994</v>
      </c>
    </row>
    <row r="2431" spans="1:5" ht="24" customHeight="1" x14ac:dyDescent="0.25">
      <c r="A2431" s="16">
        <v>2454</v>
      </c>
      <c r="B2431" s="18" t="s">
        <v>5705</v>
      </c>
      <c r="C2431" s="18" t="s">
        <v>5990</v>
      </c>
      <c r="D2431" s="18" t="s">
        <v>5991</v>
      </c>
      <c r="E2431" s="18" t="s">
        <v>5995</v>
      </c>
    </row>
    <row r="2432" spans="1:5" ht="36" customHeight="1" x14ac:dyDescent="0.25">
      <c r="A2432" s="16">
        <v>2455</v>
      </c>
      <c r="B2432" s="18" t="s">
        <v>5705</v>
      </c>
      <c r="C2432" s="18" t="s">
        <v>5990</v>
      </c>
      <c r="D2432" s="18" t="s">
        <v>5991</v>
      </c>
      <c r="E2432" s="18" t="s">
        <v>5996</v>
      </c>
    </row>
    <row r="2433" spans="1:5" ht="36" customHeight="1" x14ac:dyDescent="0.25">
      <c r="A2433" s="16">
        <v>2456</v>
      </c>
      <c r="B2433" s="18" t="s">
        <v>5705</v>
      </c>
      <c r="C2433" s="18" t="s">
        <v>5990</v>
      </c>
      <c r="D2433" s="18" t="s">
        <v>5991</v>
      </c>
      <c r="E2433" s="18" t="s">
        <v>5997</v>
      </c>
    </row>
    <row r="2434" spans="1:5" x14ac:dyDescent="0.25">
      <c r="A2434" s="16">
        <v>2457</v>
      </c>
      <c r="B2434" s="18" t="s">
        <v>5705</v>
      </c>
      <c r="C2434" s="18" t="s">
        <v>5990</v>
      </c>
      <c r="D2434" s="18" t="s">
        <v>5991</v>
      </c>
      <c r="E2434" s="18" t="s">
        <v>5998</v>
      </c>
    </row>
    <row r="2435" spans="1:5" x14ac:dyDescent="0.25">
      <c r="A2435" s="16">
        <v>2458</v>
      </c>
      <c r="B2435" s="18" t="s">
        <v>5705</v>
      </c>
      <c r="C2435" s="18" t="s">
        <v>5990</v>
      </c>
      <c r="D2435" s="18" t="s">
        <v>5991</v>
      </c>
      <c r="E2435" s="18" t="s">
        <v>5999</v>
      </c>
    </row>
    <row r="2436" spans="1:5" x14ac:dyDescent="0.25">
      <c r="A2436" s="16">
        <v>2459</v>
      </c>
      <c r="B2436" s="18" t="s">
        <v>5705</v>
      </c>
      <c r="C2436" s="18" t="s">
        <v>5990</v>
      </c>
      <c r="D2436" s="18" t="s">
        <v>5991</v>
      </c>
      <c r="E2436" s="18" t="s">
        <v>6000</v>
      </c>
    </row>
    <row r="2437" spans="1:5" x14ac:dyDescent="0.25">
      <c r="A2437" s="16">
        <v>2460</v>
      </c>
      <c r="B2437" s="18" t="s">
        <v>5705</v>
      </c>
      <c r="C2437" s="18" t="s">
        <v>5990</v>
      </c>
      <c r="D2437" s="18" t="s">
        <v>5991</v>
      </c>
      <c r="E2437" s="18" t="s">
        <v>6001</v>
      </c>
    </row>
    <row r="2438" spans="1:5" x14ac:dyDescent="0.25">
      <c r="A2438" s="16">
        <v>2461</v>
      </c>
      <c r="B2438" s="18" t="s">
        <v>5705</v>
      </c>
      <c r="C2438" s="18" t="s">
        <v>5990</v>
      </c>
      <c r="D2438" s="18" t="s">
        <v>6002</v>
      </c>
      <c r="E2438" s="18" t="s">
        <v>6003</v>
      </c>
    </row>
    <row r="2439" spans="1:5" x14ac:dyDescent="0.25">
      <c r="A2439" s="16">
        <v>2462</v>
      </c>
      <c r="B2439" s="18" t="s">
        <v>5705</v>
      </c>
      <c r="C2439" s="18" t="s">
        <v>5990</v>
      </c>
      <c r="D2439" s="18" t="s">
        <v>6002</v>
      </c>
      <c r="E2439" s="18" t="s">
        <v>6004</v>
      </c>
    </row>
    <row r="2440" spans="1:5" ht="24" customHeight="1" x14ac:dyDescent="0.25">
      <c r="A2440" s="16">
        <v>2463</v>
      </c>
      <c r="B2440" s="18" t="s">
        <v>5705</v>
      </c>
      <c r="C2440" s="18" t="s">
        <v>5990</v>
      </c>
      <c r="D2440" s="18" t="s">
        <v>6002</v>
      </c>
      <c r="E2440" s="18" t="s">
        <v>6005</v>
      </c>
    </row>
    <row r="2441" spans="1:5" x14ac:dyDescent="0.25">
      <c r="A2441" s="16">
        <v>2464</v>
      </c>
      <c r="B2441" s="18" t="s">
        <v>5705</v>
      </c>
      <c r="C2441" s="18" t="s">
        <v>5990</v>
      </c>
      <c r="D2441" s="18" t="s">
        <v>6002</v>
      </c>
      <c r="E2441" s="18" t="s">
        <v>6006</v>
      </c>
    </row>
    <row r="2442" spans="1:5" ht="24" customHeight="1" x14ac:dyDescent="0.25">
      <c r="A2442" s="16">
        <v>2465</v>
      </c>
      <c r="B2442" s="18" t="s">
        <v>5705</v>
      </c>
      <c r="C2442" s="18" t="s">
        <v>5990</v>
      </c>
      <c r="D2442" s="18" t="s">
        <v>6002</v>
      </c>
      <c r="E2442" s="18" t="s">
        <v>6007</v>
      </c>
    </row>
    <row r="2443" spans="1:5" x14ac:dyDescent="0.25">
      <c r="A2443" s="16">
        <v>2466</v>
      </c>
      <c r="B2443" s="18" t="s">
        <v>5705</v>
      </c>
      <c r="C2443" s="18" t="s">
        <v>5990</v>
      </c>
      <c r="D2443" s="18" t="s">
        <v>5990</v>
      </c>
      <c r="E2443" s="18" t="s">
        <v>6008</v>
      </c>
    </row>
    <row r="2444" spans="1:5" x14ac:dyDescent="0.25">
      <c r="A2444" s="16">
        <v>2467</v>
      </c>
      <c r="B2444" s="18" t="s">
        <v>5705</v>
      </c>
      <c r="C2444" s="18" t="s">
        <v>5990</v>
      </c>
      <c r="D2444" s="18" t="s">
        <v>5990</v>
      </c>
      <c r="E2444" s="18" t="s">
        <v>5784</v>
      </c>
    </row>
    <row r="2445" spans="1:5" ht="24" customHeight="1" x14ac:dyDescent="0.25">
      <c r="A2445" s="16">
        <v>2468</v>
      </c>
      <c r="B2445" s="18" t="s">
        <v>5705</v>
      </c>
      <c r="C2445" s="18" t="s">
        <v>5990</v>
      </c>
      <c r="D2445" s="18" t="s">
        <v>5990</v>
      </c>
      <c r="E2445" s="18" t="s">
        <v>6009</v>
      </c>
    </row>
    <row r="2446" spans="1:5" x14ac:dyDescent="0.25">
      <c r="A2446" s="16">
        <v>2469</v>
      </c>
      <c r="B2446" s="18" t="s">
        <v>5705</v>
      </c>
      <c r="C2446" s="18" t="s">
        <v>5990</v>
      </c>
      <c r="D2446" s="18" t="s">
        <v>5990</v>
      </c>
      <c r="E2446" s="18" t="s">
        <v>6010</v>
      </c>
    </row>
    <row r="2447" spans="1:5" x14ac:dyDescent="0.25">
      <c r="A2447" s="16">
        <v>2470</v>
      </c>
      <c r="B2447" s="18" t="s">
        <v>5705</v>
      </c>
      <c r="C2447" s="18" t="s">
        <v>5990</v>
      </c>
      <c r="D2447" s="18" t="s">
        <v>5990</v>
      </c>
      <c r="E2447" s="18" t="s">
        <v>6011</v>
      </c>
    </row>
    <row r="2448" spans="1:5" x14ac:dyDescent="0.25">
      <c r="A2448" s="16">
        <v>2471</v>
      </c>
      <c r="B2448" s="18" t="s">
        <v>5705</v>
      </c>
      <c r="C2448" s="18" t="s">
        <v>5990</v>
      </c>
      <c r="D2448" s="18" t="s">
        <v>5990</v>
      </c>
      <c r="E2448" s="18" t="s">
        <v>6012</v>
      </c>
    </row>
    <row r="2449" spans="1:5" x14ac:dyDescent="0.25">
      <c r="A2449" s="16">
        <v>2472</v>
      </c>
      <c r="B2449" s="18" t="s">
        <v>5705</v>
      </c>
      <c r="C2449" s="18" t="s">
        <v>5990</v>
      </c>
      <c r="D2449" s="18" t="s">
        <v>5990</v>
      </c>
      <c r="E2449" s="18" t="s">
        <v>6013</v>
      </c>
    </row>
    <row r="2450" spans="1:5" x14ac:dyDescent="0.25">
      <c r="A2450" s="16">
        <v>2473</v>
      </c>
      <c r="B2450" s="18" t="s">
        <v>5705</v>
      </c>
      <c r="C2450" s="18" t="s">
        <v>5990</v>
      </c>
      <c r="D2450" s="18" t="s">
        <v>5990</v>
      </c>
      <c r="E2450" s="18" t="s">
        <v>5781</v>
      </c>
    </row>
    <row r="2451" spans="1:5" x14ac:dyDescent="0.25">
      <c r="A2451" s="16">
        <v>2474</v>
      </c>
      <c r="B2451" s="18" t="s">
        <v>5705</v>
      </c>
      <c r="C2451" s="18" t="s">
        <v>5990</v>
      </c>
      <c r="D2451" s="18" t="s">
        <v>6014</v>
      </c>
      <c r="E2451" s="18" t="s">
        <v>6015</v>
      </c>
    </row>
    <row r="2452" spans="1:5" x14ac:dyDescent="0.25">
      <c r="A2452" s="16">
        <v>2475</v>
      </c>
      <c r="B2452" s="18" t="s">
        <v>5705</v>
      </c>
      <c r="C2452" s="18" t="s">
        <v>5990</v>
      </c>
      <c r="D2452" s="18" t="s">
        <v>6014</v>
      </c>
      <c r="E2452" s="18" t="s">
        <v>6016</v>
      </c>
    </row>
    <row r="2453" spans="1:5" ht="24" customHeight="1" x14ac:dyDescent="0.25">
      <c r="A2453" s="16">
        <v>2476</v>
      </c>
      <c r="B2453" s="18" t="s">
        <v>5705</v>
      </c>
      <c r="C2453" s="18" t="s">
        <v>5990</v>
      </c>
      <c r="D2453" s="18" t="s">
        <v>6014</v>
      </c>
      <c r="E2453" s="18" t="s">
        <v>6017</v>
      </c>
    </row>
    <row r="2454" spans="1:5" x14ac:dyDescent="0.25">
      <c r="A2454" s="16">
        <v>2477</v>
      </c>
      <c r="B2454" s="18" t="s">
        <v>5705</v>
      </c>
      <c r="C2454" s="18" t="s">
        <v>5990</v>
      </c>
      <c r="D2454" s="18" t="s">
        <v>6014</v>
      </c>
      <c r="E2454" s="18" t="s">
        <v>6018</v>
      </c>
    </row>
    <row r="2455" spans="1:5" ht="24" customHeight="1" x14ac:dyDescent="0.25">
      <c r="A2455" s="16">
        <v>2478</v>
      </c>
      <c r="B2455" s="18" t="s">
        <v>5705</v>
      </c>
      <c r="C2455" s="18" t="s">
        <v>5990</v>
      </c>
      <c r="D2455" s="18" t="s">
        <v>6014</v>
      </c>
      <c r="E2455" s="18" t="s">
        <v>6019</v>
      </c>
    </row>
    <row r="2456" spans="1:5" x14ac:dyDescent="0.25">
      <c r="A2456" s="16">
        <v>2479</v>
      </c>
      <c r="B2456" s="18" t="s">
        <v>5705</v>
      </c>
      <c r="C2456" s="18" t="s">
        <v>5990</v>
      </c>
      <c r="D2456" s="18" t="s">
        <v>6020</v>
      </c>
      <c r="E2456" s="18" t="s">
        <v>6021</v>
      </c>
    </row>
    <row r="2457" spans="1:5" x14ac:dyDescent="0.25">
      <c r="A2457" s="16">
        <v>2480</v>
      </c>
      <c r="B2457" s="18" t="s">
        <v>5705</v>
      </c>
      <c r="C2457" s="18" t="s">
        <v>5990</v>
      </c>
      <c r="D2457" s="18" t="s">
        <v>6020</v>
      </c>
      <c r="E2457" s="18" t="s">
        <v>6022</v>
      </c>
    </row>
    <row r="2458" spans="1:5" x14ac:dyDescent="0.25">
      <c r="A2458" s="16">
        <v>2481</v>
      </c>
      <c r="B2458" s="18" t="s">
        <v>5705</v>
      </c>
      <c r="C2458" s="18" t="s">
        <v>5990</v>
      </c>
      <c r="D2458" s="18" t="s">
        <v>6020</v>
      </c>
      <c r="E2458" s="18" t="s">
        <v>6023</v>
      </c>
    </row>
    <row r="2459" spans="1:5" ht="24" customHeight="1" x14ac:dyDescent="0.25">
      <c r="A2459" s="16">
        <v>2482</v>
      </c>
      <c r="B2459" s="18" t="s">
        <v>5705</v>
      </c>
      <c r="C2459" s="18" t="s">
        <v>5990</v>
      </c>
      <c r="D2459" s="18" t="s">
        <v>6020</v>
      </c>
      <c r="E2459" s="18" t="s">
        <v>6024</v>
      </c>
    </row>
    <row r="2460" spans="1:5" x14ac:dyDescent="0.25">
      <c r="A2460" s="16">
        <v>2483</v>
      </c>
      <c r="B2460" s="18" t="s">
        <v>5705</v>
      </c>
      <c r="C2460" s="18" t="s">
        <v>5990</v>
      </c>
      <c r="D2460" s="18" t="s">
        <v>6020</v>
      </c>
      <c r="E2460" s="18" t="s">
        <v>6025</v>
      </c>
    </row>
    <row r="2461" spans="1:5" x14ac:dyDescent="0.25">
      <c r="A2461" s="16">
        <v>2484</v>
      </c>
      <c r="B2461" s="18" t="s">
        <v>5705</v>
      </c>
      <c r="C2461" s="18" t="s">
        <v>5990</v>
      </c>
      <c r="D2461" s="18" t="s">
        <v>6026</v>
      </c>
      <c r="E2461" s="18" t="s">
        <v>6027</v>
      </c>
    </row>
    <row r="2462" spans="1:5" x14ac:dyDescent="0.25">
      <c r="A2462" s="16">
        <v>2485</v>
      </c>
      <c r="B2462" s="18" t="s">
        <v>5705</v>
      </c>
      <c r="C2462" s="18" t="s">
        <v>5990</v>
      </c>
      <c r="D2462" s="18" t="s">
        <v>6026</v>
      </c>
      <c r="E2462" s="18" t="s">
        <v>6028</v>
      </c>
    </row>
    <row r="2463" spans="1:5" x14ac:dyDescent="0.25">
      <c r="A2463" s="16">
        <v>2486</v>
      </c>
      <c r="B2463" s="18" t="s">
        <v>5705</v>
      </c>
      <c r="C2463" s="18" t="s">
        <v>5990</v>
      </c>
      <c r="D2463" s="18" t="s">
        <v>6026</v>
      </c>
      <c r="E2463" s="18" t="s">
        <v>6029</v>
      </c>
    </row>
    <row r="2464" spans="1:5" x14ac:dyDescent="0.25">
      <c r="A2464" s="16">
        <v>2487</v>
      </c>
      <c r="B2464" s="18" t="s">
        <v>5705</v>
      </c>
      <c r="C2464" s="18" t="s">
        <v>5990</v>
      </c>
      <c r="D2464" s="18" t="s">
        <v>6026</v>
      </c>
      <c r="E2464" s="18" t="s">
        <v>6030</v>
      </c>
    </row>
    <row r="2465" spans="1:5" x14ac:dyDescent="0.25">
      <c r="A2465" s="16">
        <v>2488</v>
      </c>
      <c r="B2465" s="18" t="s">
        <v>5705</v>
      </c>
      <c r="C2465" s="18" t="s">
        <v>5990</v>
      </c>
      <c r="D2465" s="18" t="s">
        <v>6026</v>
      </c>
      <c r="E2465" s="18" t="s">
        <v>6031</v>
      </c>
    </row>
    <row r="2466" spans="1:5" x14ac:dyDescent="0.25">
      <c r="A2466" s="16">
        <v>2489</v>
      </c>
      <c r="B2466" s="18" t="s">
        <v>5705</v>
      </c>
      <c r="C2466" s="18" t="s">
        <v>5990</v>
      </c>
      <c r="D2466" s="18" t="s">
        <v>6026</v>
      </c>
      <c r="E2466" s="18" t="s">
        <v>6032</v>
      </c>
    </row>
    <row r="2467" spans="1:5" x14ac:dyDescent="0.25">
      <c r="A2467" s="16">
        <v>2490</v>
      </c>
      <c r="B2467" s="18" t="s">
        <v>5705</v>
      </c>
      <c r="C2467" s="18" t="s">
        <v>5990</v>
      </c>
      <c r="D2467" s="18" t="s">
        <v>6033</v>
      </c>
      <c r="E2467" s="18" t="s">
        <v>6034</v>
      </c>
    </row>
    <row r="2468" spans="1:5" x14ac:dyDescent="0.25">
      <c r="A2468" s="16">
        <v>2491</v>
      </c>
      <c r="B2468" s="18" t="s">
        <v>5705</v>
      </c>
      <c r="C2468" s="18" t="s">
        <v>5990</v>
      </c>
      <c r="D2468" s="18" t="s">
        <v>6033</v>
      </c>
      <c r="E2468" s="18" t="s">
        <v>6035</v>
      </c>
    </row>
    <row r="2469" spans="1:5" x14ac:dyDescent="0.25">
      <c r="A2469" s="16">
        <v>2492</v>
      </c>
      <c r="B2469" s="18" t="s">
        <v>5705</v>
      </c>
      <c r="C2469" s="18" t="s">
        <v>5990</v>
      </c>
      <c r="D2469" s="18" t="s">
        <v>6033</v>
      </c>
      <c r="E2469" s="18" t="s">
        <v>6036</v>
      </c>
    </row>
    <row r="2470" spans="1:5" x14ac:dyDescent="0.25">
      <c r="A2470" s="16">
        <v>2493</v>
      </c>
      <c r="B2470" s="18" t="s">
        <v>5705</v>
      </c>
      <c r="C2470" s="18" t="s">
        <v>5990</v>
      </c>
      <c r="D2470" s="18" t="s">
        <v>6033</v>
      </c>
      <c r="E2470" s="18" t="s">
        <v>6037</v>
      </c>
    </row>
    <row r="2471" spans="1:5" ht="24" customHeight="1" x14ac:dyDescent="0.25">
      <c r="A2471" s="16">
        <v>2494</v>
      </c>
      <c r="B2471" s="18" t="s">
        <v>5705</v>
      </c>
      <c r="C2471" s="18" t="s">
        <v>5990</v>
      </c>
      <c r="D2471" s="18" t="s">
        <v>6033</v>
      </c>
      <c r="E2471" s="18" t="s">
        <v>6038</v>
      </c>
    </row>
    <row r="2472" spans="1:5" x14ac:dyDescent="0.25">
      <c r="A2472" s="16">
        <v>2495</v>
      </c>
      <c r="B2472" s="18" t="s">
        <v>5705</v>
      </c>
      <c r="C2472" s="18" t="s">
        <v>5990</v>
      </c>
      <c r="D2472" s="18" t="s">
        <v>6033</v>
      </c>
      <c r="E2472" s="18" t="s">
        <v>6039</v>
      </c>
    </row>
    <row r="2473" spans="1:5" x14ac:dyDescent="0.25">
      <c r="A2473" s="16">
        <v>2496</v>
      </c>
      <c r="B2473" s="18" t="s">
        <v>5705</v>
      </c>
      <c r="C2473" s="18" t="s">
        <v>5990</v>
      </c>
      <c r="D2473" s="18" t="s">
        <v>6040</v>
      </c>
      <c r="E2473" s="18" t="s">
        <v>6041</v>
      </c>
    </row>
    <row r="2474" spans="1:5" x14ac:dyDescent="0.25">
      <c r="A2474" s="16">
        <v>2497</v>
      </c>
      <c r="B2474" s="18" t="s">
        <v>5705</v>
      </c>
      <c r="C2474" s="18" t="s">
        <v>5990</v>
      </c>
      <c r="D2474" s="18" t="s">
        <v>6040</v>
      </c>
      <c r="E2474" s="18" t="s">
        <v>6042</v>
      </c>
    </row>
    <row r="2475" spans="1:5" ht="24" customHeight="1" x14ac:dyDescent="0.25">
      <c r="A2475" s="16">
        <v>2498</v>
      </c>
      <c r="B2475" s="18" t="s">
        <v>5705</v>
      </c>
      <c r="C2475" s="18" t="s">
        <v>5990</v>
      </c>
      <c r="D2475" s="18" t="s">
        <v>6040</v>
      </c>
      <c r="E2475" s="18" t="s">
        <v>6043</v>
      </c>
    </row>
    <row r="2476" spans="1:5" ht="24" customHeight="1" x14ac:dyDescent="0.25">
      <c r="A2476" s="16">
        <v>2499</v>
      </c>
      <c r="B2476" s="18" t="s">
        <v>5705</v>
      </c>
      <c r="C2476" s="18" t="s">
        <v>5990</v>
      </c>
      <c r="D2476" s="18" t="s">
        <v>6040</v>
      </c>
      <c r="E2476" s="18" t="s">
        <v>6044</v>
      </c>
    </row>
    <row r="2477" spans="1:5" x14ac:dyDescent="0.25">
      <c r="A2477" s="16">
        <v>2500</v>
      </c>
      <c r="B2477" s="18" t="s">
        <v>5705</v>
      </c>
      <c r="C2477" s="18" t="s">
        <v>5990</v>
      </c>
      <c r="D2477" s="18" t="s">
        <v>6040</v>
      </c>
      <c r="E2477" s="18" t="s">
        <v>6045</v>
      </c>
    </row>
    <row r="2478" spans="1:5" ht="24" customHeight="1" x14ac:dyDescent="0.25">
      <c r="A2478" s="16">
        <v>2501</v>
      </c>
      <c r="B2478" s="18" t="s">
        <v>5705</v>
      </c>
      <c r="C2478" s="18" t="s">
        <v>5990</v>
      </c>
      <c r="D2478" s="18" t="s">
        <v>6046</v>
      </c>
      <c r="E2478" s="18" t="s">
        <v>6047</v>
      </c>
    </row>
    <row r="2479" spans="1:5" x14ac:dyDescent="0.25">
      <c r="A2479" s="16">
        <v>2502</v>
      </c>
      <c r="B2479" s="18" t="s">
        <v>5705</v>
      </c>
      <c r="C2479" s="18" t="s">
        <v>5990</v>
      </c>
      <c r="D2479" s="18" t="s">
        <v>6046</v>
      </c>
      <c r="E2479" s="18" t="s">
        <v>6048</v>
      </c>
    </row>
    <row r="2480" spans="1:5" ht="24" customHeight="1" x14ac:dyDescent="0.25">
      <c r="A2480" s="16">
        <v>2503</v>
      </c>
      <c r="B2480" s="18" t="s">
        <v>5705</v>
      </c>
      <c r="C2480" s="18" t="s">
        <v>5990</v>
      </c>
      <c r="D2480" s="18" t="s">
        <v>6046</v>
      </c>
      <c r="E2480" s="18" t="s">
        <v>6049</v>
      </c>
    </row>
    <row r="2481" spans="1:5" x14ac:dyDescent="0.25">
      <c r="A2481" s="16">
        <v>2504</v>
      </c>
      <c r="B2481" s="18" t="s">
        <v>5705</v>
      </c>
      <c r="C2481" s="18" t="s">
        <v>5990</v>
      </c>
      <c r="D2481" s="18" t="s">
        <v>6046</v>
      </c>
      <c r="E2481" s="18" t="s">
        <v>6050</v>
      </c>
    </row>
    <row r="2482" spans="1:5" ht="24" customHeight="1" x14ac:dyDescent="0.25">
      <c r="A2482" s="16">
        <v>2505</v>
      </c>
      <c r="B2482" s="18" t="s">
        <v>5705</v>
      </c>
      <c r="C2482" s="18" t="s">
        <v>5990</v>
      </c>
      <c r="D2482" s="18" t="s">
        <v>6046</v>
      </c>
      <c r="E2482" s="18" t="s">
        <v>6051</v>
      </c>
    </row>
    <row r="2483" spans="1:5" x14ac:dyDescent="0.25">
      <c r="A2483" s="16">
        <v>2506</v>
      </c>
      <c r="B2483" s="18" t="s">
        <v>5705</v>
      </c>
      <c r="C2483" s="18" t="s">
        <v>5990</v>
      </c>
      <c r="D2483" s="18" t="s">
        <v>6046</v>
      </c>
      <c r="E2483" s="18" t="s">
        <v>6052</v>
      </c>
    </row>
    <row r="2484" spans="1:5" x14ac:dyDescent="0.25">
      <c r="A2484" s="16">
        <v>2507</v>
      </c>
      <c r="B2484" s="18" t="s">
        <v>5705</v>
      </c>
      <c r="C2484" s="18" t="s">
        <v>5990</v>
      </c>
      <c r="D2484" s="18" t="s">
        <v>6046</v>
      </c>
      <c r="E2484" s="18" t="s">
        <v>6053</v>
      </c>
    </row>
    <row r="2485" spans="1:5" x14ac:dyDescent="0.25">
      <c r="A2485" s="16">
        <v>2508</v>
      </c>
      <c r="B2485" s="18" t="s">
        <v>5705</v>
      </c>
      <c r="C2485" s="18" t="s">
        <v>5990</v>
      </c>
      <c r="D2485" s="18" t="s">
        <v>6046</v>
      </c>
      <c r="E2485" s="18" t="s">
        <v>6054</v>
      </c>
    </row>
    <row r="2486" spans="1:5" x14ac:dyDescent="0.25">
      <c r="A2486" s="16">
        <v>2509</v>
      </c>
      <c r="B2486" s="18" t="s">
        <v>5705</v>
      </c>
      <c r="C2486" s="18" t="s">
        <v>5990</v>
      </c>
      <c r="D2486" s="18" t="s">
        <v>6046</v>
      </c>
      <c r="E2486" s="18" t="s">
        <v>6055</v>
      </c>
    </row>
    <row r="2487" spans="1:5" x14ac:dyDescent="0.25">
      <c r="A2487" s="16">
        <v>2510</v>
      </c>
      <c r="B2487" s="18" t="s">
        <v>5705</v>
      </c>
      <c r="C2487" s="18" t="s">
        <v>5990</v>
      </c>
      <c r="D2487" s="18" t="s">
        <v>6046</v>
      </c>
      <c r="E2487" s="18" t="s">
        <v>6056</v>
      </c>
    </row>
    <row r="2488" spans="1:5" x14ac:dyDescent="0.25">
      <c r="A2488" s="16">
        <v>2511</v>
      </c>
      <c r="B2488" s="18" t="s">
        <v>5705</v>
      </c>
      <c r="C2488" s="18" t="s">
        <v>5990</v>
      </c>
      <c r="D2488" s="18" t="s">
        <v>6046</v>
      </c>
      <c r="E2488" s="18" t="s">
        <v>6057</v>
      </c>
    </row>
    <row r="2489" spans="1:5" ht="36" customHeight="1" x14ac:dyDescent="0.25">
      <c r="A2489" s="16">
        <v>2512</v>
      </c>
      <c r="B2489" s="18" t="s">
        <v>5705</v>
      </c>
      <c r="C2489" s="18" t="s">
        <v>5990</v>
      </c>
      <c r="D2489" s="18" t="s">
        <v>6058</v>
      </c>
      <c r="E2489" s="18" t="s">
        <v>6059</v>
      </c>
    </row>
    <row r="2490" spans="1:5" x14ac:dyDescent="0.25">
      <c r="A2490" s="16">
        <v>2513</v>
      </c>
      <c r="B2490" s="18" t="s">
        <v>5705</v>
      </c>
      <c r="C2490" s="18" t="s">
        <v>5990</v>
      </c>
      <c r="D2490" s="18" t="s">
        <v>6058</v>
      </c>
      <c r="E2490" s="18" t="s">
        <v>6060</v>
      </c>
    </row>
    <row r="2491" spans="1:5" x14ac:dyDescent="0.25">
      <c r="A2491" s="16">
        <v>2514</v>
      </c>
      <c r="B2491" s="18" t="s">
        <v>5705</v>
      </c>
      <c r="C2491" s="18" t="s">
        <v>5990</v>
      </c>
      <c r="D2491" s="18" t="s">
        <v>6058</v>
      </c>
      <c r="E2491" s="18" t="s">
        <v>6061</v>
      </c>
    </row>
    <row r="2492" spans="1:5" ht="36" customHeight="1" x14ac:dyDescent="0.25">
      <c r="A2492" s="16">
        <v>2515</v>
      </c>
      <c r="B2492" s="18" t="s">
        <v>5705</v>
      </c>
      <c r="C2492" s="18" t="s">
        <v>5990</v>
      </c>
      <c r="D2492" s="18" t="s">
        <v>6058</v>
      </c>
      <c r="E2492" s="18" t="s">
        <v>6062</v>
      </c>
    </row>
    <row r="2493" spans="1:5" x14ac:dyDescent="0.25">
      <c r="A2493" s="16">
        <v>2516</v>
      </c>
      <c r="B2493" s="18" t="s">
        <v>5705</v>
      </c>
      <c r="C2493" s="18" t="s">
        <v>5990</v>
      </c>
      <c r="D2493" s="18" t="s">
        <v>6058</v>
      </c>
      <c r="E2493" s="18" t="s">
        <v>6063</v>
      </c>
    </row>
    <row r="2494" spans="1:5" x14ac:dyDescent="0.25">
      <c r="A2494" s="16">
        <v>2517</v>
      </c>
      <c r="B2494" s="18" t="s">
        <v>5705</v>
      </c>
      <c r="C2494" s="18" t="s">
        <v>5990</v>
      </c>
      <c r="D2494" s="18" t="s">
        <v>6058</v>
      </c>
      <c r="E2494" s="18" t="s">
        <v>6064</v>
      </c>
    </row>
    <row r="2495" spans="1:5" ht="24" customHeight="1" x14ac:dyDescent="0.25">
      <c r="A2495" s="16">
        <v>2518</v>
      </c>
      <c r="B2495" s="18" t="s">
        <v>5705</v>
      </c>
      <c r="C2495" s="18" t="s">
        <v>5990</v>
      </c>
      <c r="D2495" s="18" t="s">
        <v>6058</v>
      </c>
      <c r="E2495" s="18" t="s">
        <v>6065</v>
      </c>
    </row>
    <row r="2496" spans="1:5" ht="24" customHeight="1" x14ac:dyDescent="0.25">
      <c r="A2496" s="16">
        <v>2519</v>
      </c>
      <c r="B2496" s="18" t="s">
        <v>5705</v>
      </c>
      <c r="C2496" s="18" t="s">
        <v>5964</v>
      </c>
      <c r="D2496" s="18" t="s">
        <v>6066</v>
      </c>
      <c r="E2496" s="18" t="s">
        <v>6067</v>
      </c>
    </row>
    <row r="2497" spans="1:5" ht="24" customHeight="1" x14ac:dyDescent="0.25">
      <c r="A2497" s="16">
        <v>2520</v>
      </c>
      <c r="B2497" s="18" t="s">
        <v>5705</v>
      </c>
      <c r="C2497" s="18" t="s">
        <v>5964</v>
      </c>
      <c r="D2497" s="18" t="s">
        <v>6066</v>
      </c>
      <c r="E2497" s="18" t="s">
        <v>6068</v>
      </c>
    </row>
    <row r="2498" spans="1:5" ht="24" customHeight="1" x14ac:dyDescent="0.25">
      <c r="A2498" s="16">
        <v>2521</v>
      </c>
      <c r="B2498" s="18" t="s">
        <v>5705</v>
      </c>
      <c r="C2498" s="18" t="s">
        <v>5964</v>
      </c>
      <c r="D2498" s="18" t="s">
        <v>6066</v>
      </c>
      <c r="E2498" s="18" t="s">
        <v>6069</v>
      </c>
    </row>
    <row r="2499" spans="1:5" ht="24" customHeight="1" x14ac:dyDescent="0.25">
      <c r="A2499" s="16">
        <v>2522</v>
      </c>
      <c r="B2499" s="18" t="s">
        <v>5705</v>
      </c>
      <c r="C2499" s="18" t="s">
        <v>5964</v>
      </c>
      <c r="D2499" s="18" t="s">
        <v>6066</v>
      </c>
      <c r="E2499" s="18" t="s">
        <v>6070</v>
      </c>
    </row>
    <row r="2500" spans="1:5" ht="24" customHeight="1" x14ac:dyDescent="0.25">
      <c r="A2500" s="16">
        <v>2523</v>
      </c>
      <c r="B2500" s="18" t="s">
        <v>5705</v>
      </c>
      <c r="C2500" s="18" t="s">
        <v>5964</v>
      </c>
      <c r="D2500" s="18" t="s">
        <v>6066</v>
      </c>
      <c r="E2500" s="18" t="s">
        <v>6071</v>
      </c>
    </row>
    <row r="2501" spans="1:5" ht="24" customHeight="1" x14ac:dyDescent="0.25">
      <c r="A2501" s="16">
        <v>2524</v>
      </c>
      <c r="B2501" s="18" t="s">
        <v>5705</v>
      </c>
      <c r="C2501" s="18" t="s">
        <v>5964</v>
      </c>
      <c r="D2501" s="18" t="s">
        <v>6066</v>
      </c>
      <c r="E2501" s="18" t="s">
        <v>6072</v>
      </c>
    </row>
    <row r="2502" spans="1:5" ht="24" customHeight="1" x14ac:dyDescent="0.25">
      <c r="A2502" s="16">
        <v>2525</v>
      </c>
      <c r="B2502" s="18" t="s">
        <v>5705</v>
      </c>
      <c r="C2502" s="18" t="s">
        <v>5964</v>
      </c>
      <c r="D2502" s="18" t="s">
        <v>6066</v>
      </c>
      <c r="E2502" s="18" t="s">
        <v>6073</v>
      </c>
    </row>
    <row r="2503" spans="1:5" ht="24" customHeight="1" x14ac:dyDescent="0.25">
      <c r="A2503" s="16">
        <v>2526</v>
      </c>
      <c r="B2503" s="18" t="s">
        <v>5705</v>
      </c>
      <c r="C2503" s="18" t="s">
        <v>5964</v>
      </c>
      <c r="D2503" s="18" t="s">
        <v>6066</v>
      </c>
      <c r="E2503" s="18" t="s">
        <v>6074</v>
      </c>
    </row>
    <row r="2504" spans="1:5" ht="24" customHeight="1" x14ac:dyDescent="0.25">
      <c r="A2504" s="16">
        <v>2527</v>
      </c>
      <c r="B2504" s="18" t="s">
        <v>5705</v>
      </c>
      <c r="C2504" s="18" t="s">
        <v>5964</v>
      </c>
      <c r="D2504" s="18" t="s">
        <v>6066</v>
      </c>
      <c r="E2504" s="18" t="s">
        <v>6075</v>
      </c>
    </row>
    <row r="2505" spans="1:5" ht="24" customHeight="1" x14ac:dyDescent="0.25">
      <c r="A2505" s="16">
        <v>2528</v>
      </c>
      <c r="B2505" s="18" t="s">
        <v>5705</v>
      </c>
      <c r="C2505" s="18" t="s">
        <v>5964</v>
      </c>
      <c r="D2505" s="18" t="s">
        <v>6076</v>
      </c>
      <c r="E2505" s="18" t="s">
        <v>6077</v>
      </c>
    </row>
    <row r="2506" spans="1:5" ht="24" customHeight="1" x14ac:dyDescent="0.25">
      <c r="A2506" s="16">
        <v>2529</v>
      </c>
      <c r="B2506" s="18" t="s">
        <v>5705</v>
      </c>
      <c r="C2506" s="18" t="s">
        <v>5964</v>
      </c>
      <c r="D2506" s="18" t="s">
        <v>6076</v>
      </c>
      <c r="E2506" s="18" t="s">
        <v>6078</v>
      </c>
    </row>
    <row r="2507" spans="1:5" x14ac:dyDescent="0.25">
      <c r="A2507" s="16">
        <v>2530</v>
      </c>
      <c r="B2507" s="18" t="s">
        <v>5705</v>
      </c>
      <c r="C2507" s="18" t="s">
        <v>5964</v>
      </c>
      <c r="D2507" s="18" t="s">
        <v>6076</v>
      </c>
      <c r="E2507" s="18" t="s">
        <v>6079</v>
      </c>
    </row>
    <row r="2508" spans="1:5" x14ac:dyDescent="0.25">
      <c r="A2508" s="16">
        <v>2531</v>
      </c>
      <c r="B2508" s="18" t="s">
        <v>5705</v>
      </c>
      <c r="C2508" s="18" t="s">
        <v>5964</v>
      </c>
      <c r="D2508" s="18" t="s">
        <v>6076</v>
      </c>
      <c r="E2508" s="18" t="s">
        <v>6080</v>
      </c>
    </row>
    <row r="2509" spans="1:5" x14ac:dyDescent="0.25">
      <c r="A2509" s="16">
        <v>2532</v>
      </c>
      <c r="B2509" s="18" t="s">
        <v>5705</v>
      </c>
      <c r="C2509" s="18" t="s">
        <v>5964</v>
      </c>
      <c r="D2509" s="18" t="s">
        <v>6081</v>
      </c>
      <c r="E2509" s="18" t="s">
        <v>6082</v>
      </c>
    </row>
    <row r="2510" spans="1:5" x14ac:dyDescent="0.25">
      <c r="A2510" s="16">
        <v>2533</v>
      </c>
      <c r="B2510" s="18" t="s">
        <v>5705</v>
      </c>
      <c r="C2510" s="18" t="s">
        <v>5964</v>
      </c>
      <c r="D2510" s="18" t="s">
        <v>6081</v>
      </c>
      <c r="E2510" s="18" t="s">
        <v>6004</v>
      </c>
    </row>
    <row r="2511" spans="1:5" ht="24" customHeight="1" x14ac:dyDescent="0.25">
      <c r="A2511" s="16">
        <v>2534</v>
      </c>
      <c r="B2511" s="18" t="s">
        <v>5705</v>
      </c>
      <c r="C2511" s="18" t="s">
        <v>5964</v>
      </c>
      <c r="D2511" s="18" t="s">
        <v>6081</v>
      </c>
      <c r="E2511" s="18" t="s">
        <v>6083</v>
      </c>
    </row>
    <row r="2512" spans="1:5" x14ac:dyDescent="0.25">
      <c r="A2512" s="16">
        <v>2535</v>
      </c>
      <c r="B2512" s="18" t="s">
        <v>5705</v>
      </c>
      <c r="C2512" s="18" t="s">
        <v>5964</v>
      </c>
      <c r="D2512" s="18" t="s">
        <v>6081</v>
      </c>
      <c r="E2512" s="18" t="s">
        <v>6084</v>
      </c>
    </row>
    <row r="2513" spans="1:5" x14ac:dyDescent="0.25">
      <c r="A2513" s="16">
        <v>2536</v>
      </c>
      <c r="B2513" s="18" t="s">
        <v>5705</v>
      </c>
      <c r="C2513" s="18" t="s">
        <v>5964</v>
      </c>
      <c r="D2513" s="18" t="s">
        <v>6081</v>
      </c>
      <c r="E2513" s="18" t="s">
        <v>6085</v>
      </c>
    </row>
    <row r="2514" spans="1:5" x14ac:dyDescent="0.25">
      <c r="A2514" s="16">
        <v>2537</v>
      </c>
      <c r="B2514" s="18" t="s">
        <v>5705</v>
      </c>
      <c r="C2514" s="18" t="s">
        <v>5964</v>
      </c>
      <c r="D2514" s="18" t="s">
        <v>6081</v>
      </c>
      <c r="E2514" s="18" t="s">
        <v>6086</v>
      </c>
    </row>
    <row r="2515" spans="1:5" x14ac:dyDescent="0.25">
      <c r="A2515" s="16">
        <v>2538</v>
      </c>
      <c r="B2515" s="18" t="s">
        <v>5705</v>
      </c>
      <c r="C2515" s="18" t="s">
        <v>5964</v>
      </c>
      <c r="D2515" s="18" t="s">
        <v>6081</v>
      </c>
      <c r="E2515" s="18" t="s">
        <v>6087</v>
      </c>
    </row>
    <row r="2516" spans="1:5" x14ac:dyDescent="0.25">
      <c r="A2516" s="16">
        <v>2539</v>
      </c>
      <c r="B2516" s="18" t="s">
        <v>5705</v>
      </c>
      <c r="C2516" s="18" t="s">
        <v>5964</v>
      </c>
      <c r="D2516" s="18" t="s">
        <v>6088</v>
      </c>
      <c r="E2516" s="18" t="s">
        <v>6089</v>
      </c>
    </row>
    <row r="2517" spans="1:5" x14ac:dyDescent="0.25">
      <c r="A2517" s="16">
        <v>2540</v>
      </c>
      <c r="B2517" s="18" t="s">
        <v>5705</v>
      </c>
      <c r="C2517" s="18" t="s">
        <v>5964</v>
      </c>
      <c r="D2517" s="18" t="s">
        <v>6088</v>
      </c>
      <c r="E2517" s="18" t="s">
        <v>5931</v>
      </c>
    </row>
    <row r="2518" spans="1:5" ht="24" customHeight="1" x14ac:dyDescent="0.25">
      <c r="A2518" s="16">
        <v>2541</v>
      </c>
      <c r="B2518" s="18" t="s">
        <v>5705</v>
      </c>
      <c r="C2518" s="18" t="s">
        <v>5964</v>
      </c>
      <c r="D2518" s="18" t="s">
        <v>6088</v>
      </c>
      <c r="E2518" s="18" t="s">
        <v>6090</v>
      </c>
    </row>
    <row r="2519" spans="1:5" ht="24" customHeight="1" x14ac:dyDescent="0.25">
      <c r="A2519" s="16">
        <v>2542</v>
      </c>
      <c r="B2519" s="18" t="s">
        <v>5705</v>
      </c>
      <c r="C2519" s="18" t="s">
        <v>5964</v>
      </c>
      <c r="D2519" s="18" t="s">
        <v>6088</v>
      </c>
      <c r="E2519" s="18" t="s">
        <v>6091</v>
      </c>
    </row>
    <row r="2520" spans="1:5" x14ac:dyDescent="0.25">
      <c r="A2520" s="16">
        <v>2543</v>
      </c>
      <c r="B2520" s="18" t="s">
        <v>5705</v>
      </c>
      <c r="C2520" s="18" t="s">
        <v>5964</v>
      </c>
      <c r="D2520" s="18" t="s">
        <v>6088</v>
      </c>
      <c r="E2520" s="18" t="s">
        <v>6092</v>
      </c>
    </row>
    <row r="2521" spans="1:5" ht="24" customHeight="1" x14ac:dyDescent="0.25">
      <c r="A2521" s="16">
        <v>2544</v>
      </c>
      <c r="B2521" s="18" t="s">
        <v>5705</v>
      </c>
      <c r="C2521" s="18" t="s">
        <v>5964</v>
      </c>
      <c r="D2521" s="18" t="s">
        <v>6093</v>
      </c>
      <c r="E2521" s="18" t="s">
        <v>6094</v>
      </c>
    </row>
    <row r="2522" spans="1:5" ht="24" customHeight="1" x14ac:dyDescent="0.25">
      <c r="A2522" s="16">
        <v>2545</v>
      </c>
      <c r="B2522" s="18" t="s">
        <v>5705</v>
      </c>
      <c r="C2522" s="18" t="s">
        <v>5964</v>
      </c>
      <c r="D2522" s="18" t="s">
        <v>6093</v>
      </c>
      <c r="E2522" s="18" t="s">
        <v>6095</v>
      </c>
    </row>
    <row r="2523" spans="1:5" x14ac:dyDescent="0.25">
      <c r="A2523" s="16">
        <v>2546</v>
      </c>
      <c r="B2523" s="18" t="s">
        <v>5705</v>
      </c>
      <c r="C2523" s="18" t="s">
        <v>5964</v>
      </c>
      <c r="D2523" s="18" t="s">
        <v>6093</v>
      </c>
      <c r="E2523" s="18" t="s">
        <v>6096</v>
      </c>
    </row>
    <row r="2524" spans="1:5" x14ac:dyDescent="0.25">
      <c r="A2524" s="16">
        <v>2547</v>
      </c>
      <c r="B2524" s="18" t="s">
        <v>5705</v>
      </c>
      <c r="C2524" s="18" t="s">
        <v>5964</v>
      </c>
      <c r="D2524" s="18" t="s">
        <v>6093</v>
      </c>
      <c r="E2524" s="18" t="s">
        <v>6097</v>
      </c>
    </row>
    <row r="2525" spans="1:5" ht="24" customHeight="1" x14ac:dyDescent="0.25">
      <c r="A2525" s="16">
        <v>2548</v>
      </c>
      <c r="B2525" s="18" t="s">
        <v>5705</v>
      </c>
      <c r="C2525" s="18" t="s">
        <v>5964</v>
      </c>
      <c r="D2525" s="18" t="s">
        <v>6093</v>
      </c>
      <c r="E2525" s="18" t="s">
        <v>6098</v>
      </c>
    </row>
    <row r="2526" spans="1:5" x14ac:dyDescent="0.25">
      <c r="A2526" s="16">
        <v>2549</v>
      </c>
      <c r="B2526" s="18" t="s">
        <v>5705</v>
      </c>
      <c r="C2526" s="18" t="s">
        <v>5964</v>
      </c>
      <c r="D2526" s="18" t="s">
        <v>6093</v>
      </c>
      <c r="E2526" s="18" t="s">
        <v>6099</v>
      </c>
    </row>
    <row r="2527" spans="1:5" x14ac:dyDescent="0.25">
      <c r="A2527" s="16">
        <v>2550</v>
      </c>
      <c r="B2527" s="18" t="s">
        <v>5705</v>
      </c>
      <c r="C2527" s="18" t="s">
        <v>5964</v>
      </c>
      <c r="D2527" s="18" t="s">
        <v>6093</v>
      </c>
      <c r="E2527" s="18" t="s">
        <v>6100</v>
      </c>
    </row>
    <row r="2528" spans="1:5" x14ac:dyDescent="0.25">
      <c r="A2528" s="16">
        <v>2551</v>
      </c>
      <c r="B2528" s="18" t="s">
        <v>5705</v>
      </c>
      <c r="C2528" s="18" t="s">
        <v>5964</v>
      </c>
      <c r="D2528" s="18" t="s">
        <v>6093</v>
      </c>
      <c r="E2528" s="18" t="s">
        <v>6101</v>
      </c>
    </row>
    <row r="2529" spans="1:5" ht="36" customHeight="1" x14ac:dyDescent="0.25">
      <c r="A2529" s="16">
        <v>2552</v>
      </c>
      <c r="B2529" s="18" t="s">
        <v>5705</v>
      </c>
      <c r="C2529" s="18" t="s">
        <v>5964</v>
      </c>
      <c r="D2529" s="18" t="s">
        <v>6102</v>
      </c>
      <c r="E2529" s="18" t="s">
        <v>6103</v>
      </c>
    </row>
    <row r="2530" spans="1:5" x14ac:dyDescent="0.25">
      <c r="A2530" s="16">
        <v>2553</v>
      </c>
      <c r="B2530" s="18" t="s">
        <v>5705</v>
      </c>
      <c r="C2530" s="18" t="s">
        <v>5964</v>
      </c>
      <c r="D2530" s="18" t="s">
        <v>6102</v>
      </c>
      <c r="E2530" s="18" t="s">
        <v>6104</v>
      </c>
    </row>
    <row r="2531" spans="1:5" x14ac:dyDescent="0.25">
      <c r="A2531" s="16">
        <v>2554</v>
      </c>
      <c r="B2531" s="18" t="s">
        <v>5705</v>
      </c>
      <c r="C2531" s="18" t="s">
        <v>5964</v>
      </c>
      <c r="D2531" s="18" t="s">
        <v>6102</v>
      </c>
      <c r="E2531" s="18" t="s">
        <v>6105</v>
      </c>
    </row>
    <row r="2532" spans="1:5" x14ac:dyDescent="0.25">
      <c r="A2532" s="16">
        <v>2555</v>
      </c>
      <c r="B2532" s="18" t="s">
        <v>5705</v>
      </c>
      <c r="C2532" s="18" t="s">
        <v>5964</v>
      </c>
      <c r="D2532" s="18" t="s">
        <v>6102</v>
      </c>
      <c r="E2532" s="18" t="s">
        <v>6106</v>
      </c>
    </row>
    <row r="2533" spans="1:5" x14ac:dyDescent="0.25">
      <c r="A2533" s="16">
        <v>2556</v>
      </c>
      <c r="B2533" s="18" t="s">
        <v>5705</v>
      </c>
      <c r="C2533" s="18" t="s">
        <v>5964</v>
      </c>
      <c r="D2533" s="18" t="s">
        <v>6102</v>
      </c>
      <c r="E2533" s="18" t="s">
        <v>6107</v>
      </c>
    </row>
    <row r="2534" spans="1:5" ht="24" customHeight="1" x14ac:dyDescent="0.25">
      <c r="A2534" s="16">
        <v>2557</v>
      </c>
      <c r="B2534" s="18" t="s">
        <v>5705</v>
      </c>
      <c r="C2534" s="18" t="s">
        <v>5964</v>
      </c>
      <c r="D2534" s="18" t="s">
        <v>6102</v>
      </c>
      <c r="E2534" s="18" t="s">
        <v>6108</v>
      </c>
    </row>
    <row r="2535" spans="1:5" x14ac:dyDescent="0.25">
      <c r="A2535" s="16">
        <v>2558</v>
      </c>
      <c r="B2535" s="18" t="s">
        <v>5705</v>
      </c>
      <c r="C2535" s="18" t="s">
        <v>5964</v>
      </c>
      <c r="D2535" s="18" t="s">
        <v>6102</v>
      </c>
      <c r="E2535" s="18" t="s">
        <v>6109</v>
      </c>
    </row>
    <row r="2536" spans="1:5" ht="24" customHeight="1" x14ac:dyDescent="0.25">
      <c r="A2536" s="16">
        <v>2559</v>
      </c>
      <c r="B2536" s="18" t="s">
        <v>5705</v>
      </c>
      <c r="C2536" s="18" t="s">
        <v>5964</v>
      </c>
      <c r="D2536" s="18" t="s">
        <v>6110</v>
      </c>
      <c r="E2536" s="18" t="s">
        <v>6111</v>
      </c>
    </row>
    <row r="2537" spans="1:5" ht="24" customHeight="1" x14ac:dyDescent="0.25">
      <c r="A2537" s="16">
        <v>2560</v>
      </c>
      <c r="B2537" s="18" t="s">
        <v>5705</v>
      </c>
      <c r="C2537" s="18" t="s">
        <v>5964</v>
      </c>
      <c r="D2537" s="18" t="s">
        <v>6110</v>
      </c>
      <c r="E2537" s="18" t="s">
        <v>6112</v>
      </c>
    </row>
    <row r="2538" spans="1:5" ht="24" customHeight="1" x14ac:dyDescent="0.25">
      <c r="A2538" s="16">
        <v>2561</v>
      </c>
      <c r="B2538" s="18" t="s">
        <v>5705</v>
      </c>
      <c r="C2538" s="18" t="s">
        <v>5964</v>
      </c>
      <c r="D2538" s="18" t="s">
        <v>6110</v>
      </c>
      <c r="E2538" s="18" t="s">
        <v>6113</v>
      </c>
    </row>
    <row r="2539" spans="1:5" ht="36" customHeight="1" x14ac:dyDescent="0.25">
      <c r="A2539" s="16">
        <v>2562</v>
      </c>
      <c r="B2539" s="18" t="s">
        <v>5705</v>
      </c>
      <c r="C2539" s="18" t="s">
        <v>5964</v>
      </c>
      <c r="D2539" s="18" t="s">
        <v>6110</v>
      </c>
      <c r="E2539" s="18" t="s">
        <v>6114</v>
      </c>
    </row>
    <row r="2540" spans="1:5" x14ac:dyDescent="0.25">
      <c r="A2540" s="16">
        <v>2563</v>
      </c>
      <c r="B2540" s="18" t="s">
        <v>5705</v>
      </c>
      <c r="C2540" s="18" t="s">
        <v>5964</v>
      </c>
      <c r="D2540" s="18" t="s">
        <v>6110</v>
      </c>
      <c r="E2540" s="18" t="s">
        <v>6115</v>
      </c>
    </row>
    <row r="2541" spans="1:5" ht="36" customHeight="1" x14ac:dyDescent="0.25">
      <c r="A2541" s="16">
        <v>2564</v>
      </c>
      <c r="B2541" s="18" t="s">
        <v>5705</v>
      </c>
      <c r="C2541" s="18" t="s">
        <v>5964</v>
      </c>
      <c r="D2541" s="18" t="s">
        <v>6110</v>
      </c>
      <c r="E2541" s="18" t="s">
        <v>6116</v>
      </c>
    </row>
    <row r="2542" spans="1:5" ht="24" customHeight="1" x14ac:dyDescent="0.25">
      <c r="A2542" s="16">
        <v>2565</v>
      </c>
      <c r="B2542" s="18" t="s">
        <v>5705</v>
      </c>
      <c r="C2542" s="18" t="s">
        <v>5964</v>
      </c>
      <c r="D2542" s="18" t="s">
        <v>6110</v>
      </c>
      <c r="E2542" s="18" t="s">
        <v>6117</v>
      </c>
    </row>
    <row r="2543" spans="1:5" x14ac:dyDescent="0.25">
      <c r="A2543" s="16">
        <v>2566</v>
      </c>
      <c r="B2543" s="18" t="s">
        <v>5705</v>
      </c>
      <c r="C2543" s="18" t="s">
        <v>5964</v>
      </c>
      <c r="D2543" s="18" t="s">
        <v>5964</v>
      </c>
      <c r="E2543" s="18" t="s">
        <v>6118</v>
      </c>
    </row>
    <row r="2544" spans="1:5" ht="24" customHeight="1" x14ac:dyDescent="0.25">
      <c r="A2544" s="16">
        <v>2567</v>
      </c>
      <c r="B2544" s="18" t="s">
        <v>5705</v>
      </c>
      <c r="C2544" s="18" t="s">
        <v>5964</v>
      </c>
      <c r="D2544" s="18" t="s">
        <v>5964</v>
      </c>
      <c r="E2544" s="18" t="s">
        <v>6119</v>
      </c>
    </row>
    <row r="2545" spans="1:5" x14ac:dyDescent="0.25">
      <c r="A2545" s="16">
        <v>2568</v>
      </c>
      <c r="B2545" s="18" t="s">
        <v>5705</v>
      </c>
      <c r="C2545" s="18" t="s">
        <v>5964</v>
      </c>
      <c r="D2545" s="18" t="s">
        <v>5964</v>
      </c>
      <c r="E2545" s="18" t="s">
        <v>6120</v>
      </c>
    </row>
    <row r="2546" spans="1:5" x14ac:dyDescent="0.25">
      <c r="A2546" s="16">
        <v>2569</v>
      </c>
      <c r="B2546" s="18" t="s">
        <v>5705</v>
      </c>
      <c r="C2546" s="18" t="s">
        <v>5964</v>
      </c>
      <c r="D2546" s="18" t="s">
        <v>5964</v>
      </c>
      <c r="E2546" s="18" t="s">
        <v>6121</v>
      </c>
    </row>
    <row r="2547" spans="1:5" ht="24" customHeight="1" x14ac:dyDescent="0.25">
      <c r="A2547" s="16">
        <v>2570</v>
      </c>
      <c r="B2547" s="18" t="s">
        <v>5705</v>
      </c>
      <c r="C2547" s="18" t="s">
        <v>5964</v>
      </c>
      <c r="D2547" s="18" t="s">
        <v>5964</v>
      </c>
      <c r="E2547" s="18" t="s">
        <v>6122</v>
      </c>
    </row>
    <row r="2548" spans="1:5" ht="24" customHeight="1" x14ac:dyDescent="0.25">
      <c r="A2548" s="16">
        <v>2571</v>
      </c>
      <c r="B2548" s="18" t="s">
        <v>5705</v>
      </c>
      <c r="C2548" s="18" t="s">
        <v>5964</v>
      </c>
      <c r="D2548" s="18" t="s">
        <v>5964</v>
      </c>
      <c r="E2548" s="18" t="s">
        <v>6123</v>
      </c>
    </row>
    <row r="2549" spans="1:5" ht="24" customHeight="1" x14ac:dyDescent="0.25">
      <c r="A2549" s="16">
        <v>2572</v>
      </c>
      <c r="B2549" s="18" t="s">
        <v>5705</v>
      </c>
      <c r="C2549" s="18" t="s">
        <v>5964</v>
      </c>
      <c r="D2549" s="18" t="s">
        <v>5964</v>
      </c>
      <c r="E2549" s="18" t="s">
        <v>6124</v>
      </c>
    </row>
    <row r="2550" spans="1:5" x14ac:dyDescent="0.25">
      <c r="A2550" s="16">
        <v>2573</v>
      </c>
      <c r="B2550" s="18" t="s">
        <v>5705</v>
      </c>
      <c r="C2550" s="18" t="s">
        <v>5964</v>
      </c>
      <c r="D2550" s="18" t="s">
        <v>6125</v>
      </c>
      <c r="E2550" s="18" t="s">
        <v>6126</v>
      </c>
    </row>
    <row r="2551" spans="1:5" x14ac:dyDescent="0.25">
      <c r="A2551" s="16">
        <v>2574</v>
      </c>
      <c r="B2551" s="18" t="s">
        <v>5705</v>
      </c>
      <c r="C2551" s="18" t="s">
        <v>5964</v>
      </c>
      <c r="D2551" s="18" t="s">
        <v>6125</v>
      </c>
      <c r="E2551" s="18" t="s">
        <v>6127</v>
      </c>
    </row>
    <row r="2552" spans="1:5" x14ac:dyDescent="0.25">
      <c r="A2552" s="16">
        <v>2575</v>
      </c>
      <c r="B2552" s="18" t="s">
        <v>5705</v>
      </c>
      <c r="C2552" s="18" t="s">
        <v>5964</v>
      </c>
      <c r="D2552" s="18" t="s">
        <v>6125</v>
      </c>
      <c r="E2552" s="18" t="s">
        <v>6128</v>
      </c>
    </row>
    <row r="2553" spans="1:5" x14ac:dyDescent="0.25">
      <c r="A2553" s="16">
        <v>2576</v>
      </c>
      <c r="B2553" s="18" t="s">
        <v>5705</v>
      </c>
      <c r="C2553" s="18" t="s">
        <v>5964</v>
      </c>
      <c r="D2553" s="18" t="s">
        <v>6125</v>
      </c>
      <c r="E2553" s="18" t="s">
        <v>6129</v>
      </c>
    </row>
    <row r="2554" spans="1:5" x14ac:dyDescent="0.25">
      <c r="A2554" s="16">
        <v>2577</v>
      </c>
      <c r="B2554" s="18" t="s">
        <v>5705</v>
      </c>
      <c r="C2554" s="18" t="s">
        <v>5964</v>
      </c>
      <c r="D2554" s="18" t="s">
        <v>6125</v>
      </c>
      <c r="E2554" s="18" t="s">
        <v>6130</v>
      </c>
    </row>
    <row r="2555" spans="1:5" x14ac:dyDescent="0.25">
      <c r="A2555" s="16">
        <v>2578</v>
      </c>
      <c r="B2555" s="18" t="s">
        <v>5705</v>
      </c>
      <c r="C2555" s="18" t="s">
        <v>5964</v>
      </c>
      <c r="D2555" s="18" t="s">
        <v>6125</v>
      </c>
      <c r="E2555" s="18" t="s">
        <v>6131</v>
      </c>
    </row>
    <row r="2556" spans="1:5" ht="24" customHeight="1" x14ac:dyDescent="0.25">
      <c r="A2556" s="16">
        <v>2579</v>
      </c>
      <c r="B2556" s="18" t="s">
        <v>5705</v>
      </c>
      <c r="C2556" s="18" t="s">
        <v>5964</v>
      </c>
      <c r="D2556" s="18" t="s">
        <v>6125</v>
      </c>
      <c r="E2556" s="18" t="s">
        <v>6132</v>
      </c>
    </row>
    <row r="2557" spans="1:5" ht="24" customHeight="1" x14ac:dyDescent="0.25">
      <c r="A2557" s="16">
        <v>2580</v>
      </c>
      <c r="B2557" s="18" t="s">
        <v>5705</v>
      </c>
      <c r="C2557" s="18" t="s">
        <v>5964</v>
      </c>
      <c r="D2557" s="18" t="s">
        <v>6125</v>
      </c>
      <c r="E2557" s="18" t="s">
        <v>6133</v>
      </c>
    </row>
    <row r="2558" spans="1:5" x14ac:dyDescent="0.25">
      <c r="A2558" s="16">
        <v>2581</v>
      </c>
      <c r="B2558" s="18" t="s">
        <v>5705</v>
      </c>
      <c r="C2558" s="18" t="s">
        <v>5964</v>
      </c>
      <c r="D2558" s="18" t="s">
        <v>6125</v>
      </c>
      <c r="E2558" s="18" t="s">
        <v>6134</v>
      </c>
    </row>
    <row r="2559" spans="1:5" x14ac:dyDescent="0.25">
      <c r="A2559" s="16">
        <v>2582</v>
      </c>
      <c r="B2559" s="18" t="s">
        <v>5705</v>
      </c>
      <c r="C2559" s="18" t="s">
        <v>6135</v>
      </c>
      <c r="D2559" s="18" t="s">
        <v>6136</v>
      </c>
      <c r="E2559" s="18" t="s">
        <v>6137</v>
      </c>
    </row>
    <row r="2560" spans="1:5" x14ac:dyDescent="0.25">
      <c r="A2560" s="16">
        <v>2583</v>
      </c>
      <c r="B2560" s="18" t="s">
        <v>5705</v>
      </c>
      <c r="C2560" s="18" t="s">
        <v>6135</v>
      </c>
      <c r="D2560" s="18" t="s">
        <v>6136</v>
      </c>
      <c r="E2560" s="18" t="s">
        <v>6138</v>
      </c>
    </row>
    <row r="2561" spans="1:5" x14ac:dyDescent="0.25">
      <c r="A2561" s="16">
        <v>2584</v>
      </c>
      <c r="B2561" s="18" t="s">
        <v>5705</v>
      </c>
      <c r="C2561" s="18" t="s">
        <v>6135</v>
      </c>
      <c r="D2561" s="18" t="s">
        <v>6136</v>
      </c>
      <c r="E2561" s="18" t="s">
        <v>6139</v>
      </c>
    </row>
    <row r="2562" spans="1:5" x14ac:dyDescent="0.25">
      <c r="A2562" s="16">
        <v>2585</v>
      </c>
      <c r="B2562" s="18" t="s">
        <v>5705</v>
      </c>
      <c r="C2562" s="18" t="s">
        <v>6135</v>
      </c>
      <c r="D2562" s="18" t="s">
        <v>6136</v>
      </c>
      <c r="E2562" s="18" t="s">
        <v>6140</v>
      </c>
    </row>
    <row r="2563" spans="1:5" x14ac:dyDescent="0.25">
      <c r="A2563" s="16">
        <v>2586</v>
      </c>
      <c r="B2563" s="18" t="s">
        <v>5705</v>
      </c>
      <c r="C2563" s="18" t="s">
        <v>6135</v>
      </c>
      <c r="D2563" s="18" t="s">
        <v>6136</v>
      </c>
      <c r="E2563" s="18" t="s">
        <v>6141</v>
      </c>
    </row>
    <row r="2564" spans="1:5" x14ac:dyDescent="0.25">
      <c r="A2564" s="16">
        <v>2587</v>
      </c>
      <c r="B2564" s="18" t="s">
        <v>5705</v>
      </c>
      <c r="C2564" s="18" t="s">
        <v>6135</v>
      </c>
      <c r="D2564" s="18" t="s">
        <v>6136</v>
      </c>
      <c r="E2564" s="18" t="s">
        <v>6142</v>
      </c>
    </row>
    <row r="2565" spans="1:5" x14ac:dyDescent="0.25">
      <c r="A2565" s="16">
        <v>2588</v>
      </c>
      <c r="B2565" s="18" t="s">
        <v>5705</v>
      </c>
      <c r="C2565" s="18" t="s">
        <v>6135</v>
      </c>
      <c r="D2565" s="18" t="s">
        <v>6136</v>
      </c>
      <c r="E2565" s="18" t="s">
        <v>6143</v>
      </c>
    </row>
    <row r="2566" spans="1:5" ht="24" customHeight="1" x14ac:dyDescent="0.25">
      <c r="A2566" s="16">
        <v>2589</v>
      </c>
      <c r="B2566" s="18" t="s">
        <v>5705</v>
      </c>
      <c r="C2566" s="18" t="s">
        <v>6135</v>
      </c>
      <c r="D2566" s="18" t="s">
        <v>6144</v>
      </c>
      <c r="E2566" s="18" t="s">
        <v>6145</v>
      </c>
    </row>
    <row r="2567" spans="1:5" x14ac:dyDescent="0.25">
      <c r="A2567" s="16">
        <v>2590</v>
      </c>
      <c r="B2567" s="18" t="s">
        <v>5705</v>
      </c>
      <c r="C2567" s="18" t="s">
        <v>6135</v>
      </c>
      <c r="D2567" s="18" t="s">
        <v>6144</v>
      </c>
      <c r="E2567" s="18" t="s">
        <v>6146</v>
      </c>
    </row>
    <row r="2568" spans="1:5" x14ac:dyDescent="0.25">
      <c r="A2568" s="16">
        <v>2591</v>
      </c>
      <c r="B2568" s="18" t="s">
        <v>5705</v>
      </c>
      <c r="C2568" s="18" t="s">
        <v>6135</v>
      </c>
      <c r="D2568" s="18" t="s">
        <v>6144</v>
      </c>
      <c r="E2568" s="18" t="s">
        <v>6147</v>
      </c>
    </row>
    <row r="2569" spans="1:5" x14ac:dyDescent="0.25">
      <c r="A2569" s="16">
        <v>2592</v>
      </c>
      <c r="B2569" s="18" t="s">
        <v>5705</v>
      </c>
      <c r="C2569" s="18" t="s">
        <v>6135</v>
      </c>
      <c r="D2569" s="18" t="s">
        <v>6144</v>
      </c>
      <c r="E2569" s="18" t="s">
        <v>6148</v>
      </c>
    </row>
    <row r="2570" spans="1:5" x14ac:dyDescent="0.25">
      <c r="A2570" s="16">
        <v>2593</v>
      </c>
      <c r="B2570" s="18" t="s">
        <v>5705</v>
      </c>
      <c r="C2570" s="18" t="s">
        <v>6135</v>
      </c>
      <c r="D2570" s="18" t="s">
        <v>6144</v>
      </c>
      <c r="E2570" s="18" t="s">
        <v>6149</v>
      </c>
    </row>
    <row r="2571" spans="1:5" x14ac:dyDescent="0.25">
      <c r="A2571" s="16">
        <v>2594</v>
      </c>
      <c r="B2571" s="18" t="s">
        <v>5705</v>
      </c>
      <c r="C2571" s="18" t="s">
        <v>6135</v>
      </c>
      <c r="D2571" s="18" t="s">
        <v>6150</v>
      </c>
      <c r="E2571" s="18" t="s">
        <v>6151</v>
      </c>
    </row>
    <row r="2572" spans="1:5" x14ac:dyDescent="0.25">
      <c r="A2572" s="16">
        <v>2595</v>
      </c>
      <c r="B2572" s="18" t="s">
        <v>5705</v>
      </c>
      <c r="C2572" s="18" t="s">
        <v>6135</v>
      </c>
      <c r="D2572" s="18" t="s">
        <v>6150</v>
      </c>
      <c r="E2572" s="18" t="s">
        <v>6152</v>
      </c>
    </row>
    <row r="2573" spans="1:5" x14ac:dyDescent="0.25">
      <c r="A2573" s="16">
        <v>2596</v>
      </c>
      <c r="B2573" s="18" t="s">
        <v>5705</v>
      </c>
      <c r="C2573" s="18" t="s">
        <v>6135</v>
      </c>
      <c r="D2573" s="18" t="s">
        <v>6150</v>
      </c>
      <c r="E2573" s="18" t="s">
        <v>6153</v>
      </c>
    </row>
    <row r="2574" spans="1:5" x14ac:dyDescent="0.25">
      <c r="A2574" s="16">
        <v>2597</v>
      </c>
      <c r="B2574" s="18" t="s">
        <v>5705</v>
      </c>
      <c r="C2574" s="18" t="s">
        <v>6135</v>
      </c>
      <c r="D2574" s="18" t="s">
        <v>6150</v>
      </c>
      <c r="E2574" s="18" t="s">
        <v>6154</v>
      </c>
    </row>
    <row r="2575" spans="1:5" x14ac:dyDescent="0.25">
      <c r="A2575" s="16">
        <v>2598</v>
      </c>
      <c r="B2575" s="18" t="s">
        <v>5705</v>
      </c>
      <c r="C2575" s="18" t="s">
        <v>6135</v>
      </c>
      <c r="D2575" s="18" t="s">
        <v>6150</v>
      </c>
      <c r="E2575" s="18" t="s">
        <v>6155</v>
      </c>
    </row>
    <row r="2576" spans="1:5" x14ac:dyDescent="0.25">
      <c r="A2576" s="16">
        <v>2599</v>
      </c>
      <c r="B2576" s="18" t="s">
        <v>5705</v>
      </c>
      <c r="C2576" s="18" t="s">
        <v>6135</v>
      </c>
      <c r="D2576" s="18" t="s">
        <v>6150</v>
      </c>
      <c r="E2576" s="18" t="s">
        <v>6156</v>
      </c>
    </row>
    <row r="2577" spans="1:5" x14ac:dyDescent="0.25">
      <c r="A2577" s="16">
        <v>2600</v>
      </c>
      <c r="B2577" s="18" t="s">
        <v>5705</v>
      </c>
      <c r="C2577" s="18" t="s">
        <v>6135</v>
      </c>
      <c r="D2577" s="18" t="s">
        <v>6150</v>
      </c>
      <c r="E2577" s="18" t="s">
        <v>6157</v>
      </c>
    </row>
    <row r="2578" spans="1:5" x14ac:dyDescent="0.25">
      <c r="A2578" s="16">
        <v>2601</v>
      </c>
      <c r="B2578" s="18" t="s">
        <v>5705</v>
      </c>
      <c r="C2578" s="18" t="s">
        <v>6135</v>
      </c>
      <c r="D2578" s="18" t="s">
        <v>6150</v>
      </c>
      <c r="E2578" s="18" t="s">
        <v>6158</v>
      </c>
    </row>
    <row r="2579" spans="1:5" x14ac:dyDescent="0.25">
      <c r="A2579" s="16">
        <v>2602</v>
      </c>
      <c r="B2579" s="18" t="s">
        <v>5705</v>
      </c>
      <c r="C2579" s="18" t="s">
        <v>6135</v>
      </c>
      <c r="D2579" s="18" t="s">
        <v>6159</v>
      </c>
      <c r="E2579" s="18" t="s">
        <v>6160</v>
      </c>
    </row>
    <row r="2580" spans="1:5" x14ac:dyDescent="0.25">
      <c r="A2580" s="16">
        <v>2603</v>
      </c>
      <c r="B2580" s="18" t="s">
        <v>5705</v>
      </c>
      <c r="C2580" s="18" t="s">
        <v>6135</v>
      </c>
      <c r="D2580" s="18" t="s">
        <v>6159</v>
      </c>
      <c r="E2580" s="18" t="s">
        <v>6161</v>
      </c>
    </row>
    <row r="2581" spans="1:5" x14ac:dyDescent="0.25">
      <c r="A2581" s="16">
        <v>2604</v>
      </c>
      <c r="B2581" s="18" t="s">
        <v>5705</v>
      </c>
      <c r="C2581" s="18" t="s">
        <v>6135</v>
      </c>
      <c r="D2581" s="18" t="s">
        <v>6159</v>
      </c>
      <c r="E2581" s="18" t="s">
        <v>6162</v>
      </c>
    </row>
    <row r="2582" spans="1:5" x14ac:dyDescent="0.25">
      <c r="A2582" s="16">
        <v>2605</v>
      </c>
      <c r="B2582" s="18" t="s">
        <v>5705</v>
      </c>
      <c r="C2582" s="18" t="s">
        <v>6135</v>
      </c>
      <c r="D2582" s="18" t="s">
        <v>6159</v>
      </c>
      <c r="E2582" s="18" t="s">
        <v>6163</v>
      </c>
    </row>
    <row r="2583" spans="1:5" ht="24" customHeight="1" x14ac:dyDescent="0.25">
      <c r="A2583" s="16">
        <v>2606</v>
      </c>
      <c r="B2583" s="18" t="s">
        <v>5705</v>
      </c>
      <c r="C2583" s="18" t="s">
        <v>6135</v>
      </c>
      <c r="D2583" s="18" t="s">
        <v>6159</v>
      </c>
      <c r="E2583" s="18" t="s">
        <v>6164</v>
      </c>
    </row>
    <row r="2584" spans="1:5" x14ac:dyDescent="0.25">
      <c r="A2584" s="16">
        <v>2607</v>
      </c>
      <c r="B2584" s="18" t="s">
        <v>5705</v>
      </c>
      <c r="C2584" s="18" t="s">
        <v>6135</v>
      </c>
      <c r="D2584" s="18" t="s">
        <v>6159</v>
      </c>
      <c r="E2584" s="18" t="s">
        <v>6165</v>
      </c>
    </row>
    <row r="2585" spans="1:5" x14ac:dyDescent="0.25">
      <c r="A2585" s="16">
        <v>2608</v>
      </c>
      <c r="B2585" s="18" t="s">
        <v>5705</v>
      </c>
      <c r="C2585" s="18" t="s">
        <v>6135</v>
      </c>
      <c r="D2585" s="18" t="s">
        <v>6159</v>
      </c>
      <c r="E2585" s="18" t="s">
        <v>6166</v>
      </c>
    </row>
    <row r="2586" spans="1:5" ht="24" customHeight="1" x14ac:dyDescent="0.25">
      <c r="A2586" s="16">
        <v>2609</v>
      </c>
      <c r="B2586" s="18" t="s">
        <v>5705</v>
      </c>
      <c r="C2586" s="18" t="s">
        <v>6135</v>
      </c>
      <c r="D2586" s="18" t="s">
        <v>6159</v>
      </c>
      <c r="E2586" s="18" t="s">
        <v>6167</v>
      </c>
    </row>
    <row r="2587" spans="1:5" ht="24" customHeight="1" x14ac:dyDescent="0.25">
      <c r="A2587" s="16">
        <v>2610</v>
      </c>
      <c r="B2587" s="18" t="s">
        <v>5705</v>
      </c>
      <c r="C2587" s="18" t="s">
        <v>6135</v>
      </c>
      <c r="D2587" s="18" t="s">
        <v>6159</v>
      </c>
      <c r="E2587" s="18" t="s">
        <v>6168</v>
      </c>
    </row>
    <row r="2588" spans="1:5" x14ac:dyDescent="0.25">
      <c r="A2588" s="16">
        <v>2611</v>
      </c>
      <c r="B2588" s="18" t="s">
        <v>5705</v>
      </c>
      <c r="C2588" s="18" t="s">
        <v>6135</v>
      </c>
      <c r="D2588" s="18" t="s">
        <v>6159</v>
      </c>
      <c r="E2588" s="18" t="s">
        <v>6169</v>
      </c>
    </row>
    <row r="2589" spans="1:5" ht="36" customHeight="1" x14ac:dyDescent="0.25">
      <c r="A2589" s="16">
        <v>2612</v>
      </c>
      <c r="B2589" s="18" t="s">
        <v>5705</v>
      </c>
      <c r="C2589" s="18" t="s">
        <v>6135</v>
      </c>
      <c r="D2589" s="18" t="s">
        <v>6159</v>
      </c>
      <c r="E2589" s="18" t="s">
        <v>6170</v>
      </c>
    </row>
    <row r="2590" spans="1:5" x14ac:dyDescent="0.25">
      <c r="A2590" s="16">
        <v>2613</v>
      </c>
      <c r="B2590" s="18" t="s">
        <v>5705</v>
      </c>
      <c r="C2590" s="18" t="s">
        <v>6135</v>
      </c>
      <c r="D2590" s="18" t="s">
        <v>6171</v>
      </c>
      <c r="E2590" s="18" t="s">
        <v>6172</v>
      </c>
    </row>
    <row r="2591" spans="1:5" x14ac:dyDescent="0.25">
      <c r="A2591" s="16">
        <v>2614</v>
      </c>
      <c r="B2591" s="18" t="s">
        <v>5705</v>
      </c>
      <c r="C2591" s="18" t="s">
        <v>6135</v>
      </c>
      <c r="D2591" s="18" t="s">
        <v>6171</v>
      </c>
      <c r="E2591" s="18" t="s">
        <v>6173</v>
      </c>
    </row>
    <row r="2592" spans="1:5" x14ac:dyDescent="0.25">
      <c r="A2592" s="16">
        <v>2615</v>
      </c>
      <c r="B2592" s="18" t="s">
        <v>5705</v>
      </c>
      <c r="C2592" s="18" t="s">
        <v>6135</v>
      </c>
      <c r="D2592" s="18" t="s">
        <v>6171</v>
      </c>
      <c r="E2592" s="18" t="s">
        <v>6174</v>
      </c>
    </row>
    <row r="2593" spans="1:5" x14ac:dyDescent="0.25">
      <c r="A2593" s="16">
        <v>2616</v>
      </c>
      <c r="B2593" s="18" t="s">
        <v>5705</v>
      </c>
      <c r="C2593" s="18" t="s">
        <v>6135</v>
      </c>
      <c r="D2593" s="18" t="s">
        <v>6171</v>
      </c>
      <c r="E2593" s="18" t="s">
        <v>6175</v>
      </c>
    </row>
    <row r="2594" spans="1:5" ht="24" customHeight="1" x14ac:dyDescent="0.25">
      <c r="A2594" s="16">
        <v>2617</v>
      </c>
      <c r="B2594" s="18" t="s">
        <v>5705</v>
      </c>
      <c r="C2594" s="18" t="s">
        <v>6135</v>
      </c>
      <c r="D2594" s="18" t="s">
        <v>6171</v>
      </c>
      <c r="E2594" s="18" t="s">
        <v>6176</v>
      </c>
    </row>
    <row r="2595" spans="1:5" x14ac:dyDescent="0.25">
      <c r="A2595" s="16">
        <v>2618</v>
      </c>
      <c r="B2595" s="18" t="s">
        <v>5705</v>
      </c>
      <c r="C2595" s="18" t="s">
        <v>6135</v>
      </c>
      <c r="D2595" s="18" t="s">
        <v>6171</v>
      </c>
      <c r="E2595" s="18" t="s">
        <v>6177</v>
      </c>
    </row>
    <row r="2596" spans="1:5" x14ac:dyDescent="0.25">
      <c r="A2596" s="16">
        <v>2619</v>
      </c>
      <c r="B2596" s="18" t="s">
        <v>5705</v>
      </c>
      <c r="C2596" s="18" t="s">
        <v>6135</v>
      </c>
      <c r="D2596" s="18" t="s">
        <v>6178</v>
      </c>
      <c r="E2596" s="18" t="s">
        <v>6179</v>
      </c>
    </row>
    <row r="2597" spans="1:5" x14ac:dyDescent="0.25">
      <c r="A2597" s="16">
        <v>2620</v>
      </c>
      <c r="B2597" s="18" t="s">
        <v>5705</v>
      </c>
      <c r="C2597" s="18" t="s">
        <v>6135</v>
      </c>
      <c r="D2597" s="18" t="s">
        <v>6178</v>
      </c>
      <c r="E2597" s="18" t="s">
        <v>6180</v>
      </c>
    </row>
    <row r="2598" spans="1:5" ht="24" customHeight="1" x14ac:dyDescent="0.25">
      <c r="A2598" s="16">
        <v>2621</v>
      </c>
      <c r="B2598" s="18" t="s">
        <v>5705</v>
      </c>
      <c r="C2598" s="18" t="s">
        <v>6135</v>
      </c>
      <c r="D2598" s="18" t="s">
        <v>6178</v>
      </c>
      <c r="E2598" s="18" t="s">
        <v>6181</v>
      </c>
    </row>
    <row r="2599" spans="1:5" ht="24" customHeight="1" x14ac:dyDescent="0.25">
      <c r="A2599" s="16">
        <v>2622</v>
      </c>
      <c r="B2599" s="18" t="s">
        <v>5705</v>
      </c>
      <c r="C2599" s="18" t="s">
        <v>6135</v>
      </c>
      <c r="D2599" s="18" t="s">
        <v>6178</v>
      </c>
      <c r="E2599" s="18" t="s">
        <v>6182</v>
      </c>
    </row>
    <row r="2600" spans="1:5" x14ac:dyDescent="0.25">
      <c r="A2600" s="16">
        <v>2623</v>
      </c>
      <c r="B2600" s="18" t="s">
        <v>5705</v>
      </c>
      <c r="C2600" s="18" t="s">
        <v>6135</v>
      </c>
      <c r="D2600" s="18" t="s">
        <v>6178</v>
      </c>
      <c r="E2600" s="18" t="s">
        <v>6183</v>
      </c>
    </row>
    <row r="2601" spans="1:5" ht="24" customHeight="1" x14ac:dyDescent="0.25">
      <c r="A2601" s="16">
        <v>2624</v>
      </c>
      <c r="B2601" s="18" t="s">
        <v>5705</v>
      </c>
      <c r="C2601" s="18" t="s">
        <v>6135</v>
      </c>
      <c r="D2601" s="18" t="s">
        <v>6178</v>
      </c>
      <c r="E2601" s="18" t="s">
        <v>6184</v>
      </c>
    </row>
    <row r="2602" spans="1:5" x14ac:dyDescent="0.25">
      <c r="A2602" s="16">
        <v>2625</v>
      </c>
      <c r="B2602" s="18" t="s">
        <v>5705</v>
      </c>
      <c r="C2602" s="18" t="s">
        <v>6135</v>
      </c>
      <c r="D2602" s="18" t="s">
        <v>6178</v>
      </c>
      <c r="E2602" s="18" t="s">
        <v>6185</v>
      </c>
    </row>
    <row r="2603" spans="1:5" x14ac:dyDescent="0.25">
      <c r="A2603" s="16">
        <v>2626</v>
      </c>
      <c r="B2603" s="18" t="s">
        <v>5705</v>
      </c>
      <c r="C2603" s="18" t="s">
        <v>6135</v>
      </c>
      <c r="D2603" s="18" t="s">
        <v>6186</v>
      </c>
      <c r="E2603" s="18" t="s">
        <v>6187</v>
      </c>
    </row>
    <row r="2604" spans="1:5" ht="24" customHeight="1" x14ac:dyDescent="0.25">
      <c r="A2604" s="16">
        <v>2627</v>
      </c>
      <c r="B2604" s="18" t="s">
        <v>5705</v>
      </c>
      <c r="C2604" s="18" t="s">
        <v>6135</v>
      </c>
      <c r="D2604" s="18" t="s">
        <v>6186</v>
      </c>
      <c r="E2604" s="18" t="s">
        <v>6188</v>
      </c>
    </row>
    <row r="2605" spans="1:5" x14ac:dyDescent="0.25">
      <c r="A2605" s="16">
        <v>2628</v>
      </c>
      <c r="B2605" s="18" t="s">
        <v>5705</v>
      </c>
      <c r="C2605" s="18" t="s">
        <v>6135</v>
      </c>
      <c r="D2605" s="18" t="s">
        <v>6186</v>
      </c>
      <c r="E2605" s="18" t="s">
        <v>6189</v>
      </c>
    </row>
    <row r="2606" spans="1:5" x14ac:dyDescent="0.25">
      <c r="A2606" s="16">
        <v>2629</v>
      </c>
      <c r="B2606" s="18" t="s">
        <v>5705</v>
      </c>
      <c r="C2606" s="18" t="s">
        <v>6135</v>
      </c>
      <c r="D2606" s="18" t="s">
        <v>6186</v>
      </c>
      <c r="E2606" s="18" t="s">
        <v>6190</v>
      </c>
    </row>
    <row r="2607" spans="1:5" x14ac:dyDescent="0.25">
      <c r="A2607" s="16">
        <v>2630</v>
      </c>
      <c r="B2607" s="18" t="s">
        <v>5705</v>
      </c>
      <c r="C2607" s="18" t="s">
        <v>6135</v>
      </c>
      <c r="D2607" s="18" t="s">
        <v>6186</v>
      </c>
      <c r="E2607" s="18" t="s">
        <v>6191</v>
      </c>
    </row>
    <row r="2608" spans="1:5" ht="24" customHeight="1" x14ac:dyDescent="0.25">
      <c r="A2608" s="16">
        <v>2631</v>
      </c>
      <c r="B2608" s="18" t="s">
        <v>5705</v>
      </c>
      <c r="C2608" s="18" t="s">
        <v>6135</v>
      </c>
      <c r="D2608" s="18" t="s">
        <v>6186</v>
      </c>
      <c r="E2608" s="18" t="s">
        <v>6192</v>
      </c>
    </row>
    <row r="2609" spans="1:5" ht="24" customHeight="1" x14ac:dyDescent="0.25">
      <c r="A2609" s="16">
        <v>2632</v>
      </c>
      <c r="B2609" s="18" t="s">
        <v>5705</v>
      </c>
      <c r="C2609" s="18" t="s">
        <v>6135</v>
      </c>
      <c r="D2609" s="18" t="s">
        <v>6186</v>
      </c>
      <c r="E2609" s="18" t="s">
        <v>6193</v>
      </c>
    </row>
    <row r="2610" spans="1:5" ht="24" customHeight="1" x14ac:dyDescent="0.25">
      <c r="A2610" s="16">
        <v>2633</v>
      </c>
      <c r="B2610" s="18" t="s">
        <v>5705</v>
      </c>
      <c r="C2610" s="18" t="s">
        <v>6135</v>
      </c>
      <c r="D2610" s="18" t="s">
        <v>6186</v>
      </c>
      <c r="E2610" s="18" t="s">
        <v>6194</v>
      </c>
    </row>
    <row r="2611" spans="1:5" x14ac:dyDescent="0.25">
      <c r="A2611" s="16">
        <v>2634</v>
      </c>
      <c r="B2611" s="18" t="s">
        <v>5705</v>
      </c>
      <c r="C2611" s="18" t="s">
        <v>6135</v>
      </c>
      <c r="D2611" s="18" t="s">
        <v>6186</v>
      </c>
      <c r="E2611" s="18" t="s">
        <v>6195</v>
      </c>
    </row>
    <row r="2612" spans="1:5" x14ac:dyDescent="0.25">
      <c r="A2612" s="16">
        <v>2635</v>
      </c>
      <c r="B2612" s="18" t="s">
        <v>5705</v>
      </c>
      <c r="C2612" s="18" t="s">
        <v>6135</v>
      </c>
      <c r="D2612" s="18" t="s">
        <v>6196</v>
      </c>
      <c r="E2612" s="18" t="s">
        <v>6197</v>
      </c>
    </row>
    <row r="2613" spans="1:5" ht="24" customHeight="1" x14ac:dyDescent="0.25">
      <c r="A2613" s="16">
        <v>2636</v>
      </c>
      <c r="B2613" s="18" t="s">
        <v>5705</v>
      </c>
      <c r="C2613" s="18" t="s">
        <v>6135</v>
      </c>
      <c r="D2613" s="18" t="s">
        <v>6196</v>
      </c>
      <c r="E2613" s="18" t="s">
        <v>6198</v>
      </c>
    </row>
    <row r="2614" spans="1:5" x14ac:dyDescent="0.25">
      <c r="A2614" s="16">
        <v>2637</v>
      </c>
      <c r="B2614" s="18" t="s">
        <v>5705</v>
      </c>
      <c r="C2614" s="18" t="s">
        <v>6135</v>
      </c>
      <c r="D2614" s="18" t="s">
        <v>6196</v>
      </c>
      <c r="E2614" s="18" t="s">
        <v>6199</v>
      </c>
    </row>
    <row r="2615" spans="1:5" x14ac:dyDescent="0.25">
      <c r="A2615" s="16">
        <v>2638</v>
      </c>
      <c r="B2615" s="18" t="s">
        <v>5705</v>
      </c>
      <c r="C2615" s="18" t="s">
        <v>6135</v>
      </c>
      <c r="D2615" s="18" t="s">
        <v>6196</v>
      </c>
      <c r="E2615" s="18" t="s">
        <v>6200</v>
      </c>
    </row>
    <row r="2616" spans="1:5" x14ac:dyDescent="0.25">
      <c r="A2616" s="16">
        <v>2639</v>
      </c>
      <c r="B2616" s="18" t="s">
        <v>5705</v>
      </c>
      <c r="C2616" s="18" t="s">
        <v>6135</v>
      </c>
      <c r="D2616" s="18" t="s">
        <v>6196</v>
      </c>
      <c r="E2616" s="18" t="s">
        <v>6201</v>
      </c>
    </row>
    <row r="2617" spans="1:5" x14ac:dyDescent="0.25">
      <c r="A2617" s="16">
        <v>2640</v>
      </c>
      <c r="B2617" s="18" t="s">
        <v>5705</v>
      </c>
      <c r="C2617" s="18" t="s">
        <v>6135</v>
      </c>
      <c r="D2617" s="18" t="s">
        <v>6196</v>
      </c>
      <c r="E2617" s="18" t="s">
        <v>6202</v>
      </c>
    </row>
    <row r="2618" spans="1:5" x14ac:dyDescent="0.25">
      <c r="A2618" s="16">
        <v>2641</v>
      </c>
      <c r="B2618" s="18" t="s">
        <v>5705</v>
      </c>
      <c r="C2618" s="18" t="s">
        <v>6135</v>
      </c>
      <c r="D2618" s="18" t="s">
        <v>6196</v>
      </c>
      <c r="E2618" s="18" t="s">
        <v>6203</v>
      </c>
    </row>
    <row r="2619" spans="1:5" x14ac:dyDescent="0.25">
      <c r="A2619" s="16">
        <v>2648</v>
      </c>
      <c r="B2619" s="18" t="s">
        <v>6204</v>
      </c>
      <c r="C2619" s="18" t="s">
        <v>6205</v>
      </c>
      <c r="D2619" s="18" t="s">
        <v>6205</v>
      </c>
      <c r="E2619" s="18" t="s">
        <v>6206</v>
      </c>
    </row>
    <row r="2620" spans="1:5" x14ac:dyDescent="0.25">
      <c r="A2620" s="16">
        <v>2649</v>
      </c>
      <c r="B2620" s="18" t="s">
        <v>6204</v>
      </c>
      <c r="C2620" s="18" t="s">
        <v>6205</v>
      </c>
      <c r="D2620" s="18" t="s">
        <v>6205</v>
      </c>
      <c r="E2620" s="18" t="s">
        <v>6207</v>
      </c>
    </row>
    <row r="2621" spans="1:5" x14ac:dyDescent="0.25">
      <c r="A2621" s="16">
        <v>2650</v>
      </c>
      <c r="B2621" s="18" t="s">
        <v>6204</v>
      </c>
      <c r="C2621" s="18" t="s">
        <v>6205</v>
      </c>
      <c r="D2621" s="18" t="s">
        <v>6205</v>
      </c>
      <c r="E2621" s="18" t="s">
        <v>6208</v>
      </c>
    </row>
    <row r="2622" spans="1:5" ht="36" customHeight="1" x14ac:dyDescent="0.25">
      <c r="A2622" s="16">
        <v>2651</v>
      </c>
      <c r="B2622" s="18" t="s">
        <v>6204</v>
      </c>
      <c r="C2622" s="18" t="s">
        <v>6205</v>
      </c>
      <c r="D2622" s="18" t="s">
        <v>6205</v>
      </c>
      <c r="E2622" s="18" t="s">
        <v>6209</v>
      </c>
    </row>
    <row r="2623" spans="1:5" ht="24" customHeight="1" x14ac:dyDescent="0.25">
      <c r="A2623" s="16">
        <v>2652</v>
      </c>
      <c r="B2623" s="18" t="s">
        <v>6204</v>
      </c>
      <c r="C2623" s="18" t="s">
        <v>6205</v>
      </c>
      <c r="D2623" s="18" t="s">
        <v>6205</v>
      </c>
      <c r="E2623" s="18" t="s">
        <v>6210</v>
      </c>
    </row>
    <row r="2624" spans="1:5" ht="24" customHeight="1" x14ac:dyDescent="0.25">
      <c r="A2624" s="16">
        <v>2653</v>
      </c>
      <c r="B2624" s="18" t="s">
        <v>6204</v>
      </c>
      <c r="C2624" s="18" t="s">
        <v>6205</v>
      </c>
      <c r="D2624" s="18" t="s">
        <v>6205</v>
      </c>
      <c r="E2624" s="18" t="s">
        <v>6211</v>
      </c>
    </row>
    <row r="2625" spans="1:5" ht="24" customHeight="1" x14ac:dyDescent="0.25">
      <c r="A2625" s="16">
        <v>2654</v>
      </c>
      <c r="B2625" s="18" t="s">
        <v>6204</v>
      </c>
      <c r="C2625" s="18" t="s">
        <v>6205</v>
      </c>
      <c r="D2625" s="18" t="s">
        <v>6205</v>
      </c>
      <c r="E2625" s="18" t="s">
        <v>6212</v>
      </c>
    </row>
    <row r="2626" spans="1:5" x14ac:dyDescent="0.25">
      <c r="A2626" s="16">
        <v>2655</v>
      </c>
      <c r="B2626" s="18" t="s">
        <v>6204</v>
      </c>
      <c r="C2626" s="18" t="s">
        <v>6205</v>
      </c>
      <c r="D2626" s="18" t="s">
        <v>6205</v>
      </c>
      <c r="E2626" s="18" t="s">
        <v>6213</v>
      </c>
    </row>
    <row r="2627" spans="1:5" x14ac:dyDescent="0.25">
      <c r="A2627" s="16">
        <v>2656</v>
      </c>
      <c r="B2627" s="18" t="s">
        <v>6204</v>
      </c>
      <c r="C2627" s="18" t="s">
        <v>6205</v>
      </c>
      <c r="D2627" s="18" t="s">
        <v>6205</v>
      </c>
      <c r="E2627" s="18" t="s">
        <v>6214</v>
      </c>
    </row>
    <row r="2628" spans="1:5" ht="24" customHeight="1" x14ac:dyDescent="0.25">
      <c r="A2628" s="16">
        <v>2657</v>
      </c>
      <c r="B2628" s="18" t="s">
        <v>6204</v>
      </c>
      <c r="C2628" s="18" t="s">
        <v>6205</v>
      </c>
      <c r="D2628" s="18" t="s">
        <v>6205</v>
      </c>
      <c r="E2628" s="18" t="s">
        <v>6215</v>
      </c>
    </row>
    <row r="2629" spans="1:5" ht="24" customHeight="1" x14ac:dyDescent="0.25">
      <c r="A2629" s="16">
        <v>2658</v>
      </c>
      <c r="B2629" s="18" t="s">
        <v>6204</v>
      </c>
      <c r="C2629" s="18" t="s">
        <v>6205</v>
      </c>
      <c r="D2629" s="18" t="s">
        <v>6205</v>
      </c>
      <c r="E2629" s="18" t="s">
        <v>6216</v>
      </c>
    </row>
    <row r="2630" spans="1:5" x14ac:dyDescent="0.25">
      <c r="A2630" s="16">
        <v>2659</v>
      </c>
      <c r="B2630" s="18" t="s">
        <v>6204</v>
      </c>
      <c r="C2630" s="18" t="s">
        <v>6205</v>
      </c>
      <c r="D2630" s="18" t="s">
        <v>6205</v>
      </c>
      <c r="E2630" s="18" t="s">
        <v>6217</v>
      </c>
    </row>
    <row r="2631" spans="1:5" x14ac:dyDescent="0.25">
      <c r="A2631" s="16">
        <v>2660</v>
      </c>
      <c r="B2631" s="18" t="s">
        <v>6204</v>
      </c>
      <c r="C2631" s="18" t="s">
        <v>6205</v>
      </c>
      <c r="D2631" s="18" t="s">
        <v>6205</v>
      </c>
      <c r="E2631" s="18" t="s">
        <v>6218</v>
      </c>
    </row>
    <row r="2632" spans="1:5" x14ac:dyDescent="0.25">
      <c r="A2632" s="16">
        <v>2661</v>
      </c>
      <c r="B2632" s="18" t="s">
        <v>6204</v>
      </c>
      <c r="C2632" s="18" t="s">
        <v>6205</v>
      </c>
      <c r="D2632" s="18" t="s">
        <v>6205</v>
      </c>
      <c r="E2632" s="18" t="s">
        <v>6219</v>
      </c>
    </row>
    <row r="2633" spans="1:5" ht="24" customHeight="1" x14ac:dyDescent="0.25">
      <c r="A2633" s="16">
        <v>2662</v>
      </c>
      <c r="B2633" s="18" t="s">
        <v>6204</v>
      </c>
      <c r="C2633" s="18" t="s">
        <v>6205</v>
      </c>
      <c r="D2633" s="18" t="s">
        <v>6205</v>
      </c>
      <c r="E2633" s="18" t="s">
        <v>6220</v>
      </c>
    </row>
    <row r="2634" spans="1:5" x14ac:dyDescent="0.25">
      <c r="A2634" s="16">
        <v>2663</v>
      </c>
      <c r="B2634" s="18" t="s">
        <v>6204</v>
      </c>
      <c r="C2634" s="18" t="s">
        <v>6205</v>
      </c>
      <c r="D2634" s="18" t="s">
        <v>6205</v>
      </c>
      <c r="E2634" s="18" t="s">
        <v>6221</v>
      </c>
    </row>
    <row r="2635" spans="1:5" x14ac:dyDescent="0.25">
      <c r="A2635" s="16">
        <v>2664</v>
      </c>
      <c r="B2635" s="18" t="s">
        <v>6204</v>
      </c>
      <c r="C2635" s="18" t="s">
        <v>6205</v>
      </c>
      <c r="D2635" s="18" t="s">
        <v>6222</v>
      </c>
      <c r="E2635" s="18" t="s">
        <v>6223</v>
      </c>
    </row>
    <row r="2636" spans="1:5" x14ac:dyDescent="0.25">
      <c r="A2636" s="16">
        <v>2665</v>
      </c>
      <c r="B2636" s="18" t="s">
        <v>6204</v>
      </c>
      <c r="C2636" s="18" t="s">
        <v>6205</v>
      </c>
      <c r="D2636" s="18" t="s">
        <v>6222</v>
      </c>
      <c r="E2636" s="18" t="s">
        <v>6224</v>
      </c>
    </row>
    <row r="2637" spans="1:5" x14ac:dyDescent="0.25">
      <c r="A2637" s="16">
        <v>2666</v>
      </c>
      <c r="B2637" s="18" t="s">
        <v>6204</v>
      </c>
      <c r="C2637" s="18" t="s">
        <v>6205</v>
      </c>
      <c r="D2637" s="18" t="s">
        <v>6222</v>
      </c>
      <c r="E2637" s="18" t="s">
        <v>6225</v>
      </c>
    </row>
    <row r="2638" spans="1:5" ht="24" customHeight="1" x14ac:dyDescent="0.25">
      <c r="A2638" s="16">
        <v>2667</v>
      </c>
      <c r="B2638" s="18" t="s">
        <v>6204</v>
      </c>
      <c r="C2638" s="18" t="s">
        <v>6205</v>
      </c>
      <c r="D2638" s="18" t="s">
        <v>6222</v>
      </c>
      <c r="E2638" s="18" t="s">
        <v>6226</v>
      </c>
    </row>
    <row r="2639" spans="1:5" x14ac:dyDescent="0.25">
      <c r="A2639" s="16">
        <v>2668</v>
      </c>
      <c r="B2639" s="18" t="s">
        <v>6204</v>
      </c>
      <c r="C2639" s="18" t="s">
        <v>6205</v>
      </c>
      <c r="D2639" s="18" t="s">
        <v>6222</v>
      </c>
      <c r="E2639" s="18" t="s">
        <v>6227</v>
      </c>
    </row>
    <row r="2640" spans="1:5" x14ac:dyDescent="0.25">
      <c r="A2640" s="16">
        <v>2669</v>
      </c>
      <c r="B2640" s="18" t="s">
        <v>6204</v>
      </c>
      <c r="C2640" s="18" t="s">
        <v>6205</v>
      </c>
      <c r="D2640" s="18" t="s">
        <v>6222</v>
      </c>
      <c r="E2640" s="18" t="s">
        <v>6228</v>
      </c>
    </row>
    <row r="2641" spans="1:5" x14ac:dyDescent="0.25">
      <c r="A2641" s="16">
        <v>2670</v>
      </c>
      <c r="B2641" s="18" t="s">
        <v>6204</v>
      </c>
      <c r="C2641" s="18" t="s">
        <v>6205</v>
      </c>
      <c r="D2641" s="18" t="s">
        <v>6222</v>
      </c>
      <c r="E2641" s="18" t="s">
        <v>6229</v>
      </c>
    </row>
    <row r="2642" spans="1:5" x14ac:dyDescent="0.25">
      <c r="A2642" s="16">
        <v>2671</v>
      </c>
      <c r="B2642" s="18" t="s">
        <v>6204</v>
      </c>
      <c r="C2642" s="18" t="s">
        <v>6205</v>
      </c>
      <c r="D2642" s="18" t="s">
        <v>6222</v>
      </c>
      <c r="E2642" s="18" t="s">
        <v>6230</v>
      </c>
    </row>
    <row r="2643" spans="1:5" x14ac:dyDescent="0.25">
      <c r="A2643" s="16">
        <v>2672</v>
      </c>
      <c r="B2643" s="18" t="s">
        <v>6204</v>
      </c>
      <c r="C2643" s="18" t="s">
        <v>6205</v>
      </c>
      <c r="D2643" s="18" t="s">
        <v>6222</v>
      </c>
      <c r="E2643" s="18" t="s">
        <v>6231</v>
      </c>
    </row>
    <row r="2644" spans="1:5" x14ac:dyDescent="0.25">
      <c r="A2644" s="16">
        <v>2673</v>
      </c>
      <c r="B2644" s="18" t="s">
        <v>6204</v>
      </c>
      <c r="C2644" s="18" t="s">
        <v>6205</v>
      </c>
      <c r="D2644" s="18" t="s">
        <v>6222</v>
      </c>
      <c r="E2644" s="18" t="s">
        <v>6232</v>
      </c>
    </row>
    <row r="2645" spans="1:5" x14ac:dyDescent="0.25">
      <c r="A2645" s="16">
        <v>2674</v>
      </c>
      <c r="B2645" s="18" t="s">
        <v>6204</v>
      </c>
      <c r="C2645" s="18" t="s">
        <v>6205</v>
      </c>
      <c r="D2645" s="18" t="s">
        <v>6222</v>
      </c>
      <c r="E2645" s="18" t="s">
        <v>6233</v>
      </c>
    </row>
    <row r="2646" spans="1:5" x14ac:dyDescent="0.25">
      <c r="A2646" s="16">
        <v>2675</v>
      </c>
      <c r="B2646" s="18" t="s">
        <v>6204</v>
      </c>
      <c r="C2646" s="18" t="s">
        <v>6205</v>
      </c>
      <c r="D2646" s="18" t="s">
        <v>6222</v>
      </c>
      <c r="E2646" s="18" t="s">
        <v>6234</v>
      </c>
    </row>
    <row r="2647" spans="1:5" ht="36" customHeight="1" x14ac:dyDescent="0.25">
      <c r="A2647" s="16">
        <v>2676</v>
      </c>
      <c r="B2647" s="18" t="s">
        <v>6204</v>
      </c>
      <c r="C2647" s="18" t="s">
        <v>6205</v>
      </c>
      <c r="D2647" s="18" t="s">
        <v>6222</v>
      </c>
      <c r="E2647" s="18" t="s">
        <v>6235</v>
      </c>
    </row>
    <row r="2648" spans="1:5" ht="24" customHeight="1" x14ac:dyDescent="0.25">
      <c r="A2648" s="16">
        <v>2677</v>
      </c>
      <c r="B2648" s="18" t="s">
        <v>6204</v>
      </c>
      <c r="C2648" s="18" t="s">
        <v>6205</v>
      </c>
      <c r="D2648" s="18" t="s">
        <v>6222</v>
      </c>
      <c r="E2648" s="18" t="s">
        <v>6236</v>
      </c>
    </row>
    <row r="2649" spans="1:5" x14ac:dyDescent="0.25">
      <c r="A2649" s="16">
        <v>2678</v>
      </c>
      <c r="B2649" s="18" t="s">
        <v>6204</v>
      </c>
      <c r="C2649" s="18" t="s">
        <v>6205</v>
      </c>
      <c r="D2649" s="18" t="s">
        <v>6222</v>
      </c>
      <c r="E2649" s="18" t="s">
        <v>6237</v>
      </c>
    </row>
    <row r="2650" spans="1:5" ht="24" customHeight="1" x14ac:dyDescent="0.25">
      <c r="A2650" s="16">
        <v>2679</v>
      </c>
      <c r="B2650" s="18" t="s">
        <v>6204</v>
      </c>
      <c r="C2650" s="18" t="s">
        <v>6205</v>
      </c>
      <c r="D2650" s="18" t="s">
        <v>6222</v>
      </c>
      <c r="E2650" s="18" t="s">
        <v>6238</v>
      </c>
    </row>
    <row r="2651" spans="1:5" x14ac:dyDescent="0.25">
      <c r="A2651" s="16">
        <v>2680</v>
      </c>
      <c r="B2651" s="18" t="s">
        <v>6204</v>
      </c>
      <c r="C2651" s="18" t="s">
        <v>6205</v>
      </c>
      <c r="D2651" s="18" t="s">
        <v>6239</v>
      </c>
      <c r="E2651" s="18" t="s">
        <v>6240</v>
      </c>
    </row>
    <row r="2652" spans="1:5" x14ac:dyDescent="0.25">
      <c r="A2652" s="16">
        <v>2681</v>
      </c>
      <c r="B2652" s="18" t="s">
        <v>6204</v>
      </c>
      <c r="C2652" s="18" t="s">
        <v>6205</v>
      </c>
      <c r="D2652" s="18" t="s">
        <v>6239</v>
      </c>
      <c r="E2652" s="18" t="s">
        <v>6241</v>
      </c>
    </row>
    <row r="2653" spans="1:5" ht="24" customHeight="1" x14ac:dyDescent="0.25">
      <c r="A2653" s="16">
        <v>2682</v>
      </c>
      <c r="B2653" s="18" t="s">
        <v>6204</v>
      </c>
      <c r="C2653" s="18" t="s">
        <v>6205</v>
      </c>
      <c r="D2653" s="18" t="s">
        <v>6239</v>
      </c>
      <c r="E2653" s="18" t="s">
        <v>6242</v>
      </c>
    </row>
    <row r="2654" spans="1:5" x14ac:dyDescent="0.25">
      <c r="A2654" s="16">
        <v>2683</v>
      </c>
      <c r="B2654" s="18" t="s">
        <v>6204</v>
      </c>
      <c r="C2654" s="18" t="s">
        <v>6205</v>
      </c>
      <c r="D2654" s="18" t="s">
        <v>6239</v>
      </c>
      <c r="E2654" s="18" t="s">
        <v>6243</v>
      </c>
    </row>
    <row r="2655" spans="1:5" ht="24" customHeight="1" x14ac:dyDescent="0.25">
      <c r="A2655" s="16">
        <v>2684</v>
      </c>
      <c r="B2655" s="18" t="s">
        <v>6204</v>
      </c>
      <c r="C2655" s="18" t="s">
        <v>6205</v>
      </c>
      <c r="D2655" s="18" t="s">
        <v>6239</v>
      </c>
      <c r="E2655" s="18" t="s">
        <v>6244</v>
      </c>
    </row>
    <row r="2656" spans="1:5" x14ac:dyDescent="0.25">
      <c r="A2656" s="16">
        <v>2685</v>
      </c>
      <c r="B2656" s="18" t="s">
        <v>6204</v>
      </c>
      <c r="C2656" s="18" t="s">
        <v>6205</v>
      </c>
      <c r="D2656" s="18" t="s">
        <v>6239</v>
      </c>
      <c r="E2656" s="18" t="s">
        <v>6245</v>
      </c>
    </row>
    <row r="2657" spans="1:5" x14ac:dyDescent="0.25">
      <c r="A2657" s="16">
        <v>2686</v>
      </c>
      <c r="B2657" s="18" t="s">
        <v>6204</v>
      </c>
      <c r="C2657" s="18" t="s">
        <v>6205</v>
      </c>
      <c r="D2657" s="18" t="s">
        <v>6239</v>
      </c>
      <c r="E2657" s="18" t="s">
        <v>6246</v>
      </c>
    </row>
    <row r="2658" spans="1:5" ht="24" customHeight="1" x14ac:dyDescent="0.25">
      <c r="A2658" s="16">
        <v>2687</v>
      </c>
      <c r="B2658" s="18" t="s">
        <v>6204</v>
      </c>
      <c r="C2658" s="18" t="s">
        <v>6205</v>
      </c>
      <c r="D2658" s="18" t="s">
        <v>6239</v>
      </c>
      <c r="E2658" s="18" t="s">
        <v>6247</v>
      </c>
    </row>
    <row r="2659" spans="1:5" x14ac:dyDescent="0.25">
      <c r="A2659" s="16">
        <v>2688</v>
      </c>
      <c r="B2659" s="18" t="s">
        <v>6204</v>
      </c>
      <c r="C2659" s="18" t="s">
        <v>6205</v>
      </c>
      <c r="D2659" s="18" t="s">
        <v>6239</v>
      </c>
      <c r="E2659" s="18" t="s">
        <v>6248</v>
      </c>
    </row>
    <row r="2660" spans="1:5" ht="24" customHeight="1" x14ac:dyDescent="0.25">
      <c r="A2660" s="16">
        <v>2689</v>
      </c>
      <c r="B2660" s="18" t="s">
        <v>6204</v>
      </c>
      <c r="C2660" s="18" t="s">
        <v>6205</v>
      </c>
      <c r="D2660" s="18" t="s">
        <v>6239</v>
      </c>
      <c r="E2660" s="18" t="s">
        <v>6249</v>
      </c>
    </row>
    <row r="2661" spans="1:5" ht="24" customHeight="1" x14ac:dyDescent="0.25">
      <c r="A2661" s="16">
        <v>2690</v>
      </c>
      <c r="B2661" s="18" t="s">
        <v>6204</v>
      </c>
      <c r="C2661" s="18" t="s">
        <v>6205</v>
      </c>
      <c r="D2661" s="18" t="s">
        <v>6239</v>
      </c>
      <c r="E2661" s="18" t="s">
        <v>6250</v>
      </c>
    </row>
    <row r="2662" spans="1:5" ht="24" customHeight="1" x14ac:dyDescent="0.25">
      <c r="A2662" s="16">
        <v>2691</v>
      </c>
      <c r="B2662" s="18" t="s">
        <v>6204</v>
      </c>
      <c r="C2662" s="18" t="s">
        <v>6205</v>
      </c>
      <c r="D2662" s="18" t="s">
        <v>6251</v>
      </c>
      <c r="E2662" s="18" t="s">
        <v>6252</v>
      </c>
    </row>
    <row r="2663" spans="1:5" ht="24" customHeight="1" x14ac:dyDescent="0.25">
      <c r="A2663" s="16">
        <v>2692</v>
      </c>
      <c r="B2663" s="18" t="s">
        <v>6204</v>
      </c>
      <c r="C2663" s="18" t="s">
        <v>6205</v>
      </c>
      <c r="D2663" s="18" t="s">
        <v>6251</v>
      </c>
      <c r="E2663" s="18" t="s">
        <v>6253</v>
      </c>
    </row>
    <row r="2664" spans="1:5" ht="24" customHeight="1" x14ac:dyDescent="0.25">
      <c r="A2664" s="16">
        <v>2693</v>
      </c>
      <c r="B2664" s="18" t="s">
        <v>6204</v>
      </c>
      <c r="C2664" s="18" t="s">
        <v>6205</v>
      </c>
      <c r="D2664" s="18" t="s">
        <v>6251</v>
      </c>
      <c r="E2664" s="18" t="s">
        <v>6254</v>
      </c>
    </row>
    <row r="2665" spans="1:5" ht="24" customHeight="1" x14ac:dyDescent="0.25">
      <c r="A2665" s="16">
        <v>2694</v>
      </c>
      <c r="B2665" s="18" t="s">
        <v>6204</v>
      </c>
      <c r="C2665" s="18" t="s">
        <v>6205</v>
      </c>
      <c r="D2665" s="18" t="s">
        <v>6251</v>
      </c>
      <c r="E2665" s="18" t="s">
        <v>6255</v>
      </c>
    </row>
    <row r="2666" spans="1:5" ht="24" customHeight="1" x14ac:dyDescent="0.25">
      <c r="A2666" s="16">
        <v>2695</v>
      </c>
      <c r="B2666" s="18" t="s">
        <v>6204</v>
      </c>
      <c r="C2666" s="18" t="s">
        <v>6205</v>
      </c>
      <c r="D2666" s="18" t="s">
        <v>6251</v>
      </c>
      <c r="E2666" s="18" t="s">
        <v>6256</v>
      </c>
    </row>
    <row r="2667" spans="1:5" ht="24" customHeight="1" x14ac:dyDescent="0.25">
      <c r="A2667" s="16">
        <v>2696</v>
      </c>
      <c r="B2667" s="18" t="s">
        <v>6204</v>
      </c>
      <c r="C2667" s="18" t="s">
        <v>6205</v>
      </c>
      <c r="D2667" s="18" t="s">
        <v>6251</v>
      </c>
      <c r="E2667" s="18" t="s">
        <v>6257</v>
      </c>
    </row>
    <row r="2668" spans="1:5" ht="24" customHeight="1" x14ac:dyDescent="0.25">
      <c r="A2668" s="16">
        <v>2697</v>
      </c>
      <c r="B2668" s="18" t="s">
        <v>6204</v>
      </c>
      <c r="C2668" s="18" t="s">
        <v>6205</v>
      </c>
      <c r="D2668" s="18" t="s">
        <v>6251</v>
      </c>
      <c r="E2668" s="18" t="s">
        <v>6258</v>
      </c>
    </row>
    <row r="2669" spans="1:5" ht="24" customHeight="1" x14ac:dyDescent="0.25">
      <c r="A2669" s="16">
        <v>2698</v>
      </c>
      <c r="B2669" s="18" t="s">
        <v>6204</v>
      </c>
      <c r="C2669" s="18" t="s">
        <v>6205</v>
      </c>
      <c r="D2669" s="18" t="s">
        <v>6251</v>
      </c>
      <c r="E2669" s="18" t="s">
        <v>6259</v>
      </c>
    </row>
    <row r="2670" spans="1:5" ht="24" customHeight="1" x14ac:dyDescent="0.25">
      <c r="A2670" s="16">
        <v>2699</v>
      </c>
      <c r="B2670" s="18" t="s">
        <v>6204</v>
      </c>
      <c r="C2670" s="18" t="s">
        <v>6205</v>
      </c>
      <c r="D2670" s="18" t="s">
        <v>6251</v>
      </c>
      <c r="E2670" s="18" t="s">
        <v>6260</v>
      </c>
    </row>
    <row r="2671" spans="1:5" ht="24" customHeight="1" x14ac:dyDescent="0.25">
      <c r="A2671" s="16">
        <v>2700</v>
      </c>
      <c r="B2671" s="18" t="s">
        <v>6204</v>
      </c>
      <c r="C2671" s="18" t="s">
        <v>6205</v>
      </c>
      <c r="D2671" s="18" t="s">
        <v>6251</v>
      </c>
      <c r="E2671" s="18" t="s">
        <v>6261</v>
      </c>
    </row>
    <row r="2672" spans="1:5" ht="24" customHeight="1" x14ac:dyDescent="0.25">
      <c r="A2672" s="16">
        <v>2701</v>
      </c>
      <c r="B2672" s="18" t="s">
        <v>6204</v>
      </c>
      <c r="C2672" s="18" t="s">
        <v>6205</v>
      </c>
      <c r="D2672" s="18" t="s">
        <v>6251</v>
      </c>
      <c r="E2672" s="18" t="s">
        <v>6262</v>
      </c>
    </row>
    <row r="2673" spans="1:5" ht="24" customHeight="1" x14ac:dyDescent="0.25">
      <c r="A2673" s="16">
        <v>2702</v>
      </c>
      <c r="B2673" s="18" t="s">
        <v>6204</v>
      </c>
      <c r="C2673" s="18" t="s">
        <v>6205</v>
      </c>
      <c r="D2673" s="18" t="s">
        <v>6251</v>
      </c>
      <c r="E2673" s="18" t="s">
        <v>6263</v>
      </c>
    </row>
    <row r="2674" spans="1:5" ht="24" customHeight="1" x14ac:dyDescent="0.25">
      <c r="A2674" s="16">
        <v>2703</v>
      </c>
      <c r="B2674" s="18" t="s">
        <v>6204</v>
      </c>
      <c r="C2674" s="18" t="s">
        <v>6205</v>
      </c>
      <c r="D2674" s="18" t="s">
        <v>6251</v>
      </c>
      <c r="E2674" s="18" t="s">
        <v>6264</v>
      </c>
    </row>
    <row r="2675" spans="1:5" ht="24" customHeight="1" x14ac:dyDescent="0.25">
      <c r="A2675" s="16">
        <v>2704</v>
      </c>
      <c r="B2675" s="18" t="s">
        <v>6204</v>
      </c>
      <c r="C2675" s="18" t="s">
        <v>6205</v>
      </c>
      <c r="D2675" s="18" t="s">
        <v>6251</v>
      </c>
      <c r="E2675" s="18" t="s">
        <v>6265</v>
      </c>
    </row>
    <row r="2676" spans="1:5" x14ac:dyDescent="0.25">
      <c r="A2676" s="16">
        <v>2705</v>
      </c>
      <c r="B2676" s="18" t="s">
        <v>6204</v>
      </c>
      <c r="C2676" s="18" t="s">
        <v>6205</v>
      </c>
      <c r="D2676" s="18" t="s">
        <v>6266</v>
      </c>
      <c r="E2676" s="18" t="s">
        <v>6267</v>
      </c>
    </row>
    <row r="2677" spans="1:5" ht="24" customHeight="1" x14ac:dyDescent="0.25">
      <c r="A2677" s="16">
        <v>2706</v>
      </c>
      <c r="B2677" s="18" t="s">
        <v>6204</v>
      </c>
      <c r="C2677" s="18" t="s">
        <v>6205</v>
      </c>
      <c r="D2677" s="18" t="s">
        <v>6266</v>
      </c>
      <c r="E2677" s="18" t="s">
        <v>6268</v>
      </c>
    </row>
    <row r="2678" spans="1:5" ht="36" customHeight="1" x14ac:dyDescent="0.25">
      <c r="A2678" s="16">
        <v>2707</v>
      </c>
      <c r="B2678" s="18" t="s">
        <v>6204</v>
      </c>
      <c r="C2678" s="18" t="s">
        <v>6205</v>
      </c>
      <c r="D2678" s="18" t="s">
        <v>6266</v>
      </c>
      <c r="E2678" s="18" t="s">
        <v>6269</v>
      </c>
    </row>
    <row r="2679" spans="1:5" x14ac:dyDescent="0.25">
      <c r="A2679" s="16">
        <v>2708</v>
      </c>
      <c r="B2679" s="18" t="s">
        <v>6204</v>
      </c>
      <c r="C2679" s="18" t="s">
        <v>6205</v>
      </c>
      <c r="D2679" s="18" t="s">
        <v>6266</v>
      </c>
      <c r="E2679" s="18" t="s">
        <v>6270</v>
      </c>
    </row>
    <row r="2680" spans="1:5" x14ac:dyDescent="0.25">
      <c r="A2680" s="16">
        <v>2709</v>
      </c>
      <c r="B2680" s="18" t="s">
        <v>6204</v>
      </c>
      <c r="C2680" s="18" t="s">
        <v>6205</v>
      </c>
      <c r="D2680" s="18" t="s">
        <v>6266</v>
      </c>
      <c r="E2680" s="18" t="s">
        <v>6271</v>
      </c>
    </row>
    <row r="2681" spans="1:5" ht="24" customHeight="1" x14ac:dyDescent="0.25">
      <c r="A2681" s="16">
        <v>2710</v>
      </c>
      <c r="B2681" s="18" t="s">
        <v>6204</v>
      </c>
      <c r="C2681" s="18" t="s">
        <v>6205</v>
      </c>
      <c r="D2681" s="18" t="s">
        <v>6266</v>
      </c>
      <c r="E2681" s="18" t="s">
        <v>6272</v>
      </c>
    </row>
    <row r="2682" spans="1:5" ht="36" customHeight="1" x14ac:dyDescent="0.25">
      <c r="A2682" s="16">
        <v>2711</v>
      </c>
      <c r="B2682" s="18" t="s">
        <v>6204</v>
      </c>
      <c r="C2682" s="18" t="s">
        <v>6205</v>
      </c>
      <c r="D2682" s="18" t="s">
        <v>6266</v>
      </c>
      <c r="E2682" s="18" t="s">
        <v>6273</v>
      </c>
    </row>
    <row r="2683" spans="1:5" x14ac:dyDescent="0.25">
      <c r="A2683" s="16">
        <v>2712</v>
      </c>
      <c r="B2683" s="18" t="s">
        <v>6204</v>
      </c>
      <c r="C2683" s="18" t="s">
        <v>6205</v>
      </c>
      <c r="D2683" s="18" t="s">
        <v>6266</v>
      </c>
      <c r="E2683" s="18" t="s">
        <v>6274</v>
      </c>
    </row>
    <row r="2684" spans="1:5" ht="36" customHeight="1" x14ac:dyDescent="0.25">
      <c r="A2684" s="16">
        <v>2713</v>
      </c>
      <c r="B2684" s="18" t="s">
        <v>6204</v>
      </c>
      <c r="C2684" s="18" t="s">
        <v>6205</v>
      </c>
      <c r="D2684" s="18" t="s">
        <v>6266</v>
      </c>
      <c r="E2684" s="18" t="s">
        <v>6275</v>
      </c>
    </row>
    <row r="2685" spans="1:5" ht="24" customHeight="1" x14ac:dyDescent="0.25">
      <c r="A2685" s="16">
        <v>2714</v>
      </c>
      <c r="B2685" s="18" t="s">
        <v>6204</v>
      </c>
      <c r="C2685" s="18" t="s">
        <v>6205</v>
      </c>
      <c r="D2685" s="18" t="s">
        <v>6266</v>
      </c>
      <c r="E2685" s="18" t="s">
        <v>6276</v>
      </c>
    </row>
    <row r="2686" spans="1:5" x14ac:dyDescent="0.25">
      <c r="A2686" s="16">
        <v>2715</v>
      </c>
      <c r="B2686" s="18" t="s">
        <v>6204</v>
      </c>
      <c r="C2686" s="18" t="s">
        <v>6205</v>
      </c>
      <c r="D2686" s="18" t="s">
        <v>6266</v>
      </c>
      <c r="E2686" s="18" t="s">
        <v>6277</v>
      </c>
    </row>
    <row r="2687" spans="1:5" x14ac:dyDescent="0.25">
      <c r="A2687" s="16">
        <v>2716</v>
      </c>
      <c r="B2687" s="18" t="s">
        <v>6204</v>
      </c>
      <c r="C2687" s="18" t="s">
        <v>6205</v>
      </c>
      <c r="D2687" s="18" t="s">
        <v>6266</v>
      </c>
      <c r="E2687" s="18" t="s">
        <v>6278</v>
      </c>
    </row>
    <row r="2688" spans="1:5" x14ac:dyDescent="0.25">
      <c r="A2688" s="16">
        <v>2717</v>
      </c>
      <c r="B2688" s="18" t="s">
        <v>6204</v>
      </c>
      <c r="C2688" s="18" t="s">
        <v>6205</v>
      </c>
      <c r="D2688" s="18" t="s">
        <v>6279</v>
      </c>
      <c r="E2688" s="18" t="s">
        <v>6280</v>
      </c>
    </row>
    <row r="2689" spans="1:5" x14ac:dyDescent="0.25">
      <c r="A2689" s="16">
        <v>2718</v>
      </c>
      <c r="B2689" s="18" t="s">
        <v>6204</v>
      </c>
      <c r="C2689" s="18" t="s">
        <v>6205</v>
      </c>
      <c r="D2689" s="18" t="s">
        <v>6279</v>
      </c>
      <c r="E2689" s="18" t="s">
        <v>6281</v>
      </c>
    </row>
    <row r="2690" spans="1:5" x14ac:dyDescent="0.25">
      <c r="A2690" s="16">
        <v>2719</v>
      </c>
      <c r="B2690" s="18" t="s">
        <v>6204</v>
      </c>
      <c r="C2690" s="18" t="s">
        <v>6205</v>
      </c>
      <c r="D2690" s="18" t="s">
        <v>6279</v>
      </c>
      <c r="E2690" s="18" t="s">
        <v>6282</v>
      </c>
    </row>
    <row r="2691" spans="1:5" x14ac:dyDescent="0.25">
      <c r="A2691" s="16">
        <v>2720</v>
      </c>
      <c r="B2691" s="18" t="s">
        <v>6204</v>
      </c>
      <c r="C2691" s="18" t="s">
        <v>6205</v>
      </c>
      <c r="D2691" s="18" t="s">
        <v>6279</v>
      </c>
      <c r="E2691" s="18" t="s">
        <v>6283</v>
      </c>
    </row>
    <row r="2692" spans="1:5" x14ac:dyDescent="0.25">
      <c r="A2692" s="16">
        <v>2721</v>
      </c>
      <c r="B2692" s="18" t="s">
        <v>6204</v>
      </c>
      <c r="C2692" s="18" t="s">
        <v>6205</v>
      </c>
      <c r="D2692" s="18" t="s">
        <v>6279</v>
      </c>
      <c r="E2692" s="18" t="s">
        <v>6284</v>
      </c>
    </row>
    <row r="2693" spans="1:5" ht="24" customHeight="1" x14ac:dyDescent="0.25">
      <c r="A2693" s="16">
        <v>2722</v>
      </c>
      <c r="B2693" s="18" t="s">
        <v>6204</v>
      </c>
      <c r="C2693" s="18" t="s">
        <v>6205</v>
      </c>
      <c r="D2693" s="18" t="s">
        <v>6279</v>
      </c>
      <c r="E2693" s="18" t="s">
        <v>6285</v>
      </c>
    </row>
    <row r="2694" spans="1:5" ht="24" customHeight="1" x14ac:dyDescent="0.25">
      <c r="A2694" s="16">
        <v>2723</v>
      </c>
      <c r="B2694" s="18" t="s">
        <v>6204</v>
      </c>
      <c r="C2694" s="18" t="s">
        <v>6205</v>
      </c>
      <c r="D2694" s="18" t="s">
        <v>6279</v>
      </c>
      <c r="E2694" s="18" t="s">
        <v>6286</v>
      </c>
    </row>
    <row r="2695" spans="1:5" x14ac:dyDescent="0.25">
      <c r="A2695" s="16">
        <v>2724</v>
      </c>
      <c r="B2695" s="18" t="s">
        <v>6204</v>
      </c>
      <c r="C2695" s="18" t="s">
        <v>6205</v>
      </c>
      <c r="D2695" s="18" t="s">
        <v>6279</v>
      </c>
      <c r="E2695" s="18" t="s">
        <v>6287</v>
      </c>
    </row>
    <row r="2696" spans="1:5" ht="24" customHeight="1" x14ac:dyDescent="0.25">
      <c r="A2696" s="16">
        <v>2725</v>
      </c>
      <c r="B2696" s="18" t="s">
        <v>6204</v>
      </c>
      <c r="C2696" s="18" t="s">
        <v>6205</v>
      </c>
      <c r="D2696" s="18" t="s">
        <v>6279</v>
      </c>
      <c r="E2696" s="18" t="s">
        <v>6288</v>
      </c>
    </row>
    <row r="2697" spans="1:5" x14ac:dyDescent="0.25">
      <c r="A2697" s="16">
        <v>2726</v>
      </c>
      <c r="B2697" s="18" t="s">
        <v>6204</v>
      </c>
      <c r="C2697" s="18" t="s">
        <v>6205</v>
      </c>
      <c r="D2697" s="18" t="s">
        <v>6279</v>
      </c>
      <c r="E2697" s="18" t="s">
        <v>6289</v>
      </c>
    </row>
    <row r="2698" spans="1:5" ht="36" customHeight="1" x14ac:dyDescent="0.25">
      <c r="A2698" s="16">
        <v>2727</v>
      </c>
      <c r="B2698" s="18" t="s">
        <v>6204</v>
      </c>
      <c r="C2698" s="18" t="s">
        <v>6205</v>
      </c>
      <c r="D2698" s="18" t="s">
        <v>6279</v>
      </c>
      <c r="E2698" s="18" t="s">
        <v>6290</v>
      </c>
    </row>
    <row r="2699" spans="1:5" ht="36" customHeight="1" x14ac:dyDescent="0.25">
      <c r="A2699" s="16">
        <v>2728</v>
      </c>
      <c r="B2699" s="18" t="s">
        <v>6204</v>
      </c>
      <c r="C2699" s="18" t="s">
        <v>6205</v>
      </c>
      <c r="D2699" s="18" t="s">
        <v>6279</v>
      </c>
      <c r="E2699" s="18" t="s">
        <v>6291</v>
      </c>
    </row>
    <row r="2700" spans="1:5" x14ac:dyDescent="0.25">
      <c r="A2700" s="16">
        <v>2729</v>
      </c>
      <c r="B2700" s="18" t="s">
        <v>6204</v>
      </c>
      <c r="C2700" s="18" t="s">
        <v>6205</v>
      </c>
      <c r="D2700" s="18" t="s">
        <v>6279</v>
      </c>
      <c r="E2700" s="18" t="s">
        <v>6292</v>
      </c>
    </row>
    <row r="2701" spans="1:5" x14ac:dyDescent="0.25">
      <c r="A2701" s="16">
        <v>2730</v>
      </c>
      <c r="B2701" s="18" t="s">
        <v>6204</v>
      </c>
      <c r="C2701" s="18" t="s">
        <v>6205</v>
      </c>
      <c r="D2701" s="18" t="s">
        <v>6279</v>
      </c>
      <c r="E2701" s="18" t="s">
        <v>6293</v>
      </c>
    </row>
    <row r="2702" spans="1:5" x14ac:dyDescent="0.25">
      <c r="A2702" s="16">
        <v>2731</v>
      </c>
      <c r="B2702" s="18" t="s">
        <v>6204</v>
      </c>
      <c r="C2702" s="18" t="s">
        <v>6205</v>
      </c>
      <c r="D2702" s="18" t="s">
        <v>6294</v>
      </c>
      <c r="E2702" s="18" t="s">
        <v>6295</v>
      </c>
    </row>
    <row r="2703" spans="1:5" x14ac:dyDescent="0.25">
      <c r="A2703" s="16">
        <v>2732</v>
      </c>
      <c r="B2703" s="18" t="s">
        <v>6204</v>
      </c>
      <c r="C2703" s="18" t="s">
        <v>6205</v>
      </c>
      <c r="D2703" s="18" t="s">
        <v>6294</v>
      </c>
      <c r="E2703" s="18" t="s">
        <v>6296</v>
      </c>
    </row>
    <row r="2704" spans="1:5" x14ac:dyDescent="0.25">
      <c r="A2704" s="16">
        <v>2733</v>
      </c>
      <c r="B2704" s="18" t="s">
        <v>6204</v>
      </c>
      <c r="C2704" s="18" t="s">
        <v>6205</v>
      </c>
      <c r="D2704" s="18" t="s">
        <v>6294</v>
      </c>
      <c r="E2704" s="18" t="s">
        <v>6297</v>
      </c>
    </row>
    <row r="2705" spans="1:5" x14ac:dyDescent="0.25">
      <c r="A2705" s="16">
        <v>2734</v>
      </c>
      <c r="B2705" s="18" t="s">
        <v>6204</v>
      </c>
      <c r="C2705" s="18" t="s">
        <v>6205</v>
      </c>
      <c r="D2705" s="18" t="s">
        <v>6294</v>
      </c>
      <c r="E2705" s="18" t="s">
        <v>6298</v>
      </c>
    </row>
    <row r="2706" spans="1:5" x14ac:dyDescent="0.25">
      <c r="A2706" s="16">
        <v>2735</v>
      </c>
      <c r="B2706" s="18" t="s">
        <v>6204</v>
      </c>
      <c r="C2706" s="18" t="s">
        <v>6205</v>
      </c>
      <c r="D2706" s="18" t="s">
        <v>6294</v>
      </c>
      <c r="E2706" s="18" t="s">
        <v>6299</v>
      </c>
    </row>
    <row r="2707" spans="1:5" x14ac:dyDescent="0.25">
      <c r="A2707" s="16">
        <v>2736</v>
      </c>
      <c r="B2707" s="18" t="s">
        <v>6204</v>
      </c>
      <c r="C2707" s="18" t="s">
        <v>6205</v>
      </c>
      <c r="D2707" s="18" t="s">
        <v>6294</v>
      </c>
      <c r="E2707" s="18" t="s">
        <v>6300</v>
      </c>
    </row>
    <row r="2708" spans="1:5" x14ac:dyDescent="0.25">
      <c r="A2708" s="16">
        <v>2737</v>
      </c>
      <c r="B2708" s="18" t="s">
        <v>6204</v>
      </c>
      <c r="C2708" s="18" t="s">
        <v>6205</v>
      </c>
      <c r="D2708" s="18" t="s">
        <v>6294</v>
      </c>
      <c r="E2708" s="18" t="s">
        <v>6301</v>
      </c>
    </row>
    <row r="2709" spans="1:5" x14ac:dyDescent="0.25">
      <c r="A2709" s="16">
        <v>2738</v>
      </c>
      <c r="B2709" s="18" t="s">
        <v>6204</v>
      </c>
      <c r="C2709" s="18" t="s">
        <v>6205</v>
      </c>
      <c r="D2709" s="18" t="s">
        <v>6294</v>
      </c>
      <c r="E2709" s="18" t="s">
        <v>6302</v>
      </c>
    </row>
    <row r="2710" spans="1:5" x14ac:dyDescent="0.25">
      <c r="A2710" s="16">
        <v>2739</v>
      </c>
      <c r="B2710" s="18" t="s">
        <v>6204</v>
      </c>
      <c r="C2710" s="18" t="s">
        <v>6205</v>
      </c>
      <c r="D2710" s="18" t="s">
        <v>6294</v>
      </c>
      <c r="E2710" s="18" t="s">
        <v>6303</v>
      </c>
    </row>
    <row r="2711" spans="1:5" ht="24" customHeight="1" x14ac:dyDescent="0.25">
      <c r="A2711" s="16">
        <v>2740</v>
      </c>
      <c r="B2711" s="18" t="s">
        <v>6204</v>
      </c>
      <c r="C2711" s="18" t="s">
        <v>6304</v>
      </c>
      <c r="D2711" s="18" t="s">
        <v>6305</v>
      </c>
      <c r="E2711" s="18" t="s">
        <v>6306</v>
      </c>
    </row>
    <row r="2712" spans="1:5" ht="24" customHeight="1" x14ac:dyDescent="0.25">
      <c r="A2712" s="16">
        <v>2741</v>
      </c>
      <c r="B2712" s="18" t="s">
        <v>6204</v>
      </c>
      <c r="C2712" s="18" t="s">
        <v>6304</v>
      </c>
      <c r="D2712" s="18" t="s">
        <v>6305</v>
      </c>
      <c r="E2712" s="18" t="s">
        <v>6307</v>
      </c>
    </row>
    <row r="2713" spans="1:5" ht="36" customHeight="1" x14ac:dyDescent="0.25">
      <c r="A2713" s="16">
        <v>2742</v>
      </c>
      <c r="B2713" s="18" t="s">
        <v>6204</v>
      </c>
      <c r="C2713" s="18" t="s">
        <v>6304</v>
      </c>
      <c r="D2713" s="18" t="s">
        <v>6305</v>
      </c>
      <c r="E2713" s="18" t="s">
        <v>6308</v>
      </c>
    </row>
    <row r="2714" spans="1:5" ht="24" customHeight="1" x14ac:dyDescent="0.25">
      <c r="A2714" s="16">
        <v>2743</v>
      </c>
      <c r="B2714" s="18" t="s">
        <v>6204</v>
      </c>
      <c r="C2714" s="18" t="s">
        <v>6304</v>
      </c>
      <c r="D2714" s="18" t="s">
        <v>6305</v>
      </c>
      <c r="E2714" s="18" t="s">
        <v>6309</v>
      </c>
    </row>
    <row r="2715" spans="1:5" ht="24" customHeight="1" x14ac:dyDescent="0.25">
      <c r="A2715" s="16">
        <v>2744</v>
      </c>
      <c r="B2715" s="18" t="s">
        <v>6204</v>
      </c>
      <c r="C2715" s="18" t="s">
        <v>6304</v>
      </c>
      <c r="D2715" s="18" t="s">
        <v>6305</v>
      </c>
      <c r="E2715" s="18" t="s">
        <v>6310</v>
      </c>
    </row>
    <row r="2716" spans="1:5" ht="24" customHeight="1" x14ac:dyDescent="0.25">
      <c r="A2716" s="16">
        <v>2745</v>
      </c>
      <c r="B2716" s="18" t="s">
        <v>6204</v>
      </c>
      <c r="C2716" s="18" t="s">
        <v>6304</v>
      </c>
      <c r="D2716" s="18" t="s">
        <v>6305</v>
      </c>
      <c r="E2716" s="18" t="s">
        <v>6311</v>
      </c>
    </row>
    <row r="2717" spans="1:5" ht="24" customHeight="1" x14ac:dyDescent="0.25">
      <c r="A2717" s="16">
        <v>2746</v>
      </c>
      <c r="B2717" s="18" t="s">
        <v>6204</v>
      </c>
      <c r="C2717" s="18" t="s">
        <v>6304</v>
      </c>
      <c r="D2717" s="18" t="s">
        <v>6305</v>
      </c>
      <c r="E2717" s="18" t="s">
        <v>6312</v>
      </c>
    </row>
    <row r="2718" spans="1:5" ht="24" customHeight="1" x14ac:dyDescent="0.25">
      <c r="A2718" s="16">
        <v>2747</v>
      </c>
      <c r="B2718" s="18" t="s">
        <v>6204</v>
      </c>
      <c r="C2718" s="18" t="s">
        <v>6304</v>
      </c>
      <c r="D2718" s="18" t="s">
        <v>6313</v>
      </c>
      <c r="E2718" s="18" t="s">
        <v>6314</v>
      </c>
    </row>
    <row r="2719" spans="1:5" ht="24" customHeight="1" x14ac:dyDescent="0.25">
      <c r="A2719" s="16">
        <v>2748</v>
      </c>
      <c r="B2719" s="18" t="s">
        <v>6204</v>
      </c>
      <c r="C2719" s="18" t="s">
        <v>6304</v>
      </c>
      <c r="D2719" s="18" t="s">
        <v>6313</v>
      </c>
      <c r="E2719" s="18" t="s">
        <v>6315</v>
      </c>
    </row>
    <row r="2720" spans="1:5" ht="24" customHeight="1" x14ac:dyDescent="0.25">
      <c r="A2720" s="16">
        <v>2749</v>
      </c>
      <c r="B2720" s="18" t="s">
        <v>6204</v>
      </c>
      <c r="C2720" s="18" t="s">
        <v>6304</v>
      </c>
      <c r="D2720" s="18" t="s">
        <v>6313</v>
      </c>
      <c r="E2720" s="18" t="s">
        <v>6316</v>
      </c>
    </row>
    <row r="2721" spans="1:5" ht="24" customHeight="1" x14ac:dyDescent="0.25">
      <c r="A2721" s="16">
        <v>2750</v>
      </c>
      <c r="B2721" s="18" t="s">
        <v>6204</v>
      </c>
      <c r="C2721" s="18" t="s">
        <v>6304</v>
      </c>
      <c r="D2721" s="18" t="s">
        <v>6313</v>
      </c>
      <c r="E2721" s="18" t="s">
        <v>6317</v>
      </c>
    </row>
    <row r="2722" spans="1:5" ht="24" customHeight="1" x14ac:dyDescent="0.25">
      <c r="A2722" s="16">
        <v>2751</v>
      </c>
      <c r="B2722" s="18" t="s">
        <v>6204</v>
      </c>
      <c r="C2722" s="18" t="s">
        <v>6304</v>
      </c>
      <c r="D2722" s="18" t="s">
        <v>6313</v>
      </c>
      <c r="E2722" s="18" t="s">
        <v>6318</v>
      </c>
    </row>
    <row r="2723" spans="1:5" ht="24" customHeight="1" x14ac:dyDescent="0.25">
      <c r="A2723" s="16">
        <v>2752</v>
      </c>
      <c r="B2723" s="18" t="s">
        <v>6204</v>
      </c>
      <c r="C2723" s="18" t="s">
        <v>6304</v>
      </c>
      <c r="D2723" s="18" t="s">
        <v>6313</v>
      </c>
      <c r="E2723" s="18" t="s">
        <v>6319</v>
      </c>
    </row>
    <row r="2724" spans="1:5" ht="24" customHeight="1" x14ac:dyDescent="0.25">
      <c r="A2724" s="16">
        <v>2753</v>
      </c>
      <c r="B2724" s="18" t="s">
        <v>6204</v>
      </c>
      <c r="C2724" s="18" t="s">
        <v>6304</v>
      </c>
      <c r="D2724" s="18" t="s">
        <v>6313</v>
      </c>
      <c r="E2724" s="18" t="s">
        <v>6320</v>
      </c>
    </row>
    <row r="2725" spans="1:5" ht="24" customHeight="1" x14ac:dyDescent="0.25">
      <c r="A2725" s="16">
        <v>2754</v>
      </c>
      <c r="B2725" s="18" t="s">
        <v>6204</v>
      </c>
      <c r="C2725" s="18" t="s">
        <v>6304</v>
      </c>
      <c r="D2725" s="18" t="s">
        <v>6313</v>
      </c>
      <c r="E2725" s="18" t="s">
        <v>6321</v>
      </c>
    </row>
    <row r="2726" spans="1:5" ht="36" customHeight="1" x14ac:dyDescent="0.25">
      <c r="A2726" s="16">
        <v>2755</v>
      </c>
      <c r="B2726" s="18" t="s">
        <v>6204</v>
      </c>
      <c r="C2726" s="18" t="s">
        <v>6304</v>
      </c>
      <c r="D2726" s="18" t="s">
        <v>6313</v>
      </c>
      <c r="E2726" s="18" t="s">
        <v>6322</v>
      </c>
    </row>
    <row r="2727" spans="1:5" ht="24" customHeight="1" x14ac:dyDescent="0.25">
      <c r="A2727" s="16">
        <v>2756</v>
      </c>
      <c r="B2727" s="18" t="s">
        <v>6204</v>
      </c>
      <c r="C2727" s="18" t="s">
        <v>6304</v>
      </c>
      <c r="D2727" s="18" t="s">
        <v>6313</v>
      </c>
      <c r="E2727" s="18" t="s">
        <v>6323</v>
      </c>
    </row>
    <row r="2728" spans="1:5" ht="24" customHeight="1" x14ac:dyDescent="0.25">
      <c r="A2728" s="16">
        <v>2757</v>
      </c>
      <c r="B2728" s="18" t="s">
        <v>6204</v>
      </c>
      <c r="C2728" s="18" t="s">
        <v>6304</v>
      </c>
      <c r="D2728" s="18" t="s">
        <v>6313</v>
      </c>
      <c r="E2728" s="18" t="s">
        <v>6324</v>
      </c>
    </row>
    <row r="2729" spans="1:5" ht="24" customHeight="1" x14ac:dyDescent="0.25">
      <c r="A2729" s="16">
        <v>2758</v>
      </c>
      <c r="B2729" s="18" t="s">
        <v>6204</v>
      </c>
      <c r="C2729" s="18" t="s">
        <v>6304</v>
      </c>
      <c r="D2729" s="18" t="s">
        <v>6313</v>
      </c>
      <c r="E2729" s="18" t="s">
        <v>6325</v>
      </c>
    </row>
    <row r="2730" spans="1:5" ht="24" customHeight="1" x14ac:dyDescent="0.25">
      <c r="A2730" s="16">
        <v>2759</v>
      </c>
      <c r="B2730" s="18" t="s">
        <v>6204</v>
      </c>
      <c r="C2730" s="18" t="s">
        <v>6304</v>
      </c>
      <c r="D2730" s="18" t="s">
        <v>6313</v>
      </c>
      <c r="E2730" s="18" t="s">
        <v>6326</v>
      </c>
    </row>
    <row r="2731" spans="1:5" ht="36" customHeight="1" x14ac:dyDescent="0.25">
      <c r="A2731" s="16">
        <v>2760</v>
      </c>
      <c r="B2731" s="18" t="s">
        <v>6204</v>
      </c>
      <c r="C2731" s="18" t="s">
        <v>6304</v>
      </c>
      <c r="D2731" s="18" t="s">
        <v>6327</v>
      </c>
      <c r="E2731" s="18" t="s">
        <v>6328</v>
      </c>
    </row>
    <row r="2732" spans="1:5" ht="24" customHeight="1" x14ac:dyDescent="0.25">
      <c r="A2732" s="16">
        <v>2761</v>
      </c>
      <c r="B2732" s="18" t="s">
        <v>6204</v>
      </c>
      <c r="C2732" s="18" t="s">
        <v>6304</v>
      </c>
      <c r="D2732" s="18" t="s">
        <v>6327</v>
      </c>
      <c r="E2732" s="18" t="s">
        <v>6329</v>
      </c>
    </row>
    <row r="2733" spans="1:5" ht="24" customHeight="1" x14ac:dyDescent="0.25">
      <c r="A2733" s="16">
        <v>2762</v>
      </c>
      <c r="B2733" s="18" t="s">
        <v>6204</v>
      </c>
      <c r="C2733" s="18" t="s">
        <v>6304</v>
      </c>
      <c r="D2733" s="18" t="s">
        <v>6327</v>
      </c>
      <c r="E2733" s="18" t="s">
        <v>6330</v>
      </c>
    </row>
    <row r="2734" spans="1:5" ht="24" customHeight="1" x14ac:dyDescent="0.25">
      <c r="A2734" s="16">
        <v>2763</v>
      </c>
      <c r="B2734" s="18" t="s">
        <v>6204</v>
      </c>
      <c r="C2734" s="18" t="s">
        <v>6304</v>
      </c>
      <c r="D2734" s="18" t="s">
        <v>6327</v>
      </c>
      <c r="E2734" s="18" t="s">
        <v>6331</v>
      </c>
    </row>
    <row r="2735" spans="1:5" ht="24" customHeight="1" x14ac:dyDescent="0.25">
      <c r="A2735" s="16">
        <v>2764</v>
      </c>
      <c r="B2735" s="18" t="s">
        <v>6204</v>
      </c>
      <c r="C2735" s="18" t="s">
        <v>6304</v>
      </c>
      <c r="D2735" s="18" t="s">
        <v>6327</v>
      </c>
      <c r="E2735" s="18" t="s">
        <v>6332</v>
      </c>
    </row>
    <row r="2736" spans="1:5" ht="24" customHeight="1" x14ac:dyDescent="0.25">
      <c r="A2736" s="16">
        <v>2765</v>
      </c>
      <c r="B2736" s="18" t="s">
        <v>6204</v>
      </c>
      <c r="C2736" s="18" t="s">
        <v>6304</v>
      </c>
      <c r="D2736" s="18" t="s">
        <v>6327</v>
      </c>
      <c r="E2736" s="18" t="s">
        <v>6333</v>
      </c>
    </row>
    <row r="2737" spans="1:5" ht="24" customHeight="1" x14ac:dyDescent="0.25">
      <c r="A2737" s="16">
        <v>2766</v>
      </c>
      <c r="B2737" s="18" t="s">
        <v>6204</v>
      </c>
      <c r="C2737" s="18" t="s">
        <v>6304</v>
      </c>
      <c r="D2737" s="18" t="s">
        <v>6327</v>
      </c>
      <c r="E2737" s="18" t="s">
        <v>6334</v>
      </c>
    </row>
    <row r="2738" spans="1:5" ht="36" customHeight="1" x14ac:dyDescent="0.25">
      <c r="A2738" s="16">
        <v>2767</v>
      </c>
      <c r="B2738" s="18" t="s">
        <v>6204</v>
      </c>
      <c r="C2738" s="18" t="s">
        <v>6304</v>
      </c>
      <c r="D2738" s="18" t="s">
        <v>6327</v>
      </c>
      <c r="E2738" s="18" t="s">
        <v>6335</v>
      </c>
    </row>
    <row r="2739" spans="1:5" ht="24" customHeight="1" x14ac:dyDescent="0.25">
      <c r="A2739" s="16">
        <v>2768</v>
      </c>
      <c r="B2739" s="18" t="s">
        <v>6204</v>
      </c>
      <c r="C2739" s="18" t="s">
        <v>6304</v>
      </c>
      <c r="D2739" s="18" t="s">
        <v>6327</v>
      </c>
      <c r="E2739" s="18" t="s">
        <v>6336</v>
      </c>
    </row>
    <row r="2740" spans="1:5" ht="24" customHeight="1" x14ac:dyDescent="0.25">
      <c r="A2740" s="16">
        <v>2769</v>
      </c>
      <c r="B2740" s="18" t="s">
        <v>6204</v>
      </c>
      <c r="C2740" s="18" t="s">
        <v>6304</v>
      </c>
      <c r="D2740" s="18" t="s">
        <v>6337</v>
      </c>
      <c r="E2740" s="18" t="s">
        <v>6338</v>
      </c>
    </row>
    <row r="2741" spans="1:5" ht="36" customHeight="1" x14ac:dyDescent="0.25">
      <c r="A2741" s="16">
        <v>2770</v>
      </c>
      <c r="B2741" s="18" t="s">
        <v>6204</v>
      </c>
      <c r="C2741" s="18" t="s">
        <v>6304</v>
      </c>
      <c r="D2741" s="18" t="s">
        <v>6337</v>
      </c>
      <c r="E2741" s="18" t="s">
        <v>6339</v>
      </c>
    </row>
    <row r="2742" spans="1:5" ht="24" customHeight="1" x14ac:dyDescent="0.25">
      <c r="A2742" s="16">
        <v>2771</v>
      </c>
      <c r="B2742" s="18" t="s">
        <v>6204</v>
      </c>
      <c r="C2742" s="18" t="s">
        <v>6304</v>
      </c>
      <c r="D2742" s="18" t="s">
        <v>6337</v>
      </c>
      <c r="E2742" s="18" t="s">
        <v>6340</v>
      </c>
    </row>
    <row r="2743" spans="1:5" ht="36" customHeight="1" x14ac:dyDescent="0.25">
      <c r="A2743" s="16">
        <v>2772</v>
      </c>
      <c r="B2743" s="18" t="s">
        <v>6204</v>
      </c>
      <c r="C2743" s="18" t="s">
        <v>6304</v>
      </c>
      <c r="D2743" s="18" t="s">
        <v>6337</v>
      </c>
      <c r="E2743" s="18" t="s">
        <v>6341</v>
      </c>
    </row>
    <row r="2744" spans="1:5" ht="24" customHeight="1" x14ac:dyDescent="0.25">
      <c r="A2744" s="16">
        <v>2773</v>
      </c>
      <c r="B2744" s="18" t="s">
        <v>6204</v>
      </c>
      <c r="C2744" s="18" t="s">
        <v>6304</v>
      </c>
      <c r="D2744" s="18" t="s">
        <v>6337</v>
      </c>
      <c r="E2744" s="18" t="s">
        <v>6342</v>
      </c>
    </row>
    <row r="2745" spans="1:5" ht="24" customHeight="1" x14ac:dyDescent="0.25">
      <c r="A2745" s="16">
        <v>2774</v>
      </c>
      <c r="B2745" s="18" t="s">
        <v>6204</v>
      </c>
      <c r="C2745" s="18" t="s">
        <v>6304</v>
      </c>
      <c r="D2745" s="18" t="s">
        <v>6337</v>
      </c>
      <c r="E2745" s="18" t="s">
        <v>6343</v>
      </c>
    </row>
    <row r="2746" spans="1:5" ht="24" customHeight="1" x14ac:dyDescent="0.25">
      <c r="A2746" s="16">
        <v>2775</v>
      </c>
      <c r="B2746" s="18" t="s">
        <v>6204</v>
      </c>
      <c r="C2746" s="18" t="s">
        <v>6304</v>
      </c>
      <c r="D2746" s="18" t="s">
        <v>6337</v>
      </c>
      <c r="E2746" s="18" t="s">
        <v>6344</v>
      </c>
    </row>
    <row r="2747" spans="1:5" ht="36" customHeight="1" x14ac:dyDescent="0.25">
      <c r="A2747" s="16">
        <v>2776</v>
      </c>
      <c r="B2747" s="18" t="s">
        <v>6204</v>
      </c>
      <c r="C2747" s="18" t="s">
        <v>6304</v>
      </c>
      <c r="D2747" s="18" t="s">
        <v>6345</v>
      </c>
      <c r="E2747" s="18" t="s">
        <v>6346</v>
      </c>
    </row>
    <row r="2748" spans="1:5" ht="24" customHeight="1" x14ac:dyDescent="0.25">
      <c r="A2748" s="16">
        <v>2777</v>
      </c>
      <c r="B2748" s="18" t="s">
        <v>6204</v>
      </c>
      <c r="C2748" s="18" t="s">
        <v>6304</v>
      </c>
      <c r="D2748" s="18" t="s">
        <v>6345</v>
      </c>
      <c r="E2748" s="18" t="s">
        <v>6347</v>
      </c>
    </row>
    <row r="2749" spans="1:5" ht="24" customHeight="1" x14ac:dyDescent="0.25">
      <c r="A2749" s="16">
        <v>2778</v>
      </c>
      <c r="B2749" s="18" t="s">
        <v>6204</v>
      </c>
      <c r="C2749" s="18" t="s">
        <v>6304</v>
      </c>
      <c r="D2749" s="18" t="s">
        <v>6345</v>
      </c>
      <c r="E2749" s="18" t="s">
        <v>6348</v>
      </c>
    </row>
    <row r="2750" spans="1:5" ht="24" customHeight="1" x14ac:dyDescent="0.25">
      <c r="A2750" s="16">
        <v>2779</v>
      </c>
      <c r="B2750" s="18" t="s">
        <v>6204</v>
      </c>
      <c r="C2750" s="18" t="s">
        <v>6304</v>
      </c>
      <c r="D2750" s="18" t="s">
        <v>6345</v>
      </c>
      <c r="E2750" s="18" t="s">
        <v>6349</v>
      </c>
    </row>
    <row r="2751" spans="1:5" ht="24" customHeight="1" x14ac:dyDescent="0.25">
      <c r="A2751" s="16">
        <v>2780</v>
      </c>
      <c r="B2751" s="18" t="s">
        <v>6204</v>
      </c>
      <c r="C2751" s="18" t="s">
        <v>6304</v>
      </c>
      <c r="D2751" s="18" t="s">
        <v>6345</v>
      </c>
      <c r="E2751" s="18" t="s">
        <v>6350</v>
      </c>
    </row>
    <row r="2752" spans="1:5" ht="24" customHeight="1" x14ac:dyDescent="0.25">
      <c r="A2752" s="16">
        <v>2781</v>
      </c>
      <c r="B2752" s="18" t="s">
        <v>6204</v>
      </c>
      <c r="C2752" s="18" t="s">
        <v>6304</v>
      </c>
      <c r="D2752" s="18" t="s">
        <v>6345</v>
      </c>
      <c r="E2752" s="18" t="s">
        <v>6351</v>
      </c>
    </row>
    <row r="2753" spans="1:5" ht="36" customHeight="1" x14ac:dyDescent="0.25">
      <c r="A2753" s="16">
        <v>2782</v>
      </c>
      <c r="B2753" s="18" t="s">
        <v>6204</v>
      </c>
      <c r="C2753" s="18" t="s">
        <v>6304</v>
      </c>
      <c r="D2753" s="18" t="s">
        <v>6345</v>
      </c>
      <c r="E2753" s="18" t="s">
        <v>6352</v>
      </c>
    </row>
    <row r="2754" spans="1:5" ht="36" customHeight="1" x14ac:dyDescent="0.25">
      <c r="A2754" s="16">
        <v>2783</v>
      </c>
      <c r="B2754" s="18" t="s">
        <v>6204</v>
      </c>
      <c r="C2754" s="18" t="s">
        <v>6304</v>
      </c>
      <c r="D2754" s="18" t="s">
        <v>6353</v>
      </c>
      <c r="E2754" s="18" t="s">
        <v>6354</v>
      </c>
    </row>
    <row r="2755" spans="1:5" ht="24" customHeight="1" x14ac:dyDescent="0.25">
      <c r="A2755" s="16">
        <v>2784</v>
      </c>
      <c r="B2755" s="18" t="s">
        <v>6204</v>
      </c>
      <c r="C2755" s="18" t="s">
        <v>6304</v>
      </c>
      <c r="D2755" s="18" t="s">
        <v>6353</v>
      </c>
      <c r="E2755" s="18" t="s">
        <v>6355</v>
      </c>
    </row>
    <row r="2756" spans="1:5" ht="24" customHeight="1" x14ac:dyDescent="0.25">
      <c r="A2756" s="16">
        <v>2785</v>
      </c>
      <c r="B2756" s="18" t="s">
        <v>6204</v>
      </c>
      <c r="C2756" s="18" t="s">
        <v>6304</v>
      </c>
      <c r="D2756" s="18" t="s">
        <v>6353</v>
      </c>
      <c r="E2756" s="18" t="s">
        <v>6356</v>
      </c>
    </row>
    <row r="2757" spans="1:5" ht="24" customHeight="1" x14ac:dyDescent="0.25">
      <c r="A2757" s="16">
        <v>2786</v>
      </c>
      <c r="B2757" s="18" t="s">
        <v>6204</v>
      </c>
      <c r="C2757" s="18" t="s">
        <v>6304</v>
      </c>
      <c r="D2757" s="18" t="s">
        <v>6353</v>
      </c>
      <c r="E2757" s="18" t="s">
        <v>6357</v>
      </c>
    </row>
    <row r="2758" spans="1:5" ht="24" customHeight="1" x14ac:dyDescent="0.25">
      <c r="A2758" s="16">
        <v>2787</v>
      </c>
      <c r="B2758" s="18" t="s">
        <v>6204</v>
      </c>
      <c r="C2758" s="18" t="s">
        <v>6304</v>
      </c>
      <c r="D2758" s="18" t="s">
        <v>6353</v>
      </c>
      <c r="E2758" s="18" t="s">
        <v>6358</v>
      </c>
    </row>
    <row r="2759" spans="1:5" ht="24" customHeight="1" x14ac:dyDescent="0.25">
      <c r="A2759" s="16">
        <v>2788</v>
      </c>
      <c r="B2759" s="18" t="s">
        <v>6204</v>
      </c>
      <c r="C2759" s="18" t="s">
        <v>6304</v>
      </c>
      <c r="D2759" s="18" t="s">
        <v>6353</v>
      </c>
      <c r="E2759" s="18" t="s">
        <v>6359</v>
      </c>
    </row>
    <row r="2760" spans="1:5" ht="24" customHeight="1" x14ac:dyDescent="0.25">
      <c r="A2760" s="16">
        <v>2789</v>
      </c>
      <c r="B2760" s="18" t="s">
        <v>6204</v>
      </c>
      <c r="C2760" s="18" t="s">
        <v>6304</v>
      </c>
      <c r="D2760" s="18" t="s">
        <v>6353</v>
      </c>
      <c r="E2760" s="18" t="s">
        <v>6360</v>
      </c>
    </row>
    <row r="2761" spans="1:5" ht="24" customHeight="1" x14ac:dyDescent="0.25">
      <c r="A2761" s="16">
        <v>2790</v>
      </c>
      <c r="B2761" s="18" t="s">
        <v>6204</v>
      </c>
      <c r="C2761" s="18" t="s">
        <v>6304</v>
      </c>
      <c r="D2761" s="18" t="s">
        <v>6353</v>
      </c>
      <c r="E2761" s="18" t="s">
        <v>6361</v>
      </c>
    </row>
    <row r="2762" spans="1:5" ht="24" customHeight="1" x14ac:dyDescent="0.25">
      <c r="A2762" s="16">
        <v>2791</v>
      </c>
      <c r="B2762" s="18" t="s">
        <v>6204</v>
      </c>
      <c r="C2762" s="18" t="s">
        <v>6304</v>
      </c>
      <c r="D2762" s="18" t="s">
        <v>6353</v>
      </c>
      <c r="E2762" s="18" t="s">
        <v>6362</v>
      </c>
    </row>
    <row r="2763" spans="1:5" ht="24" customHeight="1" x14ac:dyDescent="0.25">
      <c r="A2763" s="16">
        <v>2792</v>
      </c>
      <c r="B2763" s="18" t="s">
        <v>6204</v>
      </c>
      <c r="C2763" s="18" t="s">
        <v>6304</v>
      </c>
      <c r="D2763" s="18" t="s">
        <v>6353</v>
      </c>
      <c r="E2763" s="18" t="s">
        <v>6363</v>
      </c>
    </row>
    <row r="2764" spans="1:5" ht="24" customHeight="1" x14ac:dyDescent="0.25">
      <c r="A2764" s="16">
        <v>2793</v>
      </c>
      <c r="B2764" s="18" t="s">
        <v>6204</v>
      </c>
      <c r="C2764" s="18" t="s">
        <v>6304</v>
      </c>
      <c r="D2764" s="18" t="s">
        <v>6353</v>
      </c>
      <c r="E2764" s="18" t="s">
        <v>6364</v>
      </c>
    </row>
    <row r="2765" spans="1:5" ht="24" customHeight="1" x14ac:dyDescent="0.25">
      <c r="A2765" s="16">
        <v>2794</v>
      </c>
      <c r="B2765" s="18" t="s">
        <v>6204</v>
      </c>
      <c r="C2765" s="18" t="s">
        <v>6304</v>
      </c>
      <c r="D2765" s="18" t="s">
        <v>6353</v>
      </c>
      <c r="E2765" s="18" t="s">
        <v>6365</v>
      </c>
    </row>
    <row r="2766" spans="1:5" ht="24" customHeight="1" x14ac:dyDescent="0.25">
      <c r="A2766" s="16">
        <v>2795</v>
      </c>
      <c r="B2766" s="18" t="s">
        <v>6204</v>
      </c>
      <c r="C2766" s="18" t="s">
        <v>6304</v>
      </c>
      <c r="D2766" s="18" t="s">
        <v>6366</v>
      </c>
      <c r="E2766" s="18" t="s">
        <v>6367</v>
      </c>
    </row>
    <row r="2767" spans="1:5" ht="24" customHeight="1" x14ac:dyDescent="0.25">
      <c r="A2767" s="16">
        <v>2796</v>
      </c>
      <c r="B2767" s="18" t="s">
        <v>6204</v>
      </c>
      <c r="C2767" s="18" t="s">
        <v>6304</v>
      </c>
      <c r="D2767" s="18" t="s">
        <v>6366</v>
      </c>
      <c r="E2767" s="18" t="s">
        <v>6368</v>
      </c>
    </row>
    <row r="2768" spans="1:5" ht="24" customHeight="1" x14ac:dyDescent="0.25">
      <c r="A2768" s="16">
        <v>2797</v>
      </c>
      <c r="B2768" s="18" t="s">
        <v>6204</v>
      </c>
      <c r="C2768" s="18" t="s">
        <v>6304</v>
      </c>
      <c r="D2768" s="18" t="s">
        <v>6366</v>
      </c>
      <c r="E2768" s="18" t="s">
        <v>6369</v>
      </c>
    </row>
    <row r="2769" spans="1:5" ht="24" customHeight="1" x14ac:dyDescent="0.25">
      <c r="A2769" s="16">
        <v>2798</v>
      </c>
      <c r="B2769" s="18" t="s">
        <v>6204</v>
      </c>
      <c r="C2769" s="18" t="s">
        <v>6304</v>
      </c>
      <c r="D2769" s="18" t="s">
        <v>6366</v>
      </c>
      <c r="E2769" s="18" t="s">
        <v>6370</v>
      </c>
    </row>
    <row r="2770" spans="1:5" ht="24" customHeight="1" x14ac:dyDescent="0.25">
      <c r="A2770" s="16">
        <v>2799</v>
      </c>
      <c r="B2770" s="18" t="s">
        <v>6204</v>
      </c>
      <c r="C2770" s="18" t="s">
        <v>6304</v>
      </c>
      <c r="D2770" s="18" t="s">
        <v>6366</v>
      </c>
      <c r="E2770" s="18" t="s">
        <v>6371</v>
      </c>
    </row>
    <row r="2771" spans="1:5" ht="24" customHeight="1" x14ac:dyDescent="0.25">
      <c r="A2771" s="16">
        <v>2800</v>
      </c>
      <c r="B2771" s="18" t="s">
        <v>6204</v>
      </c>
      <c r="C2771" s="18" t="s">
        <v>6304</v>
      </c>
      <c r="D2771" s="18" t="s">
        <v>6366</v>
      </c>
      <c r="E2771" s="18" t="s">
        <v>6372</v>
      </c>
    </row>
    <row r="2772" spans="1:5" ht="24" customHeight="1" x14ac:dyDescent="0.25">
      <c r="A2772" s="16">
        <v>2801</v>
      </c>
      <c r="B2772" s="18" t="s">
        <v>6204</v>
      </c>
      <c r="C2772" s="18" t="s">
        <v>6304</v>
      </c>
      <c r="D2772" s="18" t="s">
        <v>6373</v>
      </c>
      <c r="E2772" s="18" t="s">
        <v>6374</v>
      </c>
    </row>
    <row r="2773" spans="1:5" ht="36" customHeight="1" x14ac:dyDescent="0.25">
      <c r="A2773" s="16">
        <v>2802</v>
      </c>
      <c r="B2773" s="18" t="s">
        <v>6204</v>
      </c>
      <c r="C2773" s="18" t="s">
        <v>6304</v>
      </c>
      <c r="D2773" s="18" t="s">
        <v>6373</v>
      </c>
      <c r="E2773" s="18" t="s">
        <v>6375</v>
      </c>
    </row>
    <row r="2774" spans="1:5" ht="24" customHeight="1" x14ac:dyDescent="0.25">
      <c r="A2774" s="16">
        <v>2803</v>
      </c>
      <c r="B2774" s="18" t="s">
        <v>6204</v>
      </c>
      <c r="C2774" s="18" t="s">
        <v>6304</v>
      </c>
      <c r="D2774" s="18" t="s">
        <v>6373</v>
      </c>
      <c r="E2774" s="18" t="s">
        <v>6376</v>
      </c>
    </row>
    <row r="2775" spans="1:5" ht="24" customHeight="1" x14ac:dyDescent="0.25">
      <c r="A2775" s="16">
        <v>2804</v>
      </c>
      <c r="B2775" s="18" t="s">
        <v>6204</v>
      </c>
      <c r="C2775" s="18" t="s">
        <v>6304</v>
      </c>
      <c r="D2775" s="18" t="s">
        <v>6373</v>
      </c>
      <c r="E2775" s="18" t="s">
        <v>6377</v>
      </c>
    </row>
    <row r="2776" spans="1:5" ht="24" customHeight="1" x14ac:dyDescent="0.25">
      <c r="A2776" s="16">
        <v>2805</v>
      </c>
      <c r="B2776" s="18" t="s">
        <v>6204</v>
      </c>
      <c r="C2776" s="18" t="s">
        <v>6304</v>
      </c>
      <c r="D2776" s="18" t="s">
        <v>6373</v>
      </c>
      <c r="E2776" s="18" t="s">
        <v>6378</v>
      </c>
    </row>
    <row r="2777" spans="1:5" ht="24" customHeight="1" x14ac:dyDescent="0.25">
      <c r="A2777" s="16">
        <v>2806</v>
      </c>
      <c r="B2777" s="18" t="s">
        <v>6204</v>
      </c>
      <c r="C2777" s="18" t="s">
        <v>6304</v>
      </c>
      <c r="D2777" s="18" t="s">
        <v>6373</v>
      </c>
      <c r="E2777" s="18" t="s">
        <v>6379</v>
      </c>
    </row>
    <row r="2778" spans="1:5" ht="36" customHeight="1" x14ac:dyDescent="0.25">
      <c r="A2778" s="16">
        <v>2807</v>
      </c>
      <c r="B2778" s="18" t="s">
        <v>6204</v>
      </c>
      <c r="C2778" s="18" t="s">
        <v>6304</v>
      </c>
      <c r="D2778" s="18" t="s">
        <v>6373</v>
      </c>
      <c r="E2778" s="18" t="s">
        <v>6380</v>
      </c>
    </row>
    <row r="2779" spans="1:5" ht="24" customHeight="1" x14ac:dyDescent="0.25">
      <c r="A2779" s="16">
        <v>2808</v>
      </c>
      <c r="B2779" s="18" t="s">
        <v>6204</v>
      </c>
      <c r="C2779" s="18" t="s">
        <v>6304</v>
      </c>
      <c r="D2779" s="18" t="s">
        <v>6381</v>
      </c>
      <c r="E2779" s="18" t="s">
        <v>6382</v>
      </c>
    </row>
    <row r="2780" spans="1:5" ht="36" customHeight="1" x14ac:dyDescent="0.25">
      <c r="A2780" s="16">
        <v>2809</v>
      </c>
      <c r="B2780" s="18" t="s">
        <v>6204</v>
      </c>
      <c r="C2780" s="18" t="s">
        <v>6304</v>
      </c>
      <c r="D2780" s="18" t="s">
        <v>6381</v>
      </c>
      <c r="E2780" s="18" t="s">
        <v>6383</v>
      </c>
    </row>
    <row r="2781" spans="1:5" ht="24" customHeight="1" x14ac:dyDescent="0.25">
      <c r="A2781" s="16">
        <v>2810</v>
      </c>
      <c r="B2781" s="18" t="s">
        <v>6204</v>
      </c>
      <c r="C2781" s="18" t="s">
        <v>6304</v>
      </c>
      <c r="D2781" s="18" t="s">
        <v>6381</v>
      </c>
      <c r="E2781" s="18" t="s">
        <v>6384</v>
      </c>
    </row>
    <row r="2782" spans="1:5" ht="24" customHeight="1" x14ac:dyDescent="0.25">
      <c r="A2782" s="16">
        <v>2811</v>
      </c>
      <c r="B2782" s="18" t="s">
        <v>6204</v>
      </c>
      <c r="C2782" s="18" t="s">
        <v>6304</v>
      </c>
      <c r="D2782" s="18" t="s">
        <v>6381</v>
      </c>
      <c r="E2782" s="18" t="s">
        <v>6385</v>
      </c>
    </row>
    <row r="2783" spans="1:5" ht="36" customHeight="1" x14ac:dyDescent="0.25">
      <c r="A2783" s="16">
        <v>2812</v>
      </c>
      <c r="B2783" s="18" t="s">
        <v>6204</v>
      </c>
      <c r="C2783" s="18" t="s">
        <v>6304</v>
      </c>
      <c r="D2783" s="18" t="s">
        <v>6381</v>
      </c>
      <c r="E2783" s="18" t="s">
        <v>6386</v>
      </c>
    </row>
    <row r="2784" spans="1:5" ht="24" customHeight="1" x14ac:dyDescent="0.25">
      <c r="A2784" s="16">
        <v>2813</v>
      </c>
      <c r="B2784" s="18" t="s">
        <v>6204</v>
      </c>
      <c r="C2784" s="18" t="s">
        <v>6304</v>
      </c>
      <c r="D2784" s="18" t="s">
        <v>6381</v>
      </c>
      <c r="E2784" s="18" t="s">
        <v>6387</v>
      </c>
    </row>
    <row r="2785" spans="1:5" ht="24" customHeight="1" x14ac:dyDescent="0.25">
      <c r="A2785" s="16">
        <v>2814</v>
      </c>
      <c r="B2785" s="18" t="s">
        <v>6204</v>
      </c>
      <c r="C2785" s="18" t="s">
        <v>6304</v>
      </c>
      <c r="D2785" s="18" t="s">
        <v>6388</v>
      </c>
      <c r="E2785" s="18" t="s">
        <v>6389</v>
      </c>
    </row>
    <row r="2786" spans="1:5" ht="24" customHeight="1" x14ac:dyDescent="0.25">
      <c r="A2786" s="16">
        <v>2815</v>
      </c>
      <c r="B2786" s="18" t="s">
        <v>6204</v>
      </c>
      <c r="C2786" s="18" t="s">
        <v>6304</v>
      </c>
      <c r="D2786" s="18" t="s">
        <v>6388</v>
      </c>
      <c r="E2786" s="18" t="s">
        <v>6390</v>
      </c>
    </row>
    <row r="2787" spans="1:5" ht="24" customHeight="1" x14ac:dyDescent="0.25">
      <c r="A2787" s="16">
        <v>2816</v>
      </c>
      <c r="B2787" s="18" t="s">
        <v>6204</v>
      </c>
      <c r="C2787" s="18" t="s">
        <v>6304</v>
      </c>
      <c r="D2787" s="18" t="s">
        <v>6388</v>
      </c>
      <c r="E2787" s="18" t="s">
        <v>6391</v>
      </c>
    </row>
    <row r="2788" spans="1:5" ht="24" customHeight="1" x14ac:dyDescent="0.25">
      <c r="A2788" s="16">
        <v>2817</v>
      </c>
      <c r="B2788" s="18" t="s">
        <v>6204</v>
      </c>
      <c r="C2788" s="18" t="s">
        <v>6304</v>
      </c>
      <c r="D2788" s="18" t="s">
        <v>6388</v>
      </c>
      <c r="E2788" s="18" t="s">
        <v>6392</v>
      </c>
    </row>
    <row r="2789" spans="1:5" ht="24" customHeight="1" x14ac:dyDescent="0.25">
      <c r="A2789" s="16">
        <v>2818</v>
      </c>
      <c r="B2789" s="18" t="s">
        <v>6204</v>
      </c>
      <c r="C2789" s="18" t="s">
        <v>6304</v>
      </c>
      <c r="D2789" s="18" t="s">
        <v>6388</v>
      </c>
      <c r="E2789" s="18" t="s">
        <v>6393</v>
      </c>
    </row>
    <row r="2790" spans="1:5" ht="24" customHeight="1" x14ac:dyDescent="0.25">
      <c r="A2790" s="16">
        <v>2819</v>
      </c>
      <c r="B2790" s="18" t="s">
        <v>6204</v>
      </c>
      <c r="C2790" s="18" t="s">
        <v>6304</v>
      </c>
      <c r="D2790" s="18" t="s">
        <v>6388</v>
      </c>
      <c r="E2790" s="18" t="s">
        <v>6394</v>
      </c>
    </row>
    <row r="2791" spans="1:5" ht="24" customHeight="1" x14ac:dyDescent="0.25">
      <c r="A2791" s="16">
        <v>2820</v>
      </c>
      <c r="B2791" s="18" t="s">
        <v>6204</v>
      </c>
      <c r="C2791" s="18" t="s">
        <v>6304</v>
      </c>
      <c r="D2791" s="18" t="s">
        <v>6388</v>
      </c>
      <c r="E2791" s="18" t="s">
        <v>6395</v>
      </c>
    </row>
    <row r="2792" spans="1:5" ht="24" customHeight="1" x14ac:dyDescent="0.25">
      <c r="A2792" s="16">
        <v>2821</v>
      </c>
      <c r="B2792" s="18" t="s">
        <v>6204</v>
      </c>
      <c r="C2792" s="18" t="s">
        <v>6304</v>
      </c>
      <c r="D2792" s="18" t="s">
        <v>6388</v>
      </c>
      <c r="E2792" s="18" t="s">
        <v>6396</v>
      </c>
    </row>
    <row r="2793" spans="1:5" ht="24" customHeight="1" x14ac:dyDescent="0.25">
      <c r="A2793" s="16">
        <v>2822</v>
      </c>
      <c r="B2793" s="18" t="s">
        <v>6204</v>
      </c>
      <c r="C2793" s="18" t="s">
        <v>6304</v>
      </c>
      <c r="D2793" s="18" t="s">
        <v>6388</v>
      </c>
      <c r="E2793" s="18" t="s">
        <v>6397</v>
      </c>
    </row>
    <row r="2794" spans="1:5" ht="24" customHeight="1" x14ac:dyDescent="0.25">
      <c r="A2794" s="16">
        <v>2823</v>
      </c>
      <c r="B2794" s="18" t="s">
        <v>6204</v>
      </c>
      <c r="C2794" s="18" t="s">
        <v>6304</v>
      </c>
      <c r="D2794" s="18" t="s">
        <v>6388</v>
      </c>
      <c r="E2794" s="18" t="s">
        <v>6398</v>
      </c>
    </row>
    <row r="2795" spans="1:5" ht="24" customHeight="1" x14ac:dyDescent="0.25">
      <c r="A2795" s="16">
        <v>2824</v>
      </c>
      <c r="B2795" s="18" t="s">
        <v>6204</v>
      </c>
      <c r="C2795" s="18" t="s">
        <v>6304</v>
      </c>
      <c r="D2795" s="18" t="s">
        <v>6388</v>
      </c>
      <c r="E2795" s="18" t="s">
        <v>6399</v>
      </c>
    </row>
    <row r="2796" spans="1:5" ht="24" customHeight="1" x14ac:dyDescent="0.25">
      <c r="A2796" s="16">
        <v>2825</v>
      </c>
      <c r="B2796" s="18" t="s">
        <v>6204</v>
      </c>
      <c r="C2796" s="18" t="s">
        <v>6400</v>
      </c>
      <c r="D2796" s="18" t="s">
        <v>6401</v>
      </c>
      <c r="E2796" s="18" t="s">
        <v>6402</v>
      </c>
    </row>
    <row r="2797" spans="1:5" ht="24" customHeight="1" x14ac:dyDescent="0.25">
      <c r="A2797" s="16">
        <v>2826</v>
      </c>
      <c r="B2797" s="18" t="s">
        <v>6204</v>
      </c>
      <c r="C2797" s="18" t="s">
        <v>6400</v>
      </c>
      <c r="D2797" s="18" t="s">
        <v>6401</v>
      </c>
      <c r="E2797" s="18" t="s">
        <v>6403</v>
      </c>
    </row>
    <row r="2798" spans="1:5" ht="24" customHeight="1" x14ac:dyDescent="0.25">
      <c r="A2798" s="16">
        <v>2827</v>
      </c>
      <c r="B2798" s="18" t="s">
        <v>6204</v>
      </c>
      <c r="C2798" s="18" t="s">
        <v>6400</v>
      </c>
      <c r="D2798" s="18" t="s">
        <v>6401</v>
      </c>
      <c r="E2798" s="18" t="s">
        <v>6404</v>
      </c>
    </row>
    <row r="2799" spans="1:5" ht="24" customHeight="1" x14ac:dyDescent="0.25">
      <c r="A2799" s="16">
        <v>2828</v>
      </c>
      <c r="B2799" s="18" t="s">
        <v>6204</v>
      </c>
      <c r="C2799" s="18" t="s">
        <v>6400</v>
      </c>
      <c r="D2799" s="18" t="s">
        <v>6401</v>
      </c>
      <c r="E2799" s="18" t="s">
        <v>6405</v>
      </c>
    </row>
    <row r="2800" spans="1:5" ht="24" customHeight="1" x14ac:dyDescent="0.25">
      <c r="A2800" s="16">
        <v>2829</v>
      </c>
      <c r="B2800" s="18" t="s">
        <v>6204</v>
      </c>
      <c r="C2800" s="18" t="s">
        <v>6400</v>
      </c>
      <c r="D2800" s="18" t="s">
        <v>6401</v>
      </c>
      <c r="E2800" s="18" t="s">
        <v>6406</v>
      </c>
    </row>
    <row r="2801" spans="1:5" ht="24" customHeight="1" x14ac:dyDescent="0.25">
      <c r="A2801" s="16">
        <v>2830</v>
      </c>
      <c r="B2801" s="18" t="s">
        <v>6204</v>
      </c>
      <c r="C2801" s="18" t="s">
        <v>6400</v>
      </c>
      <c r="D2801" s="18" t="s">
        <v>6401</v>
      </c>
      <c r="E2801" s="18" t="s">
        <v>6407</v>
      </c>
    </row>
    <row r="2802" spans="1:5" ht="24" customHeight="1" x14ac:dyDescent="0.25">
      <c r="A2802" s="16">
        <v>2831</v>
      </c>
      <c r="B2802" s="18" t="s">
        <v>6204</v>
      </c>
      <c r="C2802" s="18" t="s">
        <v>6400</v>
      </c>
      <c r="D2802" s="18" t="s">
        <v>6401</v>
      </c>
      <c r="E2802" s="18" t="s">
        <v>6408</v>
      </c>
    </row>
    <row r="2803" spans="1:5" ht="24" customHeight="1" x14ac:dyDescent="0.25">
      <c r="A2803" s="16">
        <v>2832</v>
      </c>
      <c r="B2803" s="18" t="s">
        <v>6204</v>
      </c>
      <c r="C2803" s="18" t="s">
        <v>6400</v>
      </c>
      <c r="D2803" s="18" t="s">
        <v>6401</v>
      </c>
      <c r="E2803" s="18" t="s">
        <v>6409</v>
      </c>
    </row>
    <row r="2804" spans="1:5" ht="24" customHeight="1" x14ac:dyDescent="0.25">
      <c r="A2804" s="16">
        <v>2833</v>
      </c>
      <c r="B2804" s="18" t="s">
        <v>6204</v>
      </c>
      <c r="C2804" s="18" t="s">
        <v>6400</v>
      </c>
      <c r="D2804" s="18" t="s">
        <v>6401</v>
      </c>
      <c r="E2804" s="18" t="s">
        <v>6410</v>
      </c>
    </row>
    <row r="2805" spans="1:5" ht="36" customHeight="1" x14ac:dyDescent="0.25">
      <c r="A2805" s="16">
        <v>2834</v>
      </c>
      <c r="B2805" s="18" t="s">
        <v>6204</v>
      </c>
      <c r="C2805" s="18" t="s">
        <v>6400</v>
      </c>
      <c r="D2805" s="18" t="s">
        <v>6401</v>
      </c>
      <c r="E2805" s="18" t="s">
        <v>6411</v>
      </c>
    </row>
    <row r="2806" spans="1:5" ht="24" customHeight="1" x14ac:dyDescent="0.25">
      <c r="A2806" s="16">
        <v>2835</v>
      </c>
      <c r="B2806" s="18" t="s">
        <v>6204</v>
      </c>
      <c r="C2806" s="18" t="s">
        <v>6400</v>
      </c>
      <c r="D2806" s="18" t="s">
        <v>6401</v>
      </c>
      <c r="E2806" s="18" t="s">
        <v>6412</v>
      </c>
    </row>
    <row r="2807" spans="1:5" ht="24" customHeight="1" x14ac:dyDescent="0.25">
      <c r="A2807" s="16">
        <v>2836</v>
      </c>
      <c r="B2807" s="18" t="s">
        <v>6204</v>
      </c>
      <c r="C2807" s="18" t="s">
        <v>6400</v>
      </c>
      <c r="D2807" s="18" t="s">
        <v>6401</v>
      </c>
      <c r="E2807" s="18" t="s">
        <v>6413</v>
      </c>
    </row>
    <row r="2808" spans="1:5" ht="24" customHeight="1" x14ac:dyDescent="0.25">
      <c r="A2808" s="16">
        <v>2837</v>
      </c>
      <c r="B2808" s="18" t="s">
        <v>6204</v>
      </c>
      <c r="C2808" s="18" t="s">
        <v>6400</v>
      </c>
      <c r="D2808" s="18" t="s">
        <v>6414</v>
      </c>
      <c r="E2808" s="18" t="s">
        <v>6415</v>
      </c>
    </row>
    <row r="2809" spans="1:5" ht="24" customHeight="1" x14ac:dyDescent="0.25">
      <c r="A2809" s="16">
        <v>2838</v>
      </c>
      <c r="B2809" s="18" t="s">
        <v>6204</v>
      </c>
      <c r="C2809" s="18" t="s">
        <v>6400</v>
      </c>
      <c r="D2809" s="18" t="s">
        <v>6414</v>
      </c>
      <c r="E2809" s="18" t="s">
        <v>6416</v>
      </c>
    </row>
    <row r="2810" spans="1:5" ht="24" customHeight="1" x14ac:dyDescent="0.25">
      <c r="A2810" s="16">
        <v>2839</v>
      </c>
      <c r="B2810" s="18" t="s">
        <v>6204</v>
      </c>
      <c r="C2810" s="18" t="s">
        <v>6400</v>
      </c>
      <c r="D2810" s="18" t="s">
        <v>6414</v>
      </c>
      <c r="E2810" s="18" t="s">
        <v>6417</v>
      </c>
    </row>
    <row r="2811" spans="1:5" ht="24" customHeight="1" x14ac:dyDescent="0.25">
      <c r="A2811" s="16">
        <v>2840</v>
      </c>
      <c r="B2811" s="18" t="s">
        <v>6204</v>
      </c>
      <c r="C2811" s="18" t="s">
        <v>6400</v>
      </c>
      <c r="D2811" s="18" t="s">
        <v>6414</v>
      </c>
      <c r="E2811" s="18" t="s">
        <v>6418</v>
      </c>
    </row>
    <row r="2812" spans="1:5" ht="24" customHeight="1" x14ac:dyDescent="0.25">
      <c r="A2812" s="16">
        <v>2841</v>
      </c>
      <c r="B2812" s="18" t="s">
        <v>6204</v>
      </c>
      <c r="C2812" s="18" t="s">
        <v>6400</v>
      </c>
      <c r="D2812" s="18" t="s">
        <v>6414</v>
      </c>
      <c r="E2812" s="18" t="s">
        <v>6419</v>
      </c>
    </row>
    <row r="2813" spans="1:5" ht="24" customHeight="1" x14ac:dyDescent="0.25">
      <c r="A2813" s="16">
        <v>2842</v>
      </c>
      <c r="B2813" s="18" t="s">
        <v>6204</v>
      </c>
      <c r="C2813" s="18" t="s">
        <v>6400</v>
      </c>
      <c r="D2813" s="18" t="s">
        <v>6414</v>
      </c>
      <c r="E2813" s="18" t="s">
        <v>6420</v>
      </c>
    </row>
    <row r="2814" spans="1:5" ht="24" customHeight="1" x14ac:dyDescent="0.25">
      <c r="A2814" s="16">
        <v>2843</v>
      </c>
      <c r="B2814" s="18" t="s">
        <v>6204</v>
      </c>
      <c r="C2814" s="18" t="s">
        <v>6400</v>
      </c>
      <c r="D2814" s="18" t="s">
        <v>6414</v>
      </c>
      <c r="E2814" s="18" t="s">
        <v>6421</v>
      </c>
    </row>
    <row r="2815" spans="1:5" ht="24" customHeight="1" x14ac:dyDescent="0.25">
      <c r="A2815" s="16">
        <v>2844</v>
      </c>
      <c r="B2815" s="18" t="s">
        <v>6204</v>
      </c>
      <c r="C2815" s="18" t="s">
        <v>6400</v>
      </c>
      <c r="D2815" s="18" t="s">
        <v>6414</v>
      </c>
      <c r="E2815" s="18" t="s">
        <v>6422</v>
      </c>
    </row>
    <row r="2816" spans="1:5" ht="24" customHeight="1" x14ac:dyDescent="0.25">
      <c r="A2816" s="16">
        <v>2845</v>
      </c>
      <c r="B2816" s="18" t="s">
        <v>6204</v>
      </c>
      <c r="C2816" s="18" t="s">
        <v>6400</v>
      </c>
      <c r="D2816" s="18" t="s">
        <v>6414</v>
      </c>
      <c r="E2816" s="18" t="s">
        <v>6423</v>
      </c>
    </row>
    <row r="2817" spans="1:5" ht="24" customHeight="1" x14ac:dyDescent="0.25">
      <c r="A2817" s="16">
        <v>2846</v>
      </c>
      <c r="B2817" s="18" t="s">
        <v>6204</v>
      </c>
      <c r="C2817" s="18" t="s">
        <v>6400</v>
      </c>
      <c r="D2817" s="18" t="s">
        <v>6414</v>
      </c>
      <c r="E2817" s="18" t="s">
        <v>6424</v>
      </c>
    </row>
    <row r="2818" spans="1:5" ht="24" customHeight="1" x14ac:dyDescent="0.25">
      <c r="A2818" s="16">
        <v>2847</v>
      </c>
      <c r="B2818" s="18" t="s">
        <v>6204</v>
      </c>
      <c r="C2818" s="18" t="s">
        <v>6400</v>
      </c>
      <c r="D2818" s="18" t="s">
        <v>6425</v>
      </c>
      <c r="E2818" s="18" t="s">
        <v>6426</v>
      </c>
    </row>
    <row r="2819" spans="1:5" ht="24" customHeight="1" x14ac:dyDescent="0.25">
      <c r="A2819" s="16">
        <v>2848</v>
      </c>
      <c r="B2819" s="18" t="s">
        <v>6204</v>
      </c>
      <c r="C2819" s="18" t="s">
        <v>6400</v>
      </c>
      <c r="D2819" s="18" t="s">
        <v>6425</v>
      </c>
      <c r="E2819" s="18" t="s">
        <v>6427</v>
      </c>
    </row>
    <row r="2820" spans="1:5" ht="24" customHeight="1" x14ac:dyDescent="0.25">
      <c r="A2820" s="16">
        <v>2849</v>
      </c>
      <c r="B2820" s="18" t="s">
        <v>6204</v>
      </c>
      <c r="C2820" s="18" t="s">
        <v>6400</v>
      </c>
      <c r="D2820" s="18" t="s">
        <v>6425</v>
      </c>
      <c r="E2820" s="18" t="s">
        <v>6428</v>
      </c>
    </row>
    <row r="2821" spans="1:5" ht="24" customHeight="1" x14ac:dyDescent="0.25">
      <c r="A2821" s="16">
        <v>2850</v>
      </c>
      <c r="B2821" s="18" t="s">
        <v>6204</v>
      </c>
      <c r="C2821" s="18" t="s">
        <v>6400</v>
      </c>
      <c r="D2821" s="18" t="s">
        <v>6425</v>
      </c>
      <c r="E2821" s="18" t="s">
        <v>6429</v>
      </c>
    </row>
    <row r="2822" spans="1:5" ht="24" customHeight="1" x14ac:dyDescent="0.25">
      <c r="A2822" s="16">
        <v>2851</v>
      </c>
      <c r="B2822" s="18" t="s">
        <v>6204</v>
      </c>
      <c r="C2822" s="18" t="s">
        <v>6400</v>
      </c>
      <c r="D2822" s="18" t="s">
        <v>6430</v>
      </c>
      <c r="E2822" s="18" t="s">
        <v>6431</v>
      </c>
    </row>
    <row r="2823" spans="1:5" ht="24" customHeight="1" x14ac:dyDescent="0.25">
      <c r="A2823" s="16">
        <v>2852</v>
      </c>
      <c r="B2823" s="18" t="s">
        <v>6204</v>
      </c>
      <c r="C2823" s="18" t="s">
        <v>6400</v>
      </c>
      <c r="D2823" s="18" t="s">
        <v>6430</v>
      </c>
      <c r="E2823" s="18" t="s">
        <v>6432</v>
      </c>
    </row>
    <row r="2824" spans="1:5" ht="24" customHeight="1" x14ac:dyDescent="0.25">
      <c r="A2824" s="16">
        <v>2853</v>
      </c>
      <c r="B2824" s="18" t="s">
        <v>6204</v>
      </c>
      <c r="C2824" s="18" t="s">
        <v>6400</v>
      </c>
      <c r="D2824" s="18" t="s">
        <v>6430</v>
      </c>
      <c r="E2824" s="18" t="s">
        <v>6433</v>
      </c>
    </row>
    <row r="2825" spans="1:5" ht="36" customHeight="1" x14ac:dyDescent="0.25">
      <c r="A2825" s="16">
        <v>2854</v>
      </c>
      <c r="B2825" s="18" t="s">
        <v>6204</v>
      </c>
      <c r="C2825" s="18" t="s">
        <v>6400</v>
      </c>
      <c r="D2825" s="18" t="s">
        <v>6430</v>
      </c>
      <c r="E2825" s="18" t="s">
        <v>6434</v>
      </c>
    </row>
    <row r="2826" spans="1:5" ht="24" customHeight="1" x14ac:dyDescent="0.25">
      <c r="A2826" s="16">
        <v>2855</v>
      </c>
      <c r="B2826" s="18" t="s">
        <v>6204</v>
      </c>
      <c r="C2826" s="18" t="s">
        <v>6400</v>
      </c>
      <c r="D2826" s="18" t="s">
        <v>6430</v>
      </c>
      <c r="E2826" s="18" t="s">
        <v>6435</v>
      </c>
    </row>
    <row r="2827" spans="1:5" ht="24" customHeight="1" x14ac:dyDescent="0.25">
      <c r="A2827" s="16">
        <v>2856</v>
      </c>
      <c r="B2827" s="18" t="s">
        <v>6204</v>
      </c>
      <c r="C2827" s="18" t="s">
        <v>6400</v>
      </c>
      <c r="D2827" s="18" t="s">
        <v>6430</v>
      </c>
      <c r="E2827" s="18" t="s">
        <v>6257</v>
      </c>
    </row>
    <row r="2828" spans="1:5" ht="24" customHeight="1" x14ac:dyDescent="0.25">
      <c r="A2828" s="16">
        <v>2857</v>
      </c>
      <c r="B2828" s="18" t="s">
        <v>6204</v>
      </c>
      <c r="C2828" s="18" t="s">
        <v>6400</v>
      </c>
      <c r="D2828" s="18" t="s">
        <v>6430</v>
      </c>
      <c r="E2828" s="18" t="s">
        <v>6436</v>
      </c>
    </row>
    <row r="2829" spans="1:5" ht="36" customHeight="1" x14ac:dyDescent="0.25">
      <c r="A2829" s="16">
        <v>2858</v>
      </c>
      <c r="B2829" s="18" t="s">
        <v>6204</v>
      </c>
      <c r="C2829" s="18" t="s">
        <v>6400</v>
      </c>
      <c r="D2829" s="18" t="s">
        <v>6430</v>
      </c>
      <c r="E2829" s="18" t="s">
        <v>6437</v>
      </c>
    </row>
    <row r="2830" spans="1:5" ht="36" customHeight="1" x14ac:dyDescent="0.25">
      <c r="A2830" s="16">
        <v>2859</v>
      </c>
      <c r="B2830" s="18" t="s">
        <v>6204</v>
      </c>
      <c r="C2830" s="18" t="s">
        <v>6400</v>
      </c>
      <c r="D2830" s="18" t="s">
        <v>6430</v>
      </c>
      <c r="E2830" s="18" t="s">
        <v>6438</v>
      </c>
    </row>
    <row r="2831" spans="1:5" ht="24" customHeight="1" x14ac:dyDescent="0.25">
      <c r="A2831" s="16">
        <v>2860</v>
      </c>
      <c r="B2831" s="18" t="s">
        <v>6204</v>
      </c>
      <c r="C2831" s="18" t="s">
        <v>6400</v>
      </c>
      <c r="D2831" s="18" t="s">
        <v>6430</v>
      </c>
      <c r="E2831" s="18" t="s">
        <v>6439</v>
      </c>
    </row>
    <row r="2832" spans="1:5" ht="24" customHeight="1" x14ac:dyDescent="0.25">
      <c r="A2832" s="16">
        <v>2861</v>
      </c>
      <c r="B2832" s="18" t="s">
        <v>6204</v>
      </c>
      <c r="C2832" s="18" t="s">
        <v>6400</v>
      </c>
      <c r="D2832" s="18" t="s">
        <v>6430</v>
      </c>
      <c r="E2832" s="18" t="s">
        <v>6440</v>
      </c>
    </row>
    <row r="2833" spans="1:5" ht="24" customHeight="1" x14ac:dyDescent="0.25">
      <c r="A2833" s="16">
        <v>2862</v>
      </c>
      <c r="B2833" s="18" t="s">
        <v>6204</v>
      </c>
      <c r="C2833" s="18" t="s">
        <v>6400</v>
      </c>
      <c r="D2833" s="18" t="s">
        <v>6430</v>
      </c>
      <c r="E2833" s="18" t="s">
        <v>6441</v>
      </c>
    </row>
    <row r="2834" spans="1:5" ht="24" customHeight="1" x14ac:dyDescent="0.25">
      <c r="A2834" s="16">
        <v>2863</v>
      </c>
      <c r="B2834" s="18" t="s">
        <v>6204</v>
      </c>
      <c r="C2834" s="18" t="s">
        <v>6400</v>
      </c>
      <c r="D2834" s="18" t="s">
        <v>6430</v>
      </c>
      <c r="E2834" s="18" t="s">
        <v>6442</v>
      </c>
    </row>
    <row r="2835" spans="1:5" ht="24" customHeight="1" x14ac:dyDescent="0.25">
      <c r="A2835" s="16">
        <v>2864</v>
      </c>
      <c r="B2835" s="18" t="s">
        <v>6204</v>
      </c>
      <c r="C2835" s="18" t="s">
        <v>6400</v>
      </c>
      <c r="D2835" s="18" t="s">
        <v>6430</v>
      </c>
      <c r="E2835" s="18" t="s">
        <v>6443</v>
      </c>
    </row>
    <row r="2836" spans="1:5" ht="24" customHeight="1" x14ac:dyDescent="0.25">
      <c r="A2836" s="16">
        <v>2865</v>
      </c>
      <c r="B2836" s="18" t="s">
        <v>6204</v>
      </c>
      <c r="C2836" s="18" t="s">
        <v>6400</v>
      </c>
      <c r="D2836" s="18" t="s">
        <v>6430</v>
      </c>
      <c r="E2836" s="18" t="s">
        <v>6444</v>
      </c>
    </row>
    <row r="2837" spans="1:5" ht="24" customHeight="1" x14ac:dyDescent="0.25">
      <c r="A2837" s="16">
        <v>2866</v>
      </c>
      <c r="B2837" s="18" t="s">
        <v>6204</v>
      </c>
      <c r="C2837" s="18" t="s">
        <v>6400</v>
      </c>
      <c r="D2837" s="18" t="s">
        <v>6430</v>
      </c>
      <c r="E2837" s="18" t="s">
        <v>6221</v>
      </c>
    </row>
    <row r="2838" spans="1:5" ht="24" customHeight="1" x14ac:dyDescent="0.25">
      <c r="A2838" s="16">
        <v>2867</v>
      </c>
      <c r="B2838" s="18" t="s">
        <v>6204</v>
      </c>
      <c r="C2838" s="18" t="s">
        <v>6400</v>
      </c>
      <c r="D2838" s="18" t="s">
        <v>6445</v>
      </c>
      <c r="E2838" s="18" t="s">
        <v>6446</v>
      </c>
    </row>
    <row r="2839" spans="1:5" ht="24" customHeight="1" x14ac:dyDescent="0.25">
      <c r="A2839" s="16">
        <v>2868</v>
      </c>
      <c r="B2839" s="18" t="s">
        <v>6204</v>
      </c>
      <c r="C2839" s="18" t="s">
        <v>6400</v>
      </c>
      <c r="D2839" s="18" t="s">
        <v>6445</v>
      </c>
      <c r="E2839" s="18" t="s">
        <v>6447</v>
      </c>
    </row>
    <row r="2840" spans="1:5" ht="24" customHeight="1" x14ac:dyDescent="0.25">
      <c r="A2840" s="16">
        <v>2869</v>
      </c>
      <c r="B2840" s="18" t="s">
        <v>6204</v>
      </c>
      <c r="C2840" s="18" t="s">
        <v>6400</v>
      </c>
      <c r="D2840" s="18" t="s">
        <v>6445</v>
      </c>
      <c r="E2840" s="18" t="s">
        <v>6448</v>
      </c>
    </row>
    <row r="2841" spans="1:5" ht="24" customHeight="1" x14ac:dyDescent="0.25">
      <c r="A2841" s="16">
        <v>2870</v>
      </c>
      <c r="B2841" s="18" t="s">
        <v>6204</v>
      </c>
      <c r="C2841" s="18" t="s">
        <v>6400</v>
      </c>
      <c r="D2841" s="18" t="s">
        <v>6445</v>
      </c>
      <c r="E2841" s="18" t="s">
        <v>6449</v>
      </c>
    </row>
    <row r="2842" spans="1:5" ht="24" customHeight="1" x14ac:dyDescent="0.25">
      <c r="A2842" s="16">
        <v>2871</v>
      </c>
      <c r="B2842" s="18" t="s">
        <v>6204</v>
      </c>
      <c r="C2842" s="18" t="s">
        <v>6400</v>
      </c>
      <c r="D2842" s="18" t="s">
        <v>6445</v>
      </c>
      <c r="E2842" s="18" t="s">
        <v>6450</v>
      </c>
    </row>
    <row r="2843" spans="1:5" ht="36" customHeight="1" x14ac:dyDescent="0.25">
      <c r="A2843" s="16">
        <v>2872</v>
      </c>
      <c r="B2843" s="18" t="s">
        <v>6204</v>
      </c>
      <c r="C2843" s="18" t="s">
        <v>6400</v>
      </c>
      <c r="D2843" s="18" t="s">
        <v>6445</v>
      </c>
      <c r="E2843" s="18" t="s">
        <v>6451</v>
      </c>
    </row>
    <row r="2844" spans="1:5" ht="24" customHeight="1" x14ac:dyDescent="0.25">
      <c r="A2844" s="16">
        <v>2873</v>
      </c>
      <c r="B2844" s="18" t="s">
        <v>6204</v>
      </c>
      <c r="C2844" s="18" t="s">
        <v>6400</v>
      </c>
      <c r="D2844" s="18" t="s">
        <v>6452</v>
      </c>
      <c r="E2844" s="18" t="s">
        <v>6453</v>
      </c>
    </row>
    <row r="2845" spans="1:5" ht="36" customHeight="1" x14ac:dyDescent="0.25">
      <c r="A2845" s="16">
        <v>2874</v>
      </c>
      <c r="B2845" s="18" t="s">
        <v>6204</v>
      </c>
      <c r="C2845" s="18" t="s">
        <v>6400</v>
      </c>
      <c r="D2845" s="18" t="s">
        <v>6452</v>
      </c>
      <c r="E2845" s="18" t="s">
        <v>6454</v>
      </c>
    </row>
    <row r="2846" spans="1:5" ht="24" customHeight="1" x14ac:dyDescent="0.25">
      <c r="A2846" s="16">
        <v>2875</v>
      </c>
      <c r="B2846" s="18" t="s">
        <v>6204</v>
      </c>
      <c r="C2846" s="18" t="s">
        <v>6400</v>
      </c>
      <c r="D2846" s="18" t="s">
        <v>6452</v>
      </c>
      <c r="E2846" s="18" t="s">
        <v>6455</v>
      </c>
    </row>
    <row r="2847" spans="1:5" ht="24" customHeight="1" x14ac:dyDescent="0.25">
      <c r="A2847" s="16">
        <v>2876</v>
      </c>
      <c r="B2847" s="18" t="s">
        <v>6204</v>
      </c>
      <c r="C2847" s="18" t="s">
        <v>6400</v>
      </c>
      <c r="D2847" s="18" t="s">
        <v>6452</v>
      </c>
      <c r="E2847" s="18" t="s">
        <v>6456</v>
      </c>
    </row>
    <row r="2848" spans="1:5" ht="24" customHeight="1" x14ac:dyDescent="0.25">
      <c r="A2848" s="16">
        <v>2877</v>
      </c>
      <c r="B2848" s="18" t="s">
        <v>6204</v>
      </c>
      <c r="C2848" s="18" t="s">
        <v>6400</v>
      </c>
      <c r="D2848" s="18" t="s">
        <v>6452</v>
      </c>
      <c r="E2848" s="18" t="s">
        <v>6457</v>
      </c>
    </row>
    <row r="2849" spans="1:5" ht="24" customHeight="1" x14ac:dyDescent="0.25">
      <c r="A2849" s="16">
        <v>2878</v>
      </c>
      <c r="B2849" s="18" t="s">
        <v>6204</v>
      </c>
      <c r="C2849" s="18" t="s">
        <v>6400</v>
      </c>
      <c r="D2849" s="18" t="s">
        <v>6452</v>
      </c>
      <c r="E2849" s="18" t="s">
        <v>6458</v>
      </c>
    </row>
    <row r="2850" spans="1:5" ht="36" customHeight="1" x14ac:dyDescent="0.25">
      <c r="A2850" s="16">
        <v>2879</v>
      </c>
      <c r="B2850" s="18" t="s">
        <v>6204</v>
      </c>
      <c r="C2850" s="18" t="s">
        <v>6400</v>
      </c>
      <c r="D2850" s="18" t="s">
        <v>6452</v>
      </c>
      <c r="E2850" s="18" t="s">
        <v>6459</v>
      </c>
    </row>
    <row r="2851" spans="1:5" ht="36" customHeight="1" x14ac:dyDescent="0.25">
      <c r="A2851" s="16">
        <v>2880</v>
      </c>
      <c r="B2851" s="18" t="s">
        <v>6204</v>
      </c>
      <c r="C2851" s="18" t="s">
        <v>6400</v>
      </c>
      <c r="D2851" s="18" t="s">
        <v>6452</v>
      </c>
      <c r="E2851" s="18" t="s">
        <v>6460</v>
      </c>
    </row>
    <row r="2852" spans="1:5" ht="24" customHeight="1" x14ac:dyDescent="0.25">
      <c r="A2852" s="16">
        <v>2881</v>
      </c>
      <c r="B2852" s="18" t="s">
        <v>6204</v>
      </c>
      <c r="C2852" s="18" t="s">
        <v>6400</v>
      </c>
      <c r="D2852" s="18" t="s">
        <v>6452</v>
      </c>
      <c r="E2852" s="18" t="s">
        <v>6461</v>
      </c>
    </row>
    <row r="2853" spans="1:5" ht="24" customHeight="1" x14ac:dyDescent="0.25">
      <c r="A2853" s="16">
        <v>2882</v>
      </c>
      <c r="B2853" s="18" t="s">
        <v>6204</v>
      </c>
      <c r="C2853" s="18" t="s">
        <v>6400</v>
      </c>
      <c r="D2853" s="18" t="s">
        <v>6452</v>
      </c>
      <c r="E2853" s="18" t="s">
        <v>6462</v>
      </c>
    </row>
    <row r="2854" spans="1:5" ht="24" customHeight="1" x14ac:dyDescent="0.25">
      <c r="A2854" s="16">
        <v>2883</v>
      </c>
      <c r="B2854" s="18" t="s">
        <v>6204</v>
      </c>
      <c r="C2854" s="18" t="s">
        <v>6400</v>
      </c>
      <c r="D2854" s="18" t="s">
        <v>6452</v>
      </c>
      <c r="E2854" s="18" t="s">
        <v>6463</v>
      </c>
    </row>
    <row r="2855" spans="1:5" ht="36" customHeight="1" x14ac:dyDescent="0.25">
      <c r="A2855" s="16">
        <v>2884</v>
      </c>
      <c r="B2855" s="18" t="s">
        <v>6204</v>
      </c>
      <c r="C2855" s="18" t="s">
        <v>6400</v>
      </c>
      <c r="D2855" s="18" t="s">
        <v>6452</v>
      </c>
      <c r="E2855" s="18" t="s">
        <v>6464</v>
      </c>
    </row>
    <row r="2856" spans="1:5" ht="24" customHeight="1" x14ac:dyDescent="0.25">
      <c r="A2856" s="16">
        <v>2885</v>
      </c>
      <c r="B2856" s="18" t="s">
        <v>6204</v>
      </c>
      <c r="C2856" s="18" t="s">
        <v>6400</v>
      </c>
      <c r="D2856" s="18" t="s">
        <v>6452</v>
      </c>
      <c r="E2856" s="18" t="s">
        <v>6465</v>
      </c>
    </row>
    <row r="2857" spans="1:5" ht="24" customHeight="1" x14ac:dyDescent="0.25">
      <c r="A2857" s="16">
        <v>2886</v>
      </c>
      <c r="B2857" s="18" t="s">
        <v>6204</v>
      </c>
      <c r="C2857" s="18" t="s">
        <v>6400</v>
      </c>
      <c r="D2857" s="18" t="s">
        <v>6466</v>
      </c>
      <c r="E2857" s="18" t="s">
        <v>6467</v>
      </c>
    </row>
    <row r="2858" spans="1:5" ht="24" customHeight="1" x14ac:dyDescent="0.25">
      <c r="A2858" s="16">
        <v>2887</v>
      </c>
      <c r="B2858" s="18" t="s">
        <v>6204</v>
      </c>
      <c r="C2858" s="18" t="s">
        <v>6400</v>
      </c>
      <c r="D2858" s="18" t="s">
        <v>6466</v>
      </c>
      <c r="E2858" s="18" t="s">
        <v>6468</v>
      </c>
    </row>
    <row r="2859" spans="1:5" ht="24" customHeight="1" x14ac:dyDescent="0.25">
      <c r="A2859" s="16">
        <v>2888</v>
      </c>
      <c r="B2859" s="18" t="s">
        <v>6204</v>
      </c>
      <c r="C2859" s="18" t="s">
        <v>6400</v>
      </c>
      <c r="D2859" s="18" t="s">
        <v>6466</v>
      </c>
      <c r="E2859" s="18" t="s">
        <v>6469</v>
      </c>
    </row>
    <row r="2860" spans="1:5" ht="24" customHeight="1" x14ac:dyDescent="0.25">
      <c r="A2860" s="16">
        <v>2889</v>
      </c>
      <c r="B2860" s="18" t="s">
        <v>6204</v>
      </c>
      <c r="C2860" s="18" t="s">
        <v>6400</v>
      </c>
      <c r="D2860" s="18" t="s">
        <v>6466</v>
      </c>
      <c r="E2860" s="18" t="s">
        <v>6470</v>
      </c>
    </row>
    <row r="2861" spans="1:5" ht="24" customHeight="1" x14ac:dyDescent="0.25">
      <c r="A2861" s="16">
        <v>2890</v>
      </c>
      <c r="B2861" s="18" t="s">
        <v>6204</v>
      </c>
      <c r="C2861" s="18" t="s">
        <v>6400</v>
      </c>
      <c r="D2861" s="18" t="s">
        <v>6466</v>
      </c>
      <c r="E2861" s="18" t="s">
        <v>6471</v>
      </c>
    </row>
    <row r="2862" spans="1:5" ht="24" customHeight="1" x14ac:dyDescent="0.25">
      <c r="A2862" s="16">
        <v>2891</v>
      </c>
      <c r="B2862" s="18" t="s">
        <v>6204</v>
      </c>
      <c r="C2862" s="18" t="s">
        <v>6400</v>
      </c>
      <c r="D2862" s="18" t="s">
        <v>6466</v>
      </c>
      <c r="E2862" s="18" t="s">
        <v>6472</v>
      </c>
    </row>
    <row r="2863" spans="1:5" ht="24" customHeight="1" x14ac:dyDescent="0.25">
      <c r="A2863" s="16">
        <v>2892</v>
      </c>
      <c r="B2863" s="18" t="s">
        <v>6204</v>
      </c>
      <c r="C2863" s="18" t="s">
        <v>6400</v>
      </c>
      <c r="D2863" s="18" t="s">
        <v>6466</v>
      </c>
      <c r="E2863" s="18" t="s">
        <v>6473</v>
      </c>
    </row>
    <row r="2864" spans="1:5" ht="24" customHeight="1" x14ac:dyDescent="0.25">
      <c r="A2864" s="16">
        <v>2893</v>
      </c>
      <c r="B2864" s="18" t="s">
        <v>6204</v>
      </c>
      <c r="C2864" s="18" t="s">
        <v>6400</v>
      </c>
      <c r="D2864" s="18" t="s">
        <v>6474</v>
      </c>
      <c r="E2864" s="18" t="s">
        <v>6475</v>
      </c>
    </row>
    <row r="2865" spans="1:5" ht="24" customHeight="1" x14ac:dyDescent="0.25">
      <c r="A2865" s="16">
        <v>2894</v>
      </c>
      <c r="B2865" s="18" t="s">
        <v>6204</v>
      </c>
      <c r="C2865" s="18" t="s">
        <v>6400</v>
      </c>
      <c r="D2865" s="18" t="s">
        <v>6474</v>
      </c>
      <c r="E2865" s="18" t="s">
        <v>6476</v>
      </c>
    </row>
    <row r="2866" spans="1:5" ht="24" customHeight="1" x14ac:dyDescent="0.25">
      <c r="A2866" s="16">
        <v>2895</v>
      </c>
      <c r="B2866" s="18" t="s">
        <v>6204</v>
      </c>
      <c r="C2866" s="18" t="s">
        <v>6400</v>
      </c>
      <c r="D2866" s="18" t="s">
        <v>6474</v>
      </c>
      <c r="E2866" s="18" t="s">
        <v>6477</v>
      </c>
    </row>
    <row r="2867" spans="1:5" ht="24" customHeight="1" x14ac:dyDescent="0.25">
      <c r="A2867" s="16">
        <v>2896</v>
      </c>
      <c r="B2867" s="18" t="s">
        <v>6204</v>
      </c>
      <c r="C2867" s="18" t="s">
        <v>6400</v>
      </c>
      <c r="D2867" s="18" t="s">
        <v>6474</v>
      </c>
      <c r="E2867" s="18" t="s">
        <v>6478</v>
      </c>
    </row>
    <row r="2868" spans="1:5" ht="24" customHeight="1" x14ac:dyDescent="0.25">
      <c r="A2868" s="16">
        <v>2897</v>
      </c>
      <c r="B2868" s="18" t="s">
        <v>6204</v>
      </c>
      <c r="C2868" s="18" t="s">
        <v>6400</v>
      </c>
      <c r="D2868" s="18" t="s">
        <v>6474</v>
      </c>
      <c r="E2868" s="18" t="s">
        <v>6479</v>
      </c>
    </row>
    <row r="2869" spans="1:5" ht="24" customHeight="1" x14ac:dyDescent="0.25">
      <c r="A2869" s="16">
        <v>2898</v>
      </c>
      <c r="B2869" s="18" t="s">
        <v>6204</v>
      </c>
      <c r="C2869" s="18" t="s">
        <v>6400</v>
      </c>
      <c r="D2869" s="18" t="s">
        <v>6474</v>
      </c>
      <c r="E2869" s="18" t="s">
        <v>6480</v>
      </c>
    </row>
    <row r="2870" spans="1:5" ht="24" customHeight="1" x14ac:dyDescent="0.25">
      <c r="A2870" s="16">
        <v>2899</v>
      </c>
      <c r="B2870" s="18" t="s">
        <v>6204</v>
      </c>
      <c r="C2870" s="18" t="s">
        <v>6400</v>
      </c>
      <c r="D2870" s="18" t="s">
        <v>6474</v>
      </c>
      <c r="E2870" s="18" t="s">
        <v>6481</v>
      </c>
    </row>
    <row r="2871" spans="1:5" ht="24" customHeight="1" x14ac:dyDescent="0.25">
      <c r="A2871" s="16">
        <v>2900</v>
      </c>
      <c r="B2871" s="18" t="s">
        <v>6204</v>
      </c>
      <c r="C2871" s="18" t="s">
        <v>6400</v>
      </c>
      <c r="D2871" s="18" t="s">
        <v>6474</v>
      </c>
      <c r="E2871" s="18" t="s">
        <v>6482</v>
      </c>
    </row>
    <row r="2872" spans="1:5" ht="24" customHeight="1" x14ac:dyDescent="0.25">
      <c r="A2872" s="16">
        <v>2901</v>
      </c>
      <c r="B2872" s="18" t="s">
        <v>6204</v>
      </c>
      <c r="C2872" s="18" t="s">
        <v>6483</v>
      </c>
      <c r="D2872" s="18" t="s">
        <v>6484</v>
      </c>
      <c r="E2872" s="18" t="s">
        <v>6485</v>
      </c>
    </row>
    <row r="2873" spans="1:5" x14ac:dyDescent="0.25">
      <c r="A2873" s="16">
        <v>2902</v>
      </c>
      <c r="B2873" s="18" t="s">
        <v>6204</v>
      </c>
      <c r="C2873" s="18" t="s">
        <v>6483</v>
      </c>
      <c r="D2873" s="18" t="s">
        <v>6484</v>
      </c>
      <c r="E2873" s="18" t="s">
        <v>6486</v>
      </c>
    </row>
    <row r="2874" spans="1:5" ht="24" customHeight="1" x14ac:dyDescent="0.25">
      <c r="A2874" s="16">
        <v>2903</v>
      </c>
      <c r="B2874" s="18" t="s">
        <v>6204</v>
      </c>
      <c r="C2874" s="18" t="s">
        <v>6483</v>
      </c>
      <c r="D2874" s="18" t="s">
        <v>6484</v>
      </c>
      <c r="E2874" s="18" t="s">
        <v>6487</v>
      </c>
    </row>
    <row r="2875" spans="1:5" x14ac:dyDescent="0.25">
      <c r="A2875" s="16">
        <v>2904</v>
      </c>
      <c r="B2875" s="18" t="s">
        <v>6204</v>
      </c>
      <c r="C2875" s="18" t="s">
        <v>6483</v>
      </c>
      <c r="D2875" s="18" t="s">
        <v>6484</v>
      </c>
      <c r="E2875" s="18" t="s">
        <v>6488</v>
      </c>
    </row>
    <row r="2876" spans="1:5" ht="24" customHeight="1" x14ac:dyDescent="0.25">
      <c r="A2876" s="16">
        <v>2905</v>
      </c>
      <c r="B2876" s="18" t="s">
        <v>6204</v>
      </c>
      <c r="C2876" s="18" t="s">
        <v>6483</v>
      </c>
      <c r="D2876" s="18" t="s">
        <v>6484</v>
      </c>
      <c r="E2876" s="18" t="s">
        <v>6489</v>
      </c>
    </row>
    <row r="2877" spans="1:5" ht="24" customHeight="1" x14ac:dyDescent="0.25">
      <c r="A2877" s="16">
        <v>2906</v>
      </c>
      <c r="B2877" s="18" t="s">
        <v>6204</v>
      </c>
      <c r="C2877" s="18" t="s">
        <v>6483</v>
      </c>
      <c r="D2877" s="18" t="s">
        <v>6484</v>
      </c>
      <c r="E2877" s="18" t="s">
        <v>6490</v>
      </c>
    </row>
    <row r="2878" spans="1:5" ht="24" customHeight="1" x14ac:dyDescent="0.25">
      <c r="A2878" s="16">
        <v>2907</v>
      </c>
      <c r="B2878" s="18" t="s">
        <v>6204</v>
      </c>
      <c r="C2878" s="18" t="s">
        <v>6483</v>
      </c>
      <c r="D2878" s="18" t="s">
        <v>6484</v>
      </c>
      <c r="E2878" s="18" t="s">
        <v>6491</v>
      </c>
    </row>
    <row r="2879" spans="1:5" x14ac:dyDescent="0.25">
      <c r="A2879" s="16">
        <v>2908</v>
      </c>
      <c r="B2879" s="18" t="s">
        <v>6204</v>
      </c>
      <c r="C2879" s="18" t="s">
        <v>6483</v>
      </c>
      <c r="D2879" s="18" t="s">
        <v>6484</v>
      </c>
      <c r="E2879" s="18" t="s">
        <v>6492</v>
      </c>
    </row>
    <row r="2880" spans="1:5" x14ac:dyDescent="0.25">
      <c r="A2880" s="16">
        <v>2909</v>
      </c>
      <c r="B2880" s="18" t="s">
        <v>6204</v>
      </c>
      <c r="C2880" s="18" t="s">
        <v>6483</v>
      </c>
      <c r="D2880" s="18" t="s">
        <v>6484</v>
      </c>
      <c r="E2880" s="18" t="s">
        <v>6493</v>
      </c>
    </row>
    <row r="2881" spans="1:5" x14ac:dyDescent="0.25">
      <c r="A2881" s="16">
        <v>2910</v>
      </c>
      <c r="B2881" s="18" t="s">
        <v>6204</v>
      </c>
      <c r="C2881" s="18" t="s">
        <v>6483</v>
      </c>
      <c r="D2881" s="18" t="s">
        <v>6484</v>
      </c>
      <c r="E2881" s="18" t="s">
        <v>6494</v>
      </c>
    </row>
    <row r="2882" spans="1:5" x14ac:dyDescent="0.25">
      <c r="A2882" s="16">
        <v>2911</v>
      </c>
      <c r="B2882" s="18" t="s">
        <v>6204</v>
      </c>
      <c r="C2882" s="18" t="s">
        <v>6483</v>
      </c>
      <c r="D2882" s="18" t="s">
        <v>6495</v>
      </c>
      <c r="E2882" s="18" t="s">
        <v>6496</v>
      </c>
    </row>
    <row r="2883" spans="1:5" x14ac:dyDescent="0.25">
      <c r="A2883" s="16">
        <v>2912</v>
      </c>
      <c r="B2883" s="18" t="s">
        <v>6204</v>
      </c>
      <c r="C2883" s="18" t="s">
        <v>6483</v>
      </c>
      <c r="D2883" s="18" t="s">
        <v>6495</v>
      </c>
      <c r="E2883" s="18" t="s">
        <v>6497</v>
      </c>
    </row>
    <row r="2884" spans="1:5" ht="24" customHeight="1" x14ac:dyDescent="0.25">
      <c r="A2884" s="16">
        <v>2913</v>
      </c>
      <c r="B2884" s="18" t="s">
        <v>6204</v>
      </c>
      <c r="C2884" s="18" t="s">
        <v>6483</v>
      </c>
      <c r="D2884" s="18" t="s">
        <v>6495</v>
      </c>
      <c r="E2884" s="18" t="s">
        <v>6498</v>
      </c>
    </row>
    <row r="2885" spans="1:5" x14ac:dyDescent="0.25">
      <c r="A2885" s="16">
        <v>2914</v>
      </c>
      <c r="B2885" s="18" t="s">
        <v>6204</v>
      </c>
      <c r="C2885" s="18" t="s">
        <v>6483</v>
      </c>
      <c r="D2885" s="18" t="s">
        <v>6495</v>
      </c>
      <c r="E2885" s="18" t="s">
        <v>6499</v>
      </c>
    </row>
    <row r="2886" spans="1:5" x14ac:dyDescent="0.25">
      <c r="A2886" s="16">
        <v>2915</v>
      </c>
      <c r="B2886" s="18" t="s">
        <v>6204</v>
      </c>
      <c r="C2886" s="18" t="s">
        <v>6483</v>
      </c>
      <c r="D2886" s="18" t="s">
        <v>6495</v>
      </c>
      <c r="E2886" s="18" t="s">
        <v>6500</v>
      </c>
    </row>
    <row r="2887" spans="1:5" x14ac:dyDescent="0.25">
      <c r="A2887" s="16">
        <v>2916</v>
      </c>
      <c r="B2887" s="18" t="s">
        <v>6204</v>
      </c>
      <c r="C2887" s="18" t="s">
        <v>6483</v>
      </c>
      <c r="D2887" s="18" t="s">
        <v>6495</v>
      </c>
      <c r="E2887" s="18" t="s">
        <v>6387</v>
      </c>
    </row>
    <row r="2888" spans="1:5" ht="24" customHeight="1" x14ac:dyDescent="0.25">
      <c r="A2888" s="16">
        <v>2917</v>
      </c>
      <c r="B2888" s="18" t="s">
        <v>6204</v>
      </c>
      <c r="C2888" s="18" t="s">
        <v>6483</v>
      </c>
      <c r="D2888" s="18" t="s">
        <v>6501</v>
      </c>
      <c r="E2888" s="18" t="s">
        <v>6502</v>
      </c>
    </row>
    <row r="2889" spans="1:5" x14ac:dyDescent="0.25">
      <c r="A2889" s="16">
        <v>2918</v>
      </c>
      <c r="B2889" s="18" t="s">
        <v>6204</v>
      </c>
      <c r="C2889" s="18" t="s">
        <v>6483</v>
      </c>
      <c r="D2889" s="18" t="s">
        <v>6501</v>
      </c>
      <c r="E2889" s="18" t="s">
        <v>6503</v>
      </c>
    </row>
    <row r="2890" spans="1:5" x14ac:dyDescent="0.25">
      <c r="A2890" s="16">
        <v>2919</v>
      </c>
      <c r="B2890" s="18" t="s">
        <v>6204</v>
      </c>
      <c r="C2890" s="18" t="s">
        <v>6483</v>
      </c>
      <c r="D2890" s="18" t="s">
        <v>6501</v>
      </c>
      <c r="E2890" s="18" t="s">
        <v>6504</v>
      </c>
    </row>
    <row r="2891" spans="1:5" x14ac:dyDescent="0.25">
      <c r="A2891" s="16">
        <v>2920</v>
      </c>
      <c r="B2891" s="18" t="s">
        <v>6204</v>
      </c>
      <c r="C2891" s="18" t="s">
        <v>6483</v>
      </c>
      <c r="D2891" s="18" t="s">
        <v>6501</v>
      </c>
      <c r="E2891" s="18" t="s">
        <v>6505</v>
      </c>
    </row>
    <row r="2892" spans="1:5" x14ac:dyDescent="0.25">
      <c r="A2892" s="16">
        <v>2921</v>
      </c>
      <c r="B2892" s="18" t="s">
        <v>6204</v>
      </c>
      <c r="C2892" s="18" t="s">
        <v>6483</v>
      </c>
      <c r="D2892" s="18" t="s">
        <v>6501</v>
      </c>
      <c r="E2892" s="18" t="s">
        <v>6506</v>
      </c>
    </row>
    <row r="2893" spans="1:5" x14ac:dyDescent="0.25">
      <c r="A2893" s="16">
        <v>2922</v>
      </c>
      <c r="B2893" s="18" t="s">
        <v>6204</v>
      </c>
      <c r="C2893" s="18" t="s">
        <v>6483</v>
      </c>
      <c r="D2893" s="18" t="s">
        <v>6501</v>
      </c>
      <c r="E2893" s="18" t="s">
        <v>6507</v>
      </c>
    </row>
    <row r="2894" spans="1:5" ht="24" customHeight="1" x14ac:dyDescent="0.25">
      <c r="A2894" s="16">
        <v>2923</v>
      </c>
      <c r="B2894" s="18" t="s">
        <v>6204</v>
      </c>
      <c r="C2894" s="18" t="s">
        <v>6483</v>
      </c>
      <c r="D2894" s="18" t="s">
        <v>6508</v>
      </c>
      <c r="E2894" s="18" t="s">
        <v>6509</v>
      </c>
    </row>
    <row r="2895" spans="1:5" ht="24" customHeight="1" x14ac:dyDescent="0.25">
      <c r="A2895" s="16">
        <v>2924</v>
      </c>
      <c r="B2895" s="18" t="s">
        <v>6204</v>
      </c>
      <c r="C2895" s="18" t="s">
        <v>6483</v>
      </c>
      <c r="D2895" s="18" t="s">
        <v>6508</v>
      </c>
      <c r="E2895" s="18" t="s">
        <v>6510</v>
      </c>
    </row>
    <row r="2896" spans="1:5" ht="24" customHeight="1" x14ac:dyDescent="0.25">
      <c r="A2896" s="16">
        <v>2925</v>
      </c>
      <c r="B2896" s="18" t="s">
        <v>6204</v>
      </c>
      <c r="C2896" s="18" t="s">
        <v>6483</v>
      </c>
      <c r="D2896" s="18" t="s">
        <v>6508</v>
      </c>
      <c r="E2896" s="18" t="s">
        <v>6511</v>
      </c>
    </row>
    <row r="2897" spans="1:5" ht="24" customHeight="1" x14ac:dyDescent="0.25">
      <c r="A2897" s="16">
        <v>2926</v>
      </c>
      <c r="B2897" s="18" t="s">
        <v>6204</v>
      </c>
      <c r="C2897" s="18" t="s">
        <v>6483</v>
      </c>
      <c r="D2897" s="18" t="s">
        <v>6508</v>
      </c>
      <c r="E2897" s="18" t="s">
        <v>6512</v>
      </c>
    </row>
    <row r="2898" spans="1:5" ht="24" customHeight="1" x14ac:dyDescent="0.25">
      <c r="A2898" s="16">
        <v>2927</v>
      </c>
      <c r="B2898" s="18" t="s">
        <v>6204</v>
      </c>
      <c r="C2898" s="18" t="s">
        <v>6483</v>
      </c>
      <c r="D2898" s="18" t="s">
        <v>6508</v>
      </c>
      <c r="E2898" s="18" t="s">
        <v>6513</v>
      </c>
    </row>
    <row r="2899" spans="1:5" ht="24" customHeight="1" x14ac:dyDescent="0.25">
      <c r="A2899" s="16">
        <v>2928</v>
      </c>
      <c r="B2899" s="18" t="s">
        <v>6204</v>
      </c>
      <c r="C2899" s="18" t="s">
        <v>6483</v>
      </c>
      <c r="D2899" s="18" t="s">
        <v>6508</v>
      </c>
      <c r="E2899" s="18" t="s">
        <v>6514</v>
      </c>
    </row>
    <row r="2900" spans="1:5" ht="24" customHeight="1" x14ac:dyDescent="0.25">
      <c r="A2900" s="16">
        <v>2929</v>
      </c>
      <c r="B2900" s="18" t="s">
        <v>6204</v>
      </c>
      <c r="C2900" s="18" t="s">
        <v>6483</v>
      </c>
      <c r="D2900" s="18" t="s">
        <v>6508</v>
      </c>
      <c r="E2900" s="18" t="s">
        <v>6515</v>
      </c>
    </row>
    <row r="2901" spans="1:5" ht="24" customHeight="1" x14ac:dyDescent="0.25">
      <c r="A2901" s="16">
        <v>2930</v>
      </c>
      <c r="B2901" s="18" t="s">
        <v>6204</v>
      </c>
      <c r="C2901" s="18" t="s">
        <v>6483</v>
      </c>
      <c r="D2901" s="18" t="s">
        <v>6508</v>
      </c>
      <c r="E2901" s="18" t="s">
        <v>6516</v>
      </c>
    </row>
    <row r="2902" spans="1:5" ht="24" customHeight="1" x14ac:dyDescent="0.25">
      <c r="A2902" s="16">
        <v>2931</v>
      </c>
      <c r="B2902" s="18" t="s">
        <v>6204</v>
      </c>
      <c r="C2902" s="18" t="s">
        <v>6483</v>
      </c>
      <c r="D2902" s="18" t="s">
        <v>6517</v>
      </c>
      <c r="E2902" s="18" t="s">
        <v>6518</v>
      </c>
    </row>
    <row r="2903" spans="1:5" x14ac:dyDescent="0.25">
      <c r="A2903" s="16">
        <v>2932</v>
      </c>
      <c r="B2903" s="18" t="s">
        <v>6204</v>
      </c>
      <c r="C2903" s="18" t="s">
        <v>6483</v>
      </c>
      <c r="D2903" s="18" t="s">
        <v>6517</v>
      </c>
      <c r="E2903" s="18" t="s">
        <v>6519</v>
      </c>
    </row>
    <row r="2904" spans="1:5" x14ac:dyDescent="0.25">
      <c r="A2904" s="16">
        <v>2933</v>
      </c>
      <c r="B2904" s="18" t="s">
        <v>6204</v>
      </c>
      <c r="C2904" s="18" t="s">
        <v>6483</v>
      </c>
      <c r="D2904" s="18" t="s">
        <v>6517</v>
      </c>
      <c r="E2904" s="18" t="s">
        <v>6520</v>
      </c>
    </row>
    <row r="2905" spans="1:5" x14ac:dyDescent="0.25">
      <c r="A2905" s="16">
        <v>2934</v>
      </c>
      <c r="B2905" s="18" t="s">
        <v>6204</v>
      </c>
      <c r="C2905" s="18" t="s">
        <v>6483</v>
      </c>
      <c r="D2905" s="18" t="s">
        <v>6517</v>
      </c>
      <c r="E2905" s="18" t="s">
        <v>6521</v>
      </c>
    </row>
    <row r="2906" spans="1:5" x14ac:dyDescent="0.25">
      <c r="A2906" s="16">
        <v>2935</v>
      </c>
      <c r="B2906" s="18" t="s">
        <v>6204</v>
      </c>
      <c r="C2906" s="18" t="s">
        <v>6483</v>
      </c>
      <c r="D2906" s="18" t="s">
        <v>6517</v>
      </c>
      <c r="E2906" s="18" t="s">
        <v>6406</v>
      </c>
    </row>
    <row r="2907" spans="1:5" x14ac:dyDescent="0.25">
      <c r="A2907" s="16">
        <v>2936</v>
      </c>
      <c r="B2907" s="18" t="s">
        <v>6204</v>
      </c>
      <c r="C2907" s="18" t="s">
        <v>6483</v>
      </c>
      <c r="D2907" s="18" t="s">
        <v>6517</v>
      </c>
      <c r="E2907" s="18" t="s">
        <v>6522</v>
      </c>
    </row>
    <row r="2908" spans="1:5" ht="24" customHeight="1" x14ac:dyDescent="0.25">
      <c r="A2908" s="16">
        <v>2937</v>
      </c>
      <c r="B2908" s="18" t="s">
        <v>6204</v>
      </c>
      <c r="C2908" s="18" t="s">
        <v>6483</v>
      </c>
      <c r="D2908" s="18" t="s">
        <v>6517</v>
      </c>
      <c r="E2908" s="18" t="s">
        <v>6523</v>
      </c>
    </row>
    <row r="2909" spans="1:5" x14ac:dyDescent="0.25">
      <c r="A2909" s="16">
        <v>2938</v>
      </c>
      <c r="B2909" s="18" t="s">
        <v>6204</v>
      </c>
      <c r="C2909" s="18" t="s">
        <v>6483</v>
      </c>
      <c r="D2909" s="18" t="s">
        <v>6517</v>
      </c>
      <c r="E2909" s="18" t="s">
        <v>6524</v>
      </c>
    </row>
    <row r="2910" spans="1:5" x14ac:dyDescent="0.25">
      <c r="A2910" s="16">
        <v>2939</v>
      </c>
      <c r="B2910" s="18" t="s">
        <v>6204</v>
      </c>
      <c r="C2910" s="18" t="s">
        <v>6483</v>
      </c>
      <c r="D2910" s="18" t="s">
        <v>6525</v>
      </c>
      <c r="E2910" s="18" t="s">
        <v>6526</v>
      </c>
    </row>
    <row r="2911" spans="1:5" ht="36" customHeight="1" x14ac:dyDescent="0.25">
      <c r="A2911" s="16">
        <v>2940</v>
      </c>
      <c r="B2911" s="18" t="s">
        <v>6204</v>
      </c>
      <c r="C2911" s="18" t="s">
        <v>6483</v>
      </c>
      <c r="D2911" s="18" t="s">
        <v>6525</v>
      </c>
      <c r="E2911" s="18" t="s">
        <v>6527</v>
      </c>
    </row>
    <row r="2912" spans="1:5" x14ac:dyDescent="0.25">
      <c r="A2912" s="16">
        <v>2941</v>
      </c>
      <c r="B2912" s="18" t="s">
        <v>6204</v>
      </c>
      <c r="C2912" s="18" t="s">
        <v>6483</v>
      </c>
      <c r="D2912" s="18" t="s">
        <v>6525</v>
      </c>
      <c r="E2912" s="18" t="s">
        <v>6528</v>
      </c>
    </row>
    <row r="2913" spans="1:5" x14ac:dyDescent="0.25">
      <c r="A2913" s="16">
        <v>2942</v>
      </c>
      <c r="B2913" s="18" t="s">
        <v>6204</v>
      </c>
      <c r="C2913" s="18" t="s">
        <v>6483</v>
      </c>
      <c r="D2913" s="18" t="s">
        <v>6525</v>
      </c>
      <c r="E2913" s="18" t="s">
        <v>6529</v>
      </c>
    </row>
    <row r="2914" spans="1:5" x14ac:dyDescent="0.25">
      <c r="A2914" s="16">
        <v>2943</v>
      </c>
      <c r="B2914" s="18" t="s">
        <v>6204</v>
      </c>
      <c r="C2914" s="18" t="s">
        <v>6483</v>
      </c>
      <c r="D2914" s="18" t="s">
        <v>6525</v>
      </c>
      <c r="E2914" s="18" t="s">
        <v>6530</v>
      </c>
    </row>
    <row r="2915" spans="1:5" x14ac:dyDescent="0.25">
      <c r="A2915" s="16">
        <v>2944</v>
      </c>
      <c r="B2915" s="18" t="s">
        <v>6204</v>
      </c>
      <c r="C2915" s="18" t="s">
        <v>6483</v>
      </c>
      <c r="D2915" s="18" t="s">
        <v>6525</v>
      </c>
      <c r="E2915" s="18" t="s">
        <v>6257</v>
      </c>
    </row>
    <row r="2916" spans="1:5" x14ac:dyDescent="0.25">
      <c r="A2916" s="16">
        <v>2945</v>
      </c>
      <c r="B2916" s="18" t="s">
        <v>6204</v>
      </c>
      <c r="C2916" s="18" t="s">
        <v>6483</v>
      </c>
      <c r="D2916" s="18" t="s">
        <v>6525</v>
      </c>
      <c r="E2916" s="18" t="s">
        <v>6531</v>
      </c>
    </row>
    <row r="2917" spans="1:5" ht="36" customHeight="1" x14ac:dyDescent="0.25">
      <c r="A2917" s="16">
        <v>2946</v>
      </c>
      <c r="B2917" s="18" t="s">
        <v>6204</v>
      </c>
      <c r="C2917" s="18" t="s">
        <v>6483</v>
      </c>
      <c r="D2917" s="18" t="s">
        <v>6525</v>
      </c>
      <c r="E2917" s="18" t="s">
        <v>6532</v>
      </c>
    </row>
    <row r="2918" spans="1:5" ht="24" customHeight="1" x14ac:dyDescent="0.25">
      <c r="A2918" s="16">
        <v>2947</v>
      </c>
      <c r="B2918" s="18" t="s">
        <v>6204</v>
      </c>
      <c r="C2918" s="18" t="s">
        <v>6483</v>
      </c>
      <c r="D2918" s="18" t="s">
        <v>6525</v>
      </c>
      <c r="E2918" s="18" t="s">
        <v>6533</v>
      </c>
    </row>
    <row r="2919" spans="1:5" ht="24" customHeight="1" x14ac:dyDescent="0.25">
      <c r="A2919" s="16">
        <v>2948</v>
      </c>
      <c r="B2919" s="18" t="s">
        <v>6204</v>
      </c>
      <c r="C2919" s="18" t="s">
        <v>6483</v>
      </c>
      <c r="D2919" s="18" t="s">
        <v>6525</v>
      </c>
      <c r="E2919" s="18" t="s">
        <v>6534</v>
      </c>
    </row>
    <row r="2920" spans="1:5" ht="24" customHeight="1" x14ac:dyDescent="0.25">
      <c r="A2920" s="16">
        <v>2949</v>
      </c>
      <c r="B2920" s="18" t="s">
        <v>6204</v>
      </c>
      <c r="C2920" s="18" t="s">
        <v>6483</v>
      </c>
      <c r="D2920" s="18" t="s">
        <v>6525</v>
      </c>
      <c r="E2920" s="18" t="s">
        <v>6535</v>
      </c>
    </row>
    <row r="2921" spans="1:5" ht="24" customHeight="1" x14ac:dyDescent="0.25">
      <c r="A2921" s="16">
        <v>2950</v>
      </c>
      <c r="B2921" s="18" t="s">
        <v>6204</v>
      </c>
      <c r="C2921" s="18" t="s">
        <v>6483</v>
      </c>
      <c r="D2921" s="18" t="s">
        <v>6525</v>
      </c>
      <c r="E2921" s="18" t="s">
        <v>6536</v>
      </c>
    </row>
    <row r="2922" spans="1:5" x14ac:dyDescent="0.25">
      <c r="A2922" s="16">
        <v>2951</v>
      </c>
      <c r="B2922" s="18" t="s">
        <v>6204</v>
      </c>
      <c r="C2922" s="18" t="s">
        <v>6483</v>
      </c>
      <c r="D2922" s="18" t="s">
        <v>6525</v>
      </c>
      <c r="E2922" s="18" t="s">
        <v>6537</v>
      </c>
    </row>
    <row r="2923" spans="1:5" ht="24" customHeight="1" x14ac:dyDescent="0.25">
      <c r="A2923" s="16">
        <v>2952</v>
      </c>
      <c r="B2923" s="18" t="s">
        <v>6204</v>
      </c>
      <c r="C2923" s="18" t="s">
        <v>6483</v>
      </c>
      <c r="D2923" s="18" t="s">
        <v>6525</v>
      </c>
      <c r="E2923" s="18" t="s">
        <v>6538</v>
      </c>
    </row>
    <row r="2924" spans="1:5" ht="24" customHeight="1" x14ac:dyDescent="0.25">
      <c r="A2924" s="16">
        <v>2953</v>
      </c>
      <c r="B2924" s="18" t="s">
        <v>6204</v>
      </c>
      <c r="C2924" s="18" t="s">
        <v>6483</v>
      </c>
      <c r="D2924" s="18" t="s">
        <v>6525</v>
      </c>
      <c r="E2924" s="18" t="s">
        <v>6539</v>
      </c>
    </row>
    <row r="2925" spans="1:5" x14ac:dyDescent="0.25">
      <c r="A2925" s="16">
        <v>2954</v>
      </c>
      <c r="B2925" s="18" t="s">
        <v>6204</v>
      </c>
      <c r="C2925" s="18" t="s">
        <v>6483</v>
      </c>
      <c r="D2925" s="18" t="s">
        <v>6525</v>
      </c>
      <c r="E2925" s="18" t="s">
        <v>6540</v>
      </c>
    </row>
    <row r="2926" spans="1:5" x14ac:dyDescent="0.25">
      <c r="A2926" s="16">
        <v>2955</v>
      </c>
      <c r="B2926" s="18" t="s">
        <v>6204</v>
      </c>
      <c r="C2926" s="18" t="s">
        <v>6483</v>
      </c>
      <c r="D2926" s="18" t="s">
        <v>6525</v>
      </c>
      <c r="E2926" s="18" t="s">
        <v>6541</v>
      </c>
    </row>
    <row r="2927" spans="1:5" x14ac:dyDescent="0.25">
      <c r="A2927" s="16">
        <v>2956</v>
      </c>
      <c r="B2927" s="18" t="s">
        <v>6204</v>
      </c>
      <c r="C2927" s="18" t="s">
        <v>6483</v>
      </c>
      <c r="D2927" s="18" t="s">
        <v>6525</v>
      </c>
      <c r="E2927" s="18" t="s">
        <v>6542</v>
      </c>
    </row>
    <row r="2928" spans="1:5" ht="36" customHeight="1" x14ac:dyDescent="0.25">
      <c r="A2928" s="16">
        <v>2957</v>
      </c>
      <c r="B2928" s="18" t="s">
        <v>6204</v>
      </c>
      <c r="C2928" s="18" t="s">
        <v>6483</v>
      </c>
      <c r="D2928" s="18" t="s">
        <v>6525</v>
      </c>
      <c r="E2928" s="18" t="s">
        <v>6543</v>
      </c>
    </row>
    <row r="2929" spans="1:5" ht="24" customHeight="1" x14ac:dyDescent="0.25">
      <c r="A2929" s="16">
        <v>2958</v>
      </c>
      <c r="B2929" s="18" t="s">
        <v>6204</v>
      </c>
      <c r="C2929" s="18" t="s">
        <v>6483</v>
      </c>
      <c r="D2929" s="18" t="s">
        <v>6525</v>
      </c>
      <c r="E2929" s="18" t="s">
        <v>6544</v>
      </c>
    </row>
    <row r="2930" spans="1:5" ht="24" customHeight="1" x14ac:dyDescent="0.25">
      <c r="A2930" s="16">
        <v>2959</v>
      </c>
      <c r="B2930" s="18" t="s">
        <v>6204</v>
      </c>
      <c r="C2930" s="18" t="s">
        <v>6483</v>
      </c>
      <c r="D2930" s="18" t="s">
        <v>6525</v>
      </c>
      <c r="E2930" s="18" t="s">
        <v>6545</v>
      </c>
    </row>
    <row r="2931" spans="1:5" ht="24" customHeight="1" x14ac:dyDescent="0.25">
      <c r="A2931" s="16">
        <v>2960</v>
      </c>
      <c r="B2931" s="18" t="s">
        <v>6204</v>
      </c>
      <c r="C2931" s="18" t="s">
        <v>6483</v>
      </c>
      <c r="D2931" s="18" t="s">
        <v>6525</v>
      </c>
      <c r="E2931" s="18" t="s">
        <v>6546</v>
      </c>
    </row>
    <row r="2932" spans="1:5" ht="24" customHeight="1" x14ac:dyDescent="0.25">
      <c r="A2932" s="16">
        <v>2961</v>
      </c>
      <c r="B2932" s="18" t="s">
        <v>6204</v>
      </c>
      <c r="C2932" s="18" t="s">
        <v>6483</v>
      </c>
      <c r="D2932" s="18" t="s">
        <v>6525</v>
      </c>
      <c r="E2932" s="18" t="s">
        <v>6547</v>
      </c>
    </row>
    <row r="2933" spans="1:5" ht="24" customHeight="1" x14ac:dyDescent="0.25">
      <c r="A2933" s="16">
        <v>2962</v>
      </c>
      <c r="B2933" s="18" t="s">
        <v>6204</v>
      </c>
      <c r="C2933" s="18" t="s">
        <v>6483</v>
      </c>
      <c r="D2933" s="18" t="s">
        <v>6525</v>
      </c>
      <c r="E2933" s="18" t="s">
        <v>6548</v>
      </c>
    </row>
    <row r="2934" spans="1:5" ht="24" customHeight="1" x14ac:dyDescent="0.25">
      <c r="A2934" s="16">
        <v>2963</v>
      </c>
      <c r="B2934" s="18" t="s">
        <v>6204</v>
      </c>
      <c r="C2934" s="18" t="s">
        <v>6483</v>
      </c>
      <c r="D2934" s="18" t="s">
        <v>6549</v>
      </c>
      <c r="E2934" s="18" t="s">
        <v>6550</v>
      </c>
    </row>
    <row r="2935" spans="1:5" ht="24" customHeight="1" x14ac:dyDescent="0.25">
      <c r="A2935" s="16">
        <v>2964</v>
      </c>
      <c r="B2935" s="18" t="s">
        <v>6204</v>
      </c>
      <c r="C2935" s="18" t="s">
        <v>6483</v>
      </c>
      <c r="D2935" s="18" t="s">
        <v>6549</v>
      </c>
      <c r="E2935" s="18" t="s">
        <v>6551</v>
      </c>
    </row>
    <row r="2936" spans="1:5" ht="24" customHeight="1" x14ac:dyDescent="0.25">
      <c r="A2936" s="16">
        <v>2965</v>
      </c>
      <c r="B2936" s="18" t="s">
        <v>6204</v>
      </c>
      <c r="C2936" s="18" t="s">
        <v>6483</v>
      </c>
      <c r="D2936" s="18" t="s">
        <v>6549</v>
      </c>
      <c r="E2936" s="18" t="s">
        <v>6552</v>
      </c>
    </row>
    <row r="2937" spans="1:5" ht="24" customHeight="1" x14ac:dyDescent="0.25">
      <c r="A2937" s="16">
        <v>2966</v>
      </c>
      <c r="B2937" s="18" t="s">
        <v>6204</v>
      </c>
      <c r="C2937" s="18" t="s">
        <v>6553</v>
      </c>
      <c r="D2937" s="18" t="s">
        <v>6554</v>
      </c>
      <c r="E2937" s="18" t="s">
        <v>6555</v>
      </c>
    </row>
    <row r="2938" spans="1:5" ht="24" customHeight="1" x14ac:dyDescent="0.25">
      <c r="A2938" s="16">
        <v>2967</v>
      </c>
      <c r="B2938" s="18" t="s">
        <v>6204</v>
      </c>
      <c r="C2938" s="18" t="s">
        <v>6553</v>
      </c>
      <c r="D2938" s="18" t="s">
        <v>6554</v>
      </c>
      <c r="E2938" s="18" t="s">
        <v>6556</v>
      </c>
    </row>
    <row r="2939" spans="1:5" ht="24" customHeight="1" x14ac:dyDescent="0.25">
      <c r="A2939" s="16">
        <v>2968</v>
      </c>
      <c r="B2939" s="18" t="s">
        <v>6204</v>
      </c>
      <c r="C2939" s="18" t="s">
        <v>6553</v>
      </c>
      <c r="D2939" s="18" t="s">
        <v>6554</v>
      </c>
      <c r="E2939" s="18" t="s">
        <v>6557</v>
      </c>
    </row>
    <row r="2940" spans="1:5" ht="24" customHeight="1" x14ac:dyDescent="0.25">
      <c r="A2940" s="16">
        <v>2969</v>
      </c>
      <c r="B2940" s="18" t="s">
        <v>6204</v>
      </c>
      <c r="C2940" s="18" t="s">
        <v>6553</v>
      </c>
      <c r="D2940" s="18" t="s">
        <v>6554</v>
      </c>
      <c r="E2940" s="18" t="s">
        <v>6558</v>
      </c>
    </row>
    <row r="2941" spans="1:5" ht="36" customHeight="1" x14ac:dyDescent="0.25">
      <c r="A2941" s="16">
        <v>2970</v>
      </c>
      <c r="B2941" s="18" t="s">
        <v>6204</v>
      </c>
      <c r="C2941" s="18" t="s">
        <v>6553</v>
      </c>
      <c r="D2941" s="18" t="s">
        <v>6554</v>
      </c>
      <c r="E2941" s="18" t="s">
        <v>6559</v>
      </c>
    </row>
    <row r="2942" spans="1:5" ht="24" customHeight="1" x14ac:dyDescent="0.25">
      <c r="A2942" s="16">
        <v>2971</v>
      </c>
      <c r="B2942" s="18" t="s">
        <v>6204</v>
      </c>
      <c r="C2942" s="18" t="s">
        <v>6553</v>
      </c>
      <c r="D2942" s="18" t="s">
        <v>6554</v>
      </c>
      <c r="E2942" s="18" t="s">
        <v>6560</v>
      </c>
    </row>
    <row r="2943" spans="1:5" ht="24" customHeight="1" x14ac:dyDescent="0.25">
      <c r="A2943" s="16">
        <v>2972</v>
      </c>
      <c r="B2943" s="18" t="s">
        <v>6204</v>
      </c>
      <c r="C2943" s="18" t="s">
        <v>6553</v>
      </c>
      <c r="D2943" s="18" t="s">
        <v>6554</v>
      </c>
      <c r="E2943" s="18" t="s">
        <v>6561</v>
      </c>
    </row>
    <row r="2944" spans="1:5" ht="24" customHeight="1" x14ac:dyDescent="0.25">
      <c r="A2944" s="16">
        <v>2973</v>
      </c>
      <c r="B2944" s="18" t="s">
        <v>6204</v>
      </c>
      <c r="C2944" s="18" t="s">
        <v>6553</v>
      </c>
      <c r="D2944" s="18" t="s">
        <v>6554</v>
      </c>
      <c r="E2944" s="18" t="s">
        <v>6562</v>
      </c>
    </row>
    <row r="2945" spans="1:5" ht="24" customHeight="1" x14ac:dyDescent="0.25">
      <c r="A2945" s="16">
        <v>2974</v>
      </c>
      <c r="B2945" s="18" t="s">
        <v>6204</v>
      </c>
      <c r="C2945" s="18" t="s">
        <v>6553</v>
      </c>
      <c r="D2945" s="18" t="s">
        <v>6563</v>
      </c>
      <c r="E2945" s="18" t="s">
        <v>6564</v>
      </c>
    </row>
    <row r="2946" spans="1:5" ht="24" customHeight="1" x14ac:dyDescent="0.25">
      <c r="A2946" s="16">
        <v>2975</v>
      </c>
      <c r="B2946" s="18" t="s">
        <v>6204</v>
      </c>
      <c r="C2946" s="18" t="s">
        <v>6553</v>
      </c>
      <c r="D2946" s="18" t="s">
        <v>6563</v>
      </c>
      <c r="E2946" s="18" t="s">
        <v>6565</v>
      </c>
    </row>
    <row r="2947" spans="1:5" ht="24" customHeight="1" x14ac:dyDescent="0.25">
      <c r="A2947" s="16">
        <v>2976</v>
      </c>
      <c r="B2947" s="18" t="s">
        <v>6204</v>
      </c>
      <c r="C2947" s="18" t="s">
        <v>6553</v>
      </c>
      <c r="D2947" s="18" t="s">
        <v>6563</v>
      </c>
      <c r="E2947" s="18" t="s">
        <v>6566</v>
      </c>
    </row>
    <row r="2948" spans="1:5" ht="24" customHeight="1" x14ac:dyDescent="0.25">
      <c r="A2948" s="16">
        <v>2977</v>
      </c>
      <c r="B2948" s="18" t="s">
        <v>6204</v>
      </c>
      <c r="C2948" s="18" t="s">
        <v>6553</v>
      </c>
      <c r="D2948" s="18" t="s">
        <v>6563</v>
      </c>
      <c r="E2948" s="18" t="s">
        <v>6567</v>
      </c>
    </row>
    <row r="2949" spans="1:5" ht="24" customHeight="1" x14ac:dyDescent="0.25">
      <c r="A2949" s="16">
        <v>2978</v>
      </c>
      <c r="B2949" s="18" t="s">
        <v>6204</v>
      </c>
      <c r="C2949" s="18" t="s">
        <v>6553</v>
      </c>
      <c r="D2949" s="18" t="s">
        <v>6563</v>
      </c>
      <c r="E2949" s="18" t="s">
        <v>6568</v>
      </c>
    </row>
    <row r="2950" spans="1:5" ht="24" customHeight="1" x14ac:dyDescent="0.25">
      <c r="A2950" s="16">
        <v>2979</v>
      </c>
      <c r="B2950" s="18" t="s">
        <v>6204</v>
      </c>
      <c r="C2950" s="18" t="s">
        <v>6553</v>
      </c>
      <c r="D2950" s="18" t="s">
        <v>6569</v>
      </c>
      <c r="E2950" s="18" t="s">
        <v>6570</v>
      </c>
    </row>
    <row r="2951" spans="1:5" ht="24" customHeight="1" x14ac:dyDescent="0.25">
      <c r="A2951" s="16">
        <v>2980</v>
      </c>
      <c r="B2951" s="18" t="s">
        <v>6204</v>
      </c>
      <c r="C2951" s="18" t="s">
        <v>6553</v>
      </c>
      <c r="D2951" s="18" t="s">
        <v>6569</v>
      </c>
      <c r="E2951" s="18" t="s">
        <v>6571</v>
      </c>
    </row>
    <row r="2952" spans="1:5" ht="24" customHeight="1" x14ac:dyDescent="0.25">
      <c r="A2952" s="16">
        <v>2981</v>
      </c>
      <c r="B2952" s="18" t="s">
        <v>6204</v>
      </c>
      <c r="C2952" s="18" t="s">
        <v>6553</v>
      </c>
      <c r="D2952" s="18" t="s">
        <v>6569</v>
      </c>
      <c r="E2952" s="18" t="s">
        <v>6572</v>
      </c>
    </row>
    <row r="2953" spans="1:5" ht="24" customHeight="1" x14ac:dyDescent="0.25">
      <c r="A2953" s="16">
        <v>2982</v>
      </c>
      <c r="B2953" s="18" t="s">
        <v>6204</v>
      </c>
      <c r="C2953" s="18" t="s">
        <v>6553</v>
      </c>
      <c r="D2953" s="18" t="s">
        <v>6569</v>
      </c>
      <c r="E2953" s="18" t="s">
        <v>6573</v>
      </c>
    </row>
    <row r="2954" spans="1:5" x14ac:dyDescent="0.25">
      <c r="A2954" s="16">
        <v>2983</v>
      </c>
      <c r="B2954" s="18" t="s">
        <v>6204</v>
      </c>
      <c r="C2954" s="18" t="s">
        <v>6553</v>
      </c>
      <c r="D2954" s="18" t="s">
        <v>6574</v>
      </c>
      <c r="E2954" s="18" t="s">
        <v>6575</v>
      </c>
    </row>
    <row r="2955" spans="1:5" x14ac:dyDescent="0.25">
      <c r="A2955" s="16">
        <v>2984</v>
      </c>
      <c r="B2955" s="18" t="s">
        <v>6204</v>
      </c>
      <c r="C2955" s="18" t="s">
        <v>6553</v>
      </c>
      <c r="D2955" s="18" t="s">
        <v>6574</v>
      </c>
      <c r="E2955" s="18" t="s">
        <v>6576</v>
      </c>
    </row>
    <row r="2956" spans="1:5" x14ac:dyDescent="0.25">
      <c r="A2956" s="16">
        <v>2985</v>
      </c>
      <c r="B2956" s="18" t="s">
        <v>6204</v>
      </c>
      <c r="C2956" s="18" t="s">
        <v>6553</v>
      </c>
      <c r="D2956" s="18" t="s">
        <v>6574</v>
      </c>
      <c r="E2956" s="18" t="s">
        <v>6577</v>
      </c>
    </row>
    <row r="2957" spans="1:5" ht="36" customHeight="1" x14ac:dyDescent="0.25">
      <c r="A2957" s="16">
        <v>2986</v>
      </c>
      <c r="B2957" s="18" t="s">
        <v>6204</v>
      </c>
      <c r="C2957" s="18" t="s">
        <v>6553</v>
      </c>
      <c r="D2957" s="18" t="s">
        <v>6574</v>
      </c>
      <c r="E2957" s="18" t="s">
        <v>6578</v>
      </c>
    </row>
    <row r="2958" spans="1:5" ht="24" customHeight="1" x14ac:dyDescent="0.25">
      <c r="A2958" s="16">
        <v>2987</v>
      </c>
      <c r="B2958" s="18" t="s">
        <v>6204</v>
      </c>
      <c r="C2958" s="18" t="s">
        <v>6553</v>
      </c>
      <c r="D2958" s="18" t="s">
        <v>6579</v>
      </c>
      <c r="E2958" s="18" t="s">
        <v>6580</v>
      </c>
    </row>
    <row r="2959" spans="1:5" x14ac:dyDescent="0.25">
      <c r="A2959" s="16">
        <v>2988</v>
      </c>
      <c r="B2959" s="18" t="s">
        <v>6204</v>
      </c>
      <c r="C2959" s="18" t="s">
        <v>6553</v>
      </c>
      <c r="D2959" s="18" t="s">
        <v>6579</v>
      </c>
      <c r="E2959" s="18" t="s">
        <v>6581</v>
      </c>
    </row>
    <row r="2960" spans="1:5" x14ac:dyDescent="0.25">
      <c r="A2960" s="16">
        <v>2989</v>
      </c>
      <c r="B2960" s="18" t="s">
        <v>6204</v>
      </c>
      <c r="C2960" s="18" t="s">
        <v>6553</v>
      </c>
      <c r="D2960" s="18" t="s">
        <v>6579</v>
      </c>
      <c r="E2960" s="18" t="s">
        <v>6582</v>
      </c>
    </row>
    <row r="2961" spans="1:5" ht="24" customHeight="1" x14ac:dyDescent="0.25">
      <c r="A2961" s="16">
        <v>2990</v>
      </c>
      <c r="B2961" s="18" t="s">
        <v>6204</v>
      </c>
      <c r="C2961" s="18" t="s">
        <v>6553</v>
      </c>
      <c r="D2961" s="18" t="s">
        <v>6579</v>
      </c>
      <c r="E2961" s="18" t="s">
        <v>6583</v>
      </c>
    </row>
    <row r="2962" spans="1:5" x14ac:dyDescent="0.25">
      <c r="A2962" s="16">
        <v>2991</v>
      </c>
      <c r="B2962" s="18" t="s">
        <v>6204</v>
      </c>
      <c r="C2962" s="18" t="s">
        <v>6553</v>
      </c>
      <c r="D2962" s="18" t="s">
        <v>6579</v>
      </c>
      <c r="E2962" s="18" t="s">
        <v>6584</v>
      </c>
    </row>
    <row r="2963" spans="1:5" x14ac:dyDescent="0.25">
      <c r="A2963" s="16">
        <v>2992</v>
      </c>
      <c r="B2963" s="18" t="s">
        <v>6204</v>
      </c>
      <c r="C2963" s="18" t="s">
        <v>6553</v>
      </c>
      <c r="D2963" s="18" t="s">
        <v>6585</v>
      </c>
      <c r="E2963" s="18" t="s">
        <v>6586</v>
      </c>
    </row>
    <row r="2964" spans="1:5" ht="24" customHeight="1" x14ac:dyDescent="0.25">
      <c r="A2964" s="16">
        <v>2993</v>
      </c>
      <c r="B2964" s="18" t="s">
        <v>6204</v>
      </c>
      <c r="C2964" s="18" t="s">
        <v>6553</v>
      </c>
      <c r="D2964" s="18" t="s">
        <v>6585</v>
      </c>
      <c r="E2964" s="18" t="s">
        <v>6587</v>
      </c>
    </row>
    <row r="2965" spans="1:5" ht="36" customHeight="1" x14ac:dyDescent="0.25">
      <c r="A2965" s="16">
        <v>2994</v>
      </c>
      <c r="B2965" s="18" t="s">
        <v>6204</v>
      </c>
      <c r="C2965" s="18" t="s">
        <v>6553</v>
      </c>
      <c r="D2965" s="18" t="s">
        <v>6585</v>
      </c>
      <c r="E2965" s="18" t="s">
        <v>6588</v>
      </c>
    </row>
    <row r="2966" spans="1:5" ht="24" customHeight="1" x14ac:dyDescent="0.25">
      <c r="A2966" s="16">
        <v>2995</v>
      </c>
      <c r="B2966" s="18" t="s">
        <v>6204</v>
      </c>
      <c r="C2966" s="18" t="s">
        <v>6553</v>
      </c>
      <c r="D2966" s="18" t="s">
        <v>6585</v>
      </c>
      <c r="E2966" s="18" t="s">
        <v>6589</v>
      </c>
    </row>
    <row r="2967" spans="1:5" x14ac:dyDescent="0.25">
      <c r="A2967" s="16">
        <v>2996</v>
      </c>
      <c r="B2967" s="18" t="s">
        <v>6204</v>
      </c>
      <c r="C2967" s="18" t="s">
        <v>6553</v>
      </c>
      <c r="D2967" s="18" t="s">
        <v>6585</v>
      </c>
      <c r="E2967" s="18" t="s">
        <v>6590</v>
      </c>
    </row>
    <row r="2968" spans="1:5" ht="24" customHeight="1" x14ac:dyDescent="0.25">
      <c r="A2968" s="16">
        <v>2997</v>
      </c>
      <c r="B2968" s="18" t="s">
        <v>6204</v>
      </c>
      <c r="C2968" s="18" t="s">
        <v>6553</v>
      </c>
      <c r="D2968" s="18" t="s">
        <v>6585</v>
      </c>
      <c r="E2968" s="18" t="s">
        <v>6591</v>
      </c>
    </row>
    <row r="2969" spans="1:5" ht="36" customHeight="1" x14ac:dyDescent="0.25">
      <c r="A2969" s="16">
        <v>2998</v>
      </c>
      <c r="B2969" s="18" t="s">
        <v>6204</v>
      </c>
      <c r="C2969" s="18" t="s">
        <v>6553</v>
      </c>
      <c r="D2969" s="18" t="s">
        <v>6585</v>
      </c>
      <c r="E2969" s="18" t="s">
        <v>6592</v>
      </c>
    </row>
    <row r="2970" spans="1:5" ht="36" customHeight="1" x14ac:dyDescent="0.25">
      <c r="A2970" s="16">
        <v>2999</v>
      </c>
      <c r="B2970" s="18" t="s">
        <v>6204</v>
      </c>
      <c r="C2970" s="18" t="s">
        <v>6553</v>
      </c>
      <c r="D2970" s="18" t="s">
        <v>6585</v>
      </c>
      <c r="E2970" s="18" t="s">
        <v>6593</v>
      </c>
    </row>
    <row r="2971" spans="1:5" x14ac:dyDescent="0.25">
      <c r="A2971" s="16">
        <v>3000</v>
      </c>
      <c r="B2971" s="18" t="s">
        <v>6204</v>
      </c>
      <c r="C2971" s="18" t="s">
        <v>6553</v>
      </c>
      <c r="D2971" s="18" t="s">
        <v>6585</v>
      </c>
      <c r="E2971" s="18" t="s">
        <v>6594</v>
      </c>
    </row>
    <row r="2972" spans="1:5" x14ac:dyDescent="0.25">
      <c r="A2972" s="16">
        <v>3001</v>
      </c>
      <c r="B2972" s="18" t="s">
        <v>6204</v>
      </c>
      <c r="C2972" s="18" t="s">
        <v>6553</v>
      </c>
      <c r="D2972" s="18" t="s">
        <v>6553</v>
      </c>
      <c r="E2972" s="18" t="s">
        <v>6595</v>
      </c>
    </row>
    <row r="2973" spans="1:5" x14ac:dyDescent="0.25">
      <c r="A2973" s="16">
        <v>3002</v>
      </c>
      <c r="B2973" s="18" t="s">
        <v>6204</v>
      </c>
      <c r="C2973" s="18" t="s">
        <v>6553</v>
      </c>
      <c r="D2973" s="18" t="s">
        <v>6553</v>
      </c>
      <c r="E2973" s="18" t="s">
        <v>6596</v>
      </c>
    </row>
    <row r="2974" spans="1:5" x14ac:dyDescent="0.25">
      <c r="A2974" s="16">
        <v>3003</v>
      </c>
      <c r="B2974" s="18" t="s">
        <v>6204</v>
      </c>
      <c r="C2974" s="18" t="s">
        <v>6553</v>
      </c>
      <c r="D2974" s="18" t="s">
        <v>6553</v>
      </c>
      <c r="E2974" s="18" t="s">
        <v>6597</v>
      </c>
    </row>
    <row r="2975" spans="1:5" x14ac:dyDescent="0.25">
      <c r="A2975" s="16">
        <v>3004</v>
      </c>
      <c r="B2975" s="18" t="s">
        <v>6204</v>
      </c>
      <c r="C2975" s="18" t="s">
        <v>6553</v>
      </c>
      <c r="D2975" s="18" t="s">
        <v>6553</v>
      </c>
      <c r="E2975" s="18" t="s">
        <v>6598</v>
      </c>
    </row>
    <row r="2976" spans="1:5" x14ac:dyDescent="0.25">
      <c r="A2976" s="16">
        <v>3005</v>
      </c>
      <c r="B2976" s="18" t="s">
        <v>6204</v>
      </c>
      <c r="C2976" s="18" t="s">
        <v>6553</v>
      </c>
      <c r="D2976" s="18" t="s">
        <v>6553</v>
      </c>
      <c r="E2976" s="18" t="s">
        <v>6599</v>
      </c>
    </row>
    <row r="2977" spans="1:5" x14ac:dyDescent="0.25">
      <c r="A2977" s="16">
        <v>3006</v>
      </c>
      <c r="B2977" s="18" t="s">
        <v>6204</v>
      </c>
      <c r="C2977" s="18" t="s">
        <v>6553</v>
      </c>
      <c r="D2977" s="18" t="s">
        <v>6553</v>
      </c>
      <c r="E2977" s="18" t="s">
        <v>6600</v>
      </c>
    </row>
    <row r="2978" spans="1:5" x14ac:dyDescent="0.25">
      <c r="A2978" s="16">
        <v>3007</v>
      </c>
      <c r="B2978" s="18" t="s">
        <v>6204</v>
      </c>
      <c r="C2978" s="18" t="s">
        <v>6553</v>
      </c>
      <c r="D2978" s="18" t="s">
        <v>6601</v>
      </c>
      <c r="E2978" s="18" t="s">
        <v>6602</v>
      </c>
    </row>
    <row r="2979" spans="1:5" x14ac:dyDescent="0.25">
      <c r="A2979" s="16">
        <v>3008</v>
      </c>
      <c r="B2979" s="18" t="s">
        <v>6204</v>
      </c>
      <c r="C2979" s="18" t="s">
        <v>6553</v>
      </c>
      <c r="D2979" s="18" t="s">
        <v>6601</v>
      </c>
      <c r="E2979" s="18" t="s">
        <v>6603</v>
      </c>
    </row>
    <row r="2980" spans="1:5" x14ac:dyDescent="0.25">
      <c r="A2980" s="16">
        <v>3009</v>
      </c>
      <c r="B2980" s="18" t="s">
        <v>6204</v>
      </c>
      <c r="C2980" s="18" t="s">
        <v>6553</v>
      </c>
      <c r="D2980" s="18" t="s">
        <v>6601</v>
      </c>
      <c r="E2980" s="18" t="s">
        <v>6604</v>
      </c>
    </row>
    <row r="2981" spans="1:5" x14ac:dyDescent="0.25">
      <c r="A2981" s="16">
        <v>3010</v>
      </c>
      <c r="B2981" s="18" t="s">
        <v>6204</v>
      </c>
      <c r="C2981" s="18" t="s">
        <v>6553</v>
      </c>
      <c r="D2981" s="18" t="s">
        <v>6601</v>
      </c>
      <c r="E2981" s="18" t="s">
        <v>6605</v>
      </c>
    </row>
    <row r="2982" spans="1:5" ht="24" customHeight="1" x14ac:dyDescent="0.25">
      <c r="A2982" s="16">
        <v>3011</v>
      </c>
      <c r="B2982" s="18" t="s">
        <v>6204</v>
      </c>
      <c r="C2982" s="18" t="s">
        <v>6553</v>
      </c>
      <c r="D2982" s="18" t="s">
        <v>6601</v>
      </c>
      <c r="E2982" s="18" t="s">
        <v>6606</v>
      </c>
    </row>
    <row r="2983" spans="1:5" x14ac:dyDescent="0.25">
      <c r="A2983" s="16">
        <v>3012</v>
      </c>
      <c r="B2983" s="18" t="s">
        <v>6204</v>
      </c>
      <c r="C2983" s="18" t="s">
        <v>6553</v>
      </c>
      <c r="D2983" s="18" t="s">
        <v>6601</v>
      </c>
      <c r="E2983" s="18" t="s">
        <v>6607</v>
      </c>
    </row>
    <row r="2984" spans="1:5" ht="24" customHeight="1" x14ac:dyDescent="0.25">
      <c r="A2984" s="16">
        <v>3013</v>
      </c>
      <c r="B2984" s="18" t="s">
        <v>6204</v>
      </c>
      <c r="C2984" s="18" t="s">
        <v>6553</v>
      </c>
      <c r="D2984" s="18" t="s">
        <v>6601</v>
      </c>
      <c r="E2984" s="18" t="s">
        <v>6515</v>
      </c>
    </row>
    <row r="2985" spans="1:5" x14ac:dyDescent="0.25">
      <c r="A2985" s="16">
        <v>3014</v>
      </c>
      <c r="B2985" s="18" t="s">
        <v>6204</v>
      </c>
      <c r="C2985" s="18" t="s">
        <v>6553</v>
      </c>
      <c r="D2985" s="18" t="s">
        <v>6601</v>
      </c>
      <c r="E2985" s="18" t="s">
        <v>6608</v>
      </c>
    </row>
    <row r="2986" spans="1:5" x14ac:dyDescent="0.25">
      <c r="A2986" s="16">
        <v>3015</v>
      </c>
      <c r="B2986" s="18" t="s">
        <v>6204</v>
      </c>
      <c r="C2986" s="18" t="s">
        <v>6553</v>
      </c>
      <c r="D2986" s="18" t="s">
        <v>6601</v>
      </c>
      <c r="E2986" s="18" t="s">
        <v>6609</v>
      </c>
    </row>
    <row r="2987" spans="1:5" x14ac:dyDescent="0.25">
      <c r="A2987" s="16">
        <v>3016</v>
      </c>
      <c r="B2987" s="18" t="s">
        <v>6204</v>
      </c>
      <c r="C2987" s="18" t="s">
        <v>6553</v>
      </c>
      <c r="D2987" s="18" t="s">
        <v>6610</v>
      </c>
      <c r="E2987" s="18" t="s">
        <v>6611</v>
      </c>
    </row>
    <row r="2988" spans="1:5" x14ac:dyDescent="0.25">
      <c r="A2988" s="16">
        <v>3017</v>
      </c>
      <c r="B2988" s="18" t="s">
        <v>6204</v>
      </c>
      <c r="C2988" s="18" t="s">
        <v>6553</v>
      </c>
      <c r="D2988" s="18" t="s">
        <v>6610</v>
      </c>
      <c r="E2988" s="18" t="s">
        <v>6612</v>
      </c>
    </row>
    <row r="2989" spans="1:5" x14ac:dyDescent="0.25">
      <c r="A2989" s="16">
        <v>3018</v>
      </c>
      <c r="B2989" s="18" t="s">
        <v>6204</v>
      </c>
      <c r="C2989" s="18" t="s">
        <v>6553</v>
      </c>
      <c r="D2989" s="18" t="s">
        <v>6610</v>
      </c>
      <c r="E2989" s="18" t="s">
        <v>6613</v>
      </c>
    </row>
    <row r="2990" spans="1:5" x14ac:dyDescent="0.25">
      <c r="A2990" s="16">
        <v>3019</v>
      </c>
      <c r="B2990" s="18" t="s">
        <v>6204</v>
      </c>
      <c r="C2990" s="18" t="s">
        <v>6553</v>
      </c>
      <c r="D2990" s="18" t="s">
        <v>6610</v>
      </c>
      <c r="E2990" s="18" t="s">
        <v>6614</v>
      </c>
    </row>
    <row r="2991" spans="1:5" x14ac:dyDescent="0.25">
      <c r="A2991" s="16">
        <v>3020</v>
      </c>
      <c r="B2991" s="18" t="s">
        <v>6204</v>
      </c>
      <c r="C2991" s="18" t="s">
        <v>6553</v>
      </c>
      <c r="D2991" s="18" t="s">
        <v>6610</v>
      </c>
      <c r="E2991" s="18" t="s">
        <v>6615</v>
      </c>
    </row>
    <row r="2992" spans="1:5" ht="24" customHeight="1" x14ac:dyDescent="0.25">
      <c r="A2992" s="16">
        <v>3021</v>
      </c>
      <c r="B2992" s="18" t="s">
        <v>6204</v>
      </c>
      <c r="C2992" s="18" t="s">
        <v>6553</v>
      </c>
      <c r="D2992" s="18" t="s">
        <v>6616</v>
      </c>
      <c r="E2992" s="18" t="s">
        <v>6617</v>
      </c>
    </row>
    <row r="2993" spans="1:5" x14ac:dyDescent="0.25">
      <c r="A2993" s="16">
        <v>3022</v>
      </c>
      <c r="B2993" s="18" t="s">
        <v>6204</v>
      </c>
      <c r="C2993" s="18" t="s">
        <v>6553</v>
      </c>
      <c r="D2993" s="18" t="s">
        <v>6616</v>
      </c>
      <c r="E2993" s="18" t="s">
        <v>6618</v>
      </c>
    </row>
    <row r="2994" spans="1:5" x14ac:dyDescent="0.25">
      <c r="A2994" s="16">
        <v>3023</v>
      </c>
      <c r="B2994" s="18" t="s">
        <v>6204</v>
      </c>
      <c r="C2994" s="18" t="s">
        <v>6553</v>
      </c>
      <c r="D2994" s="18" t="s">
        <v>6616</v>
      </c>
      <c r="E2994" s="18" t="s">
        <v>6619</v>
      </c>
    </row>
    <row r="2995" spans="1:5" x14ac:dyDescent="0.25">
      <c r="A2995" s="16">
        <v>3024</v>
      </c>
      <c r="B2995" s="18" t="s">
        <v>6204</v>
      </c>
      <c r="C2995" s="18" t="s">
        <v>6553</v>
      </c>
      <c r="D2995" s="18" t="s">
        <v>6616</v>
      </c>
      <c r="E2995" s="18" t="s">
        <v>6620</v>
      </c>
    </row>
    <row r="2996" spans="1:5" ht="24" customHeight="1" x14ac:dyDescent="0.25">
      <c r="A2996" s="16">
        <v>3025</v>
      </c>
      <c r="B2996" s="18" t="s">
        <v>6204</v>
      </c>
      <c r="C2996" s="18" t="s">
        <v>6553</v>
      </c>
      <c r="D2996" s="18" t="s">
        <v>6616</v>
      </c>
      <c r="E2996" s="18" t="s">
        <v>6621</v>
      </c>
    </row>
    <row r="2997" spans="1:5" x14ac:dyDescent="0.25">
      <c r="A2997" s="16">
        <v>3026</v>
      </c>
      <c r="B2997" s="18" t="s">
        <v>6204</v>
      </c>
      <c r="C2997" s="18" t="s">
        <v>6553</v>
      </c>
      <c r="D2997" s="18" t="s">
        <v>6616</v>
      </c>
      <c r="E2997" s="18" t="s">
        <v>6622</v>
      </c>
    </row>
    <row r="2998" spans="1:5" x14ac:dyDescent="0.25">
      <c r="A2998" s="16">
        <v>3027</v>
      </c>
      <c r="B2998" s="18" t="s">
        <v>6204</v>
      </c>
      <c r="C2998" s="18" t="s">
        <v>6553</v>
      </c>
      <c r="D2998" s="18" t="s">
        <v>6623</v>
      </c>
      <c r="E2998" s="18" t="s">
        <v>6624</v>
      </c>
    </row>
    <row r="2999" spans="1:5" x14ac:dyDescent="0.25">
      <c r="A2999" s="16">
        <v>3028</v>
      </c>
      <c r="B2999" s="18" t="s">
        <v>6204</v>
      </c>
      <c r="C2999" s="18" t="s">
        <v>6553</v>
      </c>
      <c r="D2999" s="18" t="s">
        <v>6623</v>
      </c>
      <c r="E2999" s="18" t="s">
        <v>6625</v>
      </c>
    </row>
    <row r="3000" spans="1:5" x14ac:dyDescent="0.25">
      <c r="A3000" s="16">
        <v>3029</v>
      </c>
      <c r="B3000" s="18" t="s">
        <v>6204</v>
      </c>
      <c r="C3000" s="18" t="s">
        <v>6553</v>
      </c>
      <c r="D3000" s="18" t="s">
        <v>6623</v>
      </c>
      <c r="E3000" s="18" t="s">
        <v>6626</v>
      </c>
    </row>
    <row r="3001" spans="1:5" x14ac:dyDescent="0.25">
      <c r="A3001" s="16">
        <v>3030</v>
      </c>
      <c r="B3001" s="18" t="s">
        <v>6204</v>
      </c>
      <c r="C3001" s="18" t="s">
        <v>6553</v>
      </c>
      <c r="D3001" s="18" t="s">
        <v>6623</v>
      </c>
      <c r="E3001" s="18" t="s">
        <v>6627</v>
      </c>
    </row>
    <row r="3002" spans="1:5" x14ac:dyDescent="0.25">
      <c r="A3002" s="16">
        <v>3031</v>
      </c>
      <c r="B3002" s="18" t="s">
        <v>6204</v>
      </c>
      <c r="C3002" s="18" t="s">
        <v>6553</v>
      </c>
      <c r="D3002" s="18" t="s">
        <v>6623</v>
      </c>
      <c r="E3002" s="18" t="s">
        <v>6628</v>
      </c>
    </row>
    <row r="3003" spans="1:5" x14ac:dyDescent="0.25">
      <c r="A3003" s="16">
        <v>3032</v>
      </c>
      <c r="B3003" s="18" t="s">
        <v>6204</v>
      </c>
      <c r="C3003" s="18" t="s">
        <v>6553</v>
      </c>
      <c r="D3003" s="18" t="s">
        <v>6623</v>
      </c>
      <c r="E3003" s="18" t="s">
        <v>6629</v>
      </c>
    </row>
    <row r="3004" spans="1:5" ht="24" customHeight="1" x14ac:dyDescent="0.25">
      <c r="A3004" s="16">
        <v>3033</v>
      </c>
      <c r="B3004" s="18" t="s">
        <v>6204</v>
      </c>
      <c r="C3004" s="18" t="s">
        <v>6630</v>
      </c>
      <c r="D3004" s="18" t="s">
        <v>6631</v>
      </c>
      <c r="E3004" s="18" t="s">
        <v>6632</v>
      </c>
    </row>
    <row r="3005" spans="1:5" ht="24" customHeight="1" x14ac:dyDescent="0.25">
      <c r="A3005" s="16">
        <v>3034</v>
      </c>
      <c r="B3005" s="18" t="s">
        <v>6204</v>
      </c>
      <c r="C3005" s="18" t="s">
        <v>6630</v>
      </c>
      <c r="D3005" s="18" t="s">
        <v>6631</v>
      </c>
      <c r="E3005" s="18" t="s">
        <v>6633</v>
      </c>
    </row>
    <row r="3006" spans="1:5" x14ac:dyDescent="0.25">
      <c r="A3006" s="16">
        <v>3035</v>
      </c>
      <c r="B3006" s="18" t="s">
        <v>6204</v>
      </c>
      <c r="C3006" s="18" t="s">
        <v>6630</v>
      </c>
      <c r="D3006" s="18" t="s">
        <v>6631</v>
      </c>
      <c r="E3006" s="18" t="s">
        <v>6634</v>
      </c>
    </row>
    <row r="3007" spans="1:5" x14ac:dyDescent="0.25">
      <c r="A3007" s="16">
        <v>3036</v>
      </c>
      <c r="B3007" s="18" t="s">
        <v>6204</v>
      </c>
      <c r="C3007" s="18" t="s">
        <v>6630</v>
      </c>
      <c r="D3007" s="18" t="s">
        <v>6631</v>
      </c>
      <c r="E3007" s="18" t="s">
        <v>6635</v>
      </c>
    </row>
    <row r="3008" spans="1:5" ht="24" customHeight="1" x14ac:dyDescent="0.25">
      <c r="A3008" s="16">
        <v>3037</v>
      </c>
      <c r="B3008" s="18" t="s">
        <v>6204</v>
      </c>
      <c r="C3008" s="18" t="s">
        <v>6630</v>
      </c>
      <c r="D3008" s="18" t="s">
        <v>6631</v>
      </c>
      <c r="E3008" s="18" t="s">
        <v>6636</v>
      </c>
    </row>
    <row r="3009" spans="1:5" x14ac:dyDescent="0.25">
      <c r="A3009" s="16">
        <v>3038</v>
      </c>
      <c r="B3009" s="18" t="s">
        <v>6204</v>
      </c>
      <c r="C3009" s="18" t="s">
        <v>6630</v>
      </c>
      <c r="D3009" s="18" t="s">
        <v>6631</v>
      </c>
      <c r="E3009" s="18" t="s">
        <v>6257</v>
      </c>
    </row>
    <row r="3010" spans="1:5" x14ac:dyDescent="0.25">
      <c r="A3010" s="16">
        <v>3039</v>
      </c>
      <c r="B3010" s="18" t="s">
        <v>6204</v>
      </c>
      <c r="C3010" s="18" t="s">
        <v>6630</v>
      </c>
      <c r="D3010" s="18" t="s">
        <v>6631</v>
      </c>
      <c r="E3010" s="18" t="s">
        <v>6637</v>
      </c>
    </row>
    <row r="3011" spans="1:5" x14ac:dyDescent="0.25">
      <c r="A3011" s="16">
        <v>3040</v>
      </c>
      <c r="B3011" s="18" t="s">
        <v>6204</v>
      </c>
      <c r="C3011" s="18" t="s">
        <v>6630</v>
      </c>
      <c r="D3011" s="18" t="s">
        <v>6631</v>
      </c>
      <c r="E3011" s="18" t="s">
        <v>6638</v>
      </c>
    </row>
    <row r="3012" spans="1:5" ht="36" customHeight="1" x14ac:dyDescent="0.25">
      <c r="A3012" s="16">
        <v>3041</v>
      </c>
      <c r="B3012" s="18" t="s">
        <v>6204</v>
      </c>
      <c r="C3012" s="18" t="s">
        <v>6630</v>
      </c>
      <c r="D3012" s="18" t="s">
        <v>6631</v>
      </c>
      <c r="E3012" s="18" t="s">
        <v>6639</v>
      </c>
    </row>
    <row r="3013" spans="1:5" x14ac:dyDescent="0.25">
      <c r="A3013" s="16">
        <v>3042</v>
      </c>
      <c r="B3013" s="18" t="s">
        <v>6204</v>
      </c>
      <c r="C3013" s="18" t="s">
        <v>6630</v>
      </c>
      <c r="D3013" s="18" t="s">
        <v>6631</v>
      </c>
      <c r="E3013" s="18" t="s">
        <v>6640</v>
      </c>
    </row>
    <row r="3014" spans="1:5" ht="24" customHeight="1" x14ac:dyDescent="0.25">
      <c r="A3014" s="16">
        <v>3043</v>
      </c>
      <c r="B3014" s="18" t="s">
        <v>6204</v>
      </c>
      <c r="C3014" s="18" t="s">
        <v>6630</v>
      </c>
      <c r="D3014" s="18" t="s">
        <v>6631</v>
      </c>
      <c r="E3014" s="18" t="s">
        <v>6641</v>
      </c>
    </row>
    <row r="3015" spans="1:5" ht="24" customHeight="1" x14ac:dyDescent="0.25">
      <c r="A3015" s="16">
        <v>3044</v>
      </c>
      <c r="B3015" s="18" t="s">
        <v>6204</v>
      </c>
      <c r="C3015" s="18" t="s">
        <v>6630</v>
      </c>
      <c r="D3015" s="18" t="s">
        <v>6631</v>
      </c>
      <c r="E3015" s="18" t="s">
        <v>6642</v>
      </c>
    </row>
    <row r="3016" spans="1:5" ht="36" customHeight="1" x14ac:dyDescent="0.25">
      <c r="A3016" s="16">
        <v>3045</v>
      </c>
      <c r="B3016" s="18" t="s">
        <v>6204</v>
      </c>
      <c r="C3016" s="18" t="s">
        <v>6630</v>
      </c>
      <c r="D3016" s="18" t="s">
        <v>6643</v>
      </c>
      <c r="E3016" s="18" t="s">
        <v>6644</v>
      </c>
    </row>
    <row r="3017" spans="1:5" ht="24" customHeight="1" x14ac:dyDescent="0.25">
      <c r="A3017" s="16">
        <v>3046</v>
      </c>
      <c r="B3017" s="18" t="s">
        <v>6204</v>
      </c>
      <c r="C3017" s="18" t="s">
        <v>6630</v>
      </c>
      <c r="D3017" s="18" t="s">
        <v>6643</v>
      </c>
      <c r="E3017" s="18" t="s">
        <v>6645</v>
      </c>
    </row>
    <row r="3018" spans="1:5" ht="36" customHeight="1" x14ac:dyDescent="0.25">
      <c r="A3018" s="16">
        <v>3047</v>
      </c>
      <c r="B3018" s="18" t="s">
        <v>6204</v>
      </c>
      <c r="C3018" s="18" t="s">
        <v>6630</v>
      </c>
      <c r="D3018" s="18" t="s">
        <v>6643</v>
      </c>
      <c r="E3018" s="18" t="s">
        <v>6646</v>
      </c>
    </row>
    <row r="3019" spans="1:5" ht="24" customHeight="1" x14ac:dyDescent="0.25">
      <c r="A3019" s="16">
        <v>3048</v>
      </c>
      <c r="B3019" s="18" t="s">
        <v>6204</v>
      </c>
      <c r="C3019" s="18" t="s">
        <v>6630</v>
      </c>
      <c r="D3019" s="18" t="s">
        <v>6643</v>
      </c>
      <c r="E3019" s="18" t="s">
        <v>6647</v>
      </c>
    </row>
    <row r="3020" spans="1:5" ht="24" customHeight="1" x14ac:dyDescent="0.25">
      <c r="A3020" s="16">
        <v>3049</v>
      </c>
      <c r="B3020" s="18" t="s">
        <v>6204</v>
      </c>
      <c r="C3020" s="18" t="s">
        <v>6630</v>
      </c>
      <c r="D3020" s="18" t="s">
        <v>6648</v>
      </c>
      <c r="E3020" s="18" t="s">
        <v>6649</v>
      </c>
    </row>
    <row r="3021" spans="1:5" x14ac:dyDescent="0.25">
      <c r="A3021" s="16">
        <v>3050</v>
      </c>
      <c r="B3021" s="18" t="s">
        <v>6204</v>
      </c>
      <c r="C3021" s="18" t="s">
        <v>6630</v>
      </c>
      <c r="D3021" s="18" t="s">
        <v>6648</v>
      </c>
      <c r="E3021" s="18" t="s">
        <v>6650</v>
      </c>
    </row>
    <row r="3022" spans="1:5" x14ac:dyDescent="0.25">
      <c r="A3022" s="16">
        <v>3051</v>
      </c>
      <c r="B3022" s="18" t="s">
        <v>6204</v>
      </c>
      <c r="C3022" s="18" t="s">
        <v>6630</v>
      </c>
      <c r="D3022" s="18" t="s">
        <v>6648</v>
      </c>
      <c r="E3022" s="18" t="s">
        <v>6651</v>
      </c>
    </row>
    <row r="3023" spans="1:5" ht="24" customHeight="1" x14ac:dyDescent="0.25">
      <c r="A3023" s="16">
        <v>3052</v>
      </c>
      <c r="B3023" s="18" t="s">
        <v>6204</v>
      </c>
      <c r="C3023" s="18" t="s">
        <v>6630</v>
      </c>
      <c r="D3023" s="18" t="s">
        <v>6648</v>
      </c>
      <c r="E3023" s="18" t="s">
        <v>6652</v>
      </c>
    </row>
    <row r="3024" spans="1:5" ht="36" customHeight="1" x14ac:dyDescent="0.25">
      <c r="A3024" s="16">
        <v>3053</v>
      </c>
      <c r="B3024" s="18" t="s">
        <v>6204</v>
      </c>
      <c r="C3024" s="18" t="s">
        <v>6630</v>
      </c>
      <c r="D3024" s="18" t="s">
        <v>6648</v>
      </c>
      <c r="E3024" s="18" t="s">
        <v>6653</v>
      </c>
    </row>
    <row r="3025" spans="1:5" x14ac:dyDescent="0.25">
      <c r="A3025" s="16">
        <v>3054</v>
      </c>
      <c r="B3025" s="18" t="s">
        <v>6204</v>
      </c>
      <c r="C3025" s="18" t="s">
        <v>6630</v>
      </c>
      <c r="D3025" s="18" t="s">
        <v>6648</v>
      </c>
      <c r="E3025" s="18" t="s">
        <v>6654</v>
      </c>
    </row>
    <row r="3026" spans="1:5" x14ac:dyDescent="0.25">
      <c r="A3026" s="16">
        <v>3055</v>
      </c>
      <c r="B3026" s="18" t="s">
        <v>6204</v>
      </c>
      <c r="C3026" s="18" t="s">
        <v>6630</v>
      </c>
      <c r="D3026" s="18" t="s">
        <v>6648</v>
      </c>
      <c r="E3026" s="18" t="s">
        <v>6655</v>
      </c>
    </row>
    <row r="3027" spans="1:5" ht="36" customHeight="1" x14ac:dyDescent="0.25">
      <c r="A3027" s="16">
        <v>3056</v>
      </c>
      <c r="B3027" s="18" t="s">
        <v>6204</v>
      </c>
      <c r="C3027" s="18" t="s">
        <v>6630</v>
      </c>
      <c r="D3027" s="18" t="s">
        <v>6648</v>
      </c>
      <c r="E3027" s="18" t="s">
        <v>6656</v>
      </c>
    </row>
    <row r="3028" spans="1:5" x14ac:dyDescent="0.25">
      <c r="A3028" s="16">
        <v>3057</v>
      </c>
      <c r="B3028" s="18" t="s">
        <v>6204</v>
      </c>
      <c r="C3028" s="18" t="s">
        <v>6630</v>
      </c>
      <c r="D3028" s="18" t="s">
        <v>6648</v>
      </c>
      <c r="E3028" s="18" t="s">
        <v>6493</v>
      </c>
    </row>
    <row r="3029" spans="1:5" x14ac:dyDescent="0.25">
      <c r="A3029" s="16">
        <v>3058</v>
      </c>
      <c r="B3029" s="18" t="s">
        <v>6204</v>
      </c>
      <c r="C3029" s="18" t="s">
        <v>6630</v>
      </c>
      <c r="D3029" s="18" t="s">
        <v>6657</v>
      </c>
      <c r="E3029" s="18" t="s">
        <v>6658</v>
      </c>
    </row>
    <row r="3030" spans="1:5" x14ac:dyDescent="0.25">
      <c r="A3030" s="16">
        <v>3059</v>
      </c>
      <c r="B3030" s="18" t="s">
        <v>6204</v>
      </c>
      <c r="C3030" s="18" t="s">
        <v>6630</v>
      </c>
      <c r="D3030" s="18" t="s">
        <v>6657</v>
      </c>
      <c r="E3030" s="18" t="s">
        <v>6659</v>
      </c>
    </row>
    <row r="3031" spans="1:5" x14ac:dyDescent="0.25">
      <c r="A3031" s="16">
        <v>3060</v>
      </c>
      <c r="B3031" s="18" t="s">
        <v>6204</v>
      </c>
      <c r="C3031" s="18" t="s">
        <v>6630</v>
      </c>
      <c r="D3031" s="18" t="s">
        <v>6657</v>
      </c>
      <c r="E3031" s="18" t="s">
        <v>6660</v>
      </c>
    </row>
    <row r="3032" spans="1:5" x14ac:dyDescent="0.25">
      <c r="A3032" s="16">
        <v>3061</v>
      </c>
      <c r="B3032" s="18" t="s">
        <v>6204</v>
      </c>
      <c r="C3032" s="18" t="s">
        <v>6630</v>
      </c>
      <c r="D3032" s="18" t="s">
        <v>6657</v>
      </c>
      <c r="E3032" s="18" t="s">
        <v>6661</v>
      </c>
    </row>
    <row r="3033" spans="1:5" ht="24" customHeight="1" x14ac:dyDescent="0.25">
      <c r="A3033" s="16">
        <v>3062</v>
      </c>
      <c r="B3033" s="18" t="s">
        <v>6204</v>
      </c>
      <c r="C3033" s="18" t="s">
        <v>6630</v>
      </c>
      <c r="D3033" s="18" t="s">
        <v>6657</v>
      </c>
      <c r="E3033" s="18" t="s">
        <v>6662</v>
      </c>
    </row>
    <row r="3034" spans="1:5" ht="24" customHeight="1" x14ac:dyDescent="0.25">
      <c r="A3034" s="16">
        <v>3063</v>
      </c>
      <c r="B3034" s="18" t="s">
        <v>6204</v>
      </c>
      <c r="C3034" s="18" t="s">
        <v>6630</v>
      </c>
      <c r="D3034" s="18" t="s">
        <v>6657</v>
      </c>
      <c r="E3034" s="18" t="s">
        <v>6663</v>
      </c>
    </row>
    <row r="3035" spans="1:5" ht="24" customHeight="1" x14ac:dyDescent="0.25">
      <c r="A3035" s="16">
        <v>3064</v>
      </c>
      <c r="B3035" s="18" t="s">
        <v>6204</v>
      </c>
      <c r="C3035" s="18" t="s">
        <v>6630</v>
      </c>
      <c r="D3035" s="18" t="s">
        <v>6657</v>
      </c>
      <c r="E3035" s="18" t="s">
        <v>6664</v>
      </c>
    </row>
    <row r="3036" spans="1:5" x14ac:dyDescent="0.25">
      <c r="A3036" s="16">
        <v>3065</v>
      </c>
      <c r="B3036" s="18" t="s">
        <v>6204</v>
      </c>
      <c r="C3036" s="18" t="s">
        <v>6630</v>
      </c>
      <c r="D3036" s="18" t="s">
        <v>6657</v>
      </c>
      <c r="E3036" s="18" t="s">
        <v>6665</v>
      </c>
    </row>
    <row r="3037" spans="1:5" x14ac:dyDescent="0.25">
      <c r="A3037" s="16">
        <v>3066</v>
      </c>
      <c r="B3037" s="18" t="s">
        <v>6204</v>
      </c>
      <c r="C3037" s="18" t="s">
        <v>6630</v>
      </c>
      <c r="D3037" s="18" t="s">
        <v>6657</v>
      </c>
      <c r="E3037" s="18" t="s">
        <v>6666</v>
      </c>
    </row>
    <row r="3038" spans="1:5" x14ac:dyDescent="0.25">
      <c r="A3038" s="16">
        <v>3067</v>
      </c>
      <c r="B3038" s="18" t="s">
        <v>6204</v>
      </c>
      <c r="C3038" s="18" t="s">
        <v>6630</v>
      </c>
      <c r="D3038" s="18" t="s">
        <v>6657</v>
      </c>
      <c r="E3038" s="18" t="s">
        <v>6667</v>
      </c>
    </row>
    <row r="3039" spans="1:5" ht="24" customHeight="1" x14ac:dyDescent="0.25">
      <c r="A3039" s="16">
        <v>3068</v>
      </c>
      <c r="B3039" s="18" t="s">
        <v>6204</v>
      </c>
      <c r="C3039" s="18" t="s">
        <v>6630</v>
      </c>
      <c r="D3039" s="18" t="s">
        <v>6657</v>
      </c>
      <c r="E3039" s="18" t="s">
        <v>6668</v>
      </c>
    </row>
    <row r="3040" spans="1:5" x14ac:dyDescent="0.25">
      <c r="A3040" s="16">
        <v>3069</v>
      </c>
      <c r="B3040" s="18" t="s">
        <v>6204</v>
      </c>
      <c r="C3040" s="18" t="s">
        <v>6630</v>
      </c>
      <c r="D3040" s="18" t="s">
        <v>6657</v>
      </c>
      <c r="E3040" s="18" t="s">
        <v>6669</v>
      </c>
    </row>
    <row r="3041" spans="1:5" ht="24" customHeight="1" x14ac:dyDescent="0.25">
      <c r="A3041" s="16">
        <v>3070</v>
      </c>
      <c r="B3041" s="18" t="s">
        <v>6204</v>
      </c>
      <c r="C3041" s="18" t="s">
        <v>6630</v>
      </c>
      <c r="D3041" s="18" t="s">
        <v>6670</v>
      </c>
      <c r="E3041" s="18" t="s">
        <v>6671</v>
      </c>
    </row>
    <row r="3042" spans="1:5" x14ac:dyDescent="0.25">
      <c r="A3042" s="16">
        <v>3071</v>
      </c>
      <c r="B3042" s="18" t="s">
        <v>6204</v>
      </c>
      <c r="C3042" s="18" t="s">
        <v>6630</v>
      </c>
      <c r="D3042" s="18" t="s">
        <v>6670</v>
      </c>
      <c r="E3042" s="18" t="s">
        <v>6672</v>
      </c>
    </row>
    <row r="3043" spans="1:5" x14ac:dyDescent="0.25">
      <c r="A3043" s="16">
        <v>3072</v>
      </c>
      <c r="B3043" s="18" t="s">
        <v>6204</v>
      </c>
      <c r="C3043" s="18" t="s">
        <v>6630</v>
      </c>
      <c r="D3043" s="18" t="s">
        <v>6670</v>
      </c>
      <c r="E3043" s="18" t="s">
        <v>6673</v>
      </c>
    </row>
    <row r="3044" spans="1:5" x14ac:dyDescent="0.25">
      <c r="A3044" s="16">
        <v>3073</v>
      </c>
      <c r="B3044" s="18" t="s">
        <v>6204</v>
      </c>
      <c r="C3044" s="18" t="s">
        <v>6630</v>
      </c>
      <c r="D3044" s="18" t="s">
        <v>6670</v>
      </c>
      <c r="E3044" s="18" t="s">
        <v>6674</v>
      </c>
    </row>
    <row r="3045" spans="1:5" x14ac:dyDescent="0.25">
      <c r="A3045" s="16">
        <v>3074</v>
      </c>
      <c r="B3045" s="18" t="s">
        <v>6204</v>
      </c>
      <c r="C3045" s="18" t="s">
        <v>6630</v>
      </c>
      <c r="D3045" s="18" t="s">
        <v>6670</v>
      </c>
      <c r="E3045" s="18" t="s">
        <v>6675</v>
      </c>
    </row>
    <row r="3046" spans="1:5" ht="24" customHeight="1" x14ac:dyDescent="0.25">
      <c r="A3046" s="16">
        <v>3075</v>
      </c>
      <c r="B3046" s="18" t="s">
        <v>6204</v>
      </c>
      <c r="C3046" s="18" t="s">
        <v>6630</v>
      </c>
      <c r="D3046" s="18" t="s">
        <v>6670</v>
      </c>
      <c r="E3046" s="18" t="s">
        <v>6676</v>
      </c>
    </row>
    <row r="3047" spans="1:5" x14ac:dyDescent="0.25">
      <c r="A3047" s="16">
        <v>3076</v>
      </c>
      <c r="B3047" s="18" t="s">
        <v>6204</v>
      </c>
      <c r="C3047" s="18" t="s">
        <v>6630</v>
      </c>
      <c r="D3047" s="18" t="s">
        <v>6670</v>
      </c>
      <c r="E3047" s="18" t="s">
        <v>6677</v>
      </c>
    </row>
    <row r="3048" spans="1:5" ht="24" customHeight="1" x14ac:dyDescent="0.25">
      <c r="A3048" s="16">
        <v>3077</v>
      </c>
      <c r="B3048" s="18" t="s">
        <v>6204</v>
      </c>
      <c r="C3048" s="18" t="s">
        <v>6630</v>
      </c>
      <c r="D3048" s="18" t="s">
        <v>6678</v>
      </c>
      <c r="E3048" s="18" t="s">
        <v>6679</v>
      </c>
    </row>
    <row r="3049" spans="1:5" ht="24" customHeight="1" x14ac:dyDescent="0.25">
      <c r="A3049" s="16">
        <v>3078</v>
      </c>
      <c r="B3049" s="18" t="s">
        <v>6204</v>
      </c>
      <c r="C3049" s="18" t="s">
        <v>6630</v>
      </c>
      <c r="D3049" s="18" t="s">
        <v>6678</v>
      </c>
      <c r="E3049" s="18" t="s">
        <v>6680</v>
      </c>
    </row>
    <row r="3050" spans="1:5" ht="24" customHeight="1" x14ac:dyDescent="0.25">
      <c r="A3050" s="16">
        <v>3079</v>
      </c>
      <c r="B3050" s="18" t="s">
        <v>6204</v>
      </c>
      <c r="C3050" s="18" t="s">
        <v>6630</v>
      </c>
      <c r="D3050" s="18" t="s">
        <v>6678</v>
      </c>
      <c r="E3050" s="18" t="s">
        <v>6681</v>
      </c>
    </row>
    <row r="3051" spans="1:5" ht="24" customHeight="1" x14ac:dyDescent="0.25">
      <c r="A3051" s="16">
        <v>3080</v>
      </c>
      <c r="B3051" s="18" t="s">
        <v>6204</v>
      </c>
      <c r="C3051" s="18" t="s">
        <v>6630</v>
      </c>
      <c r="D3051" s="18" t="s">
        <v>6678</v>
      </c>
      <c r="E3051" s="18" t="s">
        <v>6682</v>
      </c>
    </row>
    <row r="3052" spans="1:5" ht="24" customHeight="1" x14ac:dyDescent="0.25">
      <c r="A3052" s="16">
        <v>3081</v>
      </c>
      <c r="B3052" s="18" t="s">
        <v>6204</v>
      </c>
      <c r="C3052" s="18" t="s">
        <v>6630</v>
      </c>
      <c r="D3052" s="18" t="s">
        <v>6678</v>
      </c>
      <c r="E3052" s="18" t="s">
        <v>6683</v>
      </c>
    </row>
    <row r="3053" spans="1:5" ht="24" customHeight="1" x14ac:dyDescent="0.25">
      <c r="A3053" s="16">
        <v>3082</v>
      </c>
      <c r="B3053" s="18" t="s">
        <v>6204</v>
      </c>
      <c r="C3053" s="18" t="s">
        <v>6630</v>
      </c>
      <c r="D3053" s="18" t="s">
        <v>6678</v>
      </c>
      <c r="E3053" s="18" t="s">
        <v>6684</v>
      </c>
    </row>
    <row r="3054" spans="1:5" ht="24" customHeight="1" x14ac:dyDescent="0.25">
      <c r="A3054" s="16">
        <v>3083</v>
      </c>
      <c r="B3054" s="18" t="s">
        <v>6204</v>
      </c>
      <c r="C3054" s="18" t="s">
        <v>6630</v>
      </c>
      <c r="D3054" s="18" t="s">
        <v>6678</v>
      </c>
      <c r="E3054" s="18" t="s">
        <v>6685</v>
      </c>
    </row>
    <row r="3055" spans="1:5" ht="24" customHeight="1" x14ac:dyDescent="0.25">
      <c r="A3055" s="16">
        <v>3084</v>
      </c>
      <c r="B3055" s="18" t="s">
        <v>6204</v>
      </c>
      <c r="C3055" s="18" t="s">
        <v>6630</v>
      </c>
      <c r="D3055" s="18" t="s">
        <v>6678</v>
      </c>
      <c r="E3055" s="18" t="s">
        <v>6686</v>
      </c>
    </row>
    <row r="3056" spans="1:5" x14ac:dyDescent="0.25">
      <c r="A3056" s="16">
        <v>3085</v>
      </c>
      <c r="B3056" s="18" t="s">
        <v>6204</v>
      </c>
      <c r="C3056" s="18" t="s">
        <v>6630</v>
      </c>
      <c r="D3056" s="18" t="s">
        <v>6630</v>
      </c>
      <c r="E3056" s="18" t="s">
        <v>6687</v>
      </c>
    </row>
    <row r="3057" spans="1:5" x14ac:dyDescent="0.25">
      <c r="A3057" s="16">
        <v>3086</v>
      </c>
      <c r="B3057" s="18" t="s">
        <v>6204</v>
      </c>
      <c r="C3057" s="18" t="s">
        <v>6630</v>
      </c>
      <c r="D3057" s="18" t="s">
        <v>6630</v>
      </c>
      <c r="E3057" s="18" t="s">
        <v>6688</v>
      </c>
    </row>
    <row r="3058" spans="1:5" ht="36" customHeight="1" x14ac:dyDescent="0.25">
      <c r="A3058" s="16">
        <v>3087</v>
      </c>
      <c r="B3058" s="18" t="s">
        <v>6204</v>
      </c>
      <c r="C3058" s="18" t="s">
        <v>6630</v>
      </c>
      <c r="D3058" s="18" t="s">
        <v>6630</v>
      </c>
      <c r="E3058" s="18" t="s">
        <v>6689</v>
      </c>
    </row>
    <row r="3059" spans="1:5" ht="36" customHeight="1" x14ac:dyDescent="0.25">
      <c r="A3059" s="16">
        <v>3088</v>
      </c>
      <c r="B3059" s="18" t="s">
        <v>6204</v>
      </c>
      <c r="C3059" s="18" t="s">
        <v>6630</v>
      </c>
      <c r="D3059" s="18" t="s">
        <v>6630</v>
      </c>
      <c r="E3059" s="18" t="s">
        <v>6690</v>
      </c>
    </row>
    <row r="3060" spans="1:5" ht="24" customHeight="1" x14ac:dyDescent="0.25">
      <c r="A3060" s="16">
        <v>3089</v>
      </c>
      <c r="B3060" s="18" t="s">
        <v>6204</v>
      </c>
      <c r="C3060" s="18" t="s">
        <v>6630</v>
      </c>
      <c r="D3060" s="18" t="s">
        <v>6630</v>
      </c>
      <c r="E3060" s="18" t="s">
        <v>6691</v>
      </c>
    </row>
    <row r="3061" spans="1:5" x14ac:dyDescent="0.25">
      <c r="A3061" s="16">
        <v>3090</v>
      </c>
      <c r="B3061" s="18" t="s">
        <v>6204</v>
      </c>
      <c r="C3061" s="18" t="s">
        <v>6630</v>
      </c>
      <c r="D3061" s="18" t="s">
        <v>6630</v>
      </c>
      <c r="E3061" s="18" t="s">
        <v>6692</v>
      </c>
    </row>
    <row r="3062" spans="1:5" ht="24" customHeight="1" x14ac:dyDescent="0.25">
      <c r="A3062" s="16">
        <v>3091</v>
      </c>
      <c r="B3062" s="18" t="s">
        <v>6204</v>
      </c>
      <c r="C3062" s="18" t="s">
        <v>6630</v>
      </c>
      <c r="D3062" s="18" t="s">
        <v>6630</v>
      </c>
      <c r="E3062" s="18" t="s">
        <v>6693</v>
      </c>
    </row>
    <row r="3063" spans="1:5" ht="36" customHeight="1" x14ac:dyDescent="0.25">
      <c r="A3063" s="16">
        <v>3092</v>
      </c>
      <c r="B3063" s="18" t="s">
        <v>6204</v>
      </c>
      <c r="C3063" s="18" t="s">
        <v>6630</v>
      </c>
      <c r="D3063" s="18" t="s">
        <v>6630</v>
      </c>
      <c r="E3063" s="18" t="s">
        <v>6694</v>
      </c>
    </row>
    <row r="3064" spans="1:5" x14ac:dyDescent="0.25">
      <c r="A3064" s="16">
        <v>3093</v>
      </c>
      <c r="B3064" s="18" t="s">
        <v>6204</v>
      </c>
      <c r="C3064" s="18" t="s">
        <v>6630</v>
      </c>
      <c r="D3064" s="18" t="s">
        <v>6630</v>
      </c>
      <c r="E3064" s="18" t="s">
        <v>6695</v>
      </c>
    </row>
    <row r="3065" spans="1:5" ht="24" customHeight="1" x14ac:dyDescent="0.25">
      <c r="A3065" s="16">
        <v>3094</v>
      </c>
      <c r="B3065" s="18" t="s">
        <v>6204</v>
      </c>
      <c r="C3065" s="18" t="s">
        <v>6630</v>
      </c>
      <c r="D3065" s="18" t="s">
        <v>6630</v>
      </c>
      <c r="E3065" s="18" t="s">
        <v>6696</v>
      </c>
    </row>
    <row r="3066" spans="1:5" ht="24" customHeight="1" x14ac:dyDescent="0.25">
      <c r="A3066" s="16">
        <v>3095</v>
      </c>
      <c r="B3066" s="18" t="s">
        <v>6204</v>
      </c>
      <c r="C3066" s="18" t="s">
        <v>6630</v>
      </c>
      <c r="D3066" s="18" t="s">
        <v>6630</v>
      </c>
      <c r="E3066" s="18" t="s">
        <v>6697</v>
      </c>
    </row>
    <row r="3067" spans="1:5" ht="24" customHeight="1" x14ac:dyDescent="0.25">
      <c r="A3067" s="16">
        <v>3096</v>
      </c>
      <c r="B3067" s="18" t="s">
        <v>6204</v>
      </c>
      <c r="C3067" s="18" t="s">
        <v>6630</v>
      </c>
      <c r="D3067" s="18" t="s">
        <v>6630</v>
      </c>
      <c r="E3067" s="18" t="s">
        <v>6698</v>
      </c>
    </row>
    <row r="3068" spans="1:5" x14ac:dyDescent="0.25">
      <c r="A3068" s="16">
        <v>3097</v>
      </c>
      <c r="B3068" s="18" t="s">
        <v>6204</v>
      </c>
      <c r="C3068" s="18" t="s">
        <v>6630</v>
      </c>
      <c r="D3068" s="18" t="s">
        <v>6630</v>
      </c>
      <c r="E3068" s="18" t="s">
        <v>6699</v>
      </c>
    </row>
    <row r="3069" spans="1:5" x14ac:dyDescent="0.25">
      <c r="A3069" s="16">
        <v>3098</v>
      </c>
      <c r="B3069" s="19" t="s">
        <v>6700</v>
      </c>
      <c r="C3069" s="19" t="s">
        <v>6701</v>
      </c>
      <c r="D3069" s="19" t="s">
        <v>6702</v>
      </c>
      <c r="E3069" s="19" t="s">
        <v>6703</v>
      </c>
    </row>
    <row r="3070" spans="1:5" x14ac:dyDescent="0.25">
      <c r="A3070" s="16">
        <v>3099</v>
      </c>
      <c r="B3070" s="19" t="s">
        <v>6700</v>
      </c>
      <c r="C3070" s="19" t="s">
        <v>6701</v>
      </c>
      <c r="D3070" s="19" t="s">
        <v>6702</v>
      </c>
      <c r="E3070" s="19" t="s">
        <v>6704</v>
      </c>
    </row>
    <row r="3071" spans="1:5" ht="24" customHeight="1" x14ac:dyDescent="0.25">
      <c r="A3071" s="16">
        <v>3100</v>
      </c>
      <c r="B3071" s="19" t="s">
        <v>6700</v>
      </c>
      <c r="C3071" s="19" t="s">
        <v>6701</v>
      </c>
      <c r="D3071" s="19" t="s">
        <v>6702</v>
      </c>
      <c r="E3071" s="19" t="s">
        <v>6705</v>
      </c>
    </row>
    <row r="3072" spans="1:5" ht="24" customHeight="1" x14ac:dyDescent="0.25">
      <c r="A3072" s="16">
        <v>3101</v>
      </c>
      <c r="B3072" s="19" t="s">
        <v>6700</v>
      </c>
      <c r="C3072" s="19" t="s">
        <v>6701</v>
      </c>
      <c r="D3072" s="19" t="s">
        <v>6702</v>
      </c>
      <c r="E3072" s="19" t="s">
        <v>6706</v>
      </c>
    </row>
    <row r="3073" spans="1:5" ht="24" customHeight="1" x14ac:dyDescent="0.25">
      <c r="A3073" s="16">
        <v>3102</v>
      </c>
      <c r="B3073" s="19" t="s">
        <v>6700</v>
      </c>
      <c r="C3073" s="19" t="s">
        <v>6701</v>
      </c>
      <c r="D3073" s="19" t="s">
        <v>6702</v>
      </c>
      <c r="E3073" s="19" t="s">
        <v>6707</v>
      </c>
    </row>
    <row r="3074" spans="1:5" ht="24" customHeight="1" x14ac:dyDescent="0.25">
      <c r="A3074" s="16">
        <v>3103</v>
      </c>
      <c r="B3074" s="19" t="s">
        <v>6700</v>
      </c>
      <c r="C3074" s="19" t="s">
        <v>6701</v>
      </c>
      <c r="D3074" s="19" t="s">
        <v>6702</v>
      </c>
      <c r="E3074" s="19" t="s">
        <v>6708</v>
      </c>
    </row>
    <row r="3075" spans="1:5" x14ac:dyDescent="0.25">
      <c r="A3075" s="16">
        <v>3104</v>
      </c>
      <c r="B3075" s="19" t="s">
        <v>6700</v>
      </c>
      <c r="C3075" s="19" t="s">
        <v>6701</v>
      </c>
      <c r="D3075" s="19" t="s">
        <v>6702</v>
      </c>
      <c r="E3075" s="19" t="s">
        <v>6709</v>
      </c>
    </row>
    <row r="3076" spans="1:5" x14ac:dyDescent="0.25">
      <c r="A3076" s="16">
        <v>3105</v>
      </c>
      <c r="B3076" s="19" t="s">
        <v>6700</v>
      </c>
      <c r="C3076" s="19" t="s">
        <v>6701</v>
      </c>
      <c r="D3076" s="19" t="s">
        <v>6702</v>
      </c>
      <c r="E3076" s="19" t="s">
        <v>6710</v>
      </c>
    </row>
    <row r="3077" spans="1:5" x14ac:dyDescent="0.25">
      <c r="A3077" s="16">
        <v>3106</v>
      </c>
      <c r="B3077" s="19" t="s">
        <v>6700</v>
      </c>
      <c r="C3077" s="19" t="s">
        <v>6701</v>
      </c>
      <c r="D3077" s="19" t="s">
        <v>6702</v>
      </c>
      <c r="E3077" s="19" t="s">
        <v>6711</v>
      </c>
    </row>
    <row r="3078" spans="1:5" x14ac:dyDescent="0.25">
      <c r="A3078" s="16">
        <v>3107</v>
      </c>
      <c r="B3078" s="19" t="s">
        <v>6700</v>
      </c>
      <c r="C3078" s="19" t="s">
        <v>6701</v>
      </c>
      <c r="D3078" s="19" t="s">
        <v>6712</v>
      </c>
      <c r="E3078" s="19" t="s">
        <v>6713</v>
      </c>
    </row>
    <row r="3079" spans="1:5" x14ac:dyDescent="0.25">
      <c r="A3079" s="16">
        <v>3108</v>
      </c>
      <c r="B3079" s="19" t="s">
        <v>6700</v>
      </c>
      <c r="C3079" s="19" t="s">
        <v>6701</v>
      </c>
      <c r="D3079" s="19" t="s">
        <v>6712</v>
      </c>
      <c r="E3079" s="19" t="s">
        <v>6714</v>
      </c>
    </row>
    <row r="3080" spans="1:5" x14ac:dyDescent="0.25">
      <c r="A3080" s="16">
        <v>3109</v>
      </c>
      <c r="B3080" s="19" t="s">
        <v>6700</v>
      </c>
      <c r="C3080" s="19" t="s">
        <v>6701</v>
      </c>
      <c r="D3080" s="19" t="s">
        <v>6712</v>
      </c>
      <c r="E3080" s="19" t="s">
        <v>6715</v>
      </c>
    </row>
    <row r="3081" spans="1:5" x14ac:dyDescent="0.25">
      <c r="A3081" s="16">
        <v>3110</v>
      </c>
      <c r="B3081" s="19" t="s">
        <v>6700</v>
      </c>
      <c r="C3081" s="19" t="s">
        <v>6701</v>
      </c>
      <c r="D3081" s="19" t="s">
        <v>6712</v>
      </c>
      <c r="E3081" s="19" t="s">
        <v>6716</v>
      </c>
    </row>
    <row r="3082" spans="1:5" x14ac:dyDescent="0.25">
      <c r="A3082" s="16">
        <v>3111</v>
      </c>
      <c r="B3082" s="19" t="s">
        <v>6700</v>
      </c>
      <c r="C3082" s="19" t="s">
        <v>6701</v>
      </c>
      <c r="D3082" s="19" t="s">
        <v>6712</v>
      </c>
      <c r="E3082" s="19" t="s">
        <v>6717</v>
      </c>
    </row>
    <row r="3083" spans="1:5" x14ac:dyDescent="0.25">
      <c r="A3083" s="16">
        <v>3112</v>
      </c>
      <c r="B3083" s="19" t="s">
        <v>6700</v>
      </c>
      <c r="C3083" s="19" t="s">
        <v>6701</v>
      </c>
      <c r="D3083" s="19" t="s">
        <v>6712</v>
      </c>
      <c r="E3083" s="19" t="s">
        <v>6718</v>
      </c>
    </row>
    <row r="3084" spans="1:5" x14ac:dyDescent="0.25">
      <c r="A3084" s="16">
        <v>3113</v>
      </c>
      <c r="B3084" s="19" t="s">
        <v>6700</v>
      </c>
      <c r="C3084" s="19" t="s">
        <v>6701</v>
      </c>
      <c r="D3084" s="19" t="s">
        <v>6712</v>
      </c>
      <c r="E3084" s="19" t="s">
        <v>6719</v>
      </c>
    </row>
    <row r="3085" spans="1:5" x14ac:dyDescent="0.25">
      <c r="A3085" s="16">
        <v>3114</v>
      </c>
      <c r="B3085" s="19" t="s">
        <v>6700</v>
      </c>
      <c r="C3085" s="19" t="s">
        <v>6701</v>
      </c>
      <c r="D3085" s="19" t="s">
        <v>6712</v>
      </c>
      <c r="E3085" s="19" t="s">
        <v>6720</v>
      </c>
    </row>
    <row r="3086" spans="1:5" x14ac:dyDescent="0.25">
      <c r="A3086" s="16">
        <v>3115</v>
      </c>
      <c r="B3086" s="19" t="s">
        <v>6700</v>
      </c>
      <c r="C3086" s="19" t="s">
        <v>6701</v>
      </c>
      <c r="D3086" s="19" t="s">
        <v>6712</v>
      </c>
      <c r="E3086" s="19" t="s">
        <v>6721</v>
      </c>
    </row>
    <row r="3087" spans="1:5" x14ac:dyDescent="0.25">
      <c r="A3087" s="16">
        <v>3116</v>
      </c>
      <c r="B3087" s="19" t="s">
        <v>6700</v>
      </c>
      <c r="C3087" s="19" t="s">
        <v>6701</v>
      </c>
      <c r="D3087" s="19" t="s">
        <v>6712</v>
      </c>
      <c r="E3087" s="19" t="s">
        <v>6722</v>
      </c>
    </row>
    <row r="3088" spans="1:5" x14ac:dyDescent="0.25">
      <c r="A3088" s="16">
        <v>3117</v>
      </c>
      <c r="B3088" s="19" t="s">
        <v>6700</v>
      </c>
      <c r="C3088" s="19" t="s">
        <v>6701</v>
      </c>
      <c r="D3088" s="19" t="s">
        <v>6712</v>
      </c>
      <c r="E3088" s="19" t="s">
        <v>6723</v>
      </c>
    </row>
    <row r="3089" spans="1:5" x14ac:dyDescent="0.25">
      <c r="A3089" s="16">
        <v>3118</v>
      </c>
      <c r="B3089" s="19" t="s">
        <v>6700</v>
      </c>
      <c r="C3089" s="19" t="s">
        <v>6701</v>
      </c>
      <c r="D3089" s="19" t="s">
        <v>6712</v>
      </c>
      <c r="E3089" s="19" t="s">
        <v>6724</v>
      </c>
    </row>
    <row r="3090" spans="1:5" x14ac:dyDescent="0.25">
      <c r="A3090" s="16">
        <v>3119</v>
      </c>
      <c r="B3090" s="19" t="s">
        <v>6700</v>
      </c>
      <c r="C3090" s="19" t="s">
        <v>6701</v>
      </c>
      <c r="D3090" s="19" t="s">
        <v>6712</v>
      </c>
      <c r="E3090" s="19" t="s">
        <v>6725</v>
      </c>
    </row>
    <row r="3091" spans="1:5" x14ac:dyDescent="0.25">
      <c r="A3091" s="16">
        <v>3120</v>
      </c>
      <c r="B3091" s="19" t="s">
        <v>6700</v>
      </c>
      <c r="C3091" s="19" t="s">
        <v>6701</v>
      </c>
      <c r="D3091" s="19" t="s">
        <v>6712</v>
      </c>
      <c r="E3091" s="19" t="s">
        <v>6726</v>
      </c>
    </row>
    <row r="3092" spans="1:5" ht="24" customHeight="1" x14ac:dyDescent="0.25">
      <c r="A3092" s="16">
        <v>3121</v>
      </c>
      <c r="B3092" s="19" t="s">
        <v>6700</v>
      </c>
      <c r="C3092" s="19" t="s">
        <v>6701</v>
      </c>
      <c r="D3092" s="19" t="s">
        <v>6712</v>
      </c>
      <c r="E3092" s="19" t="s">
        <v>6727</v>
      </c>
    </row>
    <row r="3093" spans="1:5" x14ac:dyDescent="0.25">
      <c r="A3093" s="16">
        <v>3122</v>
      </c>
      <c r="B3093" s="19" t="s">
        <v>6700</v>
      </c>
      <c r="C3093" s="19" t="s">
        <v>6701</v>
      </c>
      <c r="D3093" s="19" t="s">
        <v>6712</v>
      </c>
      <c r="E3093" s="19" t="s">
        <v>6728</v>
      </c>
    </row>
    <row r="3094" spans="1:5" x14ac:dyDescent="0.25">
      <c r="A3094" s="16">
        <v>3123</v>
      </c>
      <c r="B3094" s="19" t="s">
        <v>6700</v>
      </c>
      <c r="C3094" s="19" t="s">
        <v>6701</v>
      </c>
      <c r="D3094" s="19" t="s">
        <v>6712</v>
      </c>
      <c r="E3094" s="19" t="s">
        <v>6729</v>
      </c>
    </row>
    <row r="3095" spans="1:5" ht="24" customHeight="1" x14ac:dyDescent="0.25">
      <c r="A3095" s="16">
        <v>3124</v>
      </c>
      <c r="B3095" s="19" t="s">
        <v>6700</v>
      </c>
      <c r="C3095" s="19" t="s">
        <v>6701</v>
      </c>
      <c r="D3095" s="19" t="s">
        <v>6712</v>
      </c>
      <c r="E3095" s="19" t="s">
        <v>6730</v>
      </c>
    </row>
    <row r="3096" spans="1:5" x14ac:dyDescent="0.25">
      <c r="A3096" s="16">
        <v>3125</v>
      </c>
      <c r="B3096" s="19" t="s">
        <v>6700</v>
      </c>
      <c r="C3096" s="19" t="s">
        <v>6701</v>
      </c>
      <c r="D3096" s="19" t="s">
        <v>6712</v>
      </c>
      <c r="E3096" s="19" t="s">
        <v>6731</v>
      </c>
    </row>
    <row r="3097" spans="1:5" ht="24" customHeight="1" x14ac:dyDescent="0.25">
      <c r="A3097" s="16">
        <v>3126</v>
      </c>
      <c r="B3097" s="19" t="s">
        <v>6700</v>
      </c>
      <c r="C3097" s="19" t="s">
        <v>6701</v>
      </c>
      <c r="D3097" s="19" t="s">
        <v>6732</v>
      </c>
      <c r="E3097" s="19" t="s">
        <v>6733</v>
      </c>
    </row>
    <row r="3098" spans="1:5" ht="24" customHeight="1" x14ac:dyDescent="0.25">
      <c r="A3098" s="16">
        <v>3127</v>
      </c>
      <c r="B3098" s="19" t="s">
        <v>6700</v>
      </c>
      <c r="C3098" s="19" t="s">
        <v>6701</v>
      </c>
      <c r="D3098" s="19" t="s">
        <v>6732</v>
      </c>
      <c r="E3098" s="19" t="s">
        <v>6734</v>
      </c>
    </row>
    <row r="3099" spans="1:5" ht="24" customHeight="1" x14ac:dyDescent="0.25">
      <c r="A3099" s="16">
        <v>3128</v>
      </c>
      <c r="B3099" s="19" t="s">
        <v>6700</v>
      </c>
      <c r="C3099" s="19" t="s">
        <v>6701</v>
      </c>
      <c r="D3099" s="19" t="s">
        <v>6732</v>
      </c>
      <c r="E3099" s="19" t="s">
        <v>6735</v>
      </c>
    </row>
    <row r="3100" spans="1:5" ht="24" customHeight="1" x14ac:dyDescent="0.25">
      <c r="A3100" s="16">
        <v>3129</v>
      </c>
      <c r="B3100" s="19" t="s">
        <v>6700</v>
      </c>
      <c r="C3100" s="19" t="s">
        <v>6701</v>
      </c>
      <c r="D3100" s="19" t="s">
        <v>6732</v>
      </c>
      <c r="E3100" s="19" t="s">
        <v>6736</v>
      </c>
    </row>
    <row r="3101" spans="1:5" ht="24" customHeight="1" x14ac:dyDescent="0.25">
      <c r="A3101" s="16">
        <v>3130</v>
      </c>
      <c r="B3101" s="19" t="s">
        <v>6700</v>
      </c>
      <c r="C3101" s="19" t="s">
        <v>6701</v>
      </c>
      <c r="D3101" s="19" t="s">
        <v>6732</v>
      </c>
      <c r="E3101" s="19" t="s">
        <v>6737</v>
      </c>
    </row>
    <row r="3102" spans="1:5" ht="24" customHeight="1" x14ac:dyDescent="0.25">
      <c r="A3102" s="16">
        <v>3131</v>
      </c>
      <c r="B3102" s="19" t="s">
        <v>6700</v>
      </c>
      <c r="C3102" s="19" t="s">
        <v>6701</v>
      </c>
      <c r="D3102" s="19" t="s">
        <v>6738</v>
      </c>
      <c r="E3102" s="19" t="s">
        <v>6739</v>
      </c>
    </row>
    <row r="3103" spans="1:5" ht="24" customHeight="1" x14ac:dyDescent="0.25">
      <c r="A3103" s="16">
        <v>3132</v>
      </c>
      <c r="B3103" s="19" t="s">
        <v>6700</v>
      </c>
      <c r="C3103" s="19" t="s">
        <v>6701</v>
      </c>
      <c r="D3103" s="19" t="s">
        <v>6738</v>
      </c>
      <c r="E3103" s="19" t="s">
        <v>6740</v>
      </c>
    </row>
    <row r="3104" spans="1:5" x14ac:dyDescent="0.25">
      <c r="A3104" s="16">
        <v>3133</v>
      </c>
      <c r="B3104" s="19" t="s">
        <v>6700</v>
      </c>
      <c r="C3104" s="19" t="s">
        <v>6701</v>
      </c>
      <c r="D3104" s="19" t="s">
        <v>6738</v>
      </c>
      <c r="E3104" s="19" t="s">
        <v>6741</v>
      </c>
    </row>
    <row r="3105" spans="1:5" x14ac:dyDescent="0.25">
      <c r="A3105" s="16">
        <v>3134</v>
      </c>
      <c r="B3105" s="19" t="s">
        <v>6700</v>
      </c>
      <c r="C3105" s="19" t="s">
        <v>6701</v>
      </c>
      <c r="D3105" s="19" t="s">
        <v>6738</v>
      </c>
      <c r="E3105" s="19" t="s">
        <v>6742</v>
      </c>
    </row>
    <row r="3106" spans="1:5" x14ac:dyDescent="0.25">
      <c r="A3106" s="16">
        <v>3135</v>
      </c>
      <c r="B3106" s="19" t="s">
        <v>6700</v>
      </c>
      <c r="C3106" s="19" t="s">
        <v>6701</v>
      </c>
      <c r="D3106" s="19" t="s">
        <v>6743</v>
      </c>
      <c r="E3106" s="19" t="s">
        <v>6744</v>
      </c>
    </row>
    <row r="3107" spans="1:5" x14ac:dyDescent="0.25">
      <c r="A3107" s="16">
        <v>3136</v>
      </c>
      <c r="B3107" s="19" t="s">
        <v>6700</v>
      </c>
      <c r="C3107" s="19" t="s">
        <v>6701</v>
      </c>
      <c r="D3107" s="19" t="s">
        <v>6743</v>
      </c>
      <c r="E3107" s="19" t="s">
        <v>6745</v>
      </c>
    </row>
    <row r="3108" spans="1:5" x14ac:dyDescent="0.25">
      <c r="A3108" s="16">
        <v>3137</v>
      </c>
      <c r="B3108" s="19" t="s">
        <v>6700</v>
      </c>
      <c r="C3108" s="19" t="s">
        <v>6701</v>
      </c>
      <c r="D3108" s="19" t="s">
        <v>6743</v>
      </c>
      <c r="E3108" s="19" t="s">
        <v>6746</v>
      </c>
    </row>
    <row r="3109" spans="1:5" x14ac:dyDescent="0.25">
      <c r="A3109" s="16">
        <v>3138</v>
      </c>
      <c r="B3109" s="19" t="s">
        <v>6700</v>
      </c>
      <c r="C3109" s="19" t="s">
        <v>6701</v>
      </c>
      <c r="D3109" s="19" t="s">
        <v>6743</v>
      </c>
      <c r="E3109" s="19" t="s">
        <v>6747</v>
      </c>
    </row>
    <row r="3110" spans="1:5" x14ac:dyDescent="0.25">
      <c r="A3110" s="16">
        <v>3139</v>
      </c>
      <c r="B3110" s="19" t="s">
        <v>6700</v>
      </c>
      <c r="C3110" s="19" t="s">
        <v>6701</v>
      </c>
      <c r="D3110" s="19" t="s">
        <v>6743</v>
      </c>
      <c r="E3110" s="19" t="s">
        <v>6748</v>
      </c>
    </row>
    <row r="3111" spans="1:5" x14ac:dyDescent="0.25">
      <c r="A3111" s="16">
        <v>3140</v>
      </c>
      <c r="B3111" s="19" t="s">
        <v>6700</v>
      </c>
      <c r="C3111" s="19" t="s">
        <v>6701</v>
      </c>
      <c r="D3111" s="19" t="s">
        <v>6743</v>
      </c>
      <c r="E3111" s="19" t="s">
        <v>3382</v>
      </c>
    </row>
    <row r="3112" spans="1:5" ht="24" customHeight="1" x14ac:dyDescent="0.25">
      <c r="A3112" s="16">
        <v>3141</v>
      </c>
      <c r="B3112" s="19" t="s">
        <v>6700</v>
      </c>
      <c r="C3112" s="19" t="s">
        <v>6701</v>
      </c>
      <c r="D3112" s="19" t="s">
        <v>6743</v>
      </c>
      <c r="E3112" s="19" t="s">
        <v>6749</v>
      </c>
    </row>
    <row r="3113" spans="1:5" ht="24" customHeight="1" x14ac:dyDescent="0.25">
      <c r="A3113" s="16">
        <v>3142</v>
      </c>
      <c r="B3113" s="19" t="s">
        <v>6700</v>
      </c>
      <c r="C3113" s="19" t="s">
        <v>6701</v>
      </c>
      <c r="D3113" s="19" t="s">
        <v>6743</v>
      </c>
      <c r="E3113" s="19" t="s">
        <v>6750</v>
      </c>
    </row>
    <row r="3114" spans="1:5" ht="36" customHeight="1" x14ac:dyDescent="0.25">
      <c r="A3114" s="16">
        <v>3143</v>
      </c>
      <c r="B3114" s="19" t="s">
        <v>6700</v>
      </c>
      <c r="C3114" s="19" t="s">
        <v>6701</v>
      </c>
      <c r="D3114" s="19" t="s">
        <v>6743</v>
      </c>
      <c r="E3114" s="19" t="s">
        <v>6751</v>
      </c>
    </row>
    <row r="3115" spans="1:5" x14ac:dyDescent="0.25">
      <c r="A3115" s="16">
        <v>3144</v>
      </c>
      <c r="B3115" s="19" t="s">
        <v>6700</v>
      </c>
      <c r="C3115" s="19" t="s">
        <v>6701</v>
      </c>
      <c r="D3115" s="19" t="s">
        <v>6743</v>
      </c>
      <c r="E3115" s="19" t="s">
        <v>6752</v>
      </c>
    </row>
    <row r="3116" spans="1:5" x14ac:dyDescent="0.25">
      <c r="A3116" s="16">
        <v>3145</v>
      </c>
      <c r="B3116" s="19" t="s">
        <v>6700</v>
      </c>
      <c r="C3116" s="19" t="s">
        <v>6701</v>
      </c>
      <c r="D3116" s="19" t="s">
        <v>6743</v>
      </c>
      <c r="E3116" s="19" t="s">
        <v>6753</v>
      </c>
    </row>
    <row r="3117" spans="1:5" x14ac:dyDescent="0.25">
      <c r="A3117" s="16">
        <v>3146</v>
      </c>
      <c r="B3117" s="19" t="s">
        <v>6700</v>
      </c>
      <c r="C3117" s="19" t="s">
        <v>6701</v>
      </c>
      <c r="D3117" s="19" t="s">
        <v>6743</v>
      </c>
      <c r="E3117" s="19" t="s">
        <v>6754</v>
      </c>
    </row>
    <row r="3118" spans="1:5" ht="24" customHeight="1" x14ac:dyDescent="0.25">
      <c r="A3118" s="16">
        <v>3147</v>
      </c>
      <c r="B3118" s="19" t="s">
        <v>6700</v>
      </c>
      <c r="C3118" s="19" t="s">
        <v>6701</v>
      </c>
      <c r="D3118" s="19" t="s">
        <v>6743</v>
      </c>
      <c r="E3118" s="19" t="s">
        <v>6755</v>
      </c>
    </row>
    <row r="3119" spans="1:5" x14ac:dyDescent="0.25">
      <c r="A3119" s="16">
        <v>3148</v>
      </c>
      <c r="B3119" s="19" t="s">
        <v>6700</v>
      </c>
      <c r="C3119" s="19" t="s">
        <v>6701</v>
      </c>
      <c r="D3119" s="19" t="s">
        <v>6743</v>
      </c>
      <c r="E3119" s="19" t="s">
        <v>6756</v>
      </c>
    </row>
    <row r="3120" spans="1:5" x14ac:dyDescent="0.25">
      <c r="A3120" s="16">
        <v>3149</v>
      </c>
      <c r="B3120" s="19" t="s">
        <v>6700</v>
      </c>
      <c r="C3120" s="19" t="s">
        <v>6701</v>
      </c>
      <c r="D3120" s="19" t="s">
        <v>6743</v>
      </c>
      <c r="E3120" s="19" t="s">
        <v>6757</v>
      </c>
    </row>
    <row r="3121" spans="1:5" x14ac:dyDescent="0.25">
      <c r="A3121" s="16">
        <v>3150</v>
      </c>
      <c r="B3121" s="19" t="s">
        <v>6700</v>
      </c>
      <c r="C3121" s="19" t="s">
        <v>6701</v>
      </c>
      <c r="D3121" s="19" t="s">
        <v>6758</v>
      </c>
      <c r="E3121" s="19" t="s">
        <v>6759</v>
      </c>
    </row>
    <row r="3122" spans="1:5" ht="24" customHeight="1" x14ac:dyDescent="0.25">
      <c r="A3122" s="16">
        <v>3151</v>
      </c>
      <c r="B3122" s="19" t="s">
        <v>6700</v>
      </c>
      <c r="C3122" s="19" t="s">
        <v>6701</v>
      </c>
      <c r="D3122" s="19" t="s">
        <v>6758</v>
      </c>
      <c r="E3122" s="19" t="s">
        <v>6760</v>
      </c>
    </row>
    <row r="3123" spans="1:5" x14ac:dyDescent="0.25">
      <c r="A3123" s="16">
        <v>3152</v>
      </c>
      <c r="B3123" s="19" t="s">
        <v>6700</v>
      </c>
      <c r="C3123" s="19" t="s">
        <v>6701</v>
      </c>
      <c r="D3123" s="19" t="s">
        <v>6758</v>
      </c>
      <c r="E3123" s="19" t="s">
        <v>6761</v>
      </c>
    </row>
    <row r="3124" spans="1:5" x14ac:dyDescent="0.25">
      <c r="A3124" s="16">
        <v>3153</v>
      </c>
      <c r="B3124" s="19" t="s">
        <v>6700</v>
      </c>
      <c r="C3124" s="19" t="s">
        <v>6701</v>
      </c>
      <c r="D3124" s="19" t="s">
        <v>6758</v>
      </c>
      <c r="E3124" s="19" t="s">
        <v>6762</v>
      </c>
    </row>
    <row r="3125" spans="1:5" x14ac:dyDescent="0.25">
      <c r="A3125" s="16">
        <v>3154</v>
      </c>
      <c r="B3125" s="19" t="s">
        <v>6700</v>
      </c>
      <c r="C3125" s="19" t="s">
        <v>6701</v>
      </c>
      <c r="D3125" s="19" t="s">
        <v>6758</v>
      </c>
      <c r="E3125" s="19" t="s">
        <v>6763</v>
      </c>
    </row>
    <row r="3126" spans="1:5" ht="36" customHeight="1" x14ac:dyDescent="0.25">
      <c r="A3126" s="16">
        <v>3155</v>
      </c>
      <c r="B3126" s="19" t="s">
        <v>6700</v>
      </c>
      <c r="C3126" s="19" t="s">
        <v>6701</v>
      </c>
      <c r="D3126" s="19" t="s">
        <v>6758</v>
      </c>
      <c r="E3126" s="19" t="s">
        <v>6764</v>
      </c>
    </row>
    <row r="3127" spans="1:5" x14ac:dyDescent="0.25">
      <c r="A3127" s="16">
        <v>3156</v>
      </c>
      <c r="B3127" s="19" t="s">
        <v>6700</v>
      </c>
      <c r="C3127" s="19" t="s">
        <v>6701</v>
      </c>
      <c r="D3127" s="19" t="s">
        <v>6758</v>
      </c>
      <c r="E3127" s="19" t="s">
        <v>6765</v>
      </c>
    </row>
    <row r="3128" spans="1:5" x14ac:dyDescent="0.25">
      <c r="A3128" s="16">
        <v>3157</v>
      </c>
      <c r="B3128" s="19" t="s">
        <v>6700</v>
      </c>
      <c r="C3128" s="19" t="s">
        <v>6701</v>
      </c>
      <c r="D3128" s="19" t="s">
        <v>6758</v>
      </c>
      <c r="E3128" s="19" t="s">
        <v>6766</v>
      </c>
    </row>
    <row r="3129" spans="1:5" ht="24" customHeight="1" x14ac:dyDescent="0.25">
      <c r="A3129" s="16">
        <v>3158</v>
      </c>
      <c r="B3129" s="19" t="s">
        <v>6700</v>
      </c>
      <c r="C3129" s="19" t="s">
        <v>6701</v>
      </c>
      <c r="D3129" s="19" t="s">
        <v>6758</v>
      </c>
      <c r="E3129" s="19" t="s">
        <v>6767</v>
      </c>
    </row>
    <row r="3130" spans="1:5" ht="24" customHeight="1" x14ac:dyDescent="0.25">
      <c r="A3130" s="16">
        <v>3159</v>
      </c>
      <c r="B3130" s="19" t="s">
        <v>6700</v>
      </c>
      <c r="C3130" s="19" t="s">
        <v>6701</v>
      </c>
      <c r="D3130" s="19" t="s">
        <v>6758</v>
      </c>
      <c r="E3130" s="19" t="s">
        <v>6768</v>
      </c>
    </row>
    <row r="3131" spans="1:5" x14ac:dyDescent="0.25">
      <c r="A3131" s="16">
        <v>3160</v>
      </c>
      <c r="B3131" s="19" t="s">
        <v>6700</v>
      </c>
      <c r="C3131" s="19" t="s">
        <v>6701</v>
      </c>
      <c r="D3131" s="19" t="s">
        <v>6758</v>
      </c>
      <c r="E3131" s="19" t="s">
        <v>6769</v>
      </c>
    </row>
    <row r="3132" spans="1:5" ht="24" customHeight="1" x14ac:dyDescent="0.25">
      <c r="A3132" s="16">
        <v>3161</v>
      </c>
      <c r="B3132" s="19" t="s">
        <v>6700</v>
      </c>
      <c r="C3132" s="19" t="s">
        <v>6701</v>
      </c>
      <c r="D3132" s="19" t="s">
        <v>6758</v>
      </c>
      <c r="E3132" s="19" t="s">
        <v>6770</v>
      </c>
    </row>
    <row r="3133" spans="1:5" x14ac:dyDescent="0.25">
      <c r="A3133" s="16">
        <v>3162</v>
      </c>
      <c r="B3133" s="19" t="s">
        <v>6700</v>
      </c>
      <c r="C3133" s="19" t="s">
        <v>6701</v>
      </c>
      <c r="D3133" s="19" t="s">
        <v>6758</v>
      </c>
      <c r="E3133" s="19" t="s">
        <v>6771</v>
      </c>
    </row>
    <row r="3134" spans="1:5" x14ac:dyDescent="0.25">
      <c r="A3134" s="16">
        <v>3163</v>
      </c>
      <c r="B3134" s="19" t="s">
        <v>6700</v>
      </c>
      <c r="C3134" s="19" t="s">
        <v>6701</v>
      </c>
      <c r="D3134" s="19" t="s">
        <v>6772</v>
      </c>
      <c r="E3134" s="19" t="s">
        <v>6773</v>
      </c>
    </row>
    <row r="3135" spans="1:5" x14ac:dyDescent="0.25">
      <c r="A3135" s="16">
        <v>3164</v>
      </c>
      <c r="B3135" s="19" t="s">
        <v>6700</v>
      </c>
      <c r="C3135" s="19" t="s">
        <v>6701</v>
      </c>
      <c r="D3135" s="19" t="s">
        <v>6772</v>
      </c>
      <c r="E3135" s="19" t="s">
        <v>6774</v>
      </c>
    </row>
    <row r="3136" spans="1:5" x14ac:dyDescent="0.25">
      <c r="A3136" s="16">
        <v>3165</v>
      </c>
      <c r="B3136" s="19" t="s">
        <v>6700</v>
      </c>
      <c r="C3136" s="19" t="s">
        <v>6701</v>
      </c>
      <c r="D3136" s="19" t="s">
        <v>6772</v>
      </c>
      <c r="E3136" s="19" t="s">
        <v>6775</v>
      </c>
    </row>
    <row r="3137" spans="1:5" ht="24" customHeight="1" x14ac:dyDescent="0.25">
      <c r="A3137" s="16">
        <v>3166</v>
      </c>
      <c r="B3137" s="19" t="s">
        <v>6700</v>
      </c>
      <c r="C3137" s="19" t="s">
        <v>6701</v>
      </c>
      <c r="D3137" s="19" t="s">
        <v>6772</v>
      </c>
      <c r="E3137" s="19" t="s">
        <v>6776</v>
      </c>
    </row>
    <row r="3138" spans="1:5" x14ac:dyDescent="0.25">
      <c r="A3138" s="16">
        <v>3167</v>
      </c>
      <c r="B3138" s="19" t="s">
        <v>6700</v>
      </c>
      <c r="C3138" s="19" t="s">
        <v>6701</v>
      </c>
      <c r="D3138" s="19" t="s">
        <v>6772</v>
      </c>
      <c r="E3138" s="19" t="s">
        <v>6777</v>
      </c>
    </row>
    <row r="3139" spans="1:5" x14ac:dyDescent="0.25">
      <c r="A3139" s="16">
        <v>3168</v>
      </c>
      <c r="B3139" s="19" t="s">
        <v>6700</v>
      </c>
      <c r="C3139" s="19" t="s">
        <v>6701</v>
      </c>
      <c r="D3139" s="19" t="s">
        <v>6772</v>
      </c>
      <c r="E3139" s="19" t="s">
        <v>6778</v>
      </c>
    </row>
    <row r="3140" spans="1:5" ht="24" customHeight="1" x14ac:dyDescent="0.25">
      <c r="A3140" s="16">
        <v>3169</v>
      </c>
      <c r="B3140" s="19" t="s">
        <v>6700</v>
      </c>
      <c r="C3140" s="19" t="s">
        <v>6701</v>
      </c>
      <c r="D3140" s="19" t="s">
        <v>6772</v>
      </c>
      <c r="E3140" s="19" t="s">
        <v>6779</v>
      </c>
    </row>
    <row r="3141" spans="1:5" x14ac:dyDescent="0.25">
      <c r="A3141" s="16">
        <v>3170</v>
      </c>
      <c r="B3141" s="19" t="s">
        <v>6700</v>
      </c>
      <c r="C3141" s="19" t="s">
        <v>6701</v>
      </c>
      <c r="D3141" s="19" t="s">
        <v>6772</v>
      </c>
      <c r="E3141" s="19" t="s">
        <v>6780</v>
      </c>
    </row>
    <row r="3142" spans="1:5" ht="24" customHeight="1" x14ac:dyDescent="0.25">
      <c r="A3142" s="16">
        <v>3171</v>
      </c>
      <c r="B3142" s="19" t="s">
        <v>6700</v>
      </c>
      <c r="C3142" s="19" t="s">
        <v>6701</v>
      </c>
      <c r="D3142" s="19" t="s">
        <v>6772</v>
      </c>
      <c r="E3142" s="19" t="s">
        <v>6781</v>
      </c>
    </row>
    <row r="3143" spans="1:5" ht="36" customHeight="1" x14ac:dyDescent="0.25">
      <c r="A3143" s="16">
        <v>3172</v>
      </c>
      <c r="B3143" s="19" t="s">
        <v>6700</v>
      </c>
      <c r="C3143" s="19" t="s">
        <v>6701</v>
      </c>
      <c r="D3143" s="19" t="s">
        <v>6772</v>
      </c>
      <c r="E3143" s="19" t="s">
        <v>6782</v>
      </c>
    </row>
    <row r="3144" spans="1:5" x14ac:dyDescent="0.25">
      <c r="A3144" s="16">
        <v>3173</v>
      </c>
      <c r="B3144" s="19" t="s">
        <v>6700</v>
      </c>
      <c r="C3144" s="19" t="s">
        <v>6701</v>
      </c>
      <c r="D3144" s="19" t="s">
        <v>6772</v>
      </c>
      <c r="E3144" s="19" t="s">
        <v>6783</v>
      </c>
    </row>
    <row r="3145" spans="1:5" x14ac:dyDescent="0.25">
      <c r="A3145" s="16">
        <v>3174</v>
      </c>
      <c r="B3145" s="19" t="s">
        <v>6700</v>
      </c>
      <c r="C3145" s="19" t="s">
        <v>6701</v>
      </c>
      <c r="D3145" s="19" t="s">
        <v>6772</v>
      </c>
      <c r="E3145" s="19" t="s">
        <v>6784</v>
      </c>
    </row>
    <row r="3146" spans="1:5" x14ac:dyDescent="0.25">
      <c r="A3146" s="16">
        <v>3175</v>
      </c>
      <c r="B3146" s="19" t="s">
        <v>6700</v>
      </c>
      <c r="C3146" s="19" t="s">
        <v>6701</v>
      </c>
      <c r="D3146" s="19" t="s">
        <v>6785</v>
      </c>
      <c r="E3146" s="19" t="s">
        <v>6786</v>
      </c>
    </row>
    <row r="3147" spans="1:5" x14ac:dyDescent="0.25">
      <c r="A3147" s="16">
        <v>3176</v>
      </c>
      <c r="B3147" s="19" t="s">
        <v>6700</v>
      </c>
      <c r="C3147" s="19" t="s">
        <v>6701</v>
      </c>
      <c r="D3147" s="19" t="s">
        <v>6785</v>
      </c>
      <c r="E3147" s="19" t="s">
        <v>6787</v>
      </c>
    </row>
    <row r="3148" spans="1:5" ht="24" customHeight="1" x14ac:dyDescent="0.25">
      <c r="A3148" s="16">
        <v>3177</v>
      </c>
      <c r="B3148" s="19" t="s">
        <v>6700</v>
      </c>
      <c r="C3148" s="19" t="s">
        <v>6701</v>
      </c>
      <c r="D3148" s="19" t="s">
        <v>6785</v>
      </c>
      <c r="E3148" s="19" t="s">
        <v>6788</v>
      </c>
    </row>
    <row r="3149" spans="1:5" x14ac:dyDescent="0.25">
      <c r="A3149" s="16">
        <v>3178</v>
      </c>
      <c r="B3149" s="19" t="s">
        <v>6700</v>
      </c>
      <c r="C3149" s="19" t="s">
        <v>6701</v>
      </c>
      <c r="D3149" s="19" t="s">
        <v>6785</v>
      </c>
      <c r="E3149" s="19" t="s">
        <v>6789</v>
      </c>
    </row>
    <row r="3150" spans="1:5" x14ac:dyDescent="0.25">
      <c r="A3150" s="16">
        <v>3179</v>
      </c>
      <c r="B3150" s="19" t="s">
        <v>6700</v>
      </c>
      <c r="C3150" s="19" t="s">
        <v>6701</v>
      </c>
      <c r="D3150" s="19" t="s">
        <v>6785</v>
      </c>
      <c r="E3150" s="19" t="s">
        <v>6790</v>
      </c>
    </row>
    <row r="3151" spans="1:5" ht="24" customHeight="1" x14ac:dyDescent="0.25">
      <c r="A3151" s="16">
        <v>3180</v>
      </c>
      <c r="B3151" s="19" t="s">
        <v>6700</v>
      </c>
      <c r="C3151" s="19" t="s">
        <v>6701</v>
      </c>
      <c r="D3151" s="19" t="s">
        <v>6785</v>
      </c>
      <c r="E3151" s="19" t="s">
        <v>6791</v>
      </c>
    </row>
    <row r="3152" spans="1:5" ht="24" customHeight="1" x14ac:dyDescent="0.25">
      <c r="A3152" s="16">
        <v>3181</v>
      </c>
      <c r="B3152" s="19" t="s">
        <v>6700</v>
      </c>
      <c r="C3152" s="19" t="s">
        <v>6701</v>
      </c>
      <c r="D3152" s="19" t="s">
        <v>6785</v>
      </c>
      <c r="E3152" s="19" t="s">
        <v>6792</v>
      </c>
    </row>
    <row r="3153" spans="1:5" x14ac:dyDescent="0.25">
      <c r="A3153" s="16">
        <v>3182</v>
      </c>
      <c r="B3153" s="19" t="s">
        <v>6700</v>
      </c>
      <c r="C3153" s="19" t="s">
        <v>6701</v>
      </c>
      <c r="D3153" s="19" t="s">
        <v>6785</v>
      </c>
      <c r="E3153" s="19" t="s">
        <v>6793</v>
      </c>
    </row>
    <row r="3154" spans="1:5" x14ac:dyDescent="0.25">
      <c r="A3154" s="16">
        <v>3183</v>
      </c>
      <c r="B3154" s="19" t="s">
        <v>6700</v>
      </c>
      <c r="C3154" s="19" t="s">
        <v>6701</v>
      </c>
      <c r="D3154" s="19" t="s">
        <v>6785</v>
      </c>
      <c r="E3154" s="19" t="s">
        <v>6794</v>
      </c>
    </row>
    <row r="3155" spans="1:5" x14ac:dyDescent="0.25">
      <c r="A3155" s="16">
        <v>3184</v>
      </c>
      <c r="B3155" s="19" t="s">
        <v>6700</v>
      </c>
      <c r="C3155" s="19" t="s">
        <v>6701</v>
      </c>
      <c r="D3155" s="19" t="s">
        <v>6785</v>
      </c>
      <c r="E3155" s="19" t="s">
        <v>6795</v>
      </c>
    </row>
    <row r="3156" spans="1:5" ht="24" customHeight="1" x14ac:dyDescent="0.25">
      <c r="A3156" s="16">
        <v>3185</v>
      </c>
      <c r="B3156" s="19" t="s">
        <v>6700</v>
      </c>
      <c r="C3156" s="19" t="s">
        <v>6701</v>
      </c>
      <c r="D3156" s="19" t="s">
        <v>6785</v>
      </c>
      <c r="E3156" s="19" t="s">
        <v>6796</v>
      </c>
    </row>
    <row r="3157" spans="1:5" x14ac:dyDescent="0.25">
      <c r="A3157" s="16">
        <v>3186</v>
      </c>
      <c r="B3157" s="19" t="s">
        <v>6700</v>
      </c>
      <c r="C3157" s="19" t="s">
        <v>6701</v>
      </c>
      <c r="D3157" s="19" t="s">
        <v>6797</v>
      </c>
      <c r="E3157" s="19" t="s">
        <v>6798</v>
      </c>
    </row>
    <row r="3158" spans="1:5" x14ac:dyDescent="0.25">
      <c r="A3158" s="16">
        <v>3187</v>
      </c>
      <c r="B3158" s="19" t="s">
        <v>6700</v>
      </c>
      <c r="C3158" s="19" t="s">
        <v>6701</v>
      </c>
      <c r="D3158" s="19" t="s">
        <v>6797</v>
      </c>
      <c r="E3158" s="19" t="s">
        <v>6799</v>
      </c>
    </row>
    <row r="3159" spans="1:5" x14ac:dyDescent="0.25">
      <c r="A3159" s="16">
        <v>3188</v>
      </c>
      <c r="B3159" s="19" t="s">
        <v>6700</v>
      </c>
      <c r="C3159" s="19" t="s">
        <v>6701</v>
      </c>
      <c r="D3159" s="19" t="s">
        <v>6797</v>
      </c>
      <c r="E3159" s="19" t="s">
        <v>6800</v>
      </c>
    </row>
    <row r="3160" spans="1:5" x14ac:dyDescent="0.25">
      <c r="A3160" s="16">
        <v>3189</v>
      </c>
      <c r="B3160" s="19" t="s">
        <v>6700</v>
      </c>
      <c r="C3160" s="19" t="s">
        <v>6701</v>
      </c>
      <c r="D3160" s="19" t="s">
        <v>6797</v>
      </c>
      <c r="E3160" s="19" t="s">
        <v>4071</v>
      </c>
    </row>
    <row r="3161" spans="1:5" x14ac:dyDescent="0.25">
      <c r="A3161" s="16">
        <v>3190</v>
      </c>
      <c r="B3161" s="19" t="s">
        <v>6700</v>
      </c>
      <c r="C3161" s="19" t="s">
        <v>6701</v>
      </c>
      <c r="D3161" s="19" t="s">
        <v>6797</v>
      </c>
      <c r="E3161" s="19" t="s">
        <v>6801</v>
      </c>
    </row>
    <row r="3162" spans="1:5" ht="24" customHeight="1" x14ac:dyDescent="0.25">
      <c r="A3162" s="16">
        <v>3191</v>
      </c>
      <c r="B3162" s="19" t="s">
        <v>6700</v>
      </c>
      <c r="C3162" s="19" t="s">
        <v>6701</v>
      </c>
      <c r="D3162" s="19" t="s">
        <v>6797</v>
      </c>
      <c r="E3162" s="19" t="s">
        <v>6802</v>
      </c>
    </row>
    <row r="3163" spans="1:5" ht="24" customHeight="1" x14ac:dyDescent="0.25">
      <c r="A3163" s="16">
        <v>3192</v>
      </c>
      <c r="B3163" s="19" t="s">
        <v>6700</v>
      </c>
      <c r="C3163" s="19" t="s">
        <v>6701</v>
      </c>
      <c r="D3163" s="19" t="s">
        <v>6797</v>
      </c>
      <c r="E3163" s="19" t="s">
        <v>6803</v>
      </c>
    </row>
    <row r="3164" spans="1:5" x14ac:dyDescent="0.25">
      <c r="A3164" s="16">
        <v>3193</v>
      </c>
      <c r="B3164" s="19" t="s">
        <v>6700</v>
      </c>
      <c r="C3164" s="19" t="s">
        <v>6701</v>
      </c>
      <c r="D3164" s="19" t="s">
        <v>6797</v>
      </c>
      <c r="E3164" s="19" t="s">
        <v>6804</v>
      </c>
    </row>
    <row r="3165" spans="1:5" x14ac:dyDescent="0.25">
      <c r="A3165" s="16">
        <v>3194</v>
      </c>
      <c r="B3165" s="19" t="s">
        <v>6700</v>
      </c>
      <c r="C3165" s="19" t="s">
        <v>6701</v>
      </c>
      <c r="D3165" s="19" t="s">
        <v>6805</v>
      </c>
      <c r="E3165" s="19" t="s">
        <v>6806</v>
      </c>
    </row>
    <row r="3166" spans="1:5" x14ac:dyDescent="0.25">
      <c r="A3166" s="16">
        <v>3195</v>
      </c>
      <c r="B3166" s="19" t="s">
        <v>6700</v>
      </c>
      <c r="C3166" s="19" t="s">
        <v>6701</v>
      </c>
      <c r="D3166" s="19" t="s">
        <v>6805</v>
      </c>
      <c r="E3166" s="19" t="s">
        <v>6807</v>
      </c>
    </row>
    <row r="3167" spans="1:5" x14ac:dyDescent="0.25">
      <c r="A3167" s="16">
        <v>3196</v>
      </c>
      <c r="B3167" s="19" t="s">
        <v>6700</v>
      </c>
      <c r="C3167" s="19" t="s">
        <v>6701</v>
      </c>
      <c r="D3167" s="19" t="s">
        <v>6805</v>
      </c>
      <c r="E3167" s="19" t="s">
        <v>6808</v>
      </c>
    </row>
    <row r="3168" spans="1:5" x14ac:dyDescent="0.25">
      <c r="A3168" s="16">
        <v>3197</v>
      </c>
      <c r="B3168" s="19" t="s">
        <v>6700</v>
      </c>
      <c r="C3168" s="19" t="s">
        <v>6701</v>
      </c>
      <c r="D3168" s="19" t="s">
        <v>6805</v>
      </c>
      <c r="E3168" s="19" t="s">
        <v>6809</v>
      </c>
    </row>
    <row r="3169" spans="1:5" x14ac:dyDescent="0.25">
      <c r="A3169" s="16">
        <v>3198</v>
      </c>
      <c r="B3169" s="19" t="s">
        <v>6700</v>
      </c>
      <c r="C3169" s="19" t="s">
        <v>6701</v>
      </c>
      <c r="D3169" s="19" t="s">
        <v>6805</v>
      </c>
      <c r="E3169" s="19" t="s">
        <v>6810</v>
      </c>
    </row>
    <row r="3170" spans="1:5" ht="24" customHeight="1" x14ac:dyDescent="0.25">
      <c r="A3170" s="16">
        <v>3199</v>
      </c>
      <c r="B3170" s="19" t="s">
        <v>6700</v>
      </c>
      <c r="C3170" s="19" t="s">
        <v>6701</v>
      </c>
      <c r="D3170" s="19" t="s">
        <v>6805</v>
      </c>
      <c r="E3170" s="19" t="s">
        <v>6811</v>
      </c>
    </row>
    <row r="3171" spans="1:5" x14ac:dyDescent="0.25">
      <c r="A3171" s="16">
        <v>3200</v>
      </c>
      <c r="B3171" s="19" t="s">
        <v>6700</v>
      </c>
      <c r="C3171" s="19" t="s">
        <v>6701</v>
      </c>
      <c r="D3171" s="19" t="s">
        <v>6805</v>
      </c>
      <c r="E3171" s="19" t="s">
        <v>6812</v>
      </c>
    </row>
    <row r="3172" spans="1:5" x14ac:dyDescent="0.25">
      <c r="A3172" s="16">
        <v>3201</v>
      </c>
      <c r="B3172" s="19" t="s">
        <v>6700</v>
      </c>
      <c r="C3172" s="19" t="s">
        <v>6701</v>
      </c>
      <c r="D3172" s="19" t="s">
        <v>6805</v>
      </c>
      <c r="E3172" s="19" t="s">
        <v>6813</v>
      </c>
    </row>
    <row r="3173" spans="1:5" x14ac:dyDescent="0.25">
      <c r="A3173" s="16">
        <v>3202</v>
      </c>
      <c r="B3173" s="19" t="s">
        <v>6700</v>
      </c>
      <c r="C3173" s="19" t="s">
        <v>6701</v>
      </c>
      <c r="D3173" s="19" t="s">
        <v>6805</v>
      </c>
      <c r="E3173" s="19" t="s">
        <v>6814</v>
      </c>
    </row>
    <row r="3174" spans="1:5" x14ac:dyDescent="0.25">
      <c r="A3174" s="16">
        <v>3203</v>
      </c>
      <c r="B3174" s="19" t="s">
        <v>6700</v>
      </c>
      <c r="C3174" s="19" t="s">
        <v>6701</v>
      </c>
      <c r="D3174" s="19" t="s">
        <v>6805</v>
      </c>
      <c r="E3174" s="19" t="s">
        <v>6815</v>
      </c>
    </row>
    <row r="3175" spans="1:5" x14ac:dyDescent="0.25">
      <c r="A3175" s="16">
        <v>3204</v>
      </c>
      <c r="B3175" s="19" t="s">
        <v>6700</v>
      </c>
      <c r="C3175" s="19" t="s">
        <v>6701</v>
      </c>
      <c r="D3175" s="19" t="s">
        <v>6816</v>
      </c>
      <c r="E3175" s="19" t="s">
        <v>6817</v>
      </c>
    </row>
    <row r="3176" spans="1:5" ht="24" customHeight="1" x14ac:dyDescent="0.25">
      <c r="A3176" s="16">
        <v>3205</v>
      </c>
      <c r="B3176" s="19" t="s">
        <v>6700</v>
      </c>
      <c r="C3176" s="19" t="s">
        <v>6701</v>
      </c>
      <c r="D3176" s="19" t="s">
        <v>6816</v>
      </c>
      <c r="E3176" s="19" t="s">
        <v>6818</v>
      </c>
    </row>
    <row r="3177" spans="1:5" x14ac:dyDescent="0.25">
      <c r="A3177" s="16">
        <v>3206</v>
      </c>
      <c r="B3177" s="19" t="s">
        <v>6700</v>
      </c>
      <c r="C3177" s="19" t="s">
        <v>6701</v>
      </c>
      <c r="D3177" s="19" t="s">
        <v>6816</v>
      </c>
      <c r="E3177" s="19" t="s">
        <v>6819</v>
      </c>
    </row>
    <row r="3178" spans="1:5" x14ac:dyDescent="0.25">
      <c r="A3178" s="16">
        <v>3207</v>
      </c>
      <c r="B3178" s="19" t="s">
        <v>6700</v>
      </c>
      <c r="C3178" s="19" t="s">
        <v>6701</v>
      </c>
      <c r="D3178" s="19" t="s">
        <v>6816</v>
      </c>
      <c r="E3178" s="19" t="s">
        <v>6820</v>
      </c>
    </row>
    <row r="3179" spans="1:5" x14ac:dyDescent="0.25">
      <c r="A3179" s="16">
        <v>3208</v>
      </c>
      <c r="B3179" s="19" t="s">
        <v>6700</v>
      </c>
      <c r="C3179" s="19" t="s">
        <v>6701</v>
      </c>
      <c r="D3179" s="19" t="s">
        <v>6816</v>
      </c>
      <c r="E3179" s="19" t="s">
        <v>6821</v>
      </c>
    </row>
    <row r="3180" spans="1:5" x14ac:dyDescent="0.25">
      <c r="A3180" s="16">
        <v>3209</v>
      </c>
      <c r="B3180" s="19" t="s">
        <v>6700</v>
      </c>
      <c r="C3180" s="19" t="s">
        <v>6701</v>
      </c>
      <c r="D3180" s="19" t="s">
        <v>6816</v>
      </c>
      <c r="E3180" s="19" t="s">
        <v>6822</v>
      </c>
    </row>
    <row r="3181" spans="1:5" x14ac:dyDescent="0.25">
      <c r="A3181" s="16">
        <v>3210</v>
      </c>
      <c r="B3181" s="19" t="s">
        <v>6700</v>
      </c>
      <c r="C3181" s="19" t="s">
        <v>6701</v>
      </c>
      <c r="D3181" s="19" t="s">
        <v>6816</v>
      </c>
      <c r="E3181" s="19" t="s">
        <v>6823</v>
      </c>
    </row>
    <row r="3182" spans="1:5" x14ac:dyDescent="0.25">
      <c r="A3182" s="16">
        <v>3211</v>
      </c>
      <c r="B3182" s="19" t="s">
        <v>6700</v>
      </c>
      <c r="C3182" s="19" t="s">
        <v>6701</v>
      </c>
      <c r="D3182" s="19" t="s">
        <v>6824</v>
      </c>
      <c r="E3182" s="19" t="s">
        <v>6825</v>
      </c>
    </row>
    <row r="3183" spans="1:5" x14ac:dyDescent="0.25">
      <c r="A3183" s="16">
        <v>3212</v>
      </c>
      <c r="B3183" s="19" t="s">
        <v>6700</v>
      </c>
      <c r="C3183" s="19" t="s">
        <v>6701</v>
      </c>
      <c r="D3183" s="19" t="s">
        <v>6824</v>
      </c>
      <c r="E3183" s="19" t="s">
        <v>6826</v>
      </c>
    </row>
    <row r="3184" spans="1:5" x14ac:dyDescent="0.25">
      <c r="A3184" s="16">
        <v>3213</v>
      </c>
      <c r="B3184" s="19" t="s">
        <v>6700</v>
      </c>
      <c r="C3184" s="19" t="s">
        <v>6701</v>
      </c>
      <c r="D3184" s="19" t="s">
        <v>6824</v>
      </c>
      <c r="E3184" s="19" t="s">
        <v>6827</v>
      </c>
    </row>
    <row r="3185" spans="1:5" x14ac:dyDescent="0.25">
      <c r="A3185" s="16">
        <v>3214</v>
      </c>
      <c r="B3185" s="19" t="s">
        <v>6700</v>
      </c>
      <c r="C3185" s="19" t="s">
        <v>6701</v>
      </c>
      <c r="D3185" s="19" t="s">
        <v>6824</v>
      </c>
      <c r="E3185" s="19" t="s">
        <v>6828</v>
      </c>
    </row>
    <row r="3186" spans="1:5" x14ac:dyDescent="0.25">
      <c r="A3186" s="16">
        <v>3215</v>
      </c>
      <c r="B3186" s="19" t="s">
        <v>6700</v>
      </c>
      <c r="C3186" s="19" t="s">
        <v>6701</v>
      </c>
      <c r="D3186" s="19" t="s">
        <v>6824</v>
      </c>
      <c r="E3186" s="19" t="s">
        <v>6829</v>
      </c>
    </row>
    <row r="3187" spans="1:5" x14ac:dyDescent="0.25">
      <c r="A3187" s="16">
        <v>3216</v>
      </c>
      <c r="B3187" s="19" t="s">
        <v>6700</v>
      </c>
      <c r="C3187" s="19" t="s">
        <v>6701</v>
      </c>
      <c r="D3187" s="19" t="s">
        <v>6824</v>
      </c>
      <c r="E3187" s="19" t="s">
        <v>6830</v>
      </c>
    </row>
    <row r="3188" spans="1:5" x14ac:dyDescent="0.25">
      <c r="A3188" s="16">
        <v>3217</v>
      </c>
      <c r="B3188" s="19" t="s">
        <v>6700</v>
      </c>
      <c r="C3188" s="19" t="s">
        <v>6701</v>
      </c>
      <c r="D3188" s="19" t="s">
        <v>6824</v>
      </c>
      <c r="E3188" s="19" t="s">
        <v>6831</v>
      </c>
    </row>
    <row r="3189" spans="1:5" x14ac:dyDescent="0.25">
      <c r="A3189" s="16">
        <v>3218</v>
      </c>
      <c r="B3189" s="19" t="s">
        <v>6700</v>
      </c>
      <c r="C3189" s="19" t="s">
        <v>6701</v>
      </c>
      <c r="D3189" s="19" t="s">
        <v>6824</v>
      </c>
      <c r="E3189" s="19" t="s">
        <v>6832</v>
      </c>
    </row>
    <row r="3190" spans="1:5" x14ac:dyDescent="0.25">
      <c r="A3190" s="16">
        <v>3219</v>
      </c>
      <c r="B3190" s="19" t="s">
        <v>6700</v>
      </c>
      <c r="C3190" s="19" t="s">
        <v>6701</v>
      </c>
      <c r="D3190" s="19" t="s">
        <v>6824</v>
      </c>
      <c r="E3190" s="19" t="s">
        <v>6833</v>
      </c>
    </row>
    <row r="3191" spans="1:5" x14ac:dyDescent="0.25">
      <c r="A3191" s="16">
        <v>3220</v>
      </c>
      <c r="B3191" s="19" t="s">
        <v>6700</v>
      </c>
      <c r="C3191" s="19" t="s">
        <v>6834</v>
      </c>
      <c r="D3191" s="19" t="s">
        <v>6835</v>
      </c>
      <c r="E3191" s="19" t="s">
        <v>6836</v>
      </c>
    </row>
    <row r="3192" spans="1:5" x14ac:dyDescent="0.25">
      <c r="A3192" s="16">
        <v>3221</v>
      </c>
      <c r="B3192" s="19" t="s">
        <v>6700</v>
      </c>
      <c r="C3192" s="19" t="s">
        <v>6834</v>
      </c>
      <c r="D3192" s="19" t="s">
        <v>6835</v>
      </c>
      <c r="E3192" s="19" t="s">
        <v>6837</v>
      </c>
    </row>
    <row r="3193" spans="1:5" x14ac:dyDescent="0.25">
      <c r="A3193" s="16">
        <v>3222</v>
      </c>
      <c r="B3193" s="19" t="s">
        <v>6700</v>
      </c>
      <c r="C3193" s="19" t="s">
        <v>6834</v>
      </c>
      <c r="D3193" s="19" t="s">
        <v>6835</v>
      </c>
      <c r="E3193" s="19" t="s">
        <v>6838</v>
      </c>
    </row>
    <row r="3194" spans="1:5" x14ac:dyDescent="0.25">
      <c r="A3194" s="16">
        <v>3223</v>
      </c>
      <c r="B3194" s="19" t="s">
        <v>6700</v>
      </c>
      <c r="C3194" s="19" t="s">
        <v>6834</v>
      </c>
      <c r="D3194" s="19" t="s">
        <v>6835</v>
      </c>
      <c r="E3194" s="19" t="s">
        <v>6839</v>
      </c>
    </row>
    <row r="3195" spans="1:5" x14ac:dyDescent="0.25">
      <c r="A3195" s="16">
        <v>3224</v>
      </c>
      <c r="B3195" s="19" t="s">
        <v>6700</v>
      </c>
      <c r="C3195" s="19" t="s">
        <v>6834</v>
      </c>
      <c r="D3195" s="19" t="s">
        <v>6835</v>
      </c>
      <c r="E3195" s="19" t="s">
        <v>6840</v>
      </c>
    </row>
    <row r="3196" spans="1:5" x14ac:dyDescent="0.25">
      <c r="A3196" s="16">
        <v>3225</v>
      </c>
      <c r="B3196" s="19" t="s">
        <v>6700</v>
      </c>
      <c r="C3196" s="19" t="s">
        <v>6834</v>
      </c>
      <c r="D3196" s="19" t="s">
        <v>6835</v>
      </c>
      <c r="E3196" s="19" t="s">
        <v>6841</v>
      </c>
    </row>
    <row r="3197" spans="1:5" x14ac:dyDescent="0.25">
      <c r="A3197" s="16">
        <v>3226</v>
      </c>
      <c r="B3197" s="19" t="s">
        <v>6700</v>
      </c>
      <c r="C3197" s="19" t="s">
        <v>6834</v>
      </c>
      <c r="D3197" s="19" t="s">
        <v>6835</v>
      </c>
      <c r="E3197" s="19" t="s">
        <v>6842</v>
      </c>
    </row>
    <row r="3198" spans="1:5" x14ac:dyDescent="0.25">
      <c r="A3198" s="16">
        <v>3227</v>
      </c>
      <c r="B3198" s="19" t="s">
        <v>6700</v>
      </c>
      <c r="C3198" s="19" t="s">
        <v>6834</v>
      </c>
      <c r="D3198" s="19" t="s">
        <v>6835</v>
      </c>
      <c r="E3198" s="19" t="s">
        <v>6813</v>
      </c>
    </row>
    <row r="3199" spans="1:5" x14ac:dyDescent="0.25">
      <c r="A3199" s="16">
        <v>3228</v>
      </c>
      <c r="B3199" s="19" t="s">
        <v>6700</v>
      </c>
      <c r="C3199" s="19" t="s">
        <v>6834</v>
      </c>
      <c r="D3199" s="19" t="s">
        <v>6835</v>
      </c>
      <c r="E3199" s="19" t="s">
        <v>6843</v>
      </c>
    </row>
    <row r="3200" spans="1:5" x14ac:dyDescent="0.25">
      <c r="A3200" s="16">
        <v>3229</v>
      </c>
      <c r="B3200" s="19" t="s">
        <v>6700</v>
      </c>
      <c r="C3200" s="19" t="s">
        <v>6834</v>
      </c>
      <c r="D3200" s="19" t="s">
        <v>6834</v>
      </c>
      <c r="E3200" s="19" t="s">
        <v>6844</v>
      </c>
    </row>
    <row r="3201" spans="1:5" x14ac:dyDescent="0.25">
      <c r="A3201" s="16">
        <v>3230</v>
      </c>
      <c r="B3201" s="19" t="s">
        <v>6700</v>
      </c>
      <c r="C3201" s="19" t="s">
        <v>6834</v>
      </c>
      <c r="D3201" s="19" t="s">
        <v>6834</v>
      </c>
      <c r="E3201" s="19" t="s">
        <v>6845</v>
      </c>
    </row>
    <row r="3202" spans="1:5" x14ac:dyDescent="0.25">
      <c r="A3202" s="16">
        <v>3231</v>
      </c>
      <c r="B3202" s="19" t="s">
        <v>6700</v>
      </c>
      <c r="C3202" s="19" t="s">
        <v>6834</v>
      </c>
      <c r="D3202" s="19" t="s">
        <v>6834</v>
      </c>
      <c r="E3202" s="19" t="s">
        <v>6846</v>
      </c>
    </row>
    <row r="3203" spans="1:5" x14ac:dyDescent="0.25">
      <c r="A3203" s="16">
        <v>3232</v>
      </c>
      <c r="B3203" s="19" t="s">
        <v>6700</v>
      </c>
      <c r="C3203" s="19" t="s">
        <v>6834</v>
      </c>
      <c r="D3203" s="19" t="s">
        <v>6834</v>
      </c>
      <c r="E3203" s="19" t="s">
        <v>6847</v>
      </c>
    </row>
    <row r="3204" spans="1:5" x14ac:dyDescent="0.25">
      <c r="A3204" s="16">
        <v>3233</v>
      </c>
      <c r="B3204" s="19" t="s">
        <v>6700</v>
      </c>
      <c r="C3204" s="19" t="s">
        <v>6834</v>
      </c>
      <c r="D3204" s="19" t="s">
        <v>6834</v>
      </c>
      <c r="E3204" s="19" t="s">
        <v>6848</v>
      </c>
    </row>
    <row r="3205" spans="1:5" x14ac:dyDescent="0.25">
      <c r="A3205" s="16">
        <v>3234</v>
      </c>
      <c r="B3205" s="19" t="s">
        <v>6700</v>
      </c>
      <c r="C3205" s="19" t="s">
        <v>6834</v>
      </c>
      <c r="D3205" s="19" t="s">
        <v>6834</v>
      </c>
      <c r="E3205" s="19" t="s">
        <v>6849</v>
      </c>
    </row>
    <row r="3206" spans="1:5" ht="24" customHeight="1" x14ac:dyDescent="0.25">
      <c r="A3206" s="16">
        <v>3235</v>
      </c>
      <c r="B3206" s="19" t="s">
        <v>6700</v>
      </c>
      <c r="C3206" s="19" t="s">
        <v>6834</v>
      </c>
      <c r="D3206" s="19" t="s">
        <v>6834</v>
      </c>
      <c r="E3206" s="19" t="s">
        <v>6850</v>
      </c>
    </row>
    <row r="3207" spans="1:5" ht="24" customHeight="1" x14ac:dyDescent="0.25">
      <c r="A3207" s="16">
        <v>3236</v>
      </c>
      <c r="B3207" s="19" t="s">
        <v>6700</v>
      </c>
      <c r="C3207" s="19" t="s">
        <v>6834</v>
      </c>
      <c r="D3207" s="19" t="s">
        <v>6834</v>
      </c>
      <c r="E3207" s="19" t="s">
        <v>6851</v>
      </c>
    </row>
    <row r="3208" spans="1:5" ht="24" customHeight="1" x14ac:dyDescent="0.25">
      <c r="A3208" s="16">
        <v>3237</v>
      </c>
      <c r="B3208" s="19" t="s">
        <v>6700</v>
      </c>
      <c r="C3208" s="19" t="s">
        <v>6834</v>
      </c>
      <c r="D3208" s="19" t="s">
        <v>6834</v>
      </c>
      <c r="E3208" s="19" t="s">
        <v>6852</v>
      </c>
    </row>
    <row r="3209" spans="1:5" ht="24" customHeight="1" x14ac:dyDescent="0.25">
      <c r="A3209" s="16">
        <v>3238</v>
      </c>
      <c r="B3209" s="19" t="s">
        <v>6700</v>
      </c>
      <c r="C3209" s="19" t="s">
        <v>6834</v>
      </c>
      <c r="D3209" s="19" t="s">
        <v>6834</v>
      </c>
      <c r="E3209" s="19" t="s">
        <v>6853</v>
      </c>
    </row>
    <row r="3210" spans="1:5" ht="24" customHeight="1" x14ac:dyDescent="0.25">
      <c r="A3210" s="16">
        <v>3239</v>
      </c>
      <c r="B3210" s="19" t="s">
        <v>6700</v>
      </c>
      <c r="C3210" s="19" t="s">
        <v>6834</v>
      </c>
      <c r="D3210" s="19" t="s">
        <v>6834</v>
      </c>
      <c r="E3210" s="19" t="s">
        <v>6854</v>
      </c>
    </row>
    <row r="3211" spans="1:5" ht="24" customHeight="1" x14ac:dyDescent="0.25">
      <c r="A3211" s="16">
        <v>3240</v>
      </c>
      <c r="B3211" s="19" t="s">
        <v>6700</v>
      </c>
      <c r="C3211" s="19" t="s">
        <v>6834</v>
      </c>
      <c r="D3211" s="19" t="s">
        <v>6834</v>
      </c>
      <c r="E3211" s="19" t="s">
        <v>6855</v>
      </c>
    </row>
    <row r="3212" spans="1:5" ht="24" customHeight="1" x14ac:dyDescent="0.25">
      <c r="A3212" s="16">
        <v>3241</v>
      </c>
      <c r="B3212" s="19" t="s">
        <v>6700</v>
      </c>
      <c r="C3212" s="19" t="s">
        <v>6834</v>
      </c>
      <c r="D3212" s="19" t="s">
        <v>6834</v>
      </c>
      <c r="E3212" s="19" t="s">
        <v>6856</v>
      </c>
    </row>
    <row r="3213" spans="1:5" x14ac:dyDescent="0.25">
      <c r="A3213" s="16">
        <v>3242</v>
      </c>
      <c r="B3213" s="19" t="s">
        <v>6700</v>
      </c>
      <c r="C3213" s="19" t="s">
        <v>6834</v>
      </c>
      <c r="D3213" s="19" t="s">
        <v>6834</v>
      </c>
      <c r="E3213" s="19" t="s">
        <v>6857</v>
      </c>
    </row>
    <row r="3214" spans="1:5" x14ac:dyDescent="0.25">
      <c r="A3214" s="16">
        <v>3243</v>
      </c>
      <c r="B3214" s="19" t="s">
        <v>6700</v>
      </c>
      <c r="C3214" s="19" t="s">
        <v>6834</v>
      </c>
      <c r="D3214" s="19" t="s">
        <v>6834</v>
      </c>
      <c r="E3214" s="19" t="s">
        <v>6858</v>
      </c>
    </row>
    <row r="3215" spans="1:5" x14ac:dyDescent="0.25">
      <c r="A3215" s="16">
        <v>3244</v>
      </c>
      <c r="B3215" s="19" t="s">
        <v>6700</v>
      </c>
      <c r="C3215" s="19" t="s">
        <v>6834</v>
      </c>
      <c r="D3215" s="19" t="s">
        <v>6834</v>
      </c>
      <c r="E3215" s="19" t="s">
        <v>6859</v>
      </c>
    </row>
    <row r="3216" spans="1:5" ht="24" customHeight="1" x14ac:dyDescent="0.25">
      <c r="A3216" s="16">
        <v>3245</v>
      </c>
      <c r="B3216" s="19" t="s">
        <v>6700</v>
      </c>
      <c r="C3216" s="19" t="s">
        <v>6834</v>
      </c>
      <c r="D3216" s="19" t="s">
        <v>6834</v>
      </c>
      <c r="E3216" s="19" t="s">
        <v>6860</v>
      </c>
    </row>
    <row r="3217" spans="1:5" x14ac:dyDescent="0.25">
      <c r="A3217" s="16">
        <v>3246</v>
      </c>
      <c r="B3217" s="19" t="s">
        <v>6700</v>
      </c>
      <c r="C3217" s="19" t="s">
        <v>6834</v>
      </c>
      <c r="D3217" s="19" t="s">
        <v>6834</v>
      </c>
      <c r="E3217" s="19" t="s">
        <v>6861</v>
      </c>
    </row>
    <row r="3218" spans="1:5" x14ac:dyDescent="0.25">
      <c r="A3218" s="16">
        <v>3247</v>
      </c>
      <c r="B3218" s="19" t="s">
        <v>6700</v>
      </c>
      <c r="C3218" s="19" t="s">
        <v>6834</v>
      </c>
      <c r="D3218" s="19" t="s">
        <v>6834</v>
      </c>
      <c r="E3218" s="19" t="s">
        <v>6862</v>
      </c>
    </row>
    <row r="3219" spans="1:5" x14ac:dyDescent="0.25">
      <c r="A3219" s="16">
        <v>3248</v>
      </c>
      <c r="B3219" s="19" t="s">
        <v>6700</v>
      </c>
      <c r="C3219" s="19" t="s">
        <v>6834</v>
      </c>
      <c r="D3219" s="19" t="s">
        <v>6834</v>
      </c>
      <c r="E3219" s="19" t="s">
        <v>6863</v>
      </c>
    </row>
    <row r="3220" spans="1:5" x14ac:dyDescent="0.25">
      <c r="A3220" s="16">
        <v>3249</v>
      </c>
      <c r="B3220" s="19" t="s">
        <v>6700</v>
      </c>
      <c r="C3220" s="19" t="s">
        <v>6834</v>
      </c>
      <c r="D3220" s="19" t="s">
        <v>6864</v>
      </c>
      <c r="E3220" s="19" t="s">
        <v>6865</v>
      </c>
    </row>
    <row r="3221" spans="1:5" ht="24" customHeight="1" x14ac:dyDescent="0.25">
      <c r="A3221" s="16">
        <v>3250</v>
      </c>
      <c r="B3221" s="19" t="s">
        <v>6700</v>
      </c>
      <c r="C3221" s="19" t="s">
        <v>6834</v>
      </c>
      <c r="D3221" s="19" t="s">
        <v>6864</v>
      </c>
      <c r="E3221" s="19" t="s">
        <v>6866</v>
      </c>
    </row>
    <row r="3222" spans="1:5" ht="24" customHeight="1" x14ac:dyDescent="0.25">
      <c r="A3222" s="16">
        <v>3251</v>
      </c>
      <c r="B3222" s="19" t="s">
        <v>6700</v>
      </c>
      <c r="C3222" s="19" t="s">
        <v>6834</v>
      </c>
      <c r="D3222" s="19" t="s">
        <v>6864</v>
      </c>
      <c r="E3222" s="19" t="s">
        <v>6867</v>
      </c>
    </row>
    <row r="3223" spans="1:5" ht="36" customHeight="1" x14ac:dyDescent="0.25">
      <c r="A3223" s="16">
        <v>3252</v>
      </c>
      <c r="B3223" s="19" t="s">
        <v>6700</v>
      </c>
      <c r="C3223" s="19" t="s">
        <v>6834</v>
      </c>
      <c r="D3223" s="19" t="s">
        <v>6864</v>
      </c>
      <c r="E3223" s="19" t="s">
        <v>6868</v>
      </c>
    </row>
    <row r="3224" spans="1:5" x14ac:dyDescent="0.25">
      <c r="A3224" s="16">
        <v>3253</v>
      </c>
      <c r="B3224" s="19" t="s">
        <v>6700</v>
      </c>
      <c r="C3224" s="19" t="s">
        <v>6834</v>
      </c>
      <c r="D3224" s="19" t="s">
        <v>6864</v>
      </c>
      <c r="E3224" s="19" t="s">
        <v>6869</v>
      </c>
    </row>
    <row r="3225" spans="1:5" x14ac:dyDescent="0.25">
      <c r="A3225" s="16">
        <v>3254</v>
      </c>
      <c r="B3225" s="19" t="s">
        <v>6700</v>
      </c>
      <c r="C3225" s="19" t="s">
        <v>6834</v>
      </c>
      <c r="D3225" s="19" t="s">
        <v>6864</v>
      </c>
      <c r="E3225" s="19" t="s">
        <v>6870</v>
      </c>
    </row>
    <row r="3226" spans="1:5" x14ac:dyDescent="0.25">
      <c r="A3226" s="16">
        <v>3255</v>
      </c>
      <c r="B3226" s="19" t="s">
        <v>6700</v>
      </c>
      <c r="C3226" s="19" t="s">
        <v>6834</v>
      </c>
      <c r="D3226" s="19" t="s">
        <v>6864</v>
      </c>
      <c r="E3226" s="19" t="s">
        <v>6871</v>
      </c>
    </row>
    <row r="3227" spans="1:5" ht="24" customHeight="1" x14ac:dyDescent="0.25">
      <c r="A3227" s="16">
        <v>3256</v>
      </c>
      <c r="B3227" s="19" t="s">
        <v>6700</v>
      </c>
      <c r="C3227" s="19" t="s">
        <v>6834</v>
      </c>
      <c r="D3227" s="19" t="s">
        <v>6872</v>
      </c>
      <c r="E3227" s="19" t="s">
        <v>6873</v>
      </c>
    </row>
    <row r="3228" spans="1:5" ht="24" customHeight="1" x14ac:dyDescent="0.25">
      <c r="A3228" s="16">
        <v>3257</v>
      </c>
      <c r="B3228" s="19" t="s">
        <v>6700</v>
      </c>
      <c r="C3228" s="19" t="s">
        <v>6834</v>
      </c>
      <c r="D3228" s="19" t="s">
        <v>6872</v>
      </c>
      <c r="E3228" s="19" t="s">
        <v>6874</v>
      </c>
    </row>
    <row r="3229" spans="1:5" ht="24" customHeight="1" x14ac:dyDescent="0.25">
      <c r="A3229" s="16">
        <v>3258</v>
      </c>
      <c r="B3229" s="19" t="s">
        <v>6700</v>
      </c>
      <c r="C3229" s="19" t="s">
        <v>6834</v>
      </c>
      <c r="D3229" s="19" t="s">
        <v>6872</v>
      </c>
      <c r="E3229" s="19" t="s">
        <v>6875</v>
      </c>
    </row>
    <row r="3230" spans="1:5" ht="24" customHeight="1" x14ac:dyDescent="0.25">
      <c r="A3230" s="16">
        <v>3259</v>
      </c>
      <c r="B3230" s="19" t="s">
        <v>6700</v>
      </c>
      <c r="C3230" s="19" t="s">
        <v>6834</v>
      </c>
      <c r="D3230" s="19" t="s">
        <v>6872</v>
      </c>
      <c r="E3230" s="19" t="s">
        <v>6876</v>
      </c>
    </row>
    <row r="3231" spans="1:5" ht="24" customHeight="1" x14ac:dyDescent="0.25">
      <c r="A3231" s="16">
        <v>3260</v>
      </c>
      <c r="B3231" s="19" t="s">
        <v>6700</v>
      </c>
      <c r="C3231" s="19" t="s">
        <v>6834</v>
      </c>
      <c r="D3231" s="19" t="s">
        <v>6872</v>
      </c>
      <c r="E3231" s="19" t="s">
        <v>6877</v>
      </c>
    </row>
    <row r="3232" spans="1:5" ht="24" customHeight="1" x14ac:dyDescent="0.25">
      <c r="A3232" s="16">
        <v>3261</v>
      </c>
      <c r="B3232" s="19" t="s">
        <v>6700</v>
      </c>
      <c r="C3232" s="19" t="s">
        <v>6834</v>
      </c>
      <c r="D3232" s="19" t="s">
        <v>6872</v>
      </c>
      <c r="E3232" s="19" t="s">
        <v>6878</v>
      </c>
    </row>
    <row r="3233" spans="1:5" ht="24" customHeight="1" x14ac:dyDescent="0.25">
      <c r="A3233" s="16">
        <v>3262</v>
      </c>
      <c r="B3233" s="19" t="s">
        <v>6700</v>
      </c>
      <c r="C3233" s="19" t="s">
        <v>6834</v>
      </c>
      <c r="D3233" s="19" t="s">
        <v>6872</v>
      </c>
      <c r="E3233" s="19" t="s">
        <v>6879</v>
      </c>
    </row>
    <row r="3234" spans="1:5" ht="24" customHeight="1" x14ac:dyDescent="0.25">
      <c r="A3234" s="16">
        <v>3263</v>
      </c>
      <c r="B3234" s="19" t="s">
        <v>6700</v>
      </c>
      <c r="C3234" s="19" t="s">
        <v>6834</v>
      </c>
      <c r="D3234" s="19" t="s">
        <v>6872</v>
      </c>
      <c r="E3234" s="19" t="s">
        <v>6880</v>
      </c>
    </row>
    <row r="3235" spans="1:5" ht="24" customHeight="1" x14ac:dyDescent="0.25">
      <c r="A3235" s="16">
        <v>3264</v>
      </c>
      <c r="B3235" s="19" t="s">
        <v>6700</v>
      </c>
      <c r="C3235" s="19" t="s">
        <v>6834</v>
      </c>
      <c r="D3235" s="19" t="s">
        <v>6872</v>
      </c>
      <c r="E3235" s="19" t="s">
        <v>6881</v>
      </c>
    </row>
    <row r="3236" spans="1:5" ht="24" customHeight="1" x14ac:dyDescent="0.25">
      <c r="A3236" s="16">
        <v>3265</v>
      </c>
      <c r="B3236" s="19" t="s">
        <v>6700</v>
      </c>
      <c r="C3236" s="19" t="s">
        <v>6834</v>
      </c>
      <c r="D3236" s="19" t="s">
        <v>6872</v>
      </c>
      <c r="E3236" s="19" t="s">
        <v>6882</v>
      </c>
    </row>
    <row r="3237" spans="1:5" ht="24" customHeight="1" x14ac:dyDescent="0.25">
      <c r="A3237" s="16">
        <v>3266</v>
      </c>
      <c r="B3237" s="19" t="s">
        <v>6700</v>
      </c>
      <c r="C3237" s="19" t="s">
        <v>6834</v>
      </c>
      <c r="D3237" s="19" t="s">
        <v>6872</v>
      </c>
      <c r="E3237" s="19" t="s">
        <v>6883</v>
      </c>
    </row>
    <row r="3238" spans="1:5" ht="24" customHeight="1" x14ac:dyDescent="0.25">
      <c r="A3238" s="16">
        <v>3267</v>
      </c>
      <c r="B3238" s="19" t="s">
        <v>6700</v>
      </c>
      <c r="C3238" s="19" t="s">
        <v>6834</v>
      </c>
      <c r="D3238" s="19" t="s">
        <v>6872</v>
      </c>
      <c r="E3238" s="19" t="s">
        <v>6884</v>
      </c>
    </row>
    <row r="3239" spans="1:5" ht="24" customHeight="1" x14ac:dyDescent="0.25">
      <c r="A3239" s="16">
        <v>3268</v>
      </c>
      <c r="B3239" s="19" t="s">
        <v>6700</v>
      </c>
      <c r="C3239" s="19" t="s">
        <v>6834</v>
      </c>
      <c r="D3239" s="19" t="s">
        <v>6872</v>
      </c>
      <c r="E3239" s="19" t="s">
        <v>6885</v>
      </c>
    </row>
    <row r="3240" spans="1:5" ht="24" customHeight="1" x14ac:dyDescent="0.25">
      <c r="A3240" s="16">
        <v>3269</v>
      </c>
      <c r="B3240" s="19" t="s">
        <v>6700</v>
      </c>
      <c r="C3240" s="19" t="s">
        <v>6834</v>
      </c>
      <c r="D3240" s="19" t="s">
        <v>6872</v>
      </c>
      <c r="E3240" s="19" t="s">
        <v>6886</v>
      </c>
    </row>
    <row r="3241" spans="1:5" ht="24" customHeight="1" x14ac:dyDescent="0.25">
      <c r="A3241" s="16">
        <v>3270</v>
      </c>
      <c r="B3241" s="19" t="s">
        <v>6700</v>
      </c>
      <c r="C3241" s="19" t="s">
        <v>6834</v>
      </c>
      <c r="D3241" s="19" t="s">
        <v>6872</v>
      </c>
      <c r="E3241" s="19" t="s">
        <v>6887</v>
      </c>
    </row>
    <row r="3242" spans="1:5" ht="24" customHeight="1" x14ac:dyDescent="0.25">
      <c r="A3242" s="16">
        <v>3271</v>
      </c>
      <c r="B3242" s="19" t="s">
        <v>6700</v>
      </c>
      <c r="C3242" s="19" t="s">
        <v>6834</v>
      </c>
      <c r="D3242" s="19" t="s">
        <v>6872</v>
      </c>
      <c r="E3242" s="19" t="s">
        <v>6888</v>
      </c>
    </row>
    <row r="3243" spans="1:5" x14ac:dyDescent="0.25">
      <c r="A3243" s="16">
        <v>3272</v>
      </c>
      <c r="B3243" s="19" t="s">
        <v>6700</v>
      </c>
      <c r="C3243" s="19" t="s">
        <v>6889</v>
      </c>
      <c r="D3243" s="19" t="s">
        <v>6890</v>
      </c>
      <c r="E3243" s="19" t="s">
        <v>6891</v>
      </c>
    </row>
    <row r="3244" spans="1:5" x14ac:dyDescent="0.25">
      <c r="A3244" s="16">
        <v>3273</v>
      </c>
      <c r="B3244" s="19" t="s">
        <v>6700</v>
      </c>
      <c r="C3244" s="19" t="s">
        <v>6889</v>
      </c>
      <c r="D3244" s="19" t="s">
        <v>6890</v>
      </c>
      <c r="E3244" s="19" t="s">
        <v>6892</v>
      </c>
    </row>
    <row r="3245" spans="1:5" ht="24" customHeight="1" x14ac:dyDescent="0.25">
      <c r="A3245" s="16">
        <v>3274</v>
      </c>
      <c r="B3245" s="19" t="s">
        <v>6700</v>
      </c>
      <c r="C3245" s="19" t="s">
        <v>6889</v>
      </c>
      <c r="D3245" s="19" t="s">
        <v>6890</v>
      </c>
      <c r="E3245" s="19" t="s">
        <v>6893</v>
      </c>
    </row>
    <row r="3246" spans="1:5" ht="36" customHeight="1" x14ac:dyDescent="0.25">
      <c r="A3246" s="16">
        <v>3275</v>
      </c>
      <c r="B3246" s="19" t="s">
        <v>6700</v>
      </c>
      <c r="C3246" s="19" t="s">
        <v>6889</v>
      </c>
      <c r="D3246" s="19" t="s">
        <v>6890</v>
      </c>
      <c r="E3246" s="19" t="s">
        <v>6894</v>
      </c>
    </row>
    <row r="3247" spans="1:5" ht="24" customHeight="1" x14ac:dyDescent="0.25">
      <c r="A3247" s="16">
        <v>3276</v>
      </c>
      <c r="B3247" s="19" t="s">
        <v>6700</v>
      </c>
      <c r="C3247" s="19" t="s">
        <v>6889</v>
      </c>
      <c r="D3247" s="19" t="s">
        <v>6890</v>
      </c>
      <c r="E3247" s="19" t="s">
        <v>6895</v>
      </c>
    </row>
    <row r="3248" spans="1:5" x14ac:dyDescent="0.25">
      <c r="A3248" s="16">
        <v>3277</v>
      </c>
      <c r="B3248" s="19" t="s">
        <v>6700</v>
      </c>
      <c r="C3248" s="19" t="s">
        <v>6889</v>
      </c>
      <c r="D3248" s="19" t="s">
        <v>6890</v>
      </c>
      <c r="E3248" s="19" t="s">
        <v>6896</v>
      </c>
    </row>
    <row r="3249" spans="1:5" x14ac:dyDescent="0.25">
      <c r="A3249" s="16">
        <v>3278</v>
      </c>
      <c r="B3249" s="19" t="s">
        <v>6700</v>
      </c>
      <c r="C3249" s="19" t="s">
        <v>6889</v>
      </c>
      <c r="D3249" s="19" t="s">
        <v>6890</v>
      </c>
      <c r="E3249" s="19" t="s">
        <v>6897</v>
      </c>
    </row>
    <row r="3250" spans="1:5" x14ac:dyDescent="0.25">
      <c r="A3250" s="16">
        <v>3279</v>
      </c>
      <c r="B3250" s="19" t="s">
        <v>6700</v>
      </c>
      <c r="C3250" s="19" t="s">
        <v>6889</v>
      </c>
      <c r="D3250" s="19" t="s">
        <v>6890</v>
      </c>
      <c r="E3250" s="19" t="s">
        <v>6898</v>
      </c>
    </row>
    <row r="3251" spans="1:5" x14ac:dyDescent="0.25">
      <c r="A3251" s="16">
        <v>3280</v>
      </c>
      <c r="B3251" s="19" t="s">
        <v>6700</v>
      </c>
      <c r="C3251" s="19" t="s">
        <v>6889</v>
      </c>
      <c r="D3251" s="19" t="s">
        <v>6890</v>
      </c>
      <c r="E3251" s="19" t="s">
        <v>6899</v>
      </c>
    </row>
    <row r="3252" spans="1:5" ht="24" customHeight="1" x14ac:dyDescent="0.25">
      <c r="A3252" s="16">
        <v>3281</v>
      </c>
      <c r="B3252" s="19" t="s">
        <v>6700</v>
      </c>
      <c r="C3252" s="19" t="s">
        <v>6889</v>
      </c>
      <c r="D3252" s="19" t="s">
        <v>6889</v>
      </c>
      <c r="E3252" s="19" t="s">
        <v>6900</v>
      </c>
    </row>
    <row r="3253" spans="1:5" x14ac:dyDescent="0.25">
      <c r="A3253" s="16">
        <v>3282</v>
      </c>
      <c r="B3253" s="19" t="s">
        <v>6700</v>
      </c>
      <c r="C3253" s="19" t="s">
        <v>6889</v>
      </c>
      <c r="D3253" s="19" t="s">
        <v>6889</v>
      </c>
      <c r="E3253" s="19" t="s">
        <v>6901</v>
      </c>
    </row>
    <row r="3254" spans="1:5" ht="24" customHeight="1" x14ac:dyDescent="0.25">
      <c r="A3254" s="16">
        <v>3283</v>
      </c>
      <c r="B3254" s="19" t="s">
        <v>6700</v>
      </c>
      <c r="C3254" s="19" t="s">
        <v>6889</v>
      </c>
      <c r="D3254" s="19" t="s">
        <v>6889</v>
      </c>
      <c r="E3254" s="19" t="s">
        <v>6902</v>
      </c>
    </row>
    <row r="3255" spans="1:5" x14ac:dyDescent="0.25">
      <c r="A3255" s="16">
        <v>3284</v>
      </c>
      <c r="B3255" s="19" t="s">
        <v>6700</v>
      </c>
      <c r="C3255" s="19" t="s">
        <v>6889</v>
      </c>
      <c r="D3255" s="19" t="s">
        <v>6889</v>
      </c>
      <c r="E3255" s="19" t="s">
        <v>6903</v>
      </c>
    </row>
    <row r="3256" spans="1:5" ht="24" customHeight="1" x14ac:dyDescent="0.25">
      <c r="A3256" s="16">
        <v>3285</v>
      </c>
      <c r="B3256" s="19" t="s">
        <v>6700</v>
      </c>
      <c r="C3256" s="19" t="s">
        <v>6889</v>
      </c>
      <c r="D3256" s="19" t="s">
        <v>6889</v>
      </c>
      <c r="E3256" s="19" t="s">
        <v>6904</v>
      </c>
    </row>
    <row r="3257" spans="1:5" x14ac:dyDescent="0.25">
      <c r="A3257" s="16">
        <v>3286</v>
      </c>
      <c r="B3257" s="19" t="s">
        <v>6700</v>
      </c>
      <c r="C3257" s="19" t="s">
        <v>6889</v>
      </c>
      <c r="D3257" s="19" t="s">
        <v>6889</v>
      </c>
      <c r="E3257" s="19" t="s">
        <v>6905</v>
      </c>
    </row>
    <row r="3258" spans="1:5" x14ac:dyDescent="0.25">
      <c r="A3258" s="16">
        <v>3287</v>
      </c>
      <c r="B3258" s="19" t="s">
        <v>6700</v>
      </c>
      <c r="C3258" s="19" t="s">
        <v>6889</v>
      </c>
      <c r="D3258" s="19" t="s">
        <v>6889</v>
      </c>
      <c r="E3258" s="19" t="s">
        <v>6906</v>
      </c>
    </row>
    <row r="3259" spans="1:5" x14ac:dyDescent="0.25">
      <c r="A3259" s="16">
        <v>3288</v>
      </c>
      <c r="B3259" s="19" t="s">
        <v>6700</v>
      </c>
      <c r="C3259" s="19" t="s">
        <v>6889</v>
      </c>
      <c r="D3259" s="19" t="s">
        <v>6889</v>
      </c>
      <c r="E3259" s="19" t="s">
        <v>6907</v>
      </c>
    </row>
    <row r="3260" spans="1:5" ht="24" customHeight="1" x14ac:dyDescent="0.25">
      <c r="A3260" s="16">
        <v>3289</v>
      </c>
      <c r="B3260" s="19" t="s">
        <v>6700</v>
      </c>
      <c r="C3260" s="19" t="s">
        <v>6889</v>
      </c>
      <c r="D3260" s="19" t="s">
        <v>6889</v>
      </c>
      <c r="E3260" s="19" t="s">
        <v>6908</v>
      </c>
    </row>
    <row r="3261" spans="1:5" x14ac:dyDescent="0.25">
      <c r="A3261" s="16">
        <v>3290</v>
      </c>
      <c r="B3261" s="19" t="s">
        <v>6700</v>
      </c>
      <c r="C3261" s="19" t="s">
        <v>6889</v>
      </c>
      <c r="D3261" s="19" t="s">
        <v>6889</v>
      </c>
      <c r="E3261" s="19" t="s">
        <v>6909</v>
      </c>
    </row>
    <row r="3262" spans="1:5" ht="24" customHeight="1" x14ac:dyDescent="0.25">
      <c r="A3262" s="16">
        <v>3291</v>
      </c>
      <c r="B3262" s="19" t="s">
        <v>6700</v>
      </c>
      <c r="C3262" s="19" t="s">
        <v>6889</v>
      </c>
      <c r="D3262" s="19" t="s">
        <v>6889</v>
      </c>
      <c r="E3262" s="19" t="s">
        <v>6910</v>
      </c>
    </row>
    <row r="3263" spans="1:5" ht="24" customHeight="1" x14ac:dyDescent="0.25">
      <c r="A3263" s="16">
        <v>3292</v>
      </c>
      <c r="B3263" s="19" t="s">
        <v>6700</v>
      </c>
      <c r="C3263" s="19" t="s">
        <v>6889</v>
      </c>
      <c r="D3263" s="19" t="s">
        <v>6889</v>
      </c>
      <c r="E3263" s="19" t="s">
        <v>6911</v>
      </c>
    </row>
    <row r="3264" spans="1:5" x14ac:dyDescent="0.25">
      <c r="A3264" s="16">
        <v>3293</v>
      </c>
      <c r="B3264" s="19" t="s">
        <v>6700</v>
      </c>
      <c r="C3264" s="19" t="s">
        <v>6889</v>
      </c>
      <c r="D3264" s="19" t="s">
        <v>6889</v>
      </c>
      <c r="E3264" s="19" t="s">
        <v>6912</v>
      </c>
    </row>
    <row r="3265" spans="1:5" x14ac:dyDescent="0.25">
      <c r="A3265" s="16">
        <v>3294</v>
      </c>
      <c r="B3265" s="19" t="s">
        <v>6700</v>
      </c>
      <c r="C3265" s="19" t="s">
        <v>6889</v>
      </c>
      <c r="D3265" s="19" t="s">
        <v>6889</v>
      </c>
      <c r="E3265" s="19" t="s">
        <v>6913</v>
      </c>
    </row>
    <row r="3266" spans="1:5" x14ac:dyDescent="0.25">
      <c r="A3266" s="16">
        <v>3295</v>
      </c>
      <c r="B3266" s="19" t="s">
        <v>6700</v>
      </c>
      <c r="C3266" s="19" t="s">
        <v>6889</v>
      </c>
      <c r="D3266" s="19" t="s">
        <v>6914</v>
      </c>
      <c r="E3266" s="19" t="s">
        <v>6915</v>
      </c>
    </row>
    <row r="3267" spans="1:5" x14ac:dyDescent="0.25">
      <c r="A3267" s="16">
        <v>3296</v>
      </c>
      <c r="B3267" s="19" t="s">
        <v>6700</v>
      </c>
      <c r="C3267" s="19" t="s">
        <v>6889</v>
      </c>
      <c r="D3267" s="19" t="s">
        <v>6914</v>
      </c>
      <c r="E3267" s="19" t="s">
        <v>6916</v>
      </c>
    </row>
    <row r="3268" spans="1:5" x14ac:dyDescent="0.25">
      <c r="A3268" s="16">
        <v>3297</v>
      </c>
      <c r="B3268" s="19" t="s">
        <v>6700</v>
      </c>
      <c r="C3268" s="19" t="s">
        <v>6889</v>
      </c>
      <c r="D3268" s="19" t="s">
        <v>6914</v>
      </c>
      <c r="E3268" s="19" t="s">
        <v>6917</v>
      </c>
    </row>
    <row r="3269" spans="1:5" ht="36" customHeight="1" x14ac:dyDescent="0.25">
      <c r="A3269" s="16">
        <v>3298</v>
      </c>
      <c r="B3269" s="19" t="s">
        <v>6700</v>
      </c>
      <c r="C3269" s="19" t="s">
        <v>6889</v>
      </c>
      <c r="D3269" s="19" t="s">
        <v>6914</v>
      </c>
      <c r="E3269" s="19" t="s">
        <v>6918</v>
      </c>
    </row>
    <row r="3270" spans="1:5" x14ac:dyDescent="0.25">
      <c r="A3270" s="16">
        <v>3299</v>
      </c>
      <c r="B3270" s="19" t="s">
        <v>6700</v>
      </c>
      <c r="C3270" s="19" t="s">
        <v>6889</v>
      </c>
      <c r="D3270" s="19" t="s">
        <v>6914</v>
      </c>
      <c r="E3270" s="19" t="s">
        <v>6919</v>
      </c>
    </row>
    <row r="3271" spans="1:5" ht="24" customHeight="1" x14ac:dyDescent="0.25">
      <c r="A3271" s="16">
        <v>3300</v>
      </c>
      <c r="B3271" s="19" t="s">
        <v>6700</v>
      </c>
      <c r="C3271" s="19" t="s">
        <v>6889</v>
      </c>
      <c r="D3271" s="19" t="s">
        <v>6914</v>
      </c>
      <c r="E3271" s="19" t="s">
        <v>6920</v>
      </c>
    </row>
    <row r="3272" spans="1:5" x14ac:dyDescent="0.25">
      <c r="A3272" s="16">
        <v>3301</v>
      </c>
      <c r="B3272" s="19" t="s">
        <v>6700</v>
      </c>
      <c r="C3272" s="19" t="s">
        <v>6889</v>
      </c>
      <c r="D3272" s="19" t="s">
        <v>6914</v>
      </c>
      <c r="E3272" s="19" t="s">
        <v>6921</v>
      </c>
    </row>
    <row r="3273" spans="1:5" x14ac:dyDescent="0.25">
      <c r="A3273" s="16">
        <v>3302</v>
      </c>
      <c r="B3273" s="19" t="s">
        <v>6700</v>
      </c>
      <c r="C3273" s="19" t="s">
        <v>6889</v>
      </c>
      <c r="D3273" s="19" t="s">
        <v>6914</v>
      </c>
      <c r="E3273" s="19" t="s">
        <v>6922</v>
      </c>
    </row>
    <row r="3274" spans="1:5" x14ac:dyDescent="0.25">
      <c r="A3274" s="16">
        <v>3303</v>
      </c>
      <c r="B3274" s="19" t="s">
        <v>6700</v>
      </c>
      <c r="C3274" s="19" t="s">
        <v>6889</v>
      </c>
      <c r="D3274" s="19" t="s">
        <v>6923</v>
      </c>
      <c r="E3274" s="19" t="s">
        <v>6924</v>
      </c>
    </row>
    <row r="3275" spans="1:5" x14ac:dyDescent="0.25">
      <c r="A3275" s="16">
        <v>3304</v>
      </c>
      <c r="B3275" s="19" t="s">
        <v>6700</v>
      </c>
      <c r="C3275" s="19" t="s">
        <v>6889</v>
      </c>
      <c r="D3275" s="19" t="s">
        <v>6923</v>
      </c>
      <c r="E3275" s="19" t="s">
        <v>6925</v>
      </c>
    </row>
    <row r="3276" spans="1:5" x14ac:dyDescent="0.25">
      <c r="A3276" s="16">
        <v>3305</v>
      </c>
      <c r="B3276" s="19" t="s">
        <v>6700</v>
      </c>
      <c r="C3276" s="19" t="s">
        <v>6889</v>
      </c>
      <c r="D3276" s="19" t="s">
        <v>6923</v>
      </c>
      <c r="E3276" s="19" t="s">
        <v>6926</v>
      </c>
    </row>
    <row r="3277" spans="1:5" x14ac:dyDescent="0.25">
      <c r="A3277" s="16">
        <v>3306</v>
      </c>
      <c r="B3277" s="19" t="s">
        <v>6700</v>
      </c>
      <c r="C3277" s="19" t="s">
        <v>6889</v>
      </c>
      <c r="D3277" s="19" t="s">
        <v>6923</v>
      </c>
      <c r="E3277" s="19" t="s">
        <v>6927</v>
      </c>
    </row>
    <row r="3278" spans="1:5" ht="24" customHeight="1" x14ac:dyDescent="0.25">
      <c r="A3278" s="16">
        <v>3307</v>
      </c>
      <c r="B3278" s="19" t="s">
        <v>6700</v>
      </c>
      <c r="C3278" s="19" t="s">
        <v>6889</v>
      </c>
      <c r="D3278" s="19" t="s">
        <v>6923</v>
      </c>
      <c r="E3278" s="19" t="s">
        <v>6928</v>
      </c>
    </row>
    <row r="3279" spans="1:5" ht="24" customHeight="1" x14ac:dyDescent="0.25">
      <c r="A3279" s="16">
        <v>3308</v>
      </c>
      <c r="B3279" s="19" t="s">
        <v>6700</v>
      </c>
      <c r="C3279" s="19" t="s">
        <v>6889</v>
      </c>
      <c r="D3279" s="19" t="s">
        <v>6923</v>
      </c>
      <c r="E3279" s="19" t="s">
        <v>6929</v>
      </c>
    </row>
    <row r="3280" spans="1:5" ht="24" customHeight="1" x14ac:dyDescent="0.25">
      <c r="A3280" s="16">
        <v>3309</v>
      </c>
      <c r="B3280" s="19" t="s">
        <v>6700</v>
      </c>
      <c r="C3280" s="19" t="s">
        <v>6889</v>
      </c>
      <c r="D3280" s="19" t="s">
        <v>6923</v>
      </c>
      <c r="E3280" s="19" t="s">
        <v>6930</v>
      </c>
    </row>
    <row r="3281" spans="1:5" x14ac:dyDescent="0.25">
      <c r="A3281" s="16">
        <v>3310</v>
      </c>
      <c r="B3281" s="19" t="s">
        <v>6700</v>
      </c>
      <c r="C3281" s="19" t="s">
        <v>6889</v>
      </c>
      <c r="D3281" s="19" t="s">
        <v>6923</v>
      </c>
      <c r="E3281" s="19" t="s">
        <v>6931</v>
      </c>
    </row>
    <row r="3282" spans="1:5" x14ac:dyDescent="0.25">
      <c r="A3282" s="16">
        <v>3311</v>
      </c>
      <c r="B3282" s="19" t="s">
        <v>6700</v>
      </c>
      <c r="C3282" s="19" t="s">
        <v>6889</v>
      </c>
      <c r="D3282" s="19" t="s">
        <v>6923</v>
      </c>
      <c r="E3282" s="19" t="s">
        <v>6932</v>
      </c>
    </row>
    <row r="3283" spans="1:5" x14ac:dyDescent="0.25">
      <c r="A3283" s="16">
        <v>3312</v>
      </c>
      <c r="B3283" s="19" t="s">
        <v>6700</v>
      </c>
      <c r="C3283" s="19" t="s">
        <v>6889</v>
      </c>
      <c r="D3283" s="19" t="s">
        <v>6923</v>
      </c>
      <c r="E3283" s="19" t="s">
        <v>6933</v>
      </c>
    </row>
    <row r="3284" spans="1:5" ht="24" customHeight="1" x14ac:dyDescent="0.25">
      <c r="A3284" s="16">
        <v>3313</v>
      </c>
      <c r="B3284" s="19" t="s">
        <v>6700</v>
      </c>
      <c r="C3284" s="19" t="s">
        <v>6889</v>
      </c>
      <c r="D3284" s="19" t="s">
        <v>6923</v>
      </c>
      <c r="E3284" s="19" t="s">
        <v>6934</v>
      </c>
    </row>
    <row r="3285" spans="1:5" x14ac:dyDescent="0.25">
      <c r="A3285" s="16">
        <v>3314</v>
      </c>
      <c r="B3285" s="19" t="s">
        <v>6700</v>
      </c>
      <c r="C3285" s="19" t="s">
        <v>6889</v>
      </c>
      <c r="D3285" s="19" t="s">
        <v>6923</v>
      </c>
      <c r="E3285" s="19" t="s">
        <v>6935</v>
      </c>
    </row>
    <row r="3286" spans="1:5" x14ac:dyDescent="0.25">
      <c r="A3286" s="16">
        <v>3315</v>
      </c>
      <c r="B3286" s="19" t="s">
        <v>6700</v>
      </c>
      <c r="C3286" s="19" t="s">
        <v>6889</v>
      </c>
      <c r="D3286" s="19" t="s">
        <v>6923</v>
      </c>
      <c r="E3286" s="19" t="s">
        <v>6936</v>
      </c>
    </row>
    <row r="3287" spans="1:5" x14ac:dyDescent="0.25">
      <c r="A3287" s="16">
        <v>3316</v>
      </c>
      <c r="B3287" s="19" t="s">
        <v>6700</v>
      </c>
      <c r="C3287" s="19" t="s">
        <v>6889</v>
      </c>
      <c r="D3287" s="19" t="s">
        <v>6923</v>
      </c>
      <c r="E3287" s="19" t="s">
        <v>6937</v>
      </c>
    </row>
    <row r="3288" spans="1:5" ht="24" customHeight="1" x14ac:dyDescent="0.25">
      <c r="A3288" s="16">
        <v>3317</v>
      </c>
      <c r="B3288" s="19" t="s">
        <v>6700</v>
      </c>
      <c r="C3288" s="19" t="s">
        <v>6889</v>
      </c>
      <c r="D3288" s="19" t="s">
        <v>6923</v>
      </c>
      <c r="E3288" s="19" t="s">
        <v>6938</v>
      </c>
    </row>
    <row r="3289" spans="1:5" x14ac:dyDescent="0.25">
      <c r="A3289" s="16">
        <v>3318</v>
      </c>
      <c r="B3289" s="19" t="s">
        <v>6700</v>
      </c>
      <c r="C3289" s="19" t="s">
        <v>6939</v>
      </c>
      <c r="D3289" s="19" t="s">
        <v>6940</v>
      </c>
      <c r="E3289" s="19" t="s">
        <v>6941</v>
      </c>
    </row>
    <row r="3290" spans="1:5" x14ac:dyDescent="0.25">
      <c r="A3290" s="16">
        <v>3319</v>
      </c>
      <c r="B3290" s="19" t="s">
        <v>6700</v>
      </c>
      <c r="C3290" s="19" t="s">
        <v>6939</v>
      </c>
      <c r="D3290" s="19" t="s">
        <v>6940</v>
      </c>
      <c r="E3290" s="19" t="s">
        <v>6942</v>
      </c>
    </row>
    <row r="3291" spans="1:5" ht="24" customHeight="1" x14ac:dyDescent="0.25">
      <c r="A3291" s="16">
        <v>3320</v>
      </c>
      <c r="B3291" s="19" t="s">
        <v>6700</v>
      </c>
      <c r="C3291" s="19" t="s">
        <v>6939</v>
      </c>
      <c r="D3291" s="19" t="s">
        <v>6940</v>
      </c>
      <c r="E3291" s="19" t="s">
        <v>6943</v>
      </c>
    </row>
    <row r="3292" spans="1:5" x14ac:dyDescent="0.25">
      <c r="A3292" s="16">
        <v>3321</v>
      </c>
      <c r="B3292" s="19" t="s">
        <v>6700</v>
      </c>
      <c r="C3292" s="19" t="s">
        <v>6939</v>
      </c>
      <c r="D3292" s="19" t="s">
        <v>6940</v>
      </c>
      <c r="E3292" s="19" t="s">
        <v>6944</v>
      </c>
    </row>
    <row r="3293" spans="1:5" ht="24" customHeight="1" x14ac:dyDescent="0.25">
      <c r="A3293" s="16">
        <v>3322</v>
      </c>
      <c r="B3293" s="19" t="s">
        <v>6700</v>
      </c>
      <c r="C3293" s="19" t="s">
        <v>6939</v>
      </c>
      <c r="D3293" s="19" t="s">
        <v>6940</v>
      </c>
      <c r="E3293" s="19" t="s">
        <v>6945</v>
      </c>
    </row>
    <row r="3294" spans="1:5" x14ac:dyDescent="0.25">
      <c r="A3294" s="16">
        <v>3323</v>
      </c>
      <c r="B3294" s="19" t="s">
        <v>6700</v>
      </c>
      <c r="C3294" s="19" t="s">
        <v>6939</v>
      </c>
      <c r="D3294" s="19" t="s">
        <v>6940</v>
      </c>
      <c r="E3294" s="19" t="s">
        <v>6946</v>
      </c>
    </row>
    <row r="3295" spans="1:5" x14ac:dyDescent="0.25">
      <c r="A3295" s="16">
        <v>3324</v>
      </c>
      <c r="B3295" s="19" t="s">
        <v>6700</v>
      </c>
      <c r="C3295" s="19" t="s">
        <v>6939</v>
      </c>
      <c r="D3295" s="19" t="s">
        <v>6940</v>
      </c>
      <c r="E3295" s="19" t="s">
        <v>6947</v>
      </c>
    </row>
    <row r="3296" spans="1:5" x14ac:dyDescent="0.25">
      <c r="A3296" s="16">
        <v>3325</v>
      </c>
      <c r="B3296" s="19" t="s">
        <v>6700</v>
      </c>
      <c r="C3296" s="19" t="s">
        <v>6939</v>
      </c>
      <c r="D3296" s="19" t="s">
        <v>6940</v>
      </c>
      <c r="E3296" s="19" t="s">
        <v>6948</v>
      </c>
    </row>
    <row r="3297" spans="1:5" x14ac:dyDescent="0.25">
      <c r="A3297" s="16">
        <v>3326</v>
      </c>
      <c r="B3297" s="19" t="s">
        <v>6700</v>
      </c>
      <c r="C3297" s="19" t="s">
        <v>6939</v>
      </c>
      <c r="D3297" s="19" t="s">
        <v>6940</v>
      </c>
      <c r="E3297" s="19" t="s">
        <v>6949</v>
      </c>
    </row>
    <row r="3298" spans="1:5" x14ac:dyDescent="0.25">
      <c r="A3298" s="16">
        <v>3327</v>
      </c>
      <c r="B3298" s="19" t="s">
        <v>6700</v>
      </c>
      <c r="C3298" s="19" t="s">
        <v>6939</v>
      </c>
      <c r="D3298" s="19" t="s">
        <v>6940</v>
      </c>
      <c r="E3298" s="19" t="s">
        <v>6950</v>
      </c>
    </row>
    <row r="3299" spans="1:5" x14ac:dyDescent="0.25">
      <c r="A3299" s="16">
        <v>3328</v>
      </c>
      <c r="B3299" s="19" t="s">
        <v>6700</v>
      </c>
      <c r="C3299" s="19" t="s">
        <v>6939</v>
      </c>
      <c r="D3299" s="19" t="s">
        <v>6940</v>
      </c>
      <c r="E3299" s="19" t="s">
        <v>6951</v>
      </c>
    </row>
    <row r="3300" spans="1:5" x14ac:dyDescent="0.25">
      <c r="A3300" s="16">
        <v>3329</v>
      </c>
      <c r="B3300" s="19" t="s">
        <v>6700</v>
      </c>
      <c r="C3300" s="19" t="s">
        <v>6939</v>
      </c>
      <c r="D3300" s="19" t="s">
        <v>6940</v>
      </c>
      <c r="E3300" s="19" t="s">
        <v>6952</v>
      </c>
    </row>
    <row r="3301" spans="1:5" ht="24" customHeight="1" x14ac:dyDescent="0.25">
      <c r="A3301" s="16">
        <v>3330</v>
      </c>
      <c r="B3301" s="19" t="s">
        <v>6700</v>
      </c>
      <c r="C3301" s="19" t="s">
        <v>6939</v>
      </c>
      <c r="D3301" s="19" t="s">
        <v>6940</v>
      </c>
      <c r="E3301" s="19" t="s">
        <v>6953</v>
      </c>
    </row>
    <row r="3302" spans="1:5" x14ac:dyDescent="0.25">
      <c r="A3302" s="16">
        <v>3331</v>
      </c>
      <c r="B3302" s="19" t="s">
        <v>6700</v>
      </c>
      <c r="C3302" s="19" t="s">
        <v>6939</v>
      </c>
      <c r="D3302" s="19" t="s">
        <v>6954</v>
      </c>
      <c r="E3302" s="19" t="s">
        <v>6955</v>
      </c>
    </row>
    <row r="3303" spans="1:5" x14ac:dyDescent="0.25">
      <c r="A3303" s="16">
        <v>3332</v>
      </c>
      <c r="B3303" s="19" t="s">
        <v>6700</v>
      </c>
      <c r="C3303" s="19" t="s">
        <v>6939</v>
      </c>
      <c r="D3303" s="19" t="s">
        <v>6954</v>
      </c>
      <c r="E3303" s="19" t="s">
        <v>6956</v>
      </c>
    </row>
    <row r="3304" spans="1:5" x14ac:dyDescent="0.25">
      <c r="A3304" s="16">
        <v>3333</v>
      </c>
      <c r="B3304" s="19" t="s">
        <v>6700</v>
      </c>
      <c r="C3304" s="19" t="s">
        <v>6939</v>
      </c>
      <c r="D3304" s="19" t="s">
        <v>6954</v>
      </c>
      <c r="E3304" s="19" t="s">
        <v>6957</v>
      </c>
    </row>
    <row r="3305" spans="1:5" x14ac:dyDescent="0.25">
      <c r="A3305" s="16">
        <v>3334</v>
      </c>
      <c r="B3305" s="19" t="s">
        <v>6700</v>
      </c>
      <c r="C3305" s="19" t="s">
        <v>6939</v>
      </c>
      <c r="D3305" s="19" t="s">
        <v>6954</v>
      </c>
      <c r="E3305" s="19" t="s">
        <v>6958</v>
      </c>
    </row>
    <row r="3306" spans="1:5" x14ac:dyDescent="0.25">
      <c r="A3306" s="16">
        <v>3335</v>
      </c>
      <c r="B3306" s="19" t="s">
        <v>6700</v>
      </c>
      <c r="C3306" s="19" t="s">
        <v>6939</v>
      </c>
      <c r="D3306" s="19" t="s">
        <v>6954</v>
      </c>
      <c r="E3306" s="19" t="s">
        <v>6959</v>
      </c>
    </row>
    <row r="3307" spans="1:5" x14ac:dyDescent="0.25">
      <c r="A3307" s="16">
        <v>3336</v>
      </c>
      <c r="B3307" s="19" t="s">
        <v>6700</v>
      </c>
      <c r="C3307" s="19" t="s">
        <v>6939</v>
      </c>
      <c r="D3307" s="19" t="s">
        <v>6954</v>
      </c>
      <c r="E3307" s="19" t="s">
        <v>6960</v>
      </c>
    </row>
    <row r="3308" spans="1:5" x14ac:dyDescent="0.25">
      <c r="A3308" s="16">
        <v>3337</v>
      </c>
      <c r="B3308" s="19" t="s">
        <v>6700</v>
      </c>
      <c r="C3308" s="19" t="s">
        <v>6939</v>
      </c>
      <c r="D3308" s="19" t="s">
        <v>6954</v>
      </c>
      <c r="E3308" s="19" t="s">
        <v>6961</v>
      </c>
    </row>
    <row r="3309" spans="1:5" x14ac:dyDescent="0.25">
      <c r="A3309" s="16">
        <v>3338</v>
      </c>
      <c r="B3309" s="19" t="s">
        <v>6700</v>
      </c>
      <c r="C3309" s="19" t="s">
        <v>6939</v>
      </c>
      <c r="D3309" s="19" t="s">
        <v>6939</v>
      </c>
      <c r="E3309" s="19" t="s">
        <v>6962</v>
      </c>
    </row>
    <row r="3310" spans="1:5" x14ac:dyDescent="0.25">
      <c r="A3310" s="16">
        <v>3339</v>
      </c>
      <c r="B3310" s="19" t="s">
        <v>6700</v>
      </c>
      <c r="C3310" s="19" t="s">
        <v>6939</v>
      </c>
      <c r="D3310" s="19" t="s">
        <v>6939</v>
      </c>
      <c r="E3310" s="19" t="s">
        <v>6963</v>
      </c>
    </row>
    <row r="3311" spans="1:5" x14ac:dyDescent="0.25">
      <c r="A3311" s="16">
        <v>3340</v>
      </c>
      <c r="B3311" s="19" t="s">
        <v>6700</v>
      </c>
      <c r="C3311" s="19" t="s">
        <v>6939</v>
      </c>
      <c r="D3311" s="19" t="s">
        <v>6939</v>
      </c>
      <c r="E3311" s="19" t="s">
        <v>6964</v>
      </c>
    </row>
    <row r="3312" spans="1:5" x14ac:dyDescent="0.25">
      <c r="A3312" s="16">
        <v>3341</v>
      </c>
      <c r="B3312" s="19" t="s">
        <v>6700</v>
      </c>
      <c r="C3312" s="19" t="s">
        <v>6939</v>
      </c>
      <c r="D3312" s="19" t="s">
        <v>6939</v>
      </c>
      <c r="E3312" s="19" t="s">
        <v>6965</v>
      </c>
    </row>
    <row r="3313" spans="1:5" ht="24" customHeight="1" x14ac:dyDescent="0.25">
      <c r="A3313" s="16">
        <v>3342</v>
      </c>
      <c r="B3313" s="19" t="s">
        <v>6700</v>
      </c>
      <c r="C3313" s="19" t="s">
        <v>6939</v>
      </c>
      <c r="D3313" s="19" t="s">
        <v>6939</v>
      </c>
      <c r="E3313" s="19" t="s">
        <v>6966</v>
      </c>
    </row>
    <row r="3314" spans="1:5" ht="36" customHeight="1" x14ac:dyDescent="0.25">
      <c r="A3314" s="16">
        <v>3343</v>
      </c>
      <c r="B3314" s="19" t="s">
        <v>6700</v>
      </c>
      <c r="C3314" s="19" t="s">
        <v>6939</v>
      </c>
      <c r="D3314" s="19" t="s">
        <v>6939</v>
      </c>
      <c r="E3314" s="19" t="s">
        <v>6967</v>
      </c>
    </row>
    <row r="3315" spans="1:5" x14ac:dyDescent="0.25">
      <c r="A3315" s="16">
        <v>3344</v>
      </c>
      <c r="B3315" s="19" t="s">
        <v>6700</v>
      </c>
      <c r="C3315" s="19" t="s">
        <v>6939</v>
      </c>
      <c r="D3315" s="19" t="s">
        <v>6939</v>
      </c>
      <c r="E3315" s="19" t="s">
        <v>6968</v>
      </c>
    </row>
    <row r="3316" spans="1:5" x14ac:dyDescent="0.25">
      <c r="A3316" s="16">
        <v>3345</v>
      </c>
      <c r="B3316" s="19" t="s">
        <v>6700</v>
      </c>
      <c r="C3316" s="19" t="s">
        <v>6939</v>
      </c>
      <c r="D3316" s="19" t="s">
        <v>6939</v>
      </c>
      <c r="E3316" s="19" t="s">
        <v>6969</v>
      </c>
    </row>
    <row r="3317" spans="1:5" x14ac:dyDescent="0.25">
      <c r="A3317" s="16">
        <v>3346</v>
      </c>
      <c r="B3317" s="19" t="s">
        <v>6700</v>
      </c>
      <c r="C3317" s="19" t="s">
        <v>6939</v>
      </c>
      <c r="D3317" s="19" t="s">
        <v>6939</v>
      </c>
      <c r="E3317" s="19" t="s">
        <v>6970</v>
      </c>
    </row>
    <row r="3318" spans="1:5" ht="24" customHeight="1" x14ac:dyDescent="0.25">
      <c r="A3318" s="16">
        <v>3347</v>
      </c>
      <c r="B3318" s="19" t="s">
        <v>6700</v>
      </c>
      <c r="C3318" s="19" t="s">
        <v>6939</v>
      </c>
      <c r="D3318" s="19" t="s">
        <v>6939</v>
      </c>
      <c r="E3318" s="19" t="s">
        <v>6971</v>
      </c>
    </row>
    <row r="3319" spans="1:5" x14ac:dyDescent="0.25">
      <c r="A3319" s="16">
        <v>3348</v>
      </c>
      <c r="B3319" s="19" t="s">
        <v>6700</v>
      </c>
      <c r="C3319" s="19" t="s">
        <v>6939</v>
      </c>
      <c r="D3319" s="19" t="s">
        <v>6939</v>
      </c>
      <c r="E3319" s="19" t="s">
        <v>6972</v>
      </c>
    </row>
    <row r="3320" spans="1:5" x14ac:dyDescent="0.25">
      <c r="A3320" s="16">
        <v>3349</v>
      </c>
      <c r="B3320" s="19" t="s">
        <v>6700</v>
      </c>
      <c r="C3320" s="19" t="s">
        <v>6939</v>
      </c>
      <c r="D3320" s="19" t="s">
        <v>6939</v>
      </c>
      <c r="E3320" s="19" t="s">
        <v>6973</v>
      </c>
    </row>
    <row r="3321" spans="1:5" x14ac:dyDescent="0.25">
      <c r="A3321" s="16">
        <v>3350</v>
      </c>
      <c r="B3321" s="19" t="s">
        <v>6700</v>
      </c>
      <c r="C3321" s="19" t="s">
        <v>6939</v>
      </c>
      <c r="D3321" s="19" t="s">
        <v>6939</v>
      </c>
      <c r="E3321" s="19" t="s">
        <v>6974</v>
      </c>
    </row>
    <row r="3322" spans="1:5" x14ac:dyDescent="0.25">
      <c r="A3322" s="16">
        <v>3351</v>
      </c>
      <c r="B3322" s="19" t="s">
        <v>6700</v>
      </c>
      <c r="C3322" s="19" t="s">
        <v>6939</v>
      </c>
      <c r="D3322" s="19" t="s">
        <v>6975</v>
      </c>
      <c r="E3322" s="19" t="s">
        <v>6976</v>
      </c>
    </row>
    <row r="3323" spans="1:5" x14ac:dyDescent="0.25">
      <c r="A3323" s="16">
        <v>3352</v>
      </c>
      <c r="B3323" s="19" t="s">
        <v>6700</v>
      </c>
      <c r="C3323" s="19" t="s">
        <v>6939</v>
      </c>
      <c r="D3323" s="19" t="s">
        <v>6975</v>
      </c>
      <c r="E3323" s="19" t="s">
        <v>6977</v>
      </c>
    </row>
    <row r="3324" spans="1:5" ht="24" customHeight="1" x14ac:dyDescent="0.25">
      <c r="A3324" s="16">
        <v>3353</v>
      </c>
      <c r="B3324" s="19" t="s">
        <v>6700</v>
      </c>
      <c r="C3324" s="19" t="s">
        <v>6939</v>
      </c>
      <c r="D3324" s="19" t="s">
        <v>6975</v>
      </c>
      <c r="E3324" s="19" t="s">
        <v>6978</v>
      </c>
    </row>
    <row r="3325" spans="1:5" x14ac:dyDescent="0.25">
      <c r="A3325" s="16">
        <v>3354</v>
      </c>
      <c r="B3325" s="19" t="s">
        <v>6700</v>
      </c>
      <c r="C3325" s="19" t="s">
        <v>6939</v>
      </c>
      <c r="D3325" s="19" t="s">
        <v>6975</v>
      </c>
      <c r="E3325" s="19" t="s">
        <v>6979</v>
      </c>
    </row>
    <row r="3326" spans="1:5" x14ac:dyDescent="0.25">
      <c r="A3326" s="16">
        <v>3355</v>
      </c>
      <c r="B3326" s="19" t="s">
        <v>6700</v>
      </c>
      <c r="C3326" s="19" t="s">
        <v>6939</v>
      </c>
      <c r="D3326" s="19" t="s">
        <v>6975</v>
      </c>
      <c r="E3326" s="19" t="s">
        <v>6980</v>
      </c>
    </row>
    <row r="3327" spans="1:5" x14ac:dyDescent="0.25">
      <c r="A3327" s="16">
        <v>3356</v>
      </c>
      <c r="B3327" s="19" t="s">
        <v>6700</v>
      </c>
      <c r="C3327" s="19" t="s">
        <v>6939</v>
      </c>
      <c r="D3327" s="19" t="s">
        <v>6975</v>
      </c>
      <c r="E3327" s="19" t="s">
        <v>6981</v>
      </c>
    </row>
    <row r="3328" spans="1:5" x14ac:dyDescent="0.25">
      <c r="A3328" s="16">
        <v>3357</v>
      </c>
      <c r="B3328" s="19" t="s">
        <v>6700</v>
      </c>
      <c r="C3328" s="19" t="s">
        <v>6939</v>
      </c>
      <c r="D3328" s="19" t="s">
        <v>6975</v>
      </c>
      <c r="E3328" s="19" t="s">
        <v>6982</v>
      </c>
    </row>
    <row r="3329" spans="1:5" x14ac:dyDescent="0.25">
      <c r="A3329" s="16">
        <v>3358</v>
      </c>
      <c r="B3329" s="19" t="s">
        <v>6700</v>
      </c>
      <c r="C3329" s="19" t="s">
        <v>6939</v>
      </c>
      <c r="D3329" s="19" t="s">
        <v>6975</v>
      </c>
      <c r="E3329" s="19" t="s">
        <v>6983</v>
      </c>
    </row>
    <row r="3330" spans="1:5" x14ac:dyDescent="0.25">
      <c r="A3330" s="16">
        <v>3359</v>
      </c>
      <c r="B3330" s="19" t="s">
        <v>6700</v>
      </c>
      <c r="C3330" s="19" t="s">
        <v>6939</v>
      </c>
      <c r="D3330" s="19" t="s">
        <v>6975</v>
      </c>
      <c r="E3330" s="19" t="s">
        <v>6984</v>
      </c>
    </row>
    <row r="3331" spans="1:5" x14ac:dyDescent="0.25">
      <c r="A3331" s="16">
        <v>3360</v>
      </c>
      <c r="B3331" s="19" t="s">
        <v>6700</v>
      </c>
      <c r="C3331" s="19" t="s">
        <v>6939</v>
      </c>
      <c r="D3331" s="19" t="s">
        <v>6975</v>
      </c>
      <c r="E3331" s="19" t="s">
        <v>6985</v>
      </c>
    </row>
    <row r="3332" spans="1:5" ht="24" customHeight="1" x14ac:dyDescent="0.25">
      <c r="A3332" s="16">
        <v>3361</v>
      </c>
      <c r="B3332" s="19" t="s">
        <v>6700</v>
      </c>
      <c r="C3332" s="19" t="s">
        <v>6939</v>
      </c>
      <c r="D3332" s="19" t="s">
        <v>6975</v>
      </c>
      <c r="E3332" s="19" t="s">
        <v>6986</v>
      </c>
    </row>
    <row r="3333" spans="1:5" x14ac:dyDescent="0.25">
      <c r="A3333" s="16">
        <v>3362</v>
      </c>
      <c r="B3333" s="19" t="s">
        <v>6700</v>
      </c>
      <c r="C3333" s="19" t="s">
        <v>6939</v>
      </c>
      <c r="D3333" s="19" t="s">
        <v>6987</v>
      </c>
      <c r="E3333" s="19" t="s">
        <v>6988</v>
      </c>
    </row>
    <row r="3334" spans="1:5" ht="24" customHeight="1" x14ac:dyDescent="0.25">
      <c r="A3334" s="16">
        <v>3363</v>
      </c>
      <c r="B3334" s="19" t="s">
        <v>6700</v>
      </c>
      <c r="C3334" s="19" t="s">
        <v>6939</v>
      </c>
      <c r="D3334" s="19" t="s">
        <v>6987</v>
      </c>
      <c r="E3334" s="19" t="s">
        <v>6989</v>
      </c>
    </row>
    <row r="3335" spans="1:5" x14ac:dyDescent="0.25">
      <c r="A3335" s="16">
        <v>3364</v>
      </c>
      <c r="B3335" s="19" t="s">
        <v>6700</v>
      </c>
      <c r="C3335" s="19" t="s">
        <v>6939</v>
      </c>
      <c r="D3335" s="19" t="s">
        <v>6987</v>
      </c>
      <c r="E3335" s="19" t="s">
        <v>6990</v>
      </c>
    </row>
    <row r="3336" spans="1:5" x14ac:dyDescent="0.25">
      <c r="A3336" s="16">
        <v>3365</v>
      </c>
      <c r="B3336" s="19" t="s">
        <v>6700</v>
      </c>
      <c r="C3336" s="19" t="s">
        <v>6939</v>
      </c>
      <c r="D3336" s="19" t="s">
        <v>6987</v>
      </c>
      <c r="E3336" s="19" t="s">
        <v>6991</v>
      </c>
    </row>
    <row r="3337" spans="1:5" x14ac:dyDescent="0.25">
      <c r="A3337" s="16">
        <v>3366</v>
      </c>
      <c r="B3337" s="19" t="s">
        <v>6700</v>
      </c>
      <c r="C3337" s="19" t="s">
        <v>6939</v>
      </c>
      <c r="D3337" s="19" t="s">
        <v>6987</v>
      </c>
      <c r="E3337" s="19" t="s">
        <v>6992</v>
      </c>
    </row>
    <row r="3338" spans="1:5" ht="24" customHeight="1" x14ac:dyDescent="0.25">
      <c r="A3338" s="16">
        <v>3367</v>
      </c>
      <c r="B3338" s="19" t="s">
        <v>6700</v>
      </c>
      <c r="C3338" s="19" t="s">
        <v>6939</v>
      </c>
      <c r="D3338" s="19" t="s">
        <v>6987</v>
      </c>
      <c r="E3338" s="19" t="s">
        <v>6993</v>
      </c>
    </row>
    <row r="3339" spans="1:5" x14ac:dyDescent="0.25">
      <c r="A3339" s="16">
        <v>3368</v>
      </c>
      <c r="B3339" s="19" t="s">
        <v>6700</v>
      </c>
      <c r="C3339" s="19" t="s">
        <v>6939</v>
      </c>
      <c r="D3339" s="19" t="s">
        <v>6987</v>
      </c>
      <c r="E3339" s="19" t="s">
        <v>6994</v>
      </c>
    </row>
    <row r="3340" spans="1:5" x14ac:dyDescent="0.25">
      <c r="A3340" s="16">
        <v>3369</v>
      </c>
      <c r="B3340" s="19" t="s">
        <v>6700</v>
      </c>
      <c r="C3340" s="19" t="s">
        <v>6939</v>
      </c>
      <c r="D3340" s="19" t="s">
        <v>6987</v>
      </c>
      <c r="E3340" s="19" t="s">
        <v>6995</v>
      </c>
    </row>
    <row r="3341" spans="1:5" x14ac:dyDescent="0.25">
      <c r="A3341" s="16">
        <v>3370</v>
      </c>
      <c r="B3341" s="19" t="s">
        <v>6700</v>
      </c>
      <c r="C3341" s="19" t="s">
        <v>6939</v>
      </c>
      <c r="D3341" s="19" t="s">
        <v>6987</v>
      </c>
      <c r="E3341" s="19" t="s">
        <v>6996</v>
      </c>
    </row>
    <row r="3342" spans="1:5" ht="24" customHeight="1" x14ac:dyDescent="0.25">
      <c r="A3342" s="16">
        <v>3371</v>
      </c>
      <c r="B3342" s="19" t="s">
        <v>6700</v>
      </c>
      <c r="C3342" s="19" t="s">
        <v>6939</v>
      </c>
      <c r="D3342" s="19" t="s">
        <v>6987</v>
      </c>
      <c r="E3342" s="19" t="s">
        <v>6997</v>
      </c>
    </row>
    <row r="3343" spans="1:5" x14ac:dyDescent="0.25">
      <c r="A3343" s="16">
        <v>3372</v>
      </c>
      <c r="B3343" s="19" t="s">
        <v>6700</v>
      </c>
      <c r="C3343" s="19" t="s">
        <v>6939</v>
      </c>
      <c r="D3343" s="19" t="s">
        <v>6987</v>
      </c>
      <c r="E3343" s="19" t="s">
        <v>6998</v>
      </c>
    </row>
    <row r="3344" spans="1:5" ht="24" customHeight="1" x14ac:dyDescent="0.25">
      <c r="A3344" s="16">
        <v>3373</v>
      </c>
      <c r="B3344" s="19" t="s">
        <v>6700</v>
      </c>
      <c r="C3344" s="19" t="s">
        <v>6939</v>
      </c>
      <c r="D3344" s="19" t="s">
        <v>6987</v>
      </c>
      <c r="E3344" s="19" t="s">
        <v>6999</v>
      </c>
    </row>
    <row r="3345" spans="1:5" ht="24" customHeight="1" x14ac:dyDescent="0.25">
      <c r="A3345" s="16">
        <v>3374</v>
      </c>
      <c r="B3345" s="19" t="s">
        <v>6700</v>
      </c>
      <c r="C3345" s="19" t="s">
        <v>6939</v>
      </c>
      <c r="D3345" s="19" t="s">
        <v>6987</v>
      </c>
      <c r="E3345" s="19" t="s">
        <v>7000</v>
      </c>
    </row>
    <row r="3346" spans="1:5" x14ac:dyDescent="0.25">
      <c r="A3346" s="16">
        <v>3375</v>
      </c>
      <c r="B3346" s="19" t="s">
        <v>6700</v>
      </c>
      <c r="C3346" s="19" t="s">
        <v>6939</v>
      </c>
      <c r="D3346" s="19" t="s">
        <v>7001</v>
      </c>
      <c r="E3346" s="19" t="s">
        <v>7002</v>
      </c>
    </row>
    <row r="3347" spans="1:5" x14ac:dyDescent="0.25">
      <c r="A3347" s="16">
        <v>3376</v>
      </c>
      <c r="B3347" s="19" t="s">
        <v>6700</v>
      </c>
      <c r="C3347" s="19" t="s">
        <v>6939</v>
      </c>
      <c r="D3347" s="19" t="s">
        <v>7001</v>
      </c>
      <c r="E3347" s="19" t="s">
        <v>7003</v>
      </c>
    </row>
    <row r="3348" spans="1:5" x14ac:dyDescent="0.25">
      <c r="A3348" s="16">
        <v>3377</v>
      </c>
      <c r="B3348" s="19" t="s">
        <v>6700</v>
      </c>
      <c r="C3348" s="19" t="s">
        <v>6939</v>
      </c>
      <c r="D3348" s="19" t="s">
        <v>7001</v>
      </c>
      <c r="E3348" s="19" t="s">
        <v>7004</v>
      </c>
    </row>
    <row r="3349" spans="1:5" x14ac:dyDescent="0.25">
      <c r="A3349" s="16">
        <v>3378</v>
      </c>
      <c r="B3349" s="19" t="s">
        <v>6700</v>
      </c>
      <c r="C3349" s="19" t="s">
        <v>6939</v>
      </c>
      <c r="D3349" s="19" t="s">
        <v>7001</v>
      </c>
      <c r="E3349" s="19" t="s">
        <v>7005</v>
      </c>
    </row>
    <row r="3350" spans="1:5" ht="36" customHeight="1" x14ac:dyDescent="0.25">
      <c r="A3350" s="16">
        <v>3379</v>
      </c>
      <c r="B3350" s="19" t="s">
        <v>7006</v>
      </c>
      <c r="C3350" s="19" t="s">
        <v>7007</v>
      </c>
      <c r="D3350" s="19" t="s">
        <v>7008</v>
      </c>
      <c r="E3350" s="19" t="s">
        <v>7009</v>
      </c>
    </row>
    <row r="3351" spans="1:5" ht="36" customHeight="1" x14ac:dyDescent="0.25">
      <c r="A3351" s="16">
        <v>3380</v>
      </c>
      <c r="B3351" s="19" t="s">
        <v>7006</v>
      </c>
      <c r="C3351" s="19" t="s">
        <v>7007</v>
      </c>
      <c r="D3351" s="19" t="s">
        <v>7008</v>
      </c>
      <c r="E3351" s="19" t="s">
        <v>7010</v>
      </c>
    </row>
    <row r="3352" spans="1:5" ht="36" customHeight="1" x14ac:dyDescent="0.25">
      <c r="A3352" s="16">
        <v>3381</v>
      </c>
      <c r="B3352" s="19" t="s">
        <v>7006</v>
      </c>
      <c r="C3352" s="19" t="s">
        <v>7007</v>
      </c>
      <c r="D3352" s="19" t="s">
        <v>7008</v>
      </c>
      <c r="E3352" s="19" t="s">
        <v>7011</v>
      </c>
    </row>
    <row r="3353" spans="1:5" ht="36" customHeight="1" x14ac:dyDescent="0.25">
      <c r="A3353" s="16">
        <v>3382</v>
      </c>
      <c r="B3353" s="19" t="s">
        <v>7006</v>
      </c>
      <c r="C3353" s="19" t="s">
        <v>7007</v>
      </c>
      <c r="D3353" s="19" t="s">
        <v>7008</v>
      </c>
      <c r="E3353" s="19" t="s">
        <v>7012</v>
      </c>
    </row>
    <row r="3354" spans="1:5" ht="36" customHeight="1" x14ac:dyDescent="0.25">
      <c r="A3354" s="16">
        <v>3383</v>
      </c>
      <c r="B3354" s="19" t="s">
        <v>7006</v>
      </c>
      <c r="C3354" s="19" t="s">
        <v>7007</v>
      </c>
      <c r="D3354" s="19" t="s">
        <v>7008</v>
      </c>
      <c r="E3354" s="19" t="s">
        <v>7013</v>
      </c>
    </row>
    <row r="3355" spans="1:5" ht="36" customHeight="1" x14ac:dyDescent="0.25">
      <c r="A3355" s="16">
        <v>3384</v>
      </c>
      <c r="B3355" s="19" t="s">
        <v>7006</v>
      </c>
      <c r="C3355" s="19" t="s">
        <v>7007</v>
      </c>
      <c r="D3355" s="19" t="s">
        <v>7008</v>
      </c>
      <c r="E3355" s="19" t="s">
        <v>7014</v>
      </c>
    </row>
    <row r="3356" spans="1:5" ht="36" customHeight="1" x14ac:dyDescent="0.25">
      <c r="A3356" s="16">
        <v>3385</v>
      </c>
      <c r="B3356" s="19" t="s">
        <v>7006</v>
      </c>
      <c r="C3356" s="19" t="s">
        <v>7007</v>
      </c>
      <c r="D3356" s="19" t="s">
        <v>7008</v>
      </c>
      <c r="E3356" s="19" t="s">
        <v>7015</v>
      </c>
    </row>
    <row r="3357" spans="1:5" ht="36" customHeight="1" x14ac:dyDescent="0.25">
      <c r="A3357" s="16">
        <v>3386</v>
      </c>
      <c r="B3357" s="19" t="s">
        <v>7006</v>
      </c>
      <c r="C3357" s="19" t="s">
        <v>7007</v>
      </c>
      <c r="D3357" s="19" t="s">
        <v>7008</v>
      </c>
      <c r="E3357" s="19" t="s">
        <v>7016</v>
      </c>
    </row>
    <row r="3358" spans="1:5" ht="36" customHeight="1" x14ac:dyDescent="0.25">
      <c r="A3358" s="16">
        <v>3387</v>
      </c>
      <c r="B3358" s="19" t="s">
        <v>7006</v>
      </c>
      <c r="C3358" s="19" t="s">
        <v>7007</v>
      </c>
      <c r="D3358" s="19" t="s">
        <v>7008</v>
      </c>
      <c r="E3358" s="19" t="s">
        <v>7017</v>
      </c>
    </row>
    <row r="3359" spans="1:5" ht="36" customHeight="1" x14ac:dyDescent="0.25">
      <c r="A3359" s="16">
        <v>3388</v>
      </c>
      <c r="B3359" s="19" t="s">
        <v>7006</v>
      </c>
      <c r="C3359" s="19" t="s">
        <v>7007</v>
      </c>
      <c r="D3359" s="19" t="s">
        <v>7008</v>
      </c>
      <c r="E3359" s="19" t="s">
        <v>7018</v>
      </c>
    </row>
    <row r="3360" spans="1:5" ht="36" customHeight="1" x14ac:dyDescent="0.25">
      <c r="A3360" s="16">
        <v>3389</v>
      </c>
      <c r="B3360" s="19" t="s">
        <v>7006</v>
      </c>
      <c r="C3360" s="19" t="s">
        <v>7007</v>
      </c>
      <c r="D3360" s="19" t="s">
        <v>7008</v>
      </c>
      <c r="E3360" s="19" t="s">
        <v>7019</v>
      </c>
    </row>
    <row r="3361" spans="1:5" ht="36" customHeight="1" x14ac:dyDescent="0.25">
      <c r="A3361" s="16">
        <v>3390</v>
      </c>
      <c r="B3361" s="19" t="s">
        <v>7006</v>
      </c>
      <c r="C3361" s="19" t="s">
        <v>7007</v>
      </c>
      <c r="D3361" s="19" t="s">
        <v>7008</v>
      </c>
      <c r="E3361" s="19" t="s">
        <v>7020</v>
      </c>
    </row>
    <row r="3362" spans="1:5" ht="36" customHeight="1" x14ac:dyDescent="0.25">
      <c r="A3362" s="16">
        <v>3391</v>
      </c>
      <c r="B3362" s="19" t="s">
        <v>7006</v>
      </c>
      <c r="C3362" s="19" t="s">
        <v>7007</v>
      </c>
      <c r="D3362" s="19" t="s">
        <v>7008</v>
      </c>
      <c r="E3362" s="19" t="s">
        <v>7021</v>
      </c>
    </row>
    <row r="3363" spans="1:5" ht="36" customHeight="1" x14ac:dyDescent="0.25">
      <c r="A3363" s="16">
        <v>3392</v>
      </c>
      <c r="B3363" s="19" t="s">
        <v>7006</v>
      </c>
      <c r="C3363" s="19" t="s">
        <v>7007</v>
      </c>
      <c r="D3363" s="19" t="s">
        <v>5446</v>
      </c>
      <c r="E3363" s="19" t="s">
        <v>7022</v>
      </c>
    </row>
    <row r="3364" spans="1:5" ht="36" customHeight="1" x14ac:dyDescent="0.25">
      <c r="A3364" s="16">
        <v>3393</v>
      </c>
      <c r="B3364" s="19" t="s">
        <v>7006</v>
      </c>
      <c r="C3364" s="19" t="s">
        <v>7007</v>
      </c>
      <c r="D3364" s="19" t="s">
        <v>5446</v>
      </c>
      <c r="E3364" s="19" t="s">
        <v>7023</v>
      </c>
    </row>
    <row r="3365" spans="1:5" ht="36" customHeight="1" x14ac:dyDescent="0.25">
      <c r="A3365" s="16">
        <v>3394</v>
      </c>
      <c r="B3365" s="19" t="s">
        <v>7006</v>
      </c>
      <c r="C3365" s="19" t="s">
        <v>7007</v>
      </c>
      <c r="D3365" s="19" t="s">
        <v>5446</v>
      </c>
      <c r="E3365" s="19" t="s">
        <v>7024</v>
      </c>
    </row>
    <row r="3366" spans="1:5" ht="36" customHeight="1" x14ac:dyDescent="0.25">
      <c r="A3366" s="16">
        <v>3395</v>
      </c>
      <c r="B3366" s="19" t="s">
        <v>7006</v>
      </c>
      <c r="C3366" s="19" t="s">
        <v>7007</v>
      </c>
      <c r="D3366" s="19" t="s">
        <v>5446</v>
      </c>
      <c r="E3366" s="19" t="s">
        <v>7025</v>
      </c>
    </row>
    <row r="3367" spans="1:5" ht="36" customHeight="1" x14ac:dyDescent="0.25">
      <c r="A3367" s="16">
        <v>3396</v>
      </c>
      <c r="B3367" s="19" t="s">
        <v>7006</v>
      </c>
      <c r="C3367" s="19" t="s">
        <v>7007</v>
      </c>
      <c r="D3367" s="19" t="s">
        <v>5446</v>
      </c>
      <c r="E3367" s="19" t="s">
        <v>7026</v>
      </c>
    </row>
    <row r="3368" spans="1:5" ht="36" customHeight="1" x14ac:dyDescent="0.25">
      <c r="A3368" s="16">
        <v>3397</v>
      </c>
      <c r="B3368" s="19" t="s">
        <v>7006</v>
      </c>
      <c r="C3368" s="19" t="s">
        <v>7007</v>
      </c>
      <c r="D3368" s="19" t="s">
        <v>5446</v>
      </c>
      <c r="E3368" s="19" t="s">
        <v>7027</v>
      </c>
    </row>
    <row r="3369" spans="1:5" ht="36" customHeight="1" x14ac:dyDescent="0.25">
      <c r="A3369" s="16">
        <v>3398</v>
      </c>
      <c r="B3369" s="19" t="s">
        <v>7006</v>
      </c>
      <c r="C3369" s="19" t="s">
        <v>7007</v>
      </c>
      <c r="D3369" s="19" t="s">
        <v>5446</v>
      </c>
      <c r="E3369" s="19" t="s">
        <v>7028</v>
      </c>
    </row>
    <row r="3370" spans="1:5" ht="36" customHeight="1" x14ac:dyDescent="0.25">
      <c r="A3370" s="16">
        <v>3399</v>
      </c>
      <c r="B3370" s="19" t="s">
        <v>7006</v>
      </c>
      <c r="C3370" s="19" t="s">
        <v>7007</v>
      </c>
      <c r="D3370" s="19" t="s">
        <v>5446</v>
      </c>
      <c r="E3370" s="19" t="s">
        <v>7029</v>
      </c>
    </row>
    <row r="3371" spans="1:5" ht="36" customHeight="1" x14ac:dyDescent="0.25">
      <c r="A3371" s="16">
        <v>3400</v>
      </c>
      <c r="B3371" s="19" t="s">
        <v>7006</v>
      </c>
      <c r="C3371" s="19" t="s">
        <v>7007</v>
      </c>
      <c r="D3371" s="19" t="s">
        <v>5446</v>
      </c>
      <c r="E3371" s="19" t="s">
        <v>7030</v>
      </c>
    </row>
    <row r="3372" spans="1:5" ht="36" customHeight="1" x14ac:dyDescent="0.25">
      <c r="A3372" s="16">
        <v>3401</v>
      </c>
      <c r="B3372" s="19" t="s">
        <v>7006</v>
      </c>
      <c r="C3372" s="19" t="s">
        <v>7007</v>
      </c>
      <c r="D3372" s="19" t="s">
        <v>5446</v>
      </c>
      <c r="E3372" s="19" t="s">
        <v>7031</v>
      </c>
    </row>
    <row r="3373" spans="1:5" ht="36" customHeight="1" x14ac:dyDescent="0.25">
      <c r="A3373" s="16">
        <v>3402</v>
      </c>
      <c r="B3373" s="19" t="s">
        <v>7006</v>
      </c>
      <c r="C3373" s="19" t="s">
        <v>7007</v>
      </c>
      <c r="D3373" s="19" t="s">
        <v>5446</v>
      </c>
      <c r="E3373" s="19" t="s">
        <v>7032</v>
      </c>
    </row>
    <row r="3374" spans="1:5" ht="36" customHeight="1" x14ac:dyDescent="0.25">
      <c r="A3374" s="16">
        <v>3403</v>
      </c>
      <c r="B3374" s="19" t="s">
        <v>7006</v>
      </c>
      <c r="C3374" s="19" t="s">
        <v>7007</v>
      </c>
      <c r="D3374" s="19" t="s">
        <v>5446</v>
      </c>
      <c r="E3374" s="19" t="s">
        <v>7033</v>
      </c>
    </row>
    <row r="3375" spans="1:5" ht="36" customHeight="1" x14ac:dyDescent="0.25">
      <c r="A3375" s="16">
        <v>3404</v>
      </c>
      <c r="B3375" s="19" t="s">
        <v>7006</v>
      </c>
      <c r="C3375" s="19" t="s">
        <v>7007</v>
      </c>
      <c r="D3375" s="19" t="s">
        <v>5446</v>
      </c>
      <c r="E3375" s="19" t="s">
        <v>7034</v>
      </c>
    </row>
    <row r="3376" spans="1:5" ht="36" customHeight="1" x14ac:dyDescent="0.25">
      <c r="A3376" s="16">
        <v>3405</v>
      </c>
      <c r="B3376" s="19" t="s">
        <v>7006</v>
      </c>
      <c r="C3376" s="19" t="s">
        <v>7007</v>
      </c>
      <c r="D3376" s="19" t="s">
        <v>5464</v>
      </c>
      <c r="E3376" s="19" t="s">
        <v>7035</v>
      </c>
    </row>
    <row r="3377" spans="1:5" ht="36" customHeight="1" x14ac:dyDescent="0.25">
      <c r="A3377" s="16">
        <v>3406</v>
      </c>
      <c r="B3377" s="19" t="s">
        <v>7006</v>
      </c>
      <c r="C3377" s="19" t="s">
        <v>7007</v>
      </c>
      <c r="D3377" s="19" t="s">
        <v>5464</v>
      </c>
      <c r="E3377" s="19" t="s">
        <v>7036</v>
      </c>
    </row>
    <row r="3378" spans="1:5" ht="36" customHeight="1" x14ac:dyDescent="0.25">
      <c r="A3378" s="16">
        <v>3407</v>
      </c>
      <c r="B3378" s="19" t="s">
        <v>7006</v>
      </c>
      <c r="C3378" s="19" t="s">
        <v>7007</v>
      </c>
      <c r="D3378" s="19" t="s">
        <v>5464</v>
      </c>
      <c r="E3378" s="19" t="s">
        <v>7037</v>
      </c>
    </row>
    <row r="3379" spans="1:5" ht="36" customHeight="1" x14ac:dyDescent="0.25">
      <c r="A3379" s="16">
        <v>3408</v>
      </c>
      <c r="B3379" s="19" t="s">
        <v>7006</v>
      </c>
      <c r="C3379" s="19" t="s">
        <v>7007</v>
      </c>
      <c r="D3379" s="19" t="s">
        <v>5464</v>
      </c>
      <c r="E3379" s="19" t="s">
        <v>7038</v>
      </c>
    </row>
    <row r="3380" spans="1:5" ht="36" customHeight="1" x14ac:dyDescent="0.25">
      <c r="A3380" s="16">
        <v>3409</v>
      </c>
      <c r="B3380" s="19" t="s">
        <v>7006</v>
      </c>
      <c r="C3380" s="19" t="s">
        <v>7007</v>
      </c>
      <c r="D3380" s="19" t="s">
        <v>5464</v>
      </c>
      <c r="E3380" s="19" t="s">
        <v>7039</v>
      </c>
    </row>
    <row r="3381" spans="1:5" ht="36" customHeight="1" x14ac:dyDescent="0.25">
      <c r="A3381" s="16">
        <v>3410</v>
      </c>
      <c r="B3381" s="19" t="s">
        <v>7006</v>
      </c>
      <c r="C3381" s="19" t="s">
        <v>7007</v>
      </c>
      <c r="D3381" s="19" t="s">
        <v>5464</v>
      </c>
      <c r="E3381" s="19" t="s">
        <v>7040</v>
      </c>
    </row>
    <row r="3382" spans="1:5" ht="36" customHeight="1" x14ac:dyDescent="0.25">
      <c r="A3382" s="16">
        <v>3411</v>
      </c>
      <c r="B3382" s="19" t="s">
        <v>7006</v>
      </c>
      <c r="C3382" s="19" t="s">
        <v>7007</v>
      </c>
      <c r="D3382" s="19" t="s">
        <v>5464</v>
      </c>
      <c r="E3382" s="19" t="s">
        <v>7041</v>
      </c>
    </row>
    <row r="3383" spans="1:5" ht="36" customHeight="1" x14ac:dyDescent="0.25">
      <c r="A3383" s="16">
        <v>3412</v>
      </c>
      <c r="B3383" s="19" t="s">
        <v>7006</v>
      </c>
      <c r="C3383" s="19" t="s">
        <v>7007</v>
      </c>
      <c r="D3383" s="19" t="s">
        <v>5464</v>
      </c>
      <c r="E3383" s="19" t="s">
        <v>7042</v>
      </c>
    </row>
    <row r="3384" spans="1:5" ht="36" customHeight="1" x14ac:dyDescent="0.25">
      <c r="A3384" s="16">
        <v>3413</v>
      </c>
      <c r="B3384" s="19" t="s">
        <v>7006</v>
      </c>
      <c r="C3384" s="19" t="s">
        <v>7007</v>
      </c>
      <c r="D3384" s="19" t="s">
        <v>5464</v>
      </c>
      <c r="E3384" s="19" t="s">
        <v>7043</v>
      </c>
    </row>
    <row r="3385" spans="1:5" ht="36" customHeight="1" x14ac:dyDescent="0.25">
      <c r="A3385" s="16">
        <v>3414</v>
      </c>
      <c r="B3385" s="19" t="s">
        <v>7006</v>
      </c>
      <c r="C3385" s="19" t="s">
        <v>7007</v>
      </c>
      <c r="D3385" s="19" t="s">
        <v>5464</v>
      </c>
      <c r="E3385" s="19" t="s">
        <v>7044</v>
      </c>
    </row>
    <row r="3386" spans="1:5" ht="36" customHeight="1" x14ac:dyDescent="0.25">
      <c r="A3386" s="16">
        <v>3415</v>
      </c>
      <c r="B3386" s="19" t="s">
        <v>7006</v>
      </c>
      <c r="C3386" s="19" t="s">
        <v>7007</v>
      </c>
      <c r="D3386" s="19" t="s">
        <v>5464</v>
      </c>
      <c r="E3386" s="19" t="s">
        <v>7045</v>
      </c>
    </row>
    <row r="3387" spans="1:5" ht="36" customHeight="1" x14ac:dyDescent="0.25">
      <c r="A3387" s="16">
        <v>3416</v>
      </c>
      <c r="B3387" s="19" t="s">
        <v>7006</v>
      </c>
      <c r="C3387" s="19" t="s">
        <v>7007</v>
      </c>
      <c r="D3387" s="19" t="s">
        <v>5464</v>
      </c>
      <c r="E3387" s="19" t="s">
        <v>7046</v>
      </c>
    </row>
    <row r="3388" spans="1:5" ht="36" customHeight="1" x14ac:dyDescent="0.25">
      <c r="A3388" s="16">
        <v>3417</v>
      </c>
      <c r="B3388" s="19" t="s">
        <v>7006</v>
      </c>
      <c r="C3388" s="19" t="s">
        <v>7007</v>
      </c>
      <c r="D3388" s="19" t="s">
        <v>5464</v>
      </c>
      <c r="E3388" s="19" t="s">
        <v>7047</v>
      </c>
    </row>
    <row r="3389" spans="1:5" ht="36" customHeight="1" x14ac:dyDescent="0.25">
      <c r="A3389" s="16">
        <v>3418</v>
      </c>
      <c r="B3389" s="19" t="s">
        <v>7006</v>
      </c>
      <c r="C3389" s="19" t="s">
        <v>7007</v>
      </c>
      <c r="D3389" s="19" t="s">
        <v>7048</v>
      </c>
      <c r="E3389" s="19" t="s">
        <v>7049</v>
      </c>
    </row>
    <row r="3390" spans="1:5" ht="36" customHeight="1" x14ac:dyDescent="0.25">
      <c r="A3390" s="16">
        <v>3419</v>
      </c>
      <c r="B3390" s="19" t="s">
        <v>7006</v>
      </c>
      <c r="C3390" s="19" t="s">
        <v>7007</v>
      </c>
      <c r="D3390" s="19" t="s">
        <v>7048</v>
      </c>
      <c r="E3390" s="19" t="s">
        <v>7050</v>
      </c>
    </row>
    <row r="3391" spans="1:5" ht="36" customHeight="1" x14ac:dyDescent="0.25">
      <c r="A3391" s="16">
        <v>3420</v>
      </c>
      <c r="B3391" s="19" t="s">
        <v>7006</v>
      </c>
      <c r="C3391" s="19" t="s">
        <v>7007</v>
      </c>
      <c r="D3391" s="19" t="s">
        <v>7048</v>
      </c>
      <c r="E3391" s="19" t="s">
        <v>7051</v>
      </c>
    </row>
    <row r="3392" spans="1:5" ht="36" customHeight="1" x14ac:dyDescent="0.25">
      <c r="A3392" s="16">
        <v>3421</v>
      </c>
      <c r="B3392" s="19" t="s">
        <v>7006</v>
      </c>
      <c r="C3392" s="19" t="s">
        <v>7007</v>
      </c>
      <c r="D3392" s="19" t="s">
        <v>7048</v>
      </c>
      <c r="E3392" s="19" t="s">
        <v>7052</v>
      </c>
    </row>
    <row r="3393" spans="1:5" ht="36" customHeight="1" x14ac:dyDescent="0.25">
      <c r="A3393" s="16">
        <v>3422</v>
      </c>
      <c r="B3393" s="19" t="s">
        <v>7006</v>
      </c>
      <c r="C3393" s="19" t="s">
        <v>7007</v>
      </c>
      <c r="D3393" s="19" t="s">
        <v>7048</v>
      </c>
      <c r="E3393" s="19" t="s">
        <v>7053</v>
      </c>
    </row>
    <row r="3394" spans="1:5" ht="36" customHeight="1" x14ac:dyDescent="0.25">
      <c r="A3394" s="16">
        <v>3423</v>
      </c>
      <c r="B3394" s="19" t="s">
        <v>7006</v>
      </c>
      <c r="C3394" s="19" t="s">
        <v>7007</v>
      </c>
      <c r="D3394" s="19" t="s">
        <v>7048</v>
      </c>
      <c r="E3394" s="19" t="s">
        <v>7054</v>
      </c>
    </row>
    <row r="3395" spans="1:5" ht="36" customHeight="1" x14ac:dyDescent="0.25">
      <c r="A3395" s="16">
        <v>3424</v>
      </c>
      <c r="B3395" s="19" t="s">
        <v>7006</v>
      </c>
      <c r="C3395" s="19" t="s">
        <v>7007</v>
      </c>
      <c r="D3395" s="19" t="s">
        <v>7048</v>
      </c>
      <c r="E3395" s="19" t="s">
        <v>7055</v>
      </c>
    </row>
    <row r="3396" spans="1:5" ht="36" customHeight="1" x14ac:dyDescent="0.25">
      <c r="A3396" s="16">
        <v>3425</v>
      </c>
      <c r="B3396" s="19" t="s">
        <v>7006</v>
      </c>
      <c r="C3396" s="19" t="s">
        <v>7007</v>
      </c>
      <c r="D3396" s="19" t="s">
        <v>7048</v>
      </c>
      <c r="E3396" s="19" t="s">
        <v>7056</v>
      </c>
    </row>
    <row r="3397" spans="1:5" ht="36" customHeight="1" x14ac:dyDescent="0.25">
      <c r="A3397" s="16">
        <v>3426</v>
      </c>
      <c r="B3397" s="19" t="s">
        <v>7006</v>
      </c>
      <c r="C3397" s="19" t="s">
        <v>7007</v>
      </c>
      <c r="D3397" s="19" t="s">
        <v>7048</v>
      </c>
      <c r="E3397" s="19" t="s">
        <v>7057</v>
      </c>
    </row>
    <row r="3398" spans="1:5" ht="36" customHeight="1" x14ac:dyDescent="0.25">
      <c r="A3398" s="16">
        <v>3427</v>
      </c>
      <c r="B3398" s="19" t="s">
        <v>7006</v>
      </c>
      <c r="C3398" s="19" t="s">
        <v>7007</v>
      </c>
      <c r="D3398" s="19" t="s">
        <v>7048</v>
      </c>
      <c r="E3398" s="19" t="s">
        <v>7058</v>
      </c>
    </row>
    <row r="3399" spans="1:5" ht="36" customHeight="1" x14ac:dyDescent="0.25">
      <c r="A3399" s="16">
        <v>3428</v>
      </c>
      <c r="B3399" s="19" t="s">
        <v>7006</v>
      </c>
      <c r="C3399" s="19" t="s">
        <v>7007</v>
      </c>
      <c r="D3399" s="19" t="s">
        <v>7048</v>
      </c>
      <c r="E3399" s="19" t="s">
        <v>7059</v>
      </c>
    </row>
    <row r="3400" spans="1:5" ht="36" customHeight="1" x14ac:dyDescent="0.25">
      <c r="A3400" s="16">
        <v>3429</v>
      </c>
      <c r="B3400" s="19" t="s">
        <v>7006</v>
      </c>
      <c r="C3400" s="19" t="s">
        <v>7007</v>
      </c>
      <c r="D3400" s="19" t="s">
        <v>7048</v>
      </c>
      <c r="E3400" s="19" t="s">
        <v>7060</v>
      </c>
    </row>
    <row r="3401" spans="1:5" ht="36" customHeight="1" x14ac:dyDescent="0.25">
      <c r="A3401" s="16">
        <v>3430</v>
      </c>
      <c r="B3401" s="19" t="s">
        <v>7006</v>
      </c>
      <c r="C3401" s="19" t="s">
        <v>7007</v>
      </c>
      <c r="D3401" s="19" t="s">
        <v>7061</v>
      </c>
      <c r="E3401" s="19" t="s">
        <v>7062</v>
      </c>
    </row>
    <row r="3402" spans="1:5" ht="36" customHeight="1" x14ac:dyDescent="0.25">
      <c r="A3402" s="16">
        <v>3431</v>
      </c>
      <c r="B3402" s="19" t="s">
        <v>7006</v>
      </c>
      <c r="C3402" s="19" t="s">
        <v>7007</v>
      </c>
      <c r="D3402" s="19" t="s">
        <v>7061</v>
      </c>
      <c r="E3402" s="19" t="s">
        <v>7063</v>
      </c>
    </row>
    <row r="3403" spans="1:5" ht="36" customHeight="1" x14ac:dyDescent="0.25">
      <c r="A3403" s="16">
        <v>3432</v>
      </c>
      <c r="B3403" s="19" t="s">
        <v>7006</v>
      </c>
      <c r="C3403" s="19" t="s">
        <v>7007</v>
      </c>
      <c r="D3403" s="19" t="s">
        <v>7061</v>
      </c>
      <c r="E3403" s="19" t="s">
        <v>7064</v>
      </c>
    </row>
    <row r="3404" spans="1:5" ht="36" customHeight="1" x14ac:dyDescent="0.25">
      <c r="A3404" s="16">
        <v>3433</v>
      </c>
      <c r="B3404" s="19" t="s">
        <v>7006</v>
      </c>
      <c r="C3404" s="19" t="s">
        <v>7007</v>
      </c>
      <c r="D3404" s="19" t="s">
        <v>7061</v>
      </c>
      <c r="E3404" s="19" t="s">
        <v>7065</v>
      </c>
    </row>
    <row r="3405" spans="1:5" ht="36" customHeight="1" x14ac:dyDescent="0.25">
      <c r="A3405" s="16">
        <v>3434</v>
      </c>
      <c r="B3405" s="19" t="s">
        <v>7006</v>
      </c>
      <c r="C3405" s="19" t="s">
        <v>7007</v>
      </c>
      <c r="D3405" s="19" t="s">
        <v>7061</v>
      </c>
      <c r="E3405" s="19" t="s">
        <v>7066</v>
      </c>
    </row>
    <row r="3406" spans="1:5" ht="36" customHeight="1" x14ac:dyDescent="0.25">
      <c r="A3406" s="16">
        <v>3435</v>
      </c>
      <c r="B3406" s="19" t="s">
        <v>7006</v>
      </c>
      <c r="C3406" s="19" t="s">
        <v>7007</v>
      </c>
      <c r="D3406" s="19" t="s">
        <v>7061</v>
      </c>
      <c r="E3406" s="19" t="s">
        <v>7067</v>
      </c>
    </row>
    <row r="3407" spans="1:5" ht="36" customHeight="1" x14ac:dyDescent="0.25">
      <c r="A3407" s="16">
        <v>3436</v>
      </c>
      <c r="B3407" s="19" t="s">
        <v>7006</v>
      </c>
      <c r="C3407" s="19" t="s">
        <v>7007</v>
      </c>
      <c r="D3407" s="19" t="s">
        <v>7061</v>
      </c>
      <c r="E3407" s="19" t="s">
        <v>7068</v>
      </c>
    </row>
    <row r="3408" spans="1:5" ht="36" customHeight="1" x14ac:dyDescent="0.25">
      <c r="A3408" s="16">
        <v>3437</v>
      </c>
      <c r="B3408" s="19" t="s">
        <v>7006</v>
      </c>
      <c r="C3408" s="19" t="s">
        <v>7007</v>
      </c>
      <c r="D3408" s="19" t="s">
        <v>7061</v>
      </c>
      <c r="E3408" s="19" t="s">
        <v>7069</v>
      </c>
    </row>
    <row r="3409" spans="1:5" ht="36" customHeight="1" x14ac:dyDescent="0.25">
      <c r="A3409" s="16">
        <v>3438</v>
      </c>
      <c r="B3409" s="19" t="s">
        <v>7006</v>
      </c>
      <c r="C3409" s="19" t="s">
        <v>7007</v>
      </c>
      <c r="D3409" s="19" t="s">
        <v>7061</v>
      </c>
      <c r="E3409" s="19" t="s">
        <v>7070</v>
      </c>
    </row>
    <row r="3410" spans="1:5" ht="36" customHeight="1" x14ac:dyDescent="0.25">
      <c r="A3410" s="16">
        <v>3439</v>
      </c>
      <c r="B3410" s="19" t="s">
        <v>7006</v>
      </c>
      <c r="C3410" s="19" t="s">
        <v>7007</v>
      </c>
      <c r="D3410" s="19" t="s">
        <v>7061</v>
      </c>
      <c r="E3410" s="19" t="s">
        <v>7071</v>
      </c>
    </row>
    <row r="3411" spans="1:5" ht="36" customHeight="1" x14ac:dyDescent="0.25">
      <c r="A3411" s="16">
        <v>3440</v>
      </c>
      <c r="B3411" s="19" t="s">
        <v>7006</v>
      </c>
      <c r="C3411" s="19" t="s">
        <v>7007</v>
      </c>
      <c r="D3411" s="19" t="s">
        <v>7061</v>
      </c>
      <c r="E3411" s="19" t="s">
        <v>7072</v>
      </c>
    </row>
    <row r="3412" spans="1:5" ht="36" customHeight="1" x14ac:dyDescent="0.25">
      <c r="A3412" s="16">
        <v>3441</v>
      </c>
      <c r="B3412" s="19" t="s">
        <v>7006</v>
      </c>
      <c r="C3412" s="19" t="s">
        <v>7007</v>
      </c>
      <c r="D3412" s="19" t="s">
        <v>7061</v>
      </c>
      <c r="E3412" s="19" t="s">
        <v>7073</v>
      </c>
    </row>
    <row r="3413" spans="1:5" ht="36" customHeight="1" x14ac:dyDescent="0.25">
      <c r="A3413" s="16">
        <v>3442</v>
      </c>
      <c r="B3413" s="19" t="s">
        <v>7006</v>
      </c>
      <c r="C3413" s="19" t="s">
        <v>7007</v>
      </c>
      <c r="D3413" s="19" t="s">
        <v>7061</v>
      </c>
      <c r="E3413" s="19" t="s">
        <v>7074</v>
      </c>
    </row>
    <row r="3414" spans="1:5" ht="36" customHeight="1" x14ac:dyDescent="0.25">
      <c r="A3414" s="16">
        <v>3443</v>
      </c>
      <c r="B3414" s="19" t="s">
        <v>7006</v>
      </c>
      <c r="C3414" s="19" t="s">
        <v>7007</v>
      </c>
      <c r="D3414" s="19" t="s">
        <v>7061</v>
      </c>
      <c r="E3414" s="19" t="s">
        <v>7075</v>
      </c>
    </row>
    <row r="3415" spans="1:5" ht="36" customHeight="1" x14ac:dyDescent="0.25">
      <c r="A3415" s="16">
        <v>3444</v>
      </c>
      <c r="B3415" s="19" t="s">
        <v>7006</v>
      </c>
      <c r="C3415" s="19" t="s">
        <v>7007</v>
      </c>
      <c r="D3415" s="19" t="s">
        <v>7061</v>
      </c>
      <c r="E3415" s="19" t="s">
        <v>7076</v>
      </c>
    </row>
    <row r="3416" spans="1:5" ht="36" customHeight="1" x14ac:dyDescent="0.25">
      <c r="A3416" s="16">
        <v>3445</v>
      </c>
      <c r="B3416" s="19" t="s">
        <v>7006</v>
      </c>
      <c r="C3416" s="19" t="s">
        <v>7007</v>
      </c>
      <c r="D3416" s="19" t="s">
        <v>7077</v>
      </c>
      <c r="E3416" s="19" t="s">
        <v>7078</v>
      </c>
    </row>
    <row r="3417" spans="1:5" ht="36" customHeight="1" x14ac:dyDescent="0.25">
      <c r="A3417" s="16">
        <v>3446</v>
      </c>
      <c r="B3417" s="19" t="s">
        <v>7006</v>
      </c>
      <c r="C3417" s="19" t="s">
        <v>7007</v>
      </c>
      <c r="D3417" s="19" t="s">
        <v>7077</v>
      </c>
      <c r="E3417" s="19" t="s">
        <v>7079</v>
      </c>
    </row>
    <row r="3418" spans="1:5" ht="36" customHeight="1" x14ac:dyDescent="0.25">
      <c r="A3418" s="16">
        <v>3447</v>
      </c>
      <c r="B3418" s="19" t="s">
        <v>7006</v>
      </c>
      <c r="C3418" s="19" t="s">
        <v>7007</v>
      </c>
      <c r="D3418" s="19" t="s">
        <v>7077</v>
      </c>
      <c r="E3418" s="19" t="s">
        <v>7080</v>
      </c>
    </row>
    <row r="3419" spans="1:5" ht="36" customHeight="1" x14ac:dyDescent="0.25">
      <c r="A3419" s="16">
        <v>3448</v>
      </c>
      <c r="B3419" s="19" t="s">
        <v>7006</v>
      </c>
      <c r="C3419" s="19" t="s">
        <v>7007</v>
      </c>
      <c r="D3419" s="19" t="s">
        <v>7077</v>
      </c>
      <c r="E3419" s="19" t="s">
        <v>7081</v>
      </c>
    </row>
    <row r="3420" spans="1:5" ht="36" customHeight="1" x14ac:dyDescent="0.25">
      <c r="A3420" s="16">
        <v>3449</v>
      </c>
      <c r="B3420" s="19" t="s">
        <v>7006</v>
      </c>
      <c r="C3420" s="19" t="s">
        <v>7007</v>
      </c>
      <c r="D3420" s="19" t="s">
        <v>7077</v>
      </c>
      <c r="E3420" s="19" t="s">
        <v>7082</v>
      </c>
    </row>
    <row r="3421" spans="1:5" ht="36" customHeight="1" x14ac:dyDescent="0.25">
      <c r="A3421" s="16">
        <v>3450</v>
      </c>
      <c r="B3421" s="19" t="s">
        <v>7006</v>
      </c>
      <c r="C3421" s="19" t="s">
        <v>7007</v>
      </c>
      <c r="D3421" s="19" t="s">
        <v>7077</v>
      </c>
      <c r="E3421" s="19" t="s">
        <v>7083</v>
      </c>
    </row>
    <row r="3422" spans="1:5" ht="36" customHeight="1" x14ac:dyDescent="0.25">
      <c r="A3422" s="16">
        <v>3451</v>
      </c>
      <c r="B3422" s="19" t="s">
        <v>7006</v>
      </c>
      <c r="C3422" s="19" t="s">
        <v>7007</v>
      </c>
      <c r="D3422" s="19" t="s">
        <v>7077</v>
      </c>
      <c r="E3422" s="19" t="s">
        <v>7084</v>
      </c>
    </row>
    <row r="3423" spans="1:5" ht="36" customHeight="1" x14ac:dyDescent="0.25">
      <c r="A3423" s="16">
        <v>3452</v>
      </c>
      <c r="B3423" s="19" t="s">
        <v>7006</v>
      </c>
      <c r="C3423" s="19" t="s">
        <v>7007</v>
      </c>
      <c r="D3423" s="19" t="s">
        <v>7077</v>
      </c>
      <c r="E3423" s="19" t="s">
        <v>7085</v>
      </c>
    </row>
    <row r="3424" spans="1:5" ht="36" customHeight="1" x14ac:dyDescent="0.25">
      <c r="A3424" s="16">
        <v>3453</v>
      </c>
      <c r="B3424" s="19" t="s">
        <v>7006</v>
      </c>
      <c r="C3424" s="19" t="s">
        <v>7007</v>
      </c>
      <c r="D3424" s="19" t="s">
        <v>7077</v>
      </c>
      <c r="E3424" s="19" t="s">
        <v>7086</v>
      </c>
    </row>
    <row r="3425" spans="1:5" ht="36" customHeight="1" x14ac:dyDescent="0.25">
      <c r="A3425" s="16">
        <v>3454</v>
      </c>
      <c r="B3425" s="19" t="s">
        <v>7006</v>
      </c>
      <c r="C3425" s="19" t="s">
        <v>7007</v>
      </c>
      <c r="D3425" s="19" t="s">
        <v>7077</v>
      </c>
      <c r="E3425" s="19" t="s">
        <v>7087</v>
      </c>
    </row>
    <row r="3426" spans="1:5" ht="36" customHeight="1" x14ac:dyDescent="0.25">
      <c r="A3426" s="16">
        <v>3455</v>
      </c>
      <c r="B3426" s="19" t="s">
        <v>7006</v>
      </c>
      <c r="C3426" s="19" t="s">
        <v>7007</v>
      </c>
      <c r="D3426" s="19" t="s">
        <v>7077</v>
      </c>
      <c r="E3426" s="19" t="s">
        <v>7088</v>
      </c>
    </row>
    <row r="3427" spans="1:5" ht="36" customHeight="1" x14ac:dyDescent="0.25">
      <c r="A3427" s="16">
        <v>3456</v>
      </c>
      <c r="B3427" s="19" t="s">
        <v>7006</v>
      </c>
      <c r="C3427" s="19" t="s">
        <v>7007</v>
      </c>
      <c r="D3427" s="19" t="s">
        <v>7077</v>
      </c>
      <c r="E3427" s="19" t="s">
        <v>7089</v>
      </c>
    </row>
    <row r="3428" spans="1:5" ht="36" customHeight="1" x14ac:dyDescent="0.25">
      <c r="A3428" s="16">
        <v>3457</v>
      </c>
      <c r="B3428" s="19" t="s">
        <v>7006</v>
      </c>
      <c r="C3428" s="19" t="s">
        <v>7007</v>
      </c>
      <c r="D3428" s="19" t="s">
        <v>7077</v>
      </c>
      <c r="E3428" s="19" t="s">
        <v>7090</v>
      </c>
    </row>
    <row r="3429" spans="1:5" ht="36" customHeight="1" x14ac:dyDescent="0.25">
      <c r="A3429" s="16">
        <v>3458</v>
      </c>
      <c r="B3429" s="19" t="s">
        <v>7006</v>
      </c>
      <c r="C3429" s="19" t="s">
        <v>7007</v>
      </c>
      <c r="D3429" s="19" t="s">
        <v>7077</v>
      </c>
      <c r="E3429" s="19" t="s">
        <v>7091</v>
      </c>
    </row>
    <row r="3430" spans="1:5" ht="36" customHeight="1" x14ac:dyDescent="0.25">
      <c r="A3430" s="16">
        <v>3459</v>
      </c>
      <c r="B3430" s="19" t="s">
        <v>7006</v>
      </c>
      <c r="C3430" s="19" t="s">
        <v>7007</v>
      </c>
      <c r="D3430" s="19" t="s">
        <v>7077</v>
      </c>
      <c r="E3430" s="19" t="s">
        <v>7092</v>
      </c>
    </row>
    <row r="3431" spans="1:5" ht="36" customHeight="1" x14ac:dyDescent="0.25">
      <c r="A3431" s="16">
        <v>3460</v>
      </c>
      <c r="B3431" s="19" t="s">
        <v>7006</v>
      </c>
      <c r="C3431" s="19" t="s">
        <v>7007</v>
      </c>
      <c r="D3431" s="19" t="s">
        <v>7077</v>
      </c>
      <c r="E3431" s="19" t="s">
        <v>7093</v>
      </c>
    </row>
    <row r="3432" spans="1:5" ht="36" customHeight="1" x14ac:dyDescent="0.25">
      <c r="A3432" s="16">
        <v>3461</v>
      </c>
      <c r="B3432" s="19" t="s">
        <v>7006</v>
      </c>
      <c r="C3432" s="19" t="s">
        <v>7007</v>
      </c>
      <c r="D3432" s="19" t="s">
        <v>7077</v>
      </c>
      <c r="E3432" s="19" t="s">
        <v>7094</v>
      </c>
    </row>
    <row r="3433" spans="1:5" ht="36" customHeight="1" x14ac:dyDescent="0.25">
      <c r="A3433" s="16">
        <v>3462</v>
      </c>
      <c r="B3433" s="19" t="s">
        <v>7006</v>
      </c>
      <c r="C3433" s="19" t="s">
        <v>7007</v>
      </c>
      <c r="D3433" s="19" t="s">
        <v>7077</v>
      </c>
      <c r="E3433" s="19" t="s">
        <v>7095</v>
      </c>
    </row>
    <row r="3434" spans="1:5" ht="36" customHeight="1" x14ac:dyDescent="0.25">
      <c r="A3434" s="16">
        <v>3463</v>
      </c>
      <c r="B3434" s="19" t="s">
        <v>7006</v>
      </c>
      <c r="C3434" s="19" t="s">
        <v>7007</v>
      </c>
      <c r="D3434" s="19" t="s">
        <v>7077</v>
      </c>
      <c r="E3434" s="19" t="s">
        <v>7096</v>
      </c>
    </row>
    <row r="3435" spans="1:5" ht="36" customHeight="1" x14ac:dyDescent="0.25">
      <c r="A3435" s="16">
        <v>3464</v>
      </c>
      <c r="B3435" s="19" t="s">
        <v>7006</v>
      </c>
      <c r="C3435" s="19" t="s">
        <v>7007</v>
      </c>
      <c r="D3435" s="19" t="s">
        <v>7097</v>
      </c>
      <c r="E3435" s="19" t="s">
        <v>7098</v>
      </c>
    </row>
    <row r="3436" spans="1:5" ht="36" customHeight="1" x14ac:dyDescent="0.25">
      <c r="A3436" s="16">
        <v>3465</v>
      </c>
      <c r="B3436" s="19" t="s">
        <v>7006</v>
      </c>
      <c r="C3436" s="19" t="s">
        <v>7007</v>
      </c>
      <c r="D3436" s="19" t="s">
        <v>7097</v>
      </c>
      <c r="E3436" s="19" t="s">
        <v>7099</v>
      </c>
    </row>
    <row r="3437" spans="1:5" ht="36" customHeight="1" x14ac:dyDescent="0.25">
      <c r="A3437" s="16">
        <v>3466</v>
      </c>
      <c r="B3437" s="19" t="s">
        <v>7006</v>
      </c>
      <c r="C3437" s="19" t="s">
        <v>7007</v>
      </c>
      <c r="D3437" s="19" t="s">
        <v>7097</v>
      </c>
      <c r="E3437" s="19" t="s">
        <v>7100</v>
      </c>
    </row>
    <row r="3438" spans="1:5" ht="36" customHeight="1" x14ac:dyDescent="0.25">
      <c r="A3438" s="16">
        <v>3467</v>
      </c>
      <c r="B3438" s="19" t="s">
        <v>7006</v>
      </c>
      <c r="C3438" s="19" t="s">
        <v>7007</v>
      </c>
      <c r="D3438" s="19" t="s">
        <v>7097</v>
      </c>
      <c r="E3438" s="19" t="s">
        <v>7101</v>
      </c>
    </row>
    <row r="3439" spans="1:5" ht="36" customHeight="1" x14ac:dyDescent="0.25">
      <c r="A3439" s="16">
        <v>3468</v>
      </c>
      <c r="B3439" s="19" t="s">
        <v>7006</v>
      </c>
      <c r="C3439" s="19" t="s">
        <v>7007</v>
      </c>
      <c r="D3439" s="19" t="s">
        <v>7097</v>
      </c>
      <c r="E3439" s="19" t="s">
        <v>7102</v>
      </c>
    </row>
    <row r="3440" spans="1:5" ht="36" customHeight="1" x14ac:dyDescent="0.25">
      <c r="A3440" s="16">
        <v>3469</v>
      </c>
      <c r="B3440" s="19" t="s">
        <v>7006</v>
      </c>
      <c r="C3440" s="19" t="s">
        <v>7007</v>
      </c>
      <c r="D3440" s="19" t="s">
        <v>7097</v>
      </c>
      <c r="E3440" s="19" t="s">
        <v>7103</v>
      </c>
    </row>
    <row r="3441" spans="1:5" ht="36" customHeight="1" x14ac:dyDescent="0.25">
      <c r="A3441" s="16">
        <v>3470</v>
      </c>
      <c r="B3441" s="19" t="s">
        <v>7006</v>
      </c>
      <c r="C3441" s="19" t="s">
        <v>7007</v>
      </c>
      <c r="D3441" s="19" t="s">
        <v>7097</v>
      </c>
      <c r="E3441" s="19" t="s">
        <v>7104</v>
      </c>
    </row>
    <row r="3442" spans="1:5" ht="36" customHeight="1" x14ac:dyDescent="0.25">
      <c r="A3442" s="16">
        <v>3471</v>
      </c>
      <c r="B3442" s="19" t="s">
        <v>7006</v>
      </c>
      <c r="C3442" s="19" t="s">
        <v>7007</v>
      </c>
      <c r="D3442" s="19" t="s">
        <v>7097</v>
      </c>
      <c r="E3442" s="19" t="s">
        <v>7105</v>
      </c>
    </row>
    <row r="3443" spans="1:5" ht="36" customHeight="1" x14ac:dyDescent="0.25">
      <c r="A3443" s="16">
        <v>3472</v>
      </c>
      <c r="B3443" s="19" t="s">
        <v>7006</v>
      </c>
      <c r="C3443" s="19" t="s">
        <v>7007</v>
      </c>
      <c r="D3443" s="19" t="s">
        <v>7097</v>
      </c>
      <c r="E3443" s="19" t="s">
        <v>7106</v>
      </c>
    </row>
    <row r="3444" spans="1:5" ht="36" customHeight="1" x14ac:dyDescent="0.25">
      <c r="A3444" s="16">
        <v>3473</v>
      </c>
      <c r="B3444" s="19" t="s">
        <v>7006</v>
      </c>
      <c r="C3444" s="19" t="s">
        <v>7007</v>
      </c>
      <c r="D3444" s="19" t="s">
        <v>7097</v>
      </c>
      <c r="E3444" s="19" t="s">
        <v>7107</v>
      </c>
    </row>
    <row r="3445" spans="1:5" ht="36" customHeight="1" x14ac:dyDescent="0.25">
      <c r="A3445" s="16">
        <v>3474</v>
      </c>
      <c r="B3445" s="19" t="s">
        <v>7006</v>
      </c>
      <c r="C3445" s="19" t="s">
        <v>7007</v>
      </c>
      <c r="D3445" s="19" t="s">
        <v>7097</v>
      </c>
      <c r="E3445" s="19" t="s">
        <v>7108</v>
      </c>
    </row>
    <row r="3446" spans="1:5" ht="36" customHeight="1" x14ac:dyDescent="0.25">
      <c r="A3446" s="16">
        <v>3475</v>
      </c>
      <c r="B3446" s="19" t="s">
        <v>7006</v>
      </c>
      <c r="C3446" s="19" t="s">
        <v>7007</v>
      </c>
      <c r="D3446" s="19" t="s">
        <v>7109</v>
      </c>
      <c r="E3446" s="19" t="s">
        <v>7110</v>
      </c>
    </row>
    <row r="3447" spans="1:5" ht="36" customHeight="1" x14ac:dyDescent="0.25">
      <c r="A3447" s="16">
        <v>3476</v>
      </c>
      <c r="B3447" s="19" t="s">
        <v>7006</v>
      </c>
      <c r="C3447" s="19" t="s">
        <v>7007</v>
      </c>
      <c r="D3447" s="19" t="s">
        <v>7109</v>
      </c>
      <c r="E3447" s="19" t="s">
        <v>7111</v>
      </c>
    </row>
    <row r="3448" spans="1:5" ht="36" customHeight="1" x14ac:dyDescent="0.25">
      <c r="A3448" s="16">
        <v>3477</v>
      </c>
      <c r="B3448" s="19" t="s">
        <v>7006</v>
      </c>
      <c r="C3448" s="19" t="s">
        <v>7007</v>
      </c>
      <c r="D3448" s="19" t="s">
        <v>7109</v>
      </c>
      <c r="E3448" s="19" t="s">
        <v>7112</v>
      </c>
    </row>
    <row r="3449" spans="1:5" ht="36" customHeight="1" x14ac:dyDescent="0.25">
      <c r="A3449" s="16">
        <v>3478</v>
      </c>
      <c r="B3449" s="19" t="s">
        <v>7006</v>
      </c>
      <c r="C3449" s="19" t="s">
        <v>7007</v>
      </c>
      <c r="D3449" s="19" t="s">
        <v>7109</v>
      </c>
      <c r="E3449" s="19" t="s">
        <v>7113</v>
      </c>
    </row>
    <row r="3450" spans="1:5" ht="36" customHeight="1" x14ac:dyDescent="0.25">
      <c r="A3450" s="16">
        <v>3479</v>
      </c>
      <c r="B3450" s="19" t="s">
        <v>7006</v>
      </c>
      <c r="C3450" s="19" t="s">
        <v>7007</v>
      </c>
      <c r="D3450" s="19" t="s">
        <v>7109</v>
      </c>
      <c r="E3450" s="19" t="s">
        <v>7114</v>
      </c>
    </row>
    <row r="3451" spans="1:5" ht="36" customHeight="1" x14ac:dyDescent="0.25">
      <c r="A3451" s="16">
        <v>3480</v>
      </c>
      <c r="B3451" s="19" t="s">
        <v>7006</v>
      </c>
      <c r="C3451" s="19" t="s">
        <v>7007</v>
      </c>
      <c r="D3451" s="19" t="s">
        <v>7109</v>
      </c>
      <c r="E3451" s="19" t="s">
        <v>7115</v>
      </c>
    </row>
    <row r="3452" spans="1:5" ht="36" customHeight="1" x14ac:dyDescent="0.25">
      <c r="A3452" s="16">
        <v>3481</v>
      </c>
      <c r="B3452" s="19" t="s">
        <v>7006</v>
      </c>
      <c r="C3452" s="19" t="s">
        <v>7007</v>
      </c>
      <c r="D3452" s="19" t="s">
        <v>7109</v>
      </c>
      <c r="E3452" s="19" t="s">
        <v>7116</v>
      </c>
    </row>
    <row r="3453" spans="1:5" ht="36" customHeight="1" x14ac:dyDescent="0.25">
      <c r="A3453" s="16">
        <v>3482</v>
      </c>
      <c r="B3453" s="19" t="s">
        <v>7006</v>
      </c>
      <c r="C3453" s="19" t="s">
        <v>7007</v>
      </c>
      <c r="D3453" s="19" t="s">
        <v>7109</v>
      </c>
      <c r="E3453" s="19" t="s">
        <v>7117</v>
      </c>
    </row>
    <row r="3454" spans="1:5" ht="36" customHeight="1" x14ac:dyDescent="0.25">
      <c r="A3454" s="16">
        <v>3483</v>
      </c>
      <c r="B3454" s="19" t="s">
        <v>7006</v>
      </c>
      <c r="C3454" s="19" t="s">
        <v>7007</v>
      </c>
      <c r="D3454" s="19" t="s">
        <v>7118</v>
      </c>
      <c r="E3454" s="19" t="s">
        <v>7119</v>
      </c>
    </row>
    <row r="3455" spans="1:5" ht="36" customHeight="1" x14ac:dyDescent="0.25">
      <c r="A3455" s="16">
        <v>3484</v>
      </c>
      <c r="B3455" s="19" t="s">
        <v>7006</v>
      </c>
      <c r="C3455" s="19" t="s">
        <v>7007</v>
      </c>
      <c r="D3455" s="19" t="s">
        <v>7118</v>
      </c>
      <c r="E3455" s="19" t="s">
        <v>7120</v>
      </c>
    </row>
    <row r="3456" spans="1:5" ht="36" customHeight="1" x14ac:dyDescent="0.25">
      <c r="A3456" s="16">
        <v>3485</v>
      </c>
      <c r="B3456" s="19" t="s">
        <v>7006</v>
      </c>
      <c r="C3456" s="19" t="s">
        <v>7007</v>
      </c>
      <c r="D3456" s="19" t="s">
        <v>7118</v>
      </c>
      <c r="E3456" s="19" t="s">
        <v>7121</v>
      </c>
    </row>
    <row r="3457" spans="1:5" ht="36" customHeight="1" x14ac:dyDescent="0.25">
      <c r="A3457" s="16">
        <v>3486</v>
      </c>
      <c r="B3457" s="19" t="s">
        <v>7006</v>
      </c>
      <c r="C3457" s="19" t="s">
        <v>7007</v>
      </c>
      <c r="D3457" s="19" t="s">
        <v>7118</v>
      </c>
      <c r="E3457" s="19" t="s">
        <v>7122</v>
      </c>
    </row>
    <row r="3458" spans="1:5" ht="36" customHeight="1" x14ac:dyDescent="0.25">
      <c r="A3458" s="16">
        <v>3487</v>
      </c>
      <c r="B3458" s="19" t="s">
        <v>7006</v>
      </c>
      <c r="C3458" s="19" t="s">
        <v>7007</v>
      </c>
      <c r="D3458" s="19" t="s">
        <v>7118</v>
      </c>
      <c r="E3458" s="19" t="s">
        <v>7123</v>
      </c>
    </row>
    <row r="3459" spans="1:5" ht="36" customHeight="1" x14ac:dyDescent="0.25">
      <c r="A3459" s="16">
        <v>3488</v>
      </c>
      <c r="B3459" s="19" t="s">
        <v>7006</v>
      </c>
      <c r="C3459" s="19" t="s">
        <v>7007</v>
      </c>
      <c r="D3459" s="19" t="s">
        <v>7118</v>
      </c>
      <c r="E3459" s="19" t="s">
        <v>7124</v>
      </c>
    </row>
    <row r="3460" spans="1:5" ht="36" customHeight="1" x14ac:dyDescent="0.25">
      <c r="A3460" s="16">
        <v>3489</v>
      </c>
      <c r="B3460" s="19" t="s">
        <v>7006</v>
      </c>
      <c r="C3460" s="19" t="s">
        <v>7007</v>
      </c>
      <c r="D3460" s="19" t="s">
        <v>7125</v>
      </c>
      <c r="E3460" s="19" t="s">
        <v>7126</v>
      </c>
    </row>
    <row r="3461" spans="1:5" ht="36" customHeight="1" x14ac:dyDescent="0.25">
      <c r="A3461" s="16">
        <v>3490</v>
      </c>
      <c r="B3461" s="19" t="s">
        <v>7006</v>
      </c>
      <c r="C3461" s="19" t="s">
        <v>7007</v>
      </c>
      <c r="D3461" s="19" t="s">
        <v>7125</v>
      </c>
      <c r="E3461" s="19" t="s">
        <v>7127</v>
      </c>
    </row>
    <row r="3462" spans="1:5" ht="36" customHeight="1" x14ac:dyDescent="0.25">
      <c r="A3462" s="16">
        <v>3491</v>
      </c>
      <c r="B3462" s="19" t="s">
        <v>7006</v>
      </c>
      <c r="C3462" s="19" t="s">
        <v>7007</v>
      </c>
      <c r="D3462" s="19" t="s">
        <v>7125</v>
      </c>
      <c r="E3462" s="19" t="s">
        <v>7128</v>
      </c>
    </row>
    <row r="3463" spans="1:5" ht="36" customHeight="1" x14ac:dyDescent="0.25">
      <c r="A3463" s="16">
        <v>3492</v>
      </c>
      <c r="B3463" s="19" t="s">
        <v>7006</v>
      </c>
      <c r="C3463" s="19" t="s">
        <v>7007</v>
      </c>
      <c r="D3463" s="19" t="s">
        <v>7125</v>
      </c>
      <c r="E3463" s="19" t="s">
        <v>7129</v>
      </c>
    </row>
    <row r="3464" spans="1:5" ht="36" customHeight="1" x14ac:dyDescent="0.25">
      <c r="A3464" s="16">
        <v>3493</v>
      </c>
      <c r="B3464" s="19" t="s">
        <v>7006</v>
      </c>
      <c r="C3464" s="19" t="s">
        <v>7007</v>
      </c>
      <c r="D3464" s="19" t="s">
        <v>7125</v>
      </c>
      <c r="E3464" s="19" t="s">
        <v>7130</v>
      </c>
    </row>
    <row r="3465" spans="1:5" ht="36" customHeight="1" x14ac:dyDescent="0.25">
      <c r="A3465" s="16">
        <v>3494</v>
      </c>
      <c r="B3465" s="19" t="s">
        <v>7006</v>
      </c>
      <c r="C3465" s="19" t="s">
        <v>7007</v>
      </c>
      <c r="D3465" s="19" t="s">
        <v>7125</v>
      </c>
      <c r="E3465" s="19" t="s">
        <v>7131</v>
      </c>
    </row>
    <row r="3466" spans="1:5" ht="36" customHeight="1" x14ac:dyDescent="0.25">
      <c r="A3466" s="16">
        <v>3495</v>
      </c>
      <c r="B3466" s="19" t="s">
        <v>7006</v>
      </c>
      <c r="C3466" s="19" t="s">
        <v>7007</v>
      </c>
      <c r="D3466" s="19" t="s">
        <v>7125</v>
      </c>
      <c r="E3466" s="19" t="s">
        <v>7132</v>
      </c>
    </row>
    <row r="3467" spans="1:5" ht="36" customHeight="1" x14ac:dyDescent="0.25">
      <c r="A3467" s="16">
        <v>3496</v>
      </c>
      <c r="B3467" s="19" t="s">
        <v>7006</v>
      </c>
      <c r="C3467" s="19" t="s">
        <v>7007</v>
      </c>
      <c r="D3467" s="19" t="s">
        <v>7125</v>
      </c>
      <c r="E3467" s="19" t="s">
        <v>7133</v>
      </c>
    </row>
    <row r="3468" spans="1:5" ht="36" customHeight="1" x14ac:dyDescent="0.25">
      <c r="A3468" s="16">
        <v>3497</v>
      </c>
      <c r="B3468" s="19" t="s">
        <v>7006</v>
      </c>
      <c r="C3468" s="19" t="s">
        <v>7007</v>
      </c>
      <c r="D3468" s="19" t="s">
        <v>7125</v>
      </c>
      <c r="E3468" s="19" t="s">
        <v>7134</v>
      </c>
    </row>
    <row r="3469" spans="1:5" ht="36" customHeight="1" x14ac:dyDescent="0.25">
      <c r="A3469" s="16">
        <v>3498</v>
      </c>
      <c r="B3469" s="19" t="s">
        <v>7006</v>
      </c>
      <c r="C3469" s="19" t="s">
        <v>7007</v>
      </c>
      <c r="D3469" s="19" t="s">
        <v>7135</v>
      </c>
      <c r="E3469" s="19" t="s">
        <v>7136</v>
      </c>
    </row>
    <row r="3470" spans="1:5" ht="36" customHeight="1" x14ac:dyDescent="0.25">
      <c r="A3470" s="16">
        <v>3499</v>
      </c>
      <c r="B3470" s="19" t="s">
        <v>7006</v>
      </c>
      <c r="C3470" s="19" t="s">
        <v>7007</v>
      </c>
      <c r="D3470" s="19" t="s">
        <v>7135</v>
      </c>
      <c r="E3470" s="19" t="s">
        <v>7137</v>
      </c>
    </row>
    <row r="3471" spans="1:5" ht="36" customHeight="1" x14ac:dyDescent="0.25">
      <c r="A3471" s="16">
        <v>3500</v>
      </c>
      <c r="B3471" s="19" t="s">
        <v>7006</v>
      </c>
      <c r="C3471" s="19" t="s">
        <v>7007</v>
      </c>
      <c r="D3471" s="19" t="s">
        <v>7135</v>
      </c>
      <c r="E3471" s="19" t="s">
        <v>7138</v>
      </c>
    </row>
    <row r="3472" spans="1:5" ht="36" customHeight="1" x14ac:dyDescent="0.25">
      <c r="A3472" s="16">
        <v>3501</v>
      </c>
      <c r="B3472" s="19" t="s">
        <v>7006</v>
      </c>
      <c r="C3472" s="19" t="s">
        <v>7007</v>
      </c>
      <c r="D3472" s="19" t="s">
        <v>7135</v>
      </c>
      <c r="E3472" s="19" t="s">
        <v>7139</v>
      </c>
    </row>
    <row r="3473" spans="1:5" ht="36" customHeight="1" x14ac:dyDescent="0.25">
      <c r="A3473" s="16">
        <v>3502</v>
      </c>
      <c r="B3473" s="19" t="s">
        <v>7006</v>
      </c>
      <c r="C3473" s="19" t="s">
        <v>7007</v>
      </c>
      <c r="D3473" s="19" t="s">
        <v>7135</v>
      </c>
      <c r="E3473" s="19" t="s">
        <v>7140</v>
      </c>
    </row>
    <row r="3474" spans="1:5" ht="36" customHeight="1" x14ac:dyDescent="0.25">
      <c r="A3474" s="16">
        <v>3503</v>
      </c>
      <c r="B3474" s="19" t="s">
        <v>7006</v>
      </c>
      <c r="C3474" s="19" t="s">
        <v>7007</v>
      </c>
      <c r="D3474" s="19" t="s">
        <v>7135</v>
      </c>
      <c r="E3474" s="19" t="s">
        <v>7141</v>
      </c>
    </row>
    <row r="3475" spans="1:5" ht="36" customHeight="1" x14ac:dyDescent="0.25">
      <c r="A3475" s="16">
        <v>3504</v>
      </c>
      <c r="B3475" s="19" t="s">
        <v>7006</v>
      </c>
      <c r="C3475" s="19" t="s">
        <v>7007</v>
      </c>
      <c r="D3475" s="19" t="s">
        <v>7135</v>
      </c>
      <c r="E3475" s="19" t="s">
        <v>7142</v>
      </c>
    </row>
    <row r="3476" spans="1:5" ht="36" customHeight="1" x14ac:dyDescent="0.25">
      <c r="A3476" s="16">
        <v>3505</v>
      </c>
      <c r="B3476" s="19" t="s">
        <v>7006</v>
      </c>
      <c r="C3476" s="19" t="s">
        <v>7007</v>
      </c>
      <c r="D3476" s="19" t="s">
        <v>7135</v>
      </c>
      <c r="E3476" s="19" t="s">
        <v>7143</v>
      </c>
    </row>
    <row r="3477" spans="1:5" ht="36" customHeight="1" x14ac:dyDescent="0.25">
      <c r="A3477" s="16">
        <v>3506</v>
      </c>
      <c r="B3477" s="19" t="s">
        <v>7006</v>
      </c>
      <c r="C3477" s="19" t="s">
        <v>7007</v>
      </c>
      <c r="D3477" s="19" t="s">
        <v>7135</v>
      </c>
      <c r="E3477" s="19" t="s">
        <v>7144</v>
      </c>
    </row>
    <row r="3478" spans="1:5" ht="36" customHeight="1" x14ac:dyDescent="0.25">
      <c r="A3478" s="16">
        <v>3507</v>
      </c>
      <c r="B3478" s="19" t="s">
        <v>7006</v>
      </c>
      <c r="C3478" s="19" t="s">
        <v>7007</v>
      </c>
      <c r="D3478" s="19" t="s">
        <v>7135</v>
      </c>
      <c r="E3478" s="19" t="s">
        <v>7145</v>
      </c>
    </row>
    <row r="3479" spans="1:5" ht="36" customHeight="1" x14ac:dyDescent="0.25">
      <c r="A3479" s="16">
        <v>3508</v>
      </c>
      <c r="B3479" s="19" t="s">
        <v>7006</v>
      </c>
      <c r="C3479" s="19" t="s">
        <v>7007</v>
      </c>
      <c r="D3479" s="19" t="s">
        <v>7135</v>
      </c>
      <c r="E3479" s="19" t="s">
        <v>7146</v>
      </c>
    </row>
    <row r="3480" spans="1:5" ht="36" customHeight="1" x14ac:dyDescent="0.25">
      <c r="A3480" s="16">
        <v>3509</v>
      </c>
      <c r="B3480" s="19" t="s">
        <v>7006</v>
      </c>
      <c r="C3480" s="19" t="s">
        <v>7007</v>
      </c>
      <c r="D3480" s="19" t="s">
        <v>7135</v>
      </c>
      <c r="E3480" s="19" t="s">
        <v>7147</v>
      </c>
    </row>
    <row r="3481" spans="1:5" ht="36" customHeight="1" x14ac:dyDescent="0.25">
      <c r="A3481" s="16">
        <v>3510</v>
      </c>
      <c r="B3481" s="19" t="s">
        <v>7006</v>
      </c>
      <c r="C3481" s="19" t="s">
        <v>7007</v>
      </c>
      <c r="D3481" s="19" t="s">
        <v>7135</v>
      </c>
      <c r="E3481" s="19" t="s">
        <v>7148</v>
      </c>
    </row>
    <row r="3482" spans="1:5" ht="36" customHeight="1" x14ac:dyDescent="0.25">
      <c r="A3482" s="16">
        <v>3511</v>
      </c>
      <c r="B3482" s="19" t="s">
        <v>7006</v>
      </c>
      <c r="C3482" s="19" t="s">
        <v>7007</v>
      </c>
      <c r="D3482" s="19" t="s">
        <v>7149</v>
      </c>
      <c r="E3482" s="19" t="s">
        <v>7150</v>
      </c>
    </row>
    <row r="3483" spans="1:5" ht="36" customHeight="1" x14ac:dyDescent="0.25">
      <c r="A3483" s="16">
        <v>3512</v>
      </c>
      <c r="B3483" s="19" t="s">
        <v>7006</v>
      </c>
      <c r="C3483" s="19" t="s">
        <v>7007</v>
      </c>
      <c r="D3483" s="19" t="s">
        <v>7149</v>
      </c>
      <c r="E3483" s="19" t="s">
        <v>7151</v>
      </c>
    </row>
    <row r="3484" spans="1:5" ht="36" customHeight="1" x14ac:dyDescent="0.25">
      <c r="A3484" s="16">
        <v>3513</v>
      </c>
      <c r="B3484" s="19" t="s">
        <v>7006</v>
      </c>
      <c r="C3484" s="19" t="s">
        <v>7007</v>
      </c>
      <c r="D3484" s="19" t="s">
        <v>7149</v>
      </c>
      <c r="E3484" s="19" t="s">
        <v>7152</v>
      </c>
    </row>
    <row r="3485" spans="1:5" ht="36" customHeight="1" x14ac:dyDescent="0.25">
      <c r="A3485" s="16">
        <v>3514</v>
      </c>
      <c r="B3485" s="19" t="s">
        <v>7006</v>
      </c>
      <c r="C3485" s="19" t="s">
        <v>7007</v>
      </c>
      <c r="D3485" s="19" t="s">
        <v>7149</v>
      </c>
      <c r="E3485" s="19" t="s">
        <v>7153</v>
      </c>
    </row>
    <row r="3486" spans="1:5" ht="36" customHeight="1" x14ac:dyDescent="0.25">
      <c r="A3486" s="16">
        <v>3515</v>
      </c>
      <c r="B3486" s="19" t="s">
        <v>7006</v>
      </c>
      <c r="C3486" s="19" t="s">
        <v>7007</v>
      </c>
      <c r="D3486" s="19" t="s">
        <v>7149</v>
      </c>
      <c r="E3486" s="19" t="s">
        <v>7154</v>
      </c>
    </row>
    <row r="3487" spans="1:5" ht="36" customHeight="1" x14ac:dyDescent="0.25">
      <c r="A3487" s="16">
        <v>3516</v>
      </c>
      <c r="B3487" s="19" t="s">
        <v>7006</v>
      </c>
      <c r="C3487" s="19" t="s">
        <v>7007</v>
      </c>
      <c r="D3487" s="19" t="s">
        <v>7149</v>
      </c>
      <c r="E3487" s="19" t="s">
        <v>7155</v>
      </c>
    </row>
    <row r="3488" spans="1:5" ht="36" customHeight="1" x14ac:dyDescent="0.25">
      <c r="A3488" s="16">
        <v>3517</v>
      </c>
      <c r="B3488" s="19" t="s">
        <v>7006</v>
      </c>
      <c r="C3488" s="19" t="s">
        <v>7007</v>
      </c>
      <c r="D3488" s="19" t="s">
        <v>7149</v>
      </c>
      <c r="E3488" s="19" t="s">
        <v>7156</v>
      </c>
    </row>
    <row r="3489" spans="1:5" ht="36" customHeight="1" x14ac:dyDescent="0.25">
      <c r="A3489" s="16">
        <v>3518</v>
      </c>
      <c r="B3489" s="19" t="s">
        <v>7006</v>
      </c>
      <c r="C3489" s="19" t="s">
        <v>7007</v>
      </c>
      <c r="D3489" s="19" t="s">
        <v>7149</v>
      </c>
      <c r="E3489" s="19" t="s">
        <v>7157</v>
      </c>
    </row>
    <row r="3490" spans="1:5" ht="36" customHeight="1" x14ac:dyDescent="0.25">
      <c r="A3490" s="16">
        <v>3519</v>
      </c>
      <c r="B3490" s="19" t="s">
        <v>7006</v>
      </c>
      <c r="C3490" s="19" t="s">
        <v>7007</v>
      </c>
      <c r="D3490" s="19" t="s">
        <v>7149</v>
      </c>
      <c r="E3490" s="19" t="s">
        <v>7158</v>
      </c>
    </row>
    <row r="3491" spans="1:5" ht="36" customHeight="1" x14ac:dyDescent="0.25">
      <c r="A3491" s="16">
        <v>3520</v>
      </c>
      <c r="B3491" s="19" t="s">
        <v>7006</v>
      </c>
      <c r="C3491" s="19" t="s">
        <v>7007</v>
      </c>
      <c r="D3491" s="19" t="s">
        <v>7149</v>
      </c>
      <c r="E3491" s="19" t="s">
        <v>7159</v>
      </c>
    </row>
    <row r="3492" spans="1:5" ht="36" customHeight="1" x14ac:dyDescent="0.25">
      <c r="A3492" s="16">
        <v>3521</v>
      </c>
      <c r="B3492" s="19" t="s">
        <v>7006</v>
      </c>
      <c r="C3492" s="19" t="s">
        <v>7007</v>
      </c>
      <c r="D3492" s="19" t="s">
        <v>7149</v>
      </c>
      <c r="E3492" s="19" t="s">
        <v>7160</v>
      </c>
    </row>
    <row r="3493" spans="1:5" ht="36" customHeight="1" x14ac:dyDescent="0.25">
      <c r="A3493" s="16">
        <v>3522</v>
      </c>
      <c r="B3493" s="19" t="s">
        <v>7006</v>
      </c>
      <c r="C3493" s="19" t="s">
        <v>7007</v>
      </c>
      <c r="D3493" s="19" t="s">
        <v>7149</v>
      </c>
      <c r="E3493" s="19" t="s">
        <v>7161</v>
      </c>
    </row>
    <row r="3494" spans="1:5" ht="36" customHeight="1" x14ac:dyDescent="0.25">
      <c r="A3494" s="16">
        <v>3523</v>
      </c>
      <c r="B3494" s="19" t="s">
        <v>7006</v>
      </c>
      <c r="C3494" s="19" t="s">
        <v>7007</v>
      </c>
      <c r="D3494" s="19" t="s">
        <v>7149</v>
      </c>
      <c r="E3494" s="19" t="s">
        <v>7162</v>
      </c>
    </row>
    <row r="3495" spans="1:5" ht="36" customHeight="1" x14ac:dyDescent="0.25">
      <c r="A3495" s="16">
        <v>3524</v>
      </c>
      <c r="B3495" s="19" t="s">
        <v>7006</v>
      </c>
      <c r="C3495" s="19" t="s">
        <v>7007</v>
      </c>
      <c r="D3495" s="19" t="s">
        <v>7149</v>
      </c>
      <c r="E3495" s="19" t="s">
        <v>7163</v>
      </c>
    </row>
    <row r="3496" spans="1:5" ht="36" customHeight="1" x14ac:dyDescent="0.25">
      <c r="A3496" s="16">
        <v>3525</v>
      </c>
      <c r="B3496" s="19" t="s">
        <v>7006</v>
      </c>
      <c r="C3496" s="19" t="s">
        <v>7007</v>
      </c>
      <c r="D3496" s="19" t="s">
        <v>7149</v>
      </c>
      <c r="E3496" s="19" t="s">
        <v>7164</v>
      </c>
    </row>
    <row r="3497" spans="1:5" ht="36" customHeight="1" x14ac:dyDescent="0.25">
      <c r="A3497" s="16">
        <v>3526</v>
      </c>
      <c r="B3497" s="19" t="s">
        <v>7006</v>
      </c>
      <c r="C3497" s="19" t="s">
        <v>7007</v>
      </c>
      <c r="D3497" s="19" t="s">
        <v>7149</v>
      </c>
      <c r="E3497" s="19" t="s">
        <v>7165</v>
      </c>
    </row>
    <row r="3498" spans="1:5" ht="36" customHeight="1" x14ac:dyDescent="0.25">
      <c r="A3498" s="16">
        <v>3527</v>
      </c>
      <c r="B3498" s="19" t="s">
        <v>7006</v>
      </c>
      <c r="C3498" s="19" t="s">
        <v>7007</v>
      </c>
      <c r="D3498" s="19" t="s">
        <v>7149</v>
      </c>
      <c r="E3498" s="19" t="s">
        <v>7166</v>
      </c>
    </row>
    <row r="3499" spans="1:5" ht="36" customHeight="1" x14ac:dyDescent="0.25">
      <c r="A3499" s="16">
        <v>3528</v>
      </c>
      <c r="B3499" s="19" t="s">
        <v>7006</v>
      </c>
      <c r="C3499" s="19" t="s">
        <v>7007</v>
      </c>
      <c r="D3499" s="19" t="s">
        <v>7149</v>
      </c>
      <c r="E3499" s="19" t="s">
        <v>7167</v>
      </c>
    </row>
    <row r="3500" spans="1:5" ht="36" customHeight="1" x14ac:dyDescent="0.25">
      <c r="A3500" s="16">
        <v>3529</v>
      </c>
      <c r="B3500" s="19" t="s">
        <v>7006</v>
      </c>
      <c r="C3500" s="19" t="s">
        <v>7007</v>
      </c>
      <c r="D3500" s="19" t="s">
        <v>7149</v>
      </c>
      <c r="E3500" s="19" t="s">
        <v>7168</v>
      </c>
    </row>
    <row r="3501" spans="1:5" ht="36" customHeight="1" x14ac:dyDescent="0.25">
      <c r="A3501" s="16">
        <v>3530</v>
      </c>
      <c r="B3501" s="19" t="s">
        <v>7006</v>
      </c>
      <c r="C3501" s="19" t="s">
        <v>7007</v>
      </c>
      <c r="D3501" s="19" t="s">
        <v>7169</v>
      </c>
      <c r="E3501" s="19" t="s">
        <v>7170</v>
      </c>
    </row>
    <row r="3502" spans="1:5" ht="36" customHeight="1" x14ac:dyDescent="0.25">
      <c r="A3502" s="16">
        <v>3531</v>
      </c>
      <c r="B3502" s="19" t="s">
        <v>7006</v>
      </c>
      <c r="C3502" s="19" t="s">
        <v>7007</v>
      </c>
      <c r="D3502" s="19" t="s">
        <v>7169</v>
      </c>
      <c r="E3502" s="19" t="s">
        <v>7171</v>
      </c>
    </row>
    <row r="3503" spans="1:5" ht="36" customHeight="1" x14ac:dyDescent="0.25">
      <c r="A3503" s="16">
        <v>3532</v>
      </c>
      <c r="B3503" s="19" t="s">
        <v>7006</v>
      </c>
      <c r="C3503" s="19" t="s">
        <v>7007</v>
      </c>
      <c r="D3503" s="19" t="s">
        <v>7169</v>
      </c>
      <c r="E3503" s="19" t="s">
        <v>7172</v>
      </c>
    </row>
    <row r="3504" spans="1:5" ht="36" customHeight="1" x14ac:dyDescent="0.25">
      <c r="A3504" s="16">
        <v>3533</v>
      </c>
      <c r="B3504" s="19" t="s">
        <v>7006</v>
      </c>
      <c r="C3504" s="19" t="s">
        <v>7007</v>
      </c>
      <c r="D3504" s="19" t="s">
        <v>7169</v>
      </c>
      <c r="E3504" s="19" t="s">
        <v>7173</v>
      </c>
    </row>
    <row r="3505" spans="1:5" ht="36" customHeight="1" x14ac:dyDescent="0.25">
      <c r="A3505" s="16">
        <v>3534</v>
      </c>
      <c r="B3505" s="19" t="s">
        <v>7006</v>
      </c>
      <c r="C3505" s="19" t="s">
        <v>7007</v>
      </c>
      <c r="D3505" s="19" t="s">
        <v>7169</v>
      </c>
      <c r="E3505" s="19" t="s">
        <v>7174</v>
      </c>
    </row>
    <row r="3506" spans="1:5" ht="36" customHeight="1" x14ac:dyDescent="0.25">
      <c r="A3506" s="16">
        <v>3535</v>
      </c>
      <c r="B3506" s="19" t="s">
        <v>7006</v>
      </c>
      <c r="C3506" s="19" t="s">
        <v>7007</v>
      </c>
      <c r="D3506" s="19" t="s">
        <v>7169</v>
      </c>
      <c r="E3506" s="19" t="s">
        <v>7175</v>
      </c>
    </row>
    <row r="3507" spans="1:5" ht="36" customHeight="1" x14ac:dyDescent="0.25">
      <c r="A3507" s="16">
        <v>3536</v>
      </c>
      <c r="B3507" s="19" t="s">
        <v>7006</v>
      </c>
      <c r="C3507" s="19" t="s">
        <v>7007</v>
      </c>
      <c r="D3507" s="19" t="s">
        <v>7169</v>
      </c>
      <c r="E3507" s="19" t="s">
        <v>7176</v>
      </c>
    </row>
    <row r="3508" spans="1:5" ht="36" customHeight="1" x14ac:dyDescent="0.25">
      <c r="A3508" s="16">
        <v>3537</v>
      </c>
      <c r="B3508" s="19" t="s">
        <v>7006</v>
      </c>
      <c r="C3508" s="19" t="s">
        <v>7007</v>
      </c>
      <c r="D3508" s="19" t="s">
        <v>7169</v>
      </c>
      <c r="E3508" s="19" t="s">
        <v>7177</v>
      </c>
    </row>
    <row r="3509" spans="1:5" ht="48" customHeight="1" x14ac:dyDescent="0.25">
      <c r="A3509" s="16">
        <v>3538</v>
      </c>
      <c r="B3509" s="19" t="s">
        <v>7006</v>
      </c>
      <c r="C3509" s="19" t="s">
        <v>7007</v>
      </c>
      <c r="D3509" s="19" t="s">
        <v>7169</v>
      </c>
      <c r="E3509" s="19" t="s">
        <v>7178</v>
      </c>
    </row>
    <row r="3510" spans="1:5" ht="48" customHeight="1" x14ac:dyDescent="0.25">
      <c r="A3510" s="16">
        <v>3539</v>
      </c>
      <c r="B3510" s="19" t="s">
        <v>7006</v>
      </c>
      <c r="C3510" s="19" t="s">
        <v>7007</v>
      </c>
      <c r="D3510" s="19" t="s">
        <v>7169</v>
      </c>
      <c r="E3510" s="19" t="s">
        <v>7179</v>
      </c>
    </row>
    <row r="3511" spans="1:5" ht="36" customHeight="1" x14ac:dyDescent="0.25">
      <c r="A3511" s="16">
        <v>3540</v>
      </c>
      <c r="B3511" s="19" t="s">
        <v>7006</v>
      </c>
      <c r="C3511" s="19" t="s">
        <v>7007</v>
      </c>
      <c r="D3511" s="19" t="s">
        <v>7169</v>
      </c>
      <c r="E3511" s="19" t="s">
        <v>7180</v>
      </c>
    </row>
    <row r="3512" spans="1:5" ht="36" customHeight="1" x14ac:dyDescent="0.25">
      <c r="A3512" s="16">
        <v>3541</v>
      </c>
      <c r="B3512" s="19" t="s">
        <v>7006</v>
      </c>
      <c r="C3512" s="19" t="s">
        <v>7007</v>
      </c>
      <c r="D3512" s="19" t="s">
        <v>7169</v>
      </c>
      <c r="E3512" s="19" t="s">
        <v>7181</v>
      </c>
    </row>
    <row r="3513" spans="1:5" ht="36" customHeight="1" x14ac:dyDescent="0.25">
      <c r="A3513" s="16">
        <v>3542</v>
      </c>
      <c r="B3513" s="19" t="s">
        <v>7006</v>
      </c>
      <c r="C3513" s="19" t="s">
        <v>7007</v>
      </c>
      <c r="D3513" s="19" t="s">
        <v>7169</v>
      </c>
      <c r="E3513" s="19" t="s">
        <v>6442</v>
      </c>
    </row>
    <row r="3514" spans="1:5" ht="36" customHeight="1" x14ac:dyDescent="0.25">
      <c r="A3514" s="16">
        <v>3543</v>
      </c>
      <c r="B3514" s="19" t="s">
        <v>7006</v>
      </c>
      <c r="C3514" s="19" t="s">
        <v>7007</v>
      </c>
      <c r="D3514" s="19" t="s">
        <v>7169</v>
      </c>
      <c r="E3514" s="19" t="s">
        <v>7182</v>
      </c>
    </row>
    <row r="3515" spans="1:5" x14ac:dyDescent="0.25">
      <c r="A3515" s="16">
        <v>3544</v>
      </c>
      <c r="B3515" s="19" t="s">
        <v>7183</v>
      </c>
      <c r="C3515" s="19" t="s">
        <v>7184</v>
      </c>
      <c r="D3515" s="19" t="s">
        <v>7185</v>
      </c>
      <c r="E3515" s="19" t="s">
        <v>6252</v>
      </c>
    </row>
    <row r="3516" spans="1:5" ht="24" customHeight="1" x14ac:dyDescent="0.25">
      <c r="A3516" s="16">
        <v>3545</v>
      </c>
      <c r="B3516" s="19" t="s">
        <v>7183</v>
      </c>
      <c r="C3516" s="19" t="s">
        <v>7184</v>
      </c>
      <c r="D3516" s="19" t="s">
        <v>7185</v>
      </c>
      <c r="E3516" s="19" t="s">
        <v>7186</v>
      </c>
    </row>
    <row r="3517" spans="1:5" ht="24" customHeight="1" x14ac:dyDescent="0.25">
      <c r="A3517" s="16">
        <v>3546</v>
      </c>
      <c r="B3517" s="19" t="s">
        <v>7183</v>
      </c>
      <c r="C3517" s="19" t="s">
        <v>7184</v>
      </c>
      <c r="D3517" s="19" t="s">
        <v>7185</v>
      </c>
      <c r="E3517" s="19" t="s">
        <v>7187</v>
      </c>
    </row>
    <row r="3518" spans="1:5" ht="24" customHeight="1" x14ac:dyDescent="0.25">
      <c r="A3518" s="16">
        <v>3547</v>
      </c>
      <c r="B3518" s="19" t="s">
        <v>7183</v>
      </c>
      <c r="C3518" s="19" t="s">
        <v>7184</v>
      </c>
      <c r="D3518" s="19" t="s">
        <v>7185</v>
      </c>
      <c r="E3518" s="19" t="s">
        <v>7188</v>
      </c>
    </row>
    <row r="3519" spans="1:5" x14ac:dyDescent="0.25">
      <c r="A3519" s="16">
        <v>3548</v>
      </c>
      <c r="B3519" s="19" t="s">
        <v>7183</v>
      </c>
      <c r="C3519" s="19" t="s">
        <v>7184</v>
      </c>
      <c r="D3519" s="19" t="s">
        <v>7185</v>
      </c>
      <c r="E3519" s="19" t="s">
        <v>7189</v>
      </c>
    </row>
    <row r="3520" spans="1:5" x14ac:dyDescent="0.25">
      <c r="A3520" s="16">
        <v>3549</v>
      </c>
      <c r="B3520" s="19" t="s">
        <v>7183</v>
      </c>
      <c r="C3520" s="19" t="s">
        <v>7184</v>
      </c>
      <c r="D3520" s="19" t="s">
        <v>7185</v>
      </c>
      <c r="E3520" s="19" t="s">
        <v>7190</v>
      </c>
    </row>
    <row r="3521" spans="1:5" x14ac:dyDescent="0.25">
      <c r="A3521" s="16">
        <v>3550</v>
      </c>
      <c r="B3521" s="19" t="s">
        <v>7183</v>
      </c>
      <c r="C3521" s="19" t="s">
        <v>7184</v>
      </c>
      <c r="D3521" s="19" t="s">
        <v>7185</v>
      </c>
      <c r="E3521" s="19" t="s">
        <v>7191</v>
      </c>
    </row>
    <row r="3522" spans="1:5" x14ac:dyDescent="0.25">
      <c r="A3522" s="16">
        <v>3551</v>
      </c>
      <c r="B3522" s="19" t="s">
        <v>7183</v>
      </c>
      <c r="C3522" s="19" t="s">
        <v>7184</v>
      </c>
      <c r="D3522" s="19" t="s">
        <v>7185</v>
      </c>
      <c r="E3522" s="19" t="s">
        <v>7192</v>
      </c>
    </row>
    <row r="3523" spans="1:5" x14ac:dyDescent="0.25">
      <c r="A3523" s="16">
        <v>3552</v>
      </c>
      <c r="B3523" s="19" t="s">
        <v>7183</v>
      </c>
      <c r="C3523" s="19" t="s">
        <v>7184</v>
      </c>
      <c r="D3523" s="19" t="s">
        <v>7185</v>
      </c>
      <c r="E3523" s="19" t="s">
        <v>7193</v>
      </c>
    </row>
    <row r="3524" spans="1:5" x14ac:dyDescent="0.25">
      <c r="A3524" s="16">
        <v>3553</v>
      </c>
      <c r="B3524" s="19" t="s">
        <v>7183</v>
      </c>
      <c r="C3524" s="19" t="s">
        <v>7184</v>
      </c>
      <c r="D3524" s="19" t="s">
        <v>7185</v>
      </c>
      <c r="E3524" s="19" t="s">
        <v>7194</v>
      </c>
    </row>
    <row r="3525" spans="1:5" x14ac:dyDescent="0.25">
      <c r="A3525" s="16">
        <v>3554</v>
      </c>
      <c r="B3525" s="19" t="s">
        <v>7183</v>
      </c>
      <c r="C3525" s="19" t="s">
        <v>7184</v>
      </c>
      <c r="D3525" s="19" t="s">
        <v>7185</v>
      </c>
      <c r="E3525" s="19" t="s">
        <v>7195</v>
      </c>
    </row>
    <row r="3526" spans="1:5" x14ac:dyDescent="0.25">
      <c r="A3526" s="16">
        <v>3555</v>
      </c>
      <c r="B3526" s="19" t="s">
        <v>7183</v>
      </c>
      <c r="C3526" s="19" t="s">
        <v>7184</v>
      </c>
      <c r="D3526" s="19" t="s">
        <v>7185</v>
      </c>
      <c r="E3526" s="19" t="s">
        <v>6234</v>
      </c>
    </row>
    <row r="3527" spans="1:5" x14ac:dyDescent="0.25">
      <c r="A3527" s="16">
        <v>3556</v>
      </c>
      <c r="B3527" s="19" t="s">
        <v>7183</v>
      </c>
      <c r="C3527" s="19" t="s">
        <v>7184</v>
      </c>
      <c r="D3527" s="19" t="s">
        <v>7185</v>
      </c>
      <c r="E3527" s="19" t="s">
        <v>7196</v>
      </c>
    </row>
    <row r="3528" spans="1:5" ht="24" customHeight="1" x14ac:dyDescent="0.25">
      <c r="A3528" s="16">
        <v>3557</v>
      </c>
      <c r="B3528" s="19" t="s">
        <v>7183</v>
      </c>
      <c r="C3528" s="19" t="s">
        <v>7184</v>
      </c>
      <c r="D3528" s="19" t="s">
        <v>7185</v>
      </c>
      <c r="E3528" s="19" t="s">
        <v>7197</v>
      </c>
    </row>
    <row r="3529" spans="1:5" x14ac:dyDescent="0.25">
      <c r="A3529" s="16">
        <v>3558</v>
      </c>
      <c r="B3529" s="19" t="s">
        <v>7183</v>
      </c>
      <c r="C3529" s="19" t="s">
        <v>7184</v>
      </c>
      <c r="D3529" s="19" t="s">
        <v>7185</v>
      </c>
      <c r="E3529" s="19" t="s">
        <v>7198</v>
      </c>
    </row>
    <row r="3530" spans="1:5" ht="24" customHeight="1" x14ac:dyDescent="0.25">
      <c r="A3530" s="16">
        <v>3559</v>
      </c>
      <c r="B3530" s="19" t="s">
        <v>7183</v>
      </c>
      <c r="C3530" s="19" t="s">
        <v>7184</v>
      </c>
      <c r="D3530" s="19" t="s">
        <v>7199</v>
      </c>
      <c r="E3530" s="19" t="s">
        <v>7200</v>
      </c>
    </row>
    <row r="3531" spans="1:5" ht="24" customHeight="1" x14ac:dyDescent="0.25">
      <c r="A3531" s="16">
        <v>3560</v>
      </c>
      <c r="B3531" s="19" t="s">
        <v>7183</v>
      </c>
      <c r="C3531" s="19" t="s">
        <v>7184</v>
      </c>
      <c r="D3531" s="19" t="s">
        <v>7199</v>
      </c>
      <c r="E3531" s="19" t="s">
        <v>7201</v>
      </c>
    </row>
    <row r="3532" spans="1:5" ht="24" customHeight="1" x14ac:dyDescent="0.25">
      <c r="A3532" s="16">
        <v>3561</v>
      </c>
      <c r="B3532" s="19" t="s">
        <v>7183</v>
      </c>
      <c r="C3532" s="19" t="s">
        <v>7184</v>
      </c>
      <c r="D3532" s="19" t="s">
        <v>7199</v>
      </c>
      <c r="E3532" s="19" t="s">
        <v>7202</v>
      </c>
    </row>
    <row r="3533" spans="1:5" ht="24" customHeight="1" x14ac:dyDescent="0.25">
      <c r="A3533" s="16">
        <v>3562</v>
      </c>
      <c r="B3533" s="19" t="s">
        <v>7183</v>
      </c>
      <c r="C3533" s="19" t="s">
        <v>7184</v>
      </c>
      <c r="D3533" s="19" t="s">
        <v>7199</v>
      </c>
      <c r="E3533" s="19" t="s">
        <v>7203</v>
      </c>
    </row>
    <row r="3534" spans="1:5" ht="24" customHeight="1" x14ac:dyDescent="0.25">
      <c r="A3534" s="16">
        <v>3563</v>
      </c>
      <c r="B3534" s="19" t="s">
        <v>7183</v>
      </c>
      <c r="C3534" s="19" t="s">
        <v>7184</v>
      </c>
      <c r="D3534" s="19" t="s">
        <v>7199</v>
      </c>
      <c r="E3534" s="19" t="s">
        <v>7204</v>
      </c>
    </row>
    <row r="3535" spans="1:5" ht="24" customHeight="1" x14ac:dyDescent="0.25">
      <c r="A3535" s="16">
        <v>3564</v>
      </c>
      <c r="B3535" s="19" t="s">
        <v>7183</v>
      </c>
      <c r="C3535" s="19" t="s">
        <v>7184</v>
      </c>
      <c r="D3535" s="19" t="s">
        <v>7199</v>
      </c>
      <c r="E3535" s="19" t="s">
        <v>7205</v>
      </c>
    </row>
    <row r="3536" spans="1:5" ht="24" customHeight="1" x14ac:dyDescent="0.25">
      <c r="A3536" s="16">
        <v>3565</v>
      </c>
      <c r="B3536" s="19" t="s">
        <v>7183</v>
      </c>
      <c r="C3536" s="19" t="s">
        <v>7184</v>
      </c>
      <c r="D3536" s="19" t="s">
        <v>7199</v>
      </c>
      <c r="E3536" s="19" t="s">
        <v>7206</v>
      </c>
    </row>
    <row r="3537" spans="1:5" ht="24" customHeight="1" x14ac:dyDescent="0.25">
      <c r="A3537" s="16">
        <v>3566</v>
      </c>
      <c r="B3537" s="19" t="s">
        <v>7183</v>
      </c>
      <c r="C3537" s="19" t="s">
        <v>7184</v>
      </c>
      <c r="D3537" s="19" t="s">
        <v>7199</v>
      </c>
      <c r="E3537" s="19" t="s">
        <v>7207</v>
      </c>
    </row>
    <row r="3538" spans="1:5" ht="24" customHeight="1" x14ac:dyDescent="0.25">
      <c r="A3538" s="16">
        <v>3567</v>
      </c>
      <c r="B3538" s="19" t="s">
        <v>7183</v>
      </c>
      <c r="C3538" s="19" t="s">
        <v>7184</v>
      </c>
      <c r="D3538" s="19" t="s">
        <v>7199</v>
      </c>
      <c r="E3538" s="19" t="s">
        <v>7208</v>
      </c>
    </row>
    <row r="3539" spans="1:5" ht="24" customHeight="1" x14ac:dyDescent="0.25">
      <c r="A3539" s="16">
        <v>3568</v>
      </c>
      <c r="B3539" s="19" t="s">
        <v>7183</v>
      </c>
      <c r="C3539" s="19" t="s">
        <v>7184</v>
      </c>
      <c r="D3539" s="19" t="s">
        <v>7199</v>
      </c>
      <c r="E3539" s="19" t="s">
        <v>7209</v>
      </c>
    </row>
    <row r="3540" spans="1:5" ht="24" customHeight="1" x14ac:dyDescent="0.25">
      <c r="A3540" s="16">
        <v>3569</v>
      </c>
      <c r="B3540" s="19" t="s">
        <v>7183</v>
      </c>
      <c r="C3540" s="19" t="s">
        <v>7184</v>
      </c>
      <c r="D3540" s="19" t="s">
        <v>7199</v>
      </c>
      <c r="E3540" s="19" t="s">
        <v>7210</v>
      </c>
    </row>
    <row r="3541" spans="1:5" ht="24" customHeight="1" x14ac:dyDescent="0.25">
      <c r="A3541" s="16">
        <v>3570</v>
      </c>
      <c r="B3541" s="19" t="s">
        <v>7183</v>
      </c>
      <c r="C3541" s="19" t="s">
        <v>7184</v>
      </c>
      <c r="D3541" s="19" t="s">
        <v>7199</v>
      </c>
      <c r="E3541" s="19" t="s">
        <v>7211</v>
      </c>
    </row>
    <row r="3542" spans="1:5" ht="24" customHeight="1" x14ac:dyDescent="0.25">
      <c r="A3542" s="16">
        <v>3571</v>
      </c>
      <c r="B3542" s="19" t="s">
        <v>7183</v>
      </c>
      <c r="C3542" s="19" t="s">
        <v>7184</v>
      </c>
      <c r="D3542" s="19" t="s">
        <v>7199</v>
      </c>
      <c r="E3542" s="19" t="s">
        <v>7212</v>
      </c>
    </row>
    <row r="3543" spans="1:5" x14ac:dyDescent="0.25">
      <c r="A3543" s="16">
        <v>3572</v>
      </c>
      <c r="B3543" s="19" t="s">
        <v>7183</v>
      </c>
      <c r="C3543" s="19" t="s">
        <v>7184</v>
      </c>
      <c r="D3543" s="19" t="s">
        <v>7184</v>
      </c>
      <c r="E3543" s="19" t="s">
        <v>7213</v>
      </c>
    </row>
    <row r="3544" spans="1:5" x14ac:dyDescent="0.25">
      <c r="A3544" s="16">
        <v>3573</v>
      </c>
      <c r="B3544" s="19" t="s">
        <v>7183</v>
      </c>
      <c r="C3544" s="19" t="s">
        <v>7184</v>
      </c>
      <c r="D3544" s="19" t="s">
        <v>7184</v>
      </c>
      <c r="E3544" s="19" t="s">
        <v>7214</v>
      </c>
    </row>
    <row r="3545" spans="1:5" x14ac:dyDescent="0.25">
      <c r="A3545" s="16">
        <v>3574</v>
      </c>
      <c r="B3545" s="19" t="s">
        <v>7183</v>
      </c>
      <c r="C3545" s="19" t="s">
        <v>7184</v>
      </c>
      <c r="D3545" s="19" t="s">
        <v>7184</v>
      </c>
      <c r="E3545" s="19" t="s">
        <v>7215</v>
      </c>
    </row>
    <row r="3546" spans="1:5" x14ac:dyDescent="0.25">
      <c r="A3546" s="16">
        <v>3575</v>
      </c>
      <c r="B3546" s="19" t="s">
        <v>7183</v>
      </c>
      <c r="C3546" s="19" t="s">
        <v>7184</v>
      </c>
      <c r="D3546" s="19" t="s">
        <v>7184</v>
      </c>
      <c r="E3546" s="19" t="s">
        <v>7216</v>
      </c>
    </row>
    <row r="3547" spans="1:5" ht="24" customHeight="1" x14ac:dyDescent="0.25">
      <c r="A3547" s="16">
        <v>3576</v>
      </c>
      <c r="B3547" s="19" t="s">
        <v>7183</v>
      </c>
      <c r="C3547" s="19" t="s">
        <v>7184</v>
      </c>
      <c r="D3547" s="19" t="s">
        <v>7184</v>
      </c>
      <c r="E3547" s="19" t="s">
        <v>7217</v>
      </c>
    </row>
    <row r="3548" spans="1:5" ht="24" customHeight="1" x14ac:dyDescent="0.25">
      <c r="A3548" s="16">
        <v>3577</v>
      </c>
      <c r="B3548" s="19" t="s">
        <v>7183</v>
      </c>
      <c r="C3548" s="19" t="s">
        <v>7184</v>
      </c>
      <c r="D3548" s="19" t="s">
        <v>7184</v>
      </c>
      <c r="E3548" s="19" t="s">
        <v>7218</v>
      </c>
    </row>
    <row r="3549" spans="1:5" x14ac:dyDescent="0.25">
      <c r="A3549" s="16">
        <v>3578</v>
      </c>
      <c r="B3549" s="19" t="s">
        <v>7183</v>
      </c>
      <c r="C3549" s="19" t="s">
        <v>7184</v>
      </c>
      <c r="D3549" s="19" t="s">
        <v>7184</v>
      </c>
      <c r="E3549" s="19" t="s">
        <v>7219</v>
      </c>
    </row>
    <row r="3550" spans="1:5" x14ac:dyDescent="0.25">
      <c r="A3550" s="16">
        <v>3579</v>
      </c>
      <c r="B3550" s="19" t="s">
        <v>7183</v>
      </c>
      <c r="C3550" s="19" t="s">
        <v>7184</v>
      </c>
      <c r="D3550" s="19" t="s">
        <v>7184</v>
      </c>
      <c r="E3550" s="19" t="s">
        <v>7220</v>
      </c>
    </row>
    <row r="3551" spans="1:5" ht="24" customHeight="1" x14ac:dyDescent="0.25">
      <c r="A3551" s="16">
        <v>3580</v>
      </c>
      <c r="B3551" s="19" t="s">
        <v>7183</v>
      </c>
      <c r="C3551" s="19" t="s">
        <v>7184</v>
      </c>
      <c r="D3551" s="19" t="s">
        <v>7184</v>
      </c>
      <c r="E3551" s="19" t="s">
        <v>7221</v>
      </c>
    </row>
    <row r="3552" spans="1:5" x14ac:dyDescent="0.25">
      <c r="A3552" s="16">
        <v>3581</v>
      </c>
      <c r="B3552" s="19" t="s">
        <v>7183</v>
      </c>
      <c r="C3552" s="19" t="s">
        <v>7184</v>
      </c>
      <c r="D3552" s="19" t="s">
        <v>7184</v>
      </c>
      <c r="E3552" s="19" t="s">
        <v>7222</v>
      </c>
    </row>
    <row r="3553" spans="1:5" ht="24" customHeight="1" x14ac:dyDescent="0.25">
      <c r="A3553" s="16">
        <v>3582</v>
      </c>
      <c r="B3553" s="19" t="s">
        <v>7183</v>
      </c>
      <c r="C3553" s="19" t="s">
        <v>7184</v>
      </c>
      <c r="D3553" s="19" t="s">
        <v>7184</v>
      </c>
      <c r="E3553" s="19" t="s">
        <v>7223</v>
      </c>
    </row>
    <row r="3554" spans="1:5" ht="24" customHeight="1" x14ac:dyDescent="0.25">
      <c r="A3554" s="16">
        <v>3583</v>
      </c>
      <c r="B3554" s="19" t="s">
        <v>7183</v>
      </c>
      <c r="C3554" s="19" t="s">
        <v>7184</v>
      </c>
      <c r="D3554" s="19" t="s">
        <v>7184</v>
      </c>
      <c r="E3554" s="19" t="s">
        <v>7224</v>
      </c>
    </row>
    <row r="3555" spans="1:5" x14ac:dyDescent="0.25">
      <c r="A3555" s="16">
        <v>3584</v>
      </c>
      <c r="B3555" s="19" t="s">
        <v>7183</v>
      </c>
      <c r="C3555" s="19" t="s">
        <v>7184</v>
      </c>
      <c r="D3555" s="19" t="s">
        <v>7184</v>
      </c>
      <c r="E3555" s="19" t="s">
        <v>7225</v>
      </c>
    </row>
    <row r="3556" spans="1:5" ht="36" customHeight="1" x14ac:dyDescent="0.25">
      <c r="A3556" s="16">
        <v>3585</v>
      </c>
      <c r="B3556" s="19" t="s">
        <v>7183</v>
      </c>
      <c r="C3556" s="19" t="s">
        <v>7184</v>
      </c>
      <c r="D3556" s="19" t="s">
        <v>7184</v>
      </c>
      <c r="E3556" s="19" t="s">
        <v>7226</v>
      </c>
    </row>
    <row r="3557" spans="1:5" ht="36" customHeight="1" x14ac:dyDescent="0.25">
      <c r="A3557" s="16">
        <v>3586</v>
      </c>
      <c r="B3557" s="19" t="s">
        <v>7183</v>
      </c>
      <c r="C3557" s="19" t="s">
        <v>7184</v>
      </c>
      <c r="D3557" s="19" t="s">
        <v>7184</v>
      </c>
      <c r="E3557" s="19" t="s">
        <v>7227</v>
      </c>
    </row>
    <row r="3558" spans="1:5" ht="24" customHeight="1" x14ac:dyDescent="0.25">
      <c r="A3558" s="16">
        <v>3587</v>
      </c>
      <c r="B3558" s="19" t="s">
        <v>7183</v>
      </c>
      <c r="C3558" s="19" t="s">
        <v>7184</v>
      </c>
      <c r="D3558" s="19" t="s">
        <v>7184</v>
      </c>
      <c r="E3558" s="19" t="s">
        <v>7228</v>
      </c>
    </row>
    <row r="3559" spans="1:5" ht="24" customHeight="1" x14ac:dyDescent="0.25">
      <c r="A3559" s="16">
        <v>3588</v>
      </c>
      <c r="B3559" s="19" t="s">
        <v>7183</v>
      </c>
      <c r="C3559" s="19" t="s">
        <v>7184</v>
      </c>
      <c r="D3559" s="19" t="s">
        <v>7184</v>
      </c>
      <c r="E3559" s="19" t="s">
        <v>7229</v>
      </c>
    </row>
    <row r="3560" spans="1:5" x14ac:dyDescent="0.25">
      <c r="A3560" s="16">
        <v>3589</v>
      </c>
      <c r="B3560" s="19" t="s">
        <v>7183</v>
      </c>
      <c r="C3560" s="19" t="s">
        <v>7184</v>
      </c>
      <c r="D3560" s="19" t="s">
        <v>7230</v>
      </c>
      <c r="E3560" s="19" t="s">
        <v>6658</v>
      </c>
    </row>
    <row r="3561" spans="1:5" ht="36" customHeight="1" x14ac:dyDescent="0.25">
      <c r="A3561" s="16">
        <v>3590</v>
      </c>
      <c r="B3561" s="19" t="s">
        <v>7183</v>
      </c>
      <c r="C3561" s="19" t="s">
        <v>7184</v>
      </c>
      <c r="D3561" s="19" t="s">
        <v>7230</v>
      </c>
      <c r="E3561" s="19" t="s">
        <v>7231</v>
      </c>
    </row>
    <row r="3562" spans="1:5" x14ac:dyDescent="0.25">
      <c r="A3562" s="16">
        <v>3591</v>
      </c>
      <c r="B3562" s="19" t="s">
        <v>7183</v>
      </c>
      <c r="C3562" s="19" t="s">
        <v>7184</v>
      </c>
      <c r="D3562" s="19" t="s">
        <v>7230</v>
      </c>
      <c r="E3562" s="19" t="s">
        <v>7232</v>
      </c>
    </row>
    <row r="3563" spans="1:5" x14ac:dyDescent="0.25">
      <c r="A3563" s="16">
        <v>3592</v>
      </c>
      <c r="B3563" s="19" t="s">
        <v>7183</v>
      </c>
      <c r="C3563" s="19" t="s">
        <v>7184</v>
      </c>
      <c r="D3563" s="19" t="s">
        <v>7230</v>
      </c>
      <c r="E3563" s="19" t="s">
        <v>7233</v>
      </c>
    </row>
    <row r="3564" spans="1:5" x14ac:dyDescent="0.25">
      <c r="A3564" s="16">
        <v>3593</v>
      </c>
      <c r="B3564" s="19" t="s">
        <v>7183</v>
      </c>
      <c r="C3564" s="19" t="s">
        <v>7184</v>
      </c>
      <c r="D3564" s="19" t="s">
        <v>7230</v>
      </c>
      <c r="E3564" s="19" t="s">
        <v>7234</v>
      </c>
    </row>
    <row r="3565" spans="1:5" x14ac:dyDescent="0.25">
      <c r="A3565" s="16">
        <v>3594</v>
      </c>
      <c r="B3565" s="19" t="s">
        <v>7183</v>
      </c>
      <c r="C3565" s="19" t="s">
        <v>7184</v>
      </c>
      <c r="D3565" s="19" t="s">
        <v>7230</v>
      </c>
      <c r="E3565" s="19" t="s">
        <v>7235</v>
      </c>
    </row>
    <row r="3566" spans="1:5" x14ac:dyDescent="0.25">
      <c r="A3566" s="16">
        <v>3595</v>
      </c>
      <c r="B3566" s="19" t="s">
        <v>7183</v>
      </c>
      <c r="C3566" s="19" t="s">
        <v>7184</v>
      </c>
      <c r="D3566" s="19" t="s">
        <v>7236</v>
      </c>
      <c r="E3566" s="19" t="s">
        <v>7237</v>
      </c>
    </row>
    <row r="3567" spans="1:5" x14ac:dyDescent="0.25">
      <c r="A3567" s="16">
        <v>3596</v>
      </c>
      <c r="B3567" s="19" t="s">
        <v>7183</v>
      </c>
      <c r="C3567" s="19" t="s">
        <v>7184</v>
      </c>
      <c r="D3567" s="19" t="s">
        <v>7236</v>
      </c>
      <c r="E3567" s="19" t="s">
        <v>7238</v>
      </c>
    </row>
    <row r="3568" spans="1:5" x14ac:dyDescent="0.25">
      <c r="A3568" s="16">
        <v>3597</v>
      </c>
      <c r="B3568" s="19" t="s">
        <v>7183</v>
      </c>
      <c r="C3568" s="19" t="s">
        <v>7184</v>
      </c>
      <c r="D3568" s="19" t="s">
        <v>7236</v>
      </c>
      <c r="E3568" s="19" t="s">
        <v>7239</v>
      </c>
    </row>
    <row r="3569" spans="1:5" ht="24" customHeight="1" x14ac:dyDescent="0.25">
      <c r="A3569" s="16">
        <v>3598</v>
      </c>
      <c r="B3569" s="19" t="s">
        <v>7183</v>
      </c>
      <c r="C3569" s="19" t="s">
        <v>7184</v>
      </c>
      <c r="D3569" s="19" t="s">
        <v>7236</v>
      </c>
      <c r="E3569" s="19" t="s">
        <v>7240</v>
      </c>
    </row>
    <row r="3570" spans="1:5" ht="24" customHeight="1" x14ac:dyDescent="0.25">
      <c r="A3570" s="16">
        <v>3599</v>
      </c>
      <c r="B3570" s="19" t="s">
        <v>7183</v>
      </c>
      <c r="C3570" s="19" t="s">
        <v>7184</v>
      </c>
      <c r="D3570" s="19" t="s">
        <v>7236</v>
      </c>
      <c r="E3570" s="19" t="s">
        <v>7241</v>
      </c>
    </row>
    <row r="3571" spans="1:5" x14ac:dyDescent="0.25">
      <c r="A3571" s="16">
        <v>3600</v>
      </c>
      <c r="B3571" s="19" t="s">
        <v>7183</v>
      </c>
      <c r="C3571" s="19" t="s">
        <v>7184</v>
      </c>
      <c r="D3571" s="19" t="s">
        <v>7236</v>
      </c>
      <c r="E3571" s="19" t="s">
        <v>7242</v>
      </c>
    </row>
    <row r="3572" spans="1:5" x14ac:dyDescent="0.25">
      <c r="A3572" s="16">
        <v>3601</v>
      </c>
      <c r="B3572" s="19" t="s">
        <v>7183</v>
      </c>
      <c r="C3572" s="19" t="s">
        <v>7184</v>
      </c>
      <c r="D3572" s="19" t="s">
        <v>7236</v>
      </c>
      <c r="E3572" s="19" t="s">
        <v>7243</v>
      </c>
    </row>
    <row r="3573" spans="1:5" ht="24" customHeight="1" x14ac:dyDescent="0.25">
      <c r="A3573" s="16">
        <v>3602</v>
      </c>
      <c r="B3573" s="19" t="s">
        <v>7183</v>
      </c>
      <c r="C3573" s="19" t="s">
        <v>7184</v>
      </c>
      <c r="D3573" s="19" t="s">
        <v>7236</v>
      </c>
      <c r="E3573" s="19" t="s">
        <v>7244</v>
      </c>
    </row>
    <row r="3574" spans="1:5" x14ac:dyDescent="0.25">
      <c r="A3574" s="16">
        <v>3603</v>
      </c>
      <c r="B3574" s="19" t="s">
        <v>7183</v>
      </c>
      <c r="C3574" s="19" t="s">
        <v>7184</v>
      </c>
      <c r="D3574" s="19" t="s">
        <v>7236</v>
      </c>
      <c r="E3574" s="19" t="s">
        <v>7245</v>
      </c>
    </row>
    <row r="3575" spans="1:5" ht="24" customHeight="1" x14ac:dyDescent="0.25">
      <c r="A3575" s="16">
        <v>3604</v>
      </c>
      <c r="B3575" s="19" t="s">
        <v>7183</v>
      </c>
      <c r="C3575" s="19" t="s">
        <v>7184</v>
      </c>
      <c r="D3575" s="19" t="s">
        <v>7236</v>
      </c>
      <c r="E3575" s="19" t="s">
        <v>7246</v>
      </c>
    </row>
    <row r="3576" spans="1:5" x14ac:dyDescent="0.25">
      <c r="A3576" s="16">
        <v>3605</v>
      </c>
      <c r="B3576" s="19" t="s">
        <v>7183</v>
      </c>
      <c r="C3576" s="19" t="s">
        <v>7247</v>
      </c>
      <c r="D3576" s="19" t="s">
        <v>7248</v>
      </c>
      <c r="E3576" s="19" t="s">
        <v>7249</v>
      </c>
    </row>
    <row r="3577" spans="1:5" ht="36" customHeight="1" x14ac:dyDescent="0.25">
      <c r="A3577" s="16">
        <v>3606</v>
      </c>
      <c r="B3577" s="19" t="s">
        <v>7183</v>
      </c>
      <c r="C3577" s="19" t="s">
        <v>7247</v>
      </c>
      <c r="D3577" s="19" t="s">
        <v>7248</v>
      </c>
      <c r="E3577" s="19" t="s">
        <v>7250</v>
      </c>
    </row>
    <row r="3578" spans="1:5" x14ac:dyDescent="0.25">
      <c r="A3578" s="16">
        <v>3607</v>
      </c>
      <c r="B3578" s="19" t="s">
        <v>7183</v>
      </c>
      <c r="C3578" s="19" t="s">
        <v>7247</v>
      </c>
      <c r="D3578" s="19" t="s">
        <v>7248</v>
      </c>
      <c r="E3578" s="19" t="s">
        <v>7251</v>
      </c>
    </row>
    <row r="3579" spans="1:5" x14ac:dyDescent="0.25">
      <c r="A3579" s="16">
        <v>3608</v>
      </c>
      <c r="B3579" s="19" t="s">
        <v>7183</v>
      </c>
      <c r="C3579" s="19" t="s">
        <v>7247</v>
      </c>
      <c r="D3579" s="19" t="s">
        <v>7248</v>
      </c>
      <c r="E3579" s="19" t="s">
        <v>7252</v>
      </c>
    </row>
    <row r="3580" spans="1:5" x14ac:dyDescent="0.25">
      <c r="A3580" s="16">
        <v>3609</v>
      </c>
      <c r="B3580" s="19" t="s">
        <v>7183</v>
      </c>
      <c r="C3580" s="19" t="s">
        <v>7247</v>
      </c>
      <c r="D3580" s="19" t="s">
        <v>7248</v>
      </c>
      <c r="E3580" s="19" t="s">
        <v>7253</v>
      </c>
    </row>
    <row r="3581" spans="1:5" x14ac:dyDescent="0.25">
      <c r="A3581" s="16">
        <v>3610</v>
      </c>
      <c r="B3581" s="19" t="s">
        <v>7183</v>
      </c>
      <c r="C3581" s="19" t="s">
        <v>7247</v>
      </c>
      <c r="D3581" s="19" t="s">
        <v>7248</v>
      </c>
      <c r="E3581" s="19" t="s">
        <v>7254</v>
      </c>
    </row>
    <row r="3582" spans="1:5" ht="24" customHeight="1" x14ac:dyDescent="0.25">
      <c r="A3582" s="16">
        <v>3611</v>
      </c>
      <c r="B3582" s="19" t="s">
        <v>7183</v>
      </c>
      <c r="C3582" s="19" t="s">
        <v>7247</v>
      </c>
      <c r="D3582" s="19" t="s">
        <v>7248</v>
      </c>
      <c r="E3582" s="19" t="s">
        <v>7255</v>
      </c>
    </row>
    <row r="3583" spans="1:5" ht="24" customHeight="1" x14ac:dyDescent="0.25">
      <c r="A3583" s="16">
        <v>3612</v>
      </c>
      <c r="B3583" s="19" t="s">
        <v>7183</v>
      </c>
      <c r="C3583" s="19" t="s">
        <v>7247</v>
      </c>
      <c r="D3583" s="19" t="s">
        <v>7248</v>
      </c>
      <c r="E3583" s="19" t="s">
        <v>7256</v>
      </c>
    </row>
    <row r="3584" spans="1:5" ht="24" customHeight="1" x14ac:dyDescent="0.25">
      <c r="A3584" s="16">
        <v>3613</v>
      </c>
      <c r="B3584" s="19" t="s">
        <v>7183</v>
      </c>
      <c r="C3584" s="19" t="s">
        <v>7247</v>
      </c>
      <c r="D3584" s="19" t="s">
        <v>7248</v>
      </c>
      <c r="E3584" s="19" t="s">
        <v>7257</v>
      </c>
    </row>
    <row r="3585" spans="1:5" ht="24" customHeight="1" x14ac:dyDescent="0.25">
      <c r="A3585" s="16">
        <v>3614</v>
      </c>
      <c r="B3585" s="19" t="s">
        <v>7183</v>
      </c>
      <c r="C3585" s="19" t="s">
        <v>7247</v>
      </c>
      <c r="D3585" s="19" t="s">
        <v>7248</v>
      </c>
      <c r="E3585" s="19" t="s">
        <v>7258</v>
      </c>
    </row>
    <row r="3586" spans="1:5" x14ac:dyDescent="0.25">
      <c r="A3586" s="16">
        <v>3615</v>
      </c>
      <c r="B3586" s="19" t="s">
        <v>7183</v>
      </c>
      <c r="C3586" s="19" t="s">
        <v>7247</v>
      </c>
      <c r="D3586" s="19" t="s">
        <v>7248</v>
      </c>
      <c r="E3586" s="19" t="s">
        <v>7259</v>
      </c>
    </row>
    <row r="3587" spans="1:5" ht="24" customHeight="1" x14ac:dyDescent="0.25">
      <c r="A3587" s="16">
        <v>3616</v>
      </c>
      <c r="B3587" s="19" t="s">
        <v>7183</v>
      </c>
      <c r="C3587" s="19" t="s">
        <v>7247</v>
      </c>
      <c r="D3587" s="19" t="s">
        <v>7248</v>
      </c>
      <c r="E3587" s="19" t="s">
        <v>7260</v>
      </c>
    </row>
    <row r="3588" spans="1:5" x14ac:dyDescent="0.25">
      <c r="A3588" s="16">
        <v>3617</v>
      </c>
      <c r="B3588" s="19" t="s">
        <v>7183</v>
      </c>
      <c r="C3588" s="19" t="s">
        <v>7247</v>
      </c>
      <c r="D3588" s="19" t="s">
        <v>7261</v>
      </c>
      <c r="E3588" s="19" t="s">
        <v>7262</v>
      </c>
    </row>
    <row r="3589" spans="1:5" ht="24" customHeight="1" x14ac:dyDescent="0.25">
      <c r="A3589" s="16">
        <v>3618</v>
      </c>
      <c r="B3589" s="19" t="s">
        <v>7183</v>
      </c>
      <c r="C3589" s="19" t="s">
        <v>7247</v>
      </c>
      <c r="D3589" s="19" t="s">
        <v>7261</v>
      </c>
      <c r="E3589" s="19" t="s">
        <v>7263</v>
      </c>
    </row>
    <row r="3590" spans="1:5" x14ac:dyDescent="0.25">
      <c r="A3590" s="16">
        <v>3619</v>
      </c>
      <c r="B3590" s="19" t="s">
        <v>7183</v>
      </c>
      <c r="C3590" s="19" t="s">
        <v>7247</v>
      </c>
      <c r="D3590" s="19" t="s">
        <v>7261</v>
      </c>
      <c r="E3590" s="19" t="s">
        <v>4561</v>
      </c>
    </row>
    <row r="3591" spans="1:5" ht="24" customHeight="1" x14ac:dyDescent="0.25">
      <c r="A3591" s="16">
        <v>3620</v>
      </c>
      <c r="B3591" s="19" t="s">
        <v>7183</v>
      </c>
      <c r="C3591" s="19" t="s">
        <v>7247</v>
      </c>
      <c r="D3591" s="19" t="s">
        <v>7261</v>
      </c>
      <c r="E3591" s="19" t="s">
        <v>7264</v>
      </c>
    </row>
    <row r="3592" spans="1:5" x14ac:dyDescent="0.25">
      <c r="A3592" s="16">
        <v>3621</v>
      </c>
      <c r="B3592" s="19" t="s">
        <v>7183</v>
      </c>
      <c r="C3592" s="19" t="s">
        <v>7247</v>
      </c>
      <c r="D3592" s="19" t="s">
        <v>7261</v>
      </c>
      <c r="E3592" s="19" t="s">
        <v>6500</v>
      </c>
    </row>
    <row r="3593" spans="1:5" ht="24" customHeight="1" x14ac:dyDescent="0.25">
      <c r="A3593" s="16">
        <v>3622</v>
      </c>
      <c r="B3593" s="19" t="s">
        <v>7183</v>
      </c>
      <c r="C3593" s="19" t="s">
        <v>7247</v>
      </c>
      <c r="D3593" s="19" t="s">
        <v>7261</v>
      </c>
      <c r="E3593" s="19" t="s">
        <v>7265</v>
      </c>
    </row>
    <row r="3594" spans="1:5" ht="24" customHeight="1" x14ac:dyDescent="0.25">
      <c r="A3594" s="16">
        <v>3623</v>
      </c>
      <c r="B3594" s="19" t="s">
        <v>7183</v>
      </c>
      <c r="C3594" s="19" t="s">
        <v>7247</v>
      </c>
      <c r="D3594" s="19" t="s">
        <v>7261</v>
      </c>
      <c r="E3594" s="19" t="s">
        <v>7266</v>
      </c>
    </row>
    <row r="3595" spans="1:5" x14ac:dyDescent="0.25">
      <c r="A3595" s="16">
        <v>3624</v>
      </c>
      <c r="B3595" s="19" t="s">
        <v>7183</v>
      </c>
      <c r="C3595" s="19" t="s">
        <v>7247</v>
      </c>
      <c r="D3595" s="19" t="s">
        <v>7261</v>
      </c>
      <c r="E3595" s="19" t="s">
        <v>7267</v>
      </c>
    </row>
    <row r="3596" spans="1:5" x14ac:dyDescent="0.25">
      <c r="A3596" s="16">
        <v>3625</v>
      </c>
      <c r="B3596" s="19" t="s">
        <v>7183</v>
      </c>
      <c r="C3596" s="19" t="s">
        <v>7247</v>
      </c>
      <c r="D3596" s="19" t="s">
        <v>7261</v>
      </c>
      <c r="E3596" s="19" t="s">
        <v>7268</v>
      </c>
    </row>
    <row r="3597" spans="1:5" x14ac:dyDescent="0.25">
      <c r="A3597" s="16">
        <v>3626</v>
      </c>
      <c r="B3597" s="19" t="s">
        <v>7183</v>
      </c>
      <c r="C3597" s="19" t="s">
        <v>7247</v>
      </c>
      <c r="D3597" s="19" t="s">
        <v>7247</v>
      </c>
      <c r="E3597" s="19" t="s">
        <v>7269</v>
      </c>
    </row>
    <row r="3598" spans="1:5" x14ac:dyDescent="0.25">
      <c r="A3598" s="16">
        <v>3627</v>
      </c>
      <c r="B3598" s="19" t="s">
        <v>7183</v>
      </c>
      <c r="C3598" s="19" t="s">
        <v>7247</v>
      </c>
      <c r="D3598" s="19" t="s">
        <v>7247</v>
      </c>
      <c r="E3598" s="19" t="s">
        <v>7270</v>
      </c>
    </row>
    <row r="3599" spans="1:5" x14ac:dyDescent="0.25">
      <c r="A3599" s="16">
        <v>3628</v>
      </c>
      <c r="B3599" s="19" t="s">
        <v>7183</v>
      </c>
      <c r="C3599" s="19" t="s">
        <v>7247</v>
      </c>
      <c r="D3599" s="19" t="s">
        <v>7247</v>
      </c>
      <c r="E3599" s="19" t="s">
        <v>7271</v>
      </c>
    </row>
    <row r="3600" spans="1:5" x14ac:dyDescent="0.25">
      <c r="A3600" s="16">
        <v>3629</v>
      </c>
      <c r="B3600" s="19" t="s">
        <v>7183</v>
      </c>
      <c r="C3600" s="19" t="s">
        <v>7247</v>
      </c>
      <c r="D3600" s="19" t="s">
        <v>7247</v>
      </c>
      <c r="E3600" s="19" t="s">
        <v>7272</v>
      </c>
    </row>
    <row r="3601" spans="1:5" x14ac:dyDescent="0.25">
      <c r="A3601" s="16">
        <v>3630</v>
      </c>
      <c r="B3601" s="19" t="s">
        <v>7183</v>
      </c>
      <c r="C3601" s="19" t="s">
        <v>7247</v>
      </c>
      <c r="D3601" s="19" t="s">
        <v>7247</v>
      </c>
      <c r="E3601" s="19" t="s">
        <v>7273</v>
      </c>
    </row>
    <row r="3602" spans="1:5" x14ac:dyDescent="0.25">
      <c r="A3602" s="16">
        <v>3631</v>
      </c>
      <c r="B3602" s="19" t="s">
        <v>7183</v>
      </c>
      <c r="C3602" s="19" t="s">
        <v>7247</v>
      </c>
      <c r="D3602" s="19" t="s">
        <v>7247</v>
      </c>
      <c r="E3602" s="19" t="s">
        <v>7274</v>
      </c>
    </row>
    <row r="3603" spans="1:5" x14ac:dyDescent="0.25">
      <c r="A3603" s="16">
        <v>3632</v>
      </c>
      <c r="B3603" s="19" t="s">
        <v>7183</v>
      </c>
      <c r="C3603" s="19" t="s">
        <v>7247</v>
      </c>
      <c r="D3603" s="19" t="s">
        <v>7247</v>
      </c>
      <c r="E3603" s="19" t="s">
        <v>7275</v>
      </c>
    </row>
    <row r="3604" spans="1:5" x14ac:dyDescent="0.25">
      <c r="A3604" s="16">
        <v>3633</v>
      </c>
      <c r="B3604" s="19" t="s">
        <v>7183</v>
      </c>
      <c r="C3604" s="19" t="s">
        <v>7247</v>
      </c>
      <c r="D3604" s="19" t="s">
        <v>7247</v>
      </c>
      <c r="E3604" s="19" t="s">
        <v>7276</v>
      </c>
    </row>
    <row r="3605" spans="1:5" x14ac:dyDescent="0.25">
      <c r="A3605" s="16">
        <v>3634</v>
      </c>
      <c r="B3605" s="19" t="s">
        <v>7183</v>
      </c>
      <c r="C3605" s="19" t="s">
        <v>7247</v>
      </c>
      <c r="D3605" s="19" t="s">
        <v>7247</v>
      </c>
      <c r="E3605" s="19" t="s">
        <v>7277</v>
      </c>
    </row>
    <row r="3606" spans="1:5" ht="24" customHeight="1" x14ac:dyDescent="0.25">
      <c r="A3606" s="16">
        <v>3635</v>
      </c>
      <c r="B3606" s="19" t="s">
        <v>7183</v>
      </c>
      <c r="C3606" s="19" t="s">
        <v>7247</v>
      </c>
      <c r="D3606" s="19" t="s">
        <v>7247</v>
      </c>
      <c r="E3606" s="19" t="s">
        <v>7278</v>
      </c>
    </row>
    <row r="3607" spans="1:5" ht="24" customHeight="1" x14ac:dyDescent="0.25">
      <c r="A3607" s="16">
        <v>3636</v>
      </c>
      <c r="B3607" s="19" t="s">
        <v>7183</v>
      </c>
      <c r="C3607" s="19" t="s">
        <v>7247</v>
      </c>
      <c r="D3607" s="19" t="s">
        <v>7247</v>
      </c>
      <c r="E3607" s="19" t="s">
        <v>7279</v>
      </c>
    </row>
    <row r="3608" spans="1:5" x14ac:dyDescent="0.25">
      <c r="A3608" s="16">
        <v>3637</v>
      </c>
      <c r="B3608" s="19" t="s">
        <v>7183</v>
      </c>
      <c r="C3608" s="19" t="s">
        <v>7247</v>
      </c>
      <c r="D3608" s="19" t="s">
        <v>7247</v>
      </c>
      <c r="E3608" s="19" t="s">
        <v>7280</v>
      </c>
    </row>
    <row r="3609" spans="1:5" ht="24" customHeight="1" x14ac:dyDescent="0.25">
      <c r="A3609" s="16">
        <v>3638</v>
      </c>
      <c r="B3609" s="19" t="s">
        <v>7183</v>
      </c>
      <c r="C3609" s="19" t="s">
        <v>7247</v>
      </c>
      <c r="D3609" s="19" t="s">
        <v>7247</v>
      </c>
      <c r="E3609" s="19" t="s">
        <v>7281</v>
      </c>
    </row>
    <row r="3610" spans="1:5" ht="24" customHeight="1" x14ac:dyDescent="0.25">
      <c r="A3610" s="16">
        <v>3639</v>
      </c>
      <c r="B3610" s="19" t="s">
        <v>7183</v>
      </c>
      <c r="C3610" s="19" t="s">
        <v>7247</v>
      </c>
      <c r="D3610" s="19" t="s">
        <v>7247</v>
      </c>
      <c r="E3610" s="19" t="s">
        <v>7282</v>
      </c>
    </row>
    <row r="3611" spans="1:5" ht="24" customHeight="1" x14ac:dyDescent="0.25">
      <c r="A3611" s="16">
        <v>3640</v>
      </c>
      <c r="B3611" s="19" t="s">
        <v>7183</v>
      </c>
      <c r="C3611" s="19" t="s">
        <v>7247</v>
      </c>
      <c r="D3611" s="19" t="s">
        <v>7247</v>
      </c>
      <c r="E3611" s="19" t="s">
        <v>7283</v>
      </c>
    </row>
    <row r="3612" spans="1:5" x14ac:dyDescent="0.25">
      <c r="A3612" s="16">
        <v>3641</v>
      </c>
      <c r="B3612" s="19" t="s">
        <v>7183</v>
      </c>
      <c r="C3612" s="19" t="s">
        <v>7247</v>
      </c>
      <c r="D3612" s="19" t="s">
        <v>7247</v>
      </c>
      <c r="E3612" s="19" t="s">
        <v>7284</v>
      </c>
    </row>
    <row r="3613" spans="1:5" x14ac:dyDescent="0.25">
      <c r="A3613" s="16">
        <v>3642</v>
      </c>
      <c r="B3613" s="19" t="s">
        <v>7183</v>
      </c>
      <c r="C3613" s="19" t="s">
        <v>7247</v>
      </c>
      <c r="D3613" s="19" t="s">
        <v>7247</v>
      </c>
      <c r="E3613" s="19" t="s">
        <v>7285</v>
      </c>
    </row>
    <row r="3614" spans="1:5" ht="24" customHeight="1" x14ac:dyDescent="0.25">
      <c r="A3614" s="16">
        <v>3643</v>
      </c>
      <c r="B3614" s="19" t="s">
        <v>7183</v>
      </c>
      <c r="C3614" s="19" t="s">
        <v>7247</v>
      </c>
      <c r="D3614" s="19" t="s">
        <v>7247</v>
      </c>
      <c r="E3614" s="19" t="s">
        <v>7286</v>
      </c>
    </row>
    <row r="3615" spans="1:5" ht="24" customHeight="1" x14ac:dyDescent="0.25">
      <c r="A3615" s="16">
        <v>3644</v>
      </c>
      <c r="B3615" s="19" t="s">
        <v>7183</v>
      </c>
      <c r="C3615" s="19" t="s">
        <v>7247</v>
      </c>
      <c r="D3615" s="19" t="s">
        <v>7287</v>
      </c>
      <c r="E3615" s="19" t="s">
        <v>7288</v>
      </c>
    </row>
    <row r="3616" spans="1:5" ht="24" customHeight="1" x14ac:dyDescent="0.25">
      <c r="A3616" s="16">
        <v>3645</v>
      </c>
      <c r="B3616" s="19" t="s">
        <v>7183</v>
      </c>
      <c r="C3616" s="19" t="s">
        <v>7247</v>
      </c>
      <c r="D3616" s="19" t="s">
        <v>7287</v>
      </c>
      <c r="E3616" s="19" t="s">
        <v>7289</v>
      </c>
    </row>
    <row r="3617" spans="1:5" ht="24" customHeight="1" x14ac:dyDescent="0.25">
      <c r="A3617" s="16">
        <v>3646</v>
      </c>
      <c r="B3617" s="19" t="s">
        <v>7183</v>
      </c>
      <c r="C3617" s="19" t="s">
        <v>7247</v>
      </c>
      <c r="D3617" s="19" t="s">
        <v>7287</v>
      </c>
      <c r="E3617" s="19" t="s">
        <v>7290</v>
      </c>
    </row>
    <row r="3618" spans="1:5" ht="24" customHeight="1" x14ac:dyDescent="0.25">
      <c r="A3618" s="16">
        <v>3647</v>
      </c>
      <c r="B3618" s="19" t="s">
        <v>7183</v>
      </c>
      <c r="C3618" s="19" t="s">
        <v>7247</v>
      </c>
      <c r="D3618" s="19" t="s">
        <v>7287</v>
      </c>
      <c r="E3618" s="19" t="s">
        <v>4425</v>
      </c>
    </row>
    <row r="3619" spans="1:5" ht="24" customHeight="1" x14ac:dyDescent="0.25">
      <c r="A3619" s="16">
        <v>3648</v>
      </c>
      <c r="B3619" s="19" t="s">
        <v>7183</v>
      </c>
      <c r="C3619" s="19" t="s">
        <v>7247</v>
      </c>
      <c r="D3619" s="19" t="s">
        <v>7287</v>
      </c>
      <c r="E3619" s="19" t="s">
        <v>7291</v>
      </c>
    </row>
    <row r="3620" spans="1:5" ht="24" customHeight="1" x14ac:dyDescent="0.25">
      <c r="A3620" s="16">
        <v>3649</v>
      </c>
      <c r="B3620" s="19" t="s">
        <v>7183</v>
      </c>
      <c r="C3620" s="19" t="s">
        <v>7247</v>
      </c>
      <c r="D3620" s="19" t="s">
        <v>7287</v>
      </c>
      <c r="E3620" s="19" t="s">
        <v>7292</v>
      </c>
    </row>
    <row r="3621" spans="1:5" ht="24" customHeight="1" x14ac:dyDescent="0.25">
      <c r="A3621" s="16">
        <v>3650</v>
      </c>
      <c r="B3621" s="19" t="s">
        <v>7183</v>
      </c>
      <c r="C3621" s="19" t="s">
        <v>7247</v>
      </c>
      <c r="D3621" s="19" t="s">
        <v>7287</v>
      </c>
      <c r="E3621" s="19" t="s">
        <v>7293</v>
      </c>
    </row>
    <row r="3622" spans="1:5" ht="24" customHeight="1" x14ac:dyDescent="0.25">
      <c r="A3622" s="16">
        <v>3651</v>
      </c>
      <c r="B3622" s="19" t="s">
        <v>7183</v>
      </c>
      <c r="C3622" s="19" t="s">
        <v>7247</v>
      </c>
      <c r="D3622" s="19" t="s">
        <v>7287</v>
      </c>
      <c r="E3622" s="19" t="s">
        <v>7294</v>
      </c>
    </row>
    <row r="3623" spans="1:5" x14ac:dyDescent="0.25">
      <c r="A3623" s="16">
        <v>3652</v>
      </c>
      <c r="B3623" s="19" t="s">
        <v>7183</v>
      </c>
      <c r="C3623" s="19" t="s">
        <v>7247</v>
      </c>
      <c r="D3623" s="19" t="s">
        <v>7295</v>
      </c>
      <c r="E3623" s="19" t="s">
        <v>7296</v>
      </c>
    </row>
    <row r="3624" spans="1:5" ht="24" customHeight="1" x14ac:dyDescent="0.25">
      <c r="A3624" s="16">
        <v>3653</v>
      </c>
      <c r="B3624" s="19" t="s">
        <v>7183</v>
      </c>
      <c r="C3624" s="19" t="s">
        <v>7247</v>
      </c>
      <c r="D3624" s="19" t="s">
        <v>7295</v>
      </c>
      <c r="E3624" s="19" t="s">
        <v>7297</v>
      </c>
    </row>
    <row r="3625" spans="1:5" x14ac:dyDescent="0.25">
      <c r="A3625" s="16">
        <v>3654</v>
      </c>
      <c r="B3625" s="19" t="s">
        <v>7183</v>
      </c>
      <c r="C3625" s="19" t="s">
        <v>7247</v>
      </c>
      <c r="D3625" s="19" t="s">
        <v>7295</v>
      </c>
      <c r="E3625" s="19" t="s">
        <v>7298</v>
      </c>
    </row>
    <row r="3626" spans="1:5" x14ac:dyDescent="0.25">
      <c r="A3626" s="16">
        <v>3655</v>
      </c>
      <c r="B3626" s="19" t="s">
        <v>7183</v>
      </c>
      <c r="C3626" s="19" t="s">
        <v>7247</v>
      </c>
      <c r="D3626" s="19" t="s">
        <v>7295</v>
      </c>
      <c r="E3626" s="19" t="s">
        <v>7299</v>
      </c>
    </row>
    <row r="3627" spans="1:5" ht="24" customHeight="1" x14ac:dyDescent="0.25">
      <c r="A3627" s="16">
        <v>3656</v>
      </c>
      <c r="B3627" s="19" t="s">
        <v>7183</v>
      </c>
      <c r="C3627" s="19" t="s">
        <v>7300</v>
      </c>
      <c r="D3627" s="19" t="s">
        <v>7301</v>
      </c>
      <c r="E3627" s="19" t="s">
        <v>7302</v>
      </c>
    </row>
    <row r="3628" spans="1:5" ht="24" customHeight="1" x14ac:dyDescent="0.25">
      <c r="A3628" s="16">
        <v>3657</v>
      </c>
      <c r="B3628" s="19" t="s">
        <v>7183</v>
      </c>
      <c r="C3628" s="19" t="s">
        <v>7300</v>
      </c>
      <c r="D3628" s="19" t="s">
        <v>7301</v>
      </c>
      <c r="E3628" s="19" t="s">
        <v>7303</v>
      </c>
    </row>
    <row r="3629" spans="1:5" ht="24" customHeight="1" x14ac:dyDescent="0.25">
      <c r="A3629" s="16">
        <v>3658</v>
      </c>
      <c r="B3629" s="19" t="s">
        <v>7183</v>
      </c>
      <c r="C3629" s="19" t="s">
        <v>7300</v>
      </c>
      <c r="D3629" s="19" t="s">
        <v>7301</v>
      </c>
      <c r="E3629" s="19" t="s">
        <v>7304</v>
      </c>
    </row>
    <row r="3630" spans="1:5" ht="24" customHeight="1" x14ac:dyDescent="0.25">
      <c r="A3630" s="16">
        <v>3659</v>
      </c>
      <c r="B3630" s="19" t="s">
        <v>7183</v>
      </c>
      <c r="C3630" s="19" t="s">
        <v>7300</v>
      </c>
      <c r="D3630" s="19" t="s">
        <v>7301</v>
      </c>
      <c r="E3630" s="19" t="s">
        <v>7305</v>
      </c>
    </row>
    <row r="3631" spans="1:5" ht="24" customHeight="1" x14ac:dyDescent="0.25">
      <c r="A3631" s="16">
        <v>3660</v>
      </c>
      <c r="B3631" s="19" t="s">
        <v>7183</v>
      </c>
      <c r="C3631" s="19" t="s">
        <v>7300</v>
      </c>
      <c r="D3631" s="19" t="s">
        <v>7301</v>
      </c>
      <c r="E3631" s="19" t="s">
        <v>7306</v>
      </c>
    </row>
    <row r="3632" spans="1:5" ht="24" customHeight="1" x14ac:dyDescent="0.25">
      <c r="A3632" s="16">
        <v>3661</v>
      </c>
      <c r="B3632" s="19" t="s">
        <v>7183</v>
      </c>
      <c r="C3632" s="19" t="s">
        <v>7300</v>
      </c>
      <c r="D3632" s="19" t="s">
        <v>7301</v>
      </c>
      <c r="E3632" s="19" t="s">
        <v>7307</v>
      </c>
    </row>
    <row r="3633" spans="1:5" ht="24" customHeight="1" x14ac:dyDescent="0.25">
      <c r="A3633" s="16">
        <v>3662</v>
      </c>
      <c r="B3633" s="19" t="s">
        <v>7183</v>
      </c>
      <c r="C3633" s="19" t="s">
        <v>7300</v>
      </c>
      <c r="D3633" s="19" t="s">
        <v>7301</v>
      </c>
      <c r="E3633" s="19" t="s">
        <v>7308</v>
      </c>
    </row>
    <row r="3634" spans="1:5" ht="24" customHeight="1" x14ac:dyDescent="0.25">
      <c r="A3634" s="16">
        <v>3663</v>
      </c>
      <c r="B3634" s="19" t="s">
        <v>7183</v>
      </c>
      <c r="C3634" s="19" t="s">
        <v>7300</v>
      </c>
      <c r="D3634" s="19" t="s">
        <v>7301</v>
      </c>
      <c r="E3634" s="19" t="s">
        <v>7309</v>
      </c>
    </row>
    <row r="3635" spans="1:5" ht="24" customHeight="1" x14ac:dyDescent="0.25">
      <c r="A3635" s="16">
        <v>3664</v>
      </c>
      <c r="B3635" s="19" t="s">
        <v>7183</v>
      </c>
      <c r="C3635" s="19" t="s">
        <v>7300</v>
      </c>
      <c r="D3635" s="19" t="s">
        <v>7310</v>
      </c>
      <c r="E3635" s="19" t="s">
        <v>7311</v>
      </c>
    </row>
    <row r="3636" spans="1:5" ht="24" customHeight="1" x14ac:dyDescent="0.25">
      <c r="A3636" s="16">
        <v>3665</v>
      </c>
      <c r="B3636" s="19" t="s">
        <v>7183</v>
      </c>
      <c r="C3636" s="19" t="s">
        <v>7300</v>
      </c>
      <c r="D3636" s="19" t="s">
        <v>7310</v>
      </c>
      <c r="E3636" s="19" t="s">
        <v>7312</v>
      </c>
    </row>
    <row r="3637" spans="1:5" ht="24" customHeight="1" x14ac:dyDescent="0.25">
      <c r="A3637" s="16">
        <v>3666</v>
      </c>
      <c r="B3637" s="19" t="s">
        <v>7183</v>
      </c>
      <c r="C3637" s="19" t="s">
        <v>7300</v>
      </c>
      <c r="D3637" s="19" t="s">
        <v>7310</v>
      </c>
      <c r="E3637" s="19" t="s">
        <v>7313</v>
      </c>
    </row>
    <row r="3638" spans="1:5" ht="24" customHeight="1" x14ac:dyDescent="0.25">
      <c r="A3638" s="16">
        <v>3667</v>
      </c>
      <c r="B3638" s="19" t="s">
        <v>7183</v>
      </c>
      <c r="C3638" s="19" t="s">
        <v>7300</v>
      </c>
      <c r="D3638" s="19" t="s">
        <v>7310</v>
      </c>
      <c r="E3638" s="19" t="s">
        <v>7314</v>
      </c>
    </row>
    <row r="3639" spans="1:5" ht="24" customHeight="1" x14ac:dyDescent="0.25">
      <c r="A3639" s="16">
        <v>3668</v>
      </c>
      <c r="B3639" s="19" t="s">
        <v>7183</v>
      </c>
      <c r="C3639" s="19" t="s">
        <v>7300</v>
      </c>
      <c r="D3639" s="19" t="s">
        <v>7310</v>
      </c>
      <c r="E3639" s="19" t="s">
        <v>7315</v>
      </c>
    </row>
    <row r="3640" spans="1:5" ht="24" customHeight="1" x14ac:dyDescent="0.25">
      <c r="A3640" s="16">
        <v>3669</v>
      </c>
      <c r="B3640" s="19" t="s">
        <v>7183</v>
      </c>
      <c r="C3640" s="19" t="s">
        <v>7300</v>
      </c>
      <c r="D3640" s="19" t="s">
        <v>7310</v>
      </c>
      <c r="E3640" s="19" t="s">
        <v>7316</v>
      </c>
    </row>
    <row r="3641" spans="1:5" ht="24" customHeight="1" x14ac:dyDescent="0.25">
      <c r="A3641" s="16">
        <v>3670</v>
      </c>
      <c r="B3641" s="19" t="s">
        <v>7183</v>
      </c>
      <c r="C3641" s="19" t="s">
        <v>7300</v>
      </c>
      <c r="D3641" s="19" t="s">
        <v>7310</v>
      </c>
      <c r="E3641" s="19" t="s">
        <v>7317</v>
      </c>
    </row>
    <row r="3642" spans="1:5" ht="24" customHeight="1" x14ac:dyDescent="0.25">
      <c r="A3642" s="16">
        <v>3671</v>
      </c>
      <c r="B3642" s="19" t="s">
        <v>7183</v>
      </c>
      <c r="C3642" s="19" t="s">
        <v>7300</v>
      </c>
      <c r="D3642" s="19" t="s">
        <v>7310</v>
      </c>
      <c r="E3642" s="19" t="s">
        <v>7318</v>
      </c>
    </row>
    <row r="3643" spans="1:5" ht="24" customHeight="1" x14ac:dyDescent="0.25">
      <c r="A3643" s="16">
        <v>3672</v>
      </c>
      <c r="B3643" s="19" t="s">
        <v>7183</v>
      </c>
      <c r="C3643" s="19" t="s">
        <v>7300</v>
      </c>
      <c r="D3643" s="19" t="s">
        <v>7319</v>
      </c>
      <c r="E3643" s="19" t="s">
        <v>7320</v>
      </c>
    </row>
    <row r="3644" spans="1:5" ht="24" customHeight="1" x14ac:dyDescent="0.25">
      <c r="A3644" s="16">
        <v>3673</v>
      </c>
      <c r="B3644" s="19" t="s">
        <v>7183</v>
      </c>
      <c r="C3644" s="19" t="s">
        <v>7300</v>
      </c>
      <c r="D3644" s="19" t="s">
        <v>7319</v>
      </c>
      <c r="E3644" s="19" t="s">
        <v>7321</v>
      </c>
    </row>
    <row r="3645" spans="1:5" ht="24" customHeight="1" x14ac:dyDescent="0.25">
      <c r="A3645" s="16">
        <v>3674</v>
      </c>
      <c r="B3645" s="19" t="s">
        <v>7183</v>
      </c>
      <c r="C3645" s="19" t="s">
        <v>7300</v>
      </c>
      <c r="D3645" s="19" t="s">
        <v>7319</v>
      </c>
      <c r="E3645" s="19" t="s">
        <v>7322</v>
      </c>
    </row>
    <row r="3646" spans="1:5" ht="36" customHeight="1" x14ac:dyDescent="0.25">
      <c r="A3646" s="16">
        <v>3675</v>
      </c>
      <c r="B3646" s="19" t="s">
        <v>7183</v>
      </c>
      <c r="C3646" s="19" t="s">
        <v>7300</v>
      </c>
      <c r="D3646" s="19" t="s">
        <v>7319</v>
      </c>
      <c r="E3646" s="19" t="s">
        <v>7323</v>
      </c>
    </row>
    <row r="3647" spans="1:5" ht="24" customHeight="1" x14ac:dyDescent="0.25">
      <c r="A3647" s="16">
        <v>3676</v>
      </c>
      <c r="B3647" s="19" t="s">
        <v>7183</v>
      </c>
      <c r="C3647" s="19" t="s">
        <v>7300</v>
      </c>
      <c r="D3647" s="19" t="s">
        <v>7319</v>
      </c>
      <c r="E3647" s="19" t="s">
        <v>7324</v>
      </c>
    </row>
    <row r="3648" spans="1:5" ht="24" customHeight="1" x14ac:dyDescent="0.25">
      <c r="A3648" s="16">
        <v>3677</v>
      </c>
      <c r="B3648" s="19" t="s">
        <v>7183</v>
      </c>
      <c r="C3648" s="19" t="s">
        <v>7300</v>
      </c>
      <c r="D3648" s="19" t="s">
        <v>7319</v>
      </c>
      <c r="E3648" s="19" t="s">
        <v>7325</v>
      </c>
    </row>
    <row r="3649" spans="1:5" ht="36" customHeight="1" x14ac:dyDescent="0.25">
      <c r="A3649" s="16">
        <v>3678</v>
      </c>
      <c r="B3649" s="19" t="s">
        <v>7183</v>
      </c>
      <c r="C3649" s="19" t="s">
        <v>7300</v>
      </c>
      <c r="D3649" s="19" t="s">
        <v>7319</v>
      </c>
      <c r="E3649" s="19" t="s">
        <v>7326</v>
      </c>
    </row>
    <row r="3650" spans="1:5" ht="24" customHeight="1" x14ac:dyDescent="0.25">
      <c r="A3650" s="16">
        <v>3679</v>
      </c>
      <c r="B3650" s="19" t="s">
        <v>7183</v>
      </c>
      <c r="C3650" s="19" t="s">
        <v>7300</v>
      </c>
      <c r="D3650" s="19" t="s">
        <v>7319</v>
      </c>
      <c r="E3650" s="19" t="s">
        <v>7327</v>
      </c>
    </row>
    <row r="3651" spans="1:5" ht="24" customHeight="1" x14ac:dyDescent="0.25">
      <c r="A3651" s="16">
        <v>3680</v>
      </c>
      <c r="B3651" s="19" t="s">
        <v>7183</v>
      </c>
      <c r="C3651" s="19" t="s">
        <v>7300</v>
      </c>
      <c r="D3651" s="19" t="s">
        <v>7319</v>
      </c>
      <c r="E3651" s="19" t="s">
        <v>7328</v>
      </c>
    </row>
    <row r="3652" spans="1:5" ht="24" customHeight="1" x14ac:dyDescent="0.25">
      <c r="A3652" s="16">
        <v>3681</v>
      </c>
      <c r="B3652" s="19" t="s">
        <v>7183</v>
      </c>
      <c r="C3652" s="19" t="s">
        <v>7300</v>
      </c>
      <c r="D3652" s="19" t="s">
        <v>7329</v>
      </c>
      <c r="E3652" s="19" t="s">
        <v>7330</v>
      </c>
    </row>
    <row r="3653" spans="1:5" ht="24" customHeight="1" x14ac:dyDescent="0.25">
      <c r="A3653" s="16">
        <v>3682</v>
      </c>
      <c r="B3653" s="19" t="s">
        <v>7183</v>
      </c>
      <c r="C3653" s="19" t="s">
        <v>7300</v>
      </c>
      <c r="D3653" s="19" t="s">
        <v>7329</v>
      </c>
      <c r="E3653" s="19" t="s">
        <v>7331</v>
      </c>
    </row>
    <row r="3654" spans="1:5" ht="24" customHeight="1" x14ac:dyDescent="0.25">
      <c r="A3654" s="16">
        <v>3683</v>
      </c>
      <c r="B3654" s="19" t="s">
        <v>7183</v>
      </c>
      <c r="C3654" s="19" t="s">
        <v>7300</v>
      </c>
      <c r="D3654" s="19" t="s">
        <v>7329</v>
      </c>
      <c r="E3654" s="19" t="s">
        <v>7332</v>
      </c>
    </row>
    <row r="3655" spans="1:5" ht="24" customHeight="1" x14ac:dyDescent="0.25">
      <c r="A3655" s="16">
        <v>3684</v>
      </c>
      <c r="B3655" s="19" t="s">
        <v>7183</v>
      </c>
      <c r="C3655" s="19" t="s">
        <v>7300</v>
      </c>
      <c r="D3655" s="19" t="s">
        <v>7329</v>
      </c>
      <c r="E3655" s="19" t="s">
        <v>7333</v>
      </c>
    </row>
    <row r="3656" spans="1:5" ht="24" customHeight="1" x14ac:dyDescent="0.25">
      <c r="A3656" s="16">
        <v>3685</v>
      </c>
      <c r="B3656" s="19" t="s">
        <v>7183</v>
      </c>
      <c r="C3656" s="19" t="s">
        <v>7300</v>
      </c>
      <c r="D3656" s="19" t="s">
        <v>7329</v>
      </c>
      <c r="E3656" s="19" t="s">
        <v>7334</v>
      </c>
    </row>
    <row r="3657" spans="1:5" ht="24" customHeight="1" x14ac:dyDescent="0.25">
      <c r="A3657" s="16">
        <v>3686</v>
      </c>
      <c r="B3657" s="19" t="s">
        <v>7183</v>
      </c>
      <c r="C3657" s="19" t="s">
        <v>7300</v>
      </c>
      <c r="D3657" s="19" t="s">
        <v>7329</v>
      </c>
      <c r="E3657" s="19" t="s">
        <v>7335</v>
      </c>
    </row>
    <row r="3658" spans="1:5" ht="24" customHeight="1" x14ac:dyDescent="0.25">
      <c r="A3658" s="16">
        <v>3687</v>
      </c>
      <c r="B3658" s="19" t="s">
        <v>7183</v>
      </c>
      <c r="C3658" s="19" t="s">
        <v>7300</v>
      </c>
      <c r="D3658" s="19" t="s">
        <v>7329</v>
      </c>
      <c r="E3658" s="19" t="s">
        <v>7336</v>
      </c>
    </row>
    <row r="3659" spans="1:5" ht="24" customHeight="1" x14ac:dyDescent="0.25">
      <c r="A3659" s="16">
        <v>3688</v>
      </c>
      <c r="B3659" s="19" t="s">
        <v>7183</v>
      </c>
      <c r="C3659" s="19" t="s">
        <v>7300</v>
      </c>
      <c r="D3659" s="19" t="s">
        <v>7329</v>
      </c>
      <c r="E3659" s="19" t="s">
        <v>7337</v>
      </c>
    </row>
    <row r="3660" spans="1:5" ht="24" customHeight="1" x14ac:dyDescent="0.25">
      <c r="A3660" s="16">
        <v>3689</v>
      </c>
      <c r="B3660" s="19" t="s">
        <v>7183</v>
      </c>
      <c r="C3660" s="19" t="s">
        <v>7300</v>
      </c>
      <c r="D3660" s="19" t="s">
        <v>7329</v>
      </c>
      <c r="E3660" s="19" t="s">
        <v>7338</v>
      </c>
    </row>
    <row r="3661" spans="1:5" ht="24" customHeight="1" x14ac:dyDescent="0.25">
      <c r="A3661" s="16">
        <v>3690</v>
      </c>
      <c r="B3661" s="19" t="s">
        <v>7183</v>
      </c>
      <c r="C3661" s="19" t="s">
        <v>7300</v>
      </c>
      <c r="D3661" s="19" t="s">
        <v>7339</v>
      </c>
      <c r="E3661" s="19" t="s">
        <v>7340</v>
      </c>
    </row>
    <row r="3662" spans="1:5" ht="24" customHeight="1" x14ac:dyDescent="0.25">
      <c r="A3662" s="16">
        <v>3691</v>
      </c>
      <c r="B3662" s="19" t="s">
        <v>7183</v>
      </c>
      <c r="C3662" s="19" t="s">
        <v>7300</v>
      </c>
      <c r="D3662" s="19" t="s">
        <v>7339</v>
      </c>
      <c r="E3662" s="19" t="s">
        <v>7341</v>
      </c>
    </row>
    <row r="3663" spans="1:5" ht="24" customHeight="1" x14ac:dyDescent="0.25">
      <c r="A3663" s="16">
        <v>3692</v>
      </c>
      <c r="B3663" s="19" t="s">
        <v>7183</v>
      </c>
      <c r="C3663" s="19" t="s">
        <v>7300</v>
      </c>
      <c r="D3663" s="19" t="s">
        <v>7339</v>
      </c>
      <c r="E3663" s="19" t="s">
        <v>7342</v>
      </c>
    </row>
    <row r="3664" spans="1:5" ht="24" customHeight="1" x14ac:dyDescent="0.25">
      <c r="A3664" s="16">
        <v>3693</v>
      </c>
      <c r="B3664" s="19" t="s">
        <v>7183</v>
      </c>
      <c r="C3664" s="19" t="s">
        <v>7300</v>
      </c>
      <c r="D3664" s="19" t="s">
        <v>7339</v>
      </c>
      <c r="E3664" s="19" t="s">
        <v>7343</v>
      </c>
    </row>
    <row r="3665" spans="1:5" ht="24" customHeight="1" x14ac:dyDescent="0.25">
      <c r="A3665" s="16">
        <v>3694</v>
      </c>
      <c r="B3665" s="19" t="s">
        <v>7183</v>
      </c>
      <c r="C3665" s="19" t="s">
        <v>7300</v>
      </c>
      <c r="D3665" s="19" t="s">
        <v>7339</v>
      </c>
      <c r="E3665" s="19" t="s">
        <v>7344</v>
      </c>
    </row>
    <row r="3666" spans="1:5" ht="24" customHeight="1" x14ac:dyDescent="0.25">
      <c r="A3666" s="16">
        <v>3695</v>
      </c>
      <c r="B3666" s="19" t="s">
        <v>7183</v>
      </c>
      <c r="C3666" s="19" t="s">
        <v>7300</v>
      </c>
      <c r="D3666" s="19" t="s">
        <v>7339</v>
      </c>
      <c r="E3666" s="19" t="s">
        <v>7345</v>
      </c>
    </row>
    <row r="3667" spans="1:5" ht="24" customHeight="1" x14ac:dyDescent="0.25">
      <c r="A3667" s="16">
        <v>3696</v>
      </c>
      <c r="B3667" s="19" t="s">
        <v>7183</v>
      </c>
      <c r="C3667" s="19" t="s">
        <v>7300</v>
      </c>
      <c r="D3667" s="19" t="s">
        <v>7339</v>
      </c>
      <c r="E3667" s="19" t="s">
        <v>7346</v>
      </c>
    </row>
    <row r="3668" spans="1:5" ht="24" customHeight="1" x14ac:dyDescent="0.25">
      <c r="A3668" s="16">
        <v>3697</v>
      </c>
      <c r="B3668" s="19" t="s">
        <v>7183</v>
      </c>
      <c r="C3668" s="19" t="s">
        <v>7300</v>
      </c>
      <c r="D3668" s="19" t="s">
        <v>7339</v>
      </c>
      <c r="E3668" s="19" t="s">
        <v>7318</v>
      </c>
    </row>
    <row r="3669" spans="1:5" ht="36" customHeight="1" x14ac:dyDescent="0.25">
      <c r="A3669" s="16">
        <v>3698</v>
      </c>
      <c r="B3669" s="19" t="s">
        <v>7183</v>
      </c>
      <c r="C3669" s="19" t="s">
        <v>7300</v>
      </c>
      <c r="D3669" s="19" t="s">
        <v>7300</v>
      </c>
      <c r="E3669" s="19" t="s">
        <v>7347</v>
      </c>
    </row>
    <row r="3670" spans="1:5" ht="24" customHeight="1" x14ac:dyDescent="0.25">
      <c r="A3670" s="16">
        <v>3699</v>
      </c>
      <c r="B3670" s="19" t="s">
        <v>7183</v>
      </c>
      <c r="C3670" s="19" t="s">
        <v>7300</v>
      </c>
      <c r="D3670" s="19" t="s">
        <v>7300</v>
      </c>
      <c r="E3670" s="19" t="s">
        <v>7348</v>
      </c>
    </row>
    <row r="3671" spans="1:5" ht="24" customHeight="1" x14ac:dyDescent="0.25">
      <c r="A3671" s="16">
        <v>3700</v>
      </c>
      <c r="B3671" s="19" t="s">
        <v>7183</v>
      </c>
      <c r="C3671" s="19" t="s">
        <v>7300</v>
      </c>
      <c r="D3671" s="19" t="s">
        <v>7300</v>
      </c>
      <c r="E3671" s="19" t="s">
        <v>7349</v>
      </c>
    </row>
    <row r="3672" spans="1:5" ht="24" customHeight="1" x14ac:dyDescent="0.25">
      <c r="A3672" s="16">
        <v>3701</v>
      </c>
      <c r="B3672" s="19" t="s">
        <v>7183</v>
      </c>
      <c r="C3672" s="19" t="s">
        <v>7300</v>
      </c>
      <c r="D3672" s="19" t="s">
        <v>7300</v>
      </c>
      <c r="E3672" s="19" t="s">
        <v>7350</v>
      </c>
    </row>
    <row r="3673" spans="1:5" ht="24" customHeight="1" x14ac:dyDescent="0.25">
      <c r="A3673" s="16">
        <v>3702</v>
      </c>
      <c r="B3673" s="19" t="s">
        <v>7183</v>
      </c>
      <c r="C3673" s="19" t="s">
        <v>7300</v>
      </c>
      <c r="D3673" s="19" t="s">
        <v>7300</v>
      </c>
      <c r="E3673" s="19" t="s">
        <v>7351</v>
      </c>
    </row>
    <row r="3674" spans="1:5" ht="36" customHeight="1" x14ac:dyDescent="0.25">
      <c r="A3674" s="16">
        <v>3703</v>
      </c>
      <c r="B3674" s="19" t="s">
        <v>7183</v>
      </c>
      <c r="C3674" s="19" t="s">
        <v>7300</v>
      </c>
      <c r="D3674" s="19" t="s">
        <v>7300</v>
      </c>
      <c r="E3674" s="19" t="s">
        <v>7352</v>
      </c>
    </row>
    <row r="3675" spans="1:5" ht="24" customHeight="1" x14ac:dyDescent="0.25">
      <c r="A3675" s="16">
        <v>3704</v>
      </c>
      <c r="B3675" s="19" t="s">
        <v>7183</v>
      </c>
      <c r="C3675" s="19" t="s">
        <v>7300</v>
      </c>
      <c r="D3675" s="19" t="s">
        <v>7300</v>
      </c>
      <c r="E3675" s="19" t="s">
        <v>7353</v>
      </c>
    </row>
    <row r="3676" spans="1:5" ht="24" customHeight="1" x14ac:dyDescent="0.25">
      <c r="A3676" s="16">
        <v>3705</v>
      </c>
      <c r="B3676" s="19" t="s">
        <v>7183</v>
      </c>
      <c r="C3676" s="19" t="s">
        <v>7300</v>
      </c>
      <c r="D3676" s="19" t="s">
        <v>7300</v>
      </c>
      <c r="E3676" s="19" t="s">
        <v>7354</v>
      </c>
    </row>
    <row r="3677" spans="1:5" ht="24" customHeight="1" x14ac:dyDescent="0.25">
      <c r="A3677" s="16">
        <v>3706</v>
      </c>
      <c r="B3677" s="19" t="s">
        <v>7183</v>
      </c>
      <c r="C3677" s="19" t="s">
        <v>7300</v>
      </c>
      <c r="D3677" s="19" t="s">
        <v>7300</v>
      </c>
      <c r="E3677" s="19" t="s">
        <v>7355</v>
      </c>
    </row>
    <row r="3678" spans="1:5" ht="24" customHeight="1" x14ac:dyDescent="0.25">
      <c r="A3678" s="16">
        <v>3707</v>
      </c>
      <c r="B3678" s="19" t="s">
        <v>7183</v>
      </c>
      <c r="C3678" s="19" t="s">
        <v>7300</v>
      </c>
      <c r="D3678" s="19" t="s">
        <v>7300</v>
      </c>
      <c r="E3678" s="19" t="s">
        <v>7356</v>
      </c>
    </row>
    <row r="3679" spans="1:5" ht="24" customHeight="1" x14ac:dyDescent="0.25">
      <c r="A3679" s="16">
        <v>3708</v>
      </c>
      <c r="B3679" s="19" t="s">
        <v>7183</v>
      </c>
      <c r="C3679" s="19" t="s">
        <v>7300</v>
      </c>
      <c r="D3679" s="19" t="s">
        <v>7300</v>
      </c>
      <c r="E3679" s="19" t="s">
        <v>7357</v>
      </c>
    </row>
    <row r="3680" spans="1:5" ht="24" customHeight="1" x14ac:dyDescent="0.25">
      <c r="A3680" s="16">
        <v>3709</v>
      </c>
      <c r="B3680" s="19" t="s">
        <v>7183</v>
      </c>
      <c r="C3680" s="19" t="s">
        <v>7300</v>
      </c>
      <c r="D3680" s="19" t="s">
        <v>7358</v>
      </c>
      <c r="E3680" s="19" t="s">
        <v>7359</v>
      </c>
    </row>
    <row r="3681" spans="1:5" ht="24" customHeight="1" x14ac:dyDescent="0.25">
      <c r="A3681" s="16">
        <v>3710</v>
      </c>
      <c r="B3681" s="19" t="s">
        <v>7183</v>
      </c>
      <c r="C3681" s="19" t="s">
        <v>7300</v>
      </c>
      <c r="D3681" s="19" t="s">
        <v>7358</v>
      </c>
      <c r="E3681" s="19" t="s">
        <v>7360</v>
      </c>
    </row>
    <row r="3682" spans="1:5" ht="24" customHeight="1" x14ac:dyDescent="0.25">
      <c r="A3682" s="16">
        <v>3711</v>
      </c>
      <c r="B3682" s="19" t="s">
        <v>7183</v>
      </c>
      <c r="C3682" s="19" t="s">
        <v>7300</v>
      </c>
      <c r="D3682" s="19" t="s">
        <v>7358</v>
      </c>
      <c r="E3682" s="19" t="s">
        <v>7361</v>
      </c>
    </row>
    <row r="3683" spans="1:5" ht="24" customHeight="1" x14ac:dyDescent="0.25">
      <c r="A3683" s="16">
        <v>3712</v>
      </c>
      <c r="B3683" s="19" t="s">
        <v>7183</v>
      </c>
      <c r="C3683" s="19" t="s">
        <v>7300</v>
      </c>
      <c r="D3683" s="19" t="s">
        <v>7358</v>
      </c>
      <c r="E3683" s="19" t="s">
        <v>7362</v>
      </c>
    </row>
    <row r="3684" spans="1:5" ht="24" customHeight="1" x14ac:dyDescent="0.25">
      <c r="A3684" s="16">
        <v>3713</v>
      </c>
      <c r="B3684" s="19" t="s">
        <v>7183</v>
      </c>
      <c r="C3684" s="19" t="s">
        <v>7300</v>
      </c>
      <c r="D3684" s="19" t="s">
        <v>7358</v>
      </c>
      <c r="E3684" s="19" t="s">
        <v>7363</v>
      </c>
    </row>
    <row r="3685" spans="1:5" ht="24" customHeight="1" x14ac:dyDescent="0.25">
      <c r="A3685" s="16">
        <v>3714</v>
      </c>
      <c r="B3685" s="19" t="s">
        <v>7183</v>
      </c>
      <c r="C3685" s="19" t="s">
        <v>7300</v>
      </c>
      <c r="D3685" s="19" t="s">
        <v>7358</v>
      </c>
      <c r="E3685" s="19" t="s">
        <v>7364</v>
      </c>
    </row>
    <row r="3686" spans="1:5" ht="24" customHeight="1" x14ac:dyDescent="0.25">
      <c r="A3686" s="16">
        <v>3715</v>
      </c>
      <c r="B3686" s="19" t="s">
        <v>7183</v>
      </c>
      <c r="C3686" s="19" t="s">
        <v>7300</v>
      </c>
      <c r="D3686" s="19" t="s">
        <v>7358</v>
      </c>
      <c r="E3686" s="19" t="s">
        <v>7365</v>
      </c>
    </row>
    <row r="3687" spans="1:5" x14ac:dyDescent="0.25">
      <c r="A3687" s="16">
        <v>3716</v>
      </c>
      <c r="B3687" s="19" t="s">
        <v>7183</v>
      </c>
      <c r="C3687" s="19" t="s">
        <v>7366</v>
      </c>
      <c r="D3687" s="19" t="s">
        <v>7367</v>
      </c>
      <c r="E3687" s="19" t="s">
        <v>7368</v>
      </c>
    </row>
    <row r="3688" spans="1:5" x14ac:dyDescent="0.25">
      <c r="A3688" s="16">
        <v>3717</v>
      </c>
      <c r="B3688" s="19" t="s">
        <v>7183</v>
      </c>
      <c r="C3688" s="19" t="s">
        <v>7366</v>
      </c>
      <c r="D3688" s="19" t="s">
        <v>7367</v>
      </c>
      <c r="E3688" s="19" t="s">
        <v>7369</v>
      </c>
    </row>
    <row r="3689" spans="1:5" x14ac:dyDescent="0.25">
      <c r="A3689" s="16">
        <v>3718</v>
      </c>
      <c r="B3689" s="19" t="s">
        <v>7183</v>
      </c>
      <c r="C3689" s="19" t="s">
        <v>7366</v>
      </c>
      <c r="D3689" s="19" t="s">
        <v>7367</v>
      </c>
      <c r="E3689" s="19" t="s">
        <v>7370</v>
      </c>
    </row>
    <row r="3690" spans="1:5" x14ac:dyDescent="0.25">
      <c r="A3690" s="16">
        <v>3719</v>
      </c>
      <c r="B3690" s="19" t="s">
        <v>7183</v>
      </c>
      <c r="C3690" s="19" t="s">
        <v>7366</v>
      </c>
      <c r="D3690" s="19" t="s">
        <v>7367</v>
      </c>
      <c r="E3690" s="19" t="s">
        <v>7371</v>
      </c>
    </row>
    <row r="3691" spans="1:5" ht="24" customHeight="1" x14ac:dyDescent="0.25">
      <c r="A3691" s="16">
        <v>3720</v>
      </c>
      <c r="B3691" s="19" t="s">
        <v>7183</v>
      </c>
      <c r="C3691" s="19" t="s">
        <v>7366</v>
      </c>
      <c r="D3691" s="19" t="s">
        <v>7367</v>
      </c>
      <c r="E3691" s="19" t="s">
        <v>7372</v>
      </c>
    </row>
    <row r="3692" spans="1:5" x14ac:dyDescent="0.25">
      <c r="A3692" s="16">
        <v>3721</v>
      </c>
      <c r="B3692" s="19" t="s">
        <v>7183</v>
      </c>
      <c r="C3692" s="19" t="s">
        <v>7366</v>
      </c>
      <c r="D3692" s="19" t="s">
        <v>7367</v>
      </c>
      <c r="E3692" s="19" t="s">
        <v>7373</v>
      </c>
    </row>
    <row r="3693" spans="1:5" x14ac:dyDescent="0.25">
      <c r="A3693" s="16">
        <v>3722</v>
      </c>
      <c r="B3693" s="19" t="s">
        <v>7183</v>
      </c>
      <c r="C3693" s="19" t="s">
        <v>7366</v>
      </c>
      <c r="D3693" s="19" t="s">
        <v>7367</v>
      </c>
      <c r="E3693" s="19" t="s">
        <v>7374</v>
      </c>
    </row>
    <row r="3694" spans="1:5" x14ac:dyDescent="0.25">
      <c r="A3694" s="16">
        <v>3723</v>
      </c>
      <c r="B3694" s="19" t="s">
        <v>7183</v>
      </c>
      <c r="C3694" s="19" t="s">
        <v>7366</v>
      </c>
      <c r="D3694" s="19" t="s">
        <v>7367</v>
      </c>
      <c r="E3694" s="19" t="s">
        <v>7375</v>
      </c>
    </row>
    <row r="3695" spans="1:5" x14ac:dyDescent="0.25">
      <c r="A3695" s="16">
        <v>3724</v>
      </c>
      <c r="B3695" s="19" t="s">
        <v>7183</v>
      </c>
      <c r="C3695" s="19" t="s">
        <v>7366</v>
      </c>
      <c r="D3695" s="19" t="s">
        <v>7367</v>
      </c>
      <c r="E3695" s="19" t="s">
        <v>7376</v>
      </c>
    </row>
    <row r="3696" spans="1:5" ht="24" customHeight="1" x14ac:dyDescent="0.25">
      <c r="A3696" s="16">
        <v>3725</v>
      </c>
      <c r="B3696" s="19" t="s">
        <v>7183</v>
      </c>
      <c r="C3696" s="19" t="s">
        <v>7366</v>
      </c>
      <c r="D3696" s="19" t="s">
        <v>7367</v>
      </c>
      <c r="E3696" s="19" t="s">
        <v>7377</v>
      </c>
    </row>
    <row r="3697" spans="1:5" x14ac:dyDescent="0.25">
      <c r="A3697" s="16">
        <v>3726</v>
      </c>
      <c r="B3697" s="19" t="s">
        <v>7183</v>
      </c>
      <c r="C3697" s="19" t="s">
        <v>7366</v>
      </c>
      <c r="D3697" s="19" t="s">
        <v>7378</v>
      </c>
      <c r="E3697" s="19" t="s">
        <v>7379</v>
      </c>
    </row>
    <row r="3698" spans="1:5" x14ac:dyDescent="0.25">
      <c r="A3698" s="16">
        <v>3727</v>
      </c>
      <c r="B3698" s="19" t="s">
        <v>7183</v>
      </c>
      <c r="C3698" s="19" t="s">
        <v>7366</v>
      </c>
      <c r="D3698" s="19" t="s">
        <v>7378</v>
      </c>
      <c r="E3698" s="19" t="s">
        <v>7380</v>
      </c>
    </row>
    <row r="3699" spans="1:5" x14ac:dyDescent="0.25">
      <c r="A3699" s="16">
        <v>3728</v>
      </c>
      <c r="B3699" s="19" t="s">
        <v>7183</v>
      </c>
      <c r="C3699" s="19" t="s">
        <v>7366</v>
      </c>
      <c r="D3699" s="19" t="s">
        <v>7378</v>
      </c>
      <c r="E3699" s="19" t="s">
        <v>7381</v>
      </c>
    </row>
    <row r="3700" spans="1:5" x14ac:dyDescent="0.25">
      <c r="A3700" s="16">
        <v>3729</v>
      </c>
      <c r="B3700" s="19" t="s">
        <v>7183</v>
      </c>
      <c r="C3700" s="19" t="s">
        <v>7366</v>
      </c>
      <c r="D3700" s="19" t="s">
        <v>7378</v>
      </c>
      <c r="E3700" s="19" t="s">
        <v>7382</v>
      </c>
    </row>
    <row r="3701" spans="1:5" x14ac:dyDescent="0.25">
      <c r="A3701" s="16">
        <v>3730</v>
      </c>
      <c r="B3701" s="19" t="s">
        <v>7183</v>
      </c>
      <c r="C3701" s="19" t="s">
        <v>7366</v>
      </c>
      <c r="D3701" s="19" t="s">
        <v>7378</v>
      </c>
      <c r="E3701" s="19" t="s">
        <v>7383</v>
      </c>
    </row>
    <row r="3702" spans="1:5" x14ac:dyDescent="0.25">
      <c r="A3702" s="16">
        <v>3731</v>
      </c>
      <c r="B3702" s="19" t="s">
        <v>7183</v>
      </c>
      <c r="C3702" s="19" t="s">
        <v>7366</v>
      </c>
      <c r="D3702" s="19" t="s">
        <v>7378</v>
      </c>
      <c r="E3702" s="19" t="s">
        <v>7384</v>
      </c>
    </row>
    <row r="3703" spans="1:5" x14ac:dyDescent="0.25">
      <c r="A3703" s="16">
        <v>3732</v>
      </c>
      <c r="B3703" s="19" t="s">
        <v>7183</v>
      </c>
      <c r="C3703" s="19" t="s">
        <v>7366</v>
      </c>
      <c r="D3703" s="19" t="s">
        <v>7378</v>
      </c>
      <c r="E3703" s="19" t="s">
        <v>7385</v>
      </c>
    </row>
    <row r="3704" spans="1:5" x14ac:dyDescent="0.25">
      <c r="A3704" s="16">
        <v>3733</v>
      </c>
      <c r="B3704" s="19" t="s">
        <v>7183</v>
      </c>
      <c r="C3704" s="19" t="s">
        <v>7366</v>
      </c>
      <c r="D3704" s="19" t="s">
        <v>7378</v>
      </c>
      <c r="E3704" s="19" t="s">
        <v>7386</v>
      </c>
    </row>
    <row r="3705" spans="1:5" x14ac:dyDescent="0.25">
      <c r="A3705" s="16">
        <v>3734</v>
      </c>
      <c r="B3705" s="19" t="s">
        <v>7183</v>
      </c>
      <c r="C3705" s="19" t="s">
        <v>7366</v>
      </c>
      <c r="D3705" s="19" t="s">
        <v>7378</v>
      </c>
      <c r="E3705" s="19" t="s">
        <v>7387</v>
      </c>
    </row>
    <row r="3706" spans="1:5" x14ac:dyDescent="0.25">
      <c r="A3706" s="16">
        <v>3735</v>
      </c>
      <c r="B3706" s="19" t="s">
        <v>7183</v>
      </c>
      <c r="C3706" s="19" t="s">
        <v>7366</v>
      </c>
      <c r="D3706" s="19" t="s">
        <v>7378</v>
      </c>
      <c r="E3706" s="19" t="s">
        <v>7388</v>
      </c>
    </row>
    <row r="3707" spans="1:5" x14ac:dyDescent="0.25">
      <c r="A3707" s="16">
        <v>3736</v>
      </c>
      <c r="B3707" s="19" t="s">
        <v>7183</v>
      </c>
      <c r="C3707" s="19" t="s">
        <v>7366</v>
      </c>
      <c r="D3707" s="19" t="s">
        <v>7378</v>
      </c>
      <c r="E3707" s="19" t="s">
        <v>7389</v>
      </c>
    </row>
    <row r="3708" spans="1:5" x14ac:dyDescent="0.25">
      <c r="A3708" s="16">
        <v>3737</v>
      </c>
      <c r="B3708" s="19" t="s">
        <v>7183</v>
      </c>
      <c r="C3708" s="19" t="s">
        <v>7366</v>
      </c>
      <c r="D3708" s="19" t="s">
        <v>7378</v>
      </c>
      <c r="E3708" s="19" t="s">
        <v>7390</v>
      </c>
    </row>
    <row r="3709" spans="1:5" x14ac:dyDescent="0.25">
      <c r="A3709" s="16">
        <v>3738</v>
      </c>
      <c r="B3709" s="19" t="s">
        <v>7183</v>
      </c>
      <c r="C3709" s="19" t="s">
        <v>7366</v>
      </c>
      <c r="D3709" s="19" t="s">
        <v>7378</v>
      </c>
      <c r="E3709" s="19" t="s">
        <v>7391</v>
      </c>
    </row>
    <row r="3710" spans="1:5" x14ac:dyDescent="0.25">
      <c r="A3710" s="16">
        <v>3739</v>
      </c>
      <c r="B3710" s="19" t="s">
        <v>7183</v>
      </c>
      <c r="C3710" s="19" t="s">
        <v>7366</v>
      </c>
      <c r="D3710" s="19" t="s">
        <v>7366</v>
      </c>
      <c r="E3710" s="19" t="s">
        <v>7392</v>
      </c>
    </row>
    <row r="3711" spans="1:5" x14ac:dyDescent="0.25">
      <c r="A3711" s="16">
        <v>3740</v>
      </c>
      <c r="B3711" s="19" t="s">
        <v>7183</v>
      </c>
      <c r="C3711" s="19" t="s">
        <v>7366</v>
      </c>
      <c r="D3711" s="19" t="s">
        <v>7366</v>
      </c>
      <c r="E3711" s="19" t="s">
        <v>7393</v>
      </c>
    </row>
    <row r="3712" spans="1:5" x14ac:dyDescent="0.25">
      <c r="A3712" s="16">
        <v>3741</v>
      </c>
      <c r="B3712" s="19" t="s">
        <v>7183</v>
      </c>
      <c r="C3712" s="19" t="s">
        <v>7366</v>
      </c>
      <c r="D3712" s="19" t="s">
        <v>7366</v>
      </c>
      <c r="E3712" s="19" t="s">
        <v>7394</v>
      </c>
    </row>
    <row r="3713" spans="1:5" x14ac:dyDescent="0.25">
      <c r="A3713" s="16">
        <v>3742</v>
      </c>
      <c r="B3713" s="19" t="s">
        <v>7183</v>
      </c>
      <c r="C3713" s="19" t="s">
        <v>7366</v>
      </c>
      <c r="D3713" s="19" t="s">
        <v>7366</v>
      </c>
      <c r="E3713" s="19" t="s">
        <v>7395</v>
      </c>
    </row>
    <row r="3714" spans="1:5" x14ac:dyDescent="0.25">
      <c r="A3714" s="16">
        <v>3743</v>
      </c>
      <c r="B3714" s="19" t="s">
        <v>7183</v>
      </c>
      <c r="C3714" s="19" t="s">
        <v>7366</v>
      </c>
      <c r="D3714" s="19" t="s">
        <v>7366</v>
      </c>
      <c r="E3714" s="19" t="s">
        <v>7396</v>
      </c>
    </row>
    <row r="3715" spans="1:5" ht="24" customHeight="1" x14ac:dyDescent="0.25">
      <c r="A3715" s="16">
        <v>3744</v>
      </c>
      <c r="B3715" s="19" t="s">
        <v>7183</v>
      </c>
      <c r="C3715" s="19" t="s">
        <v>7366</v>
      </c>
      <c r="D3715" s="19" t="s">
        <v>7366</v>
      </c>
      <c r="E3715" s="19" t="s">
        <v>7397</v>
      </c>
    </row>
    <row r="3716" spans="1:5" x14ac:dyDescent="0.25">
      <c r="A3716" s="16">
        <v>3745</v>
      </c>
      <c r="B3716" s="19" t="s">
        <v>7183</v>
      </c>
      <c r="C3716" s="19" t="s">
        <v>7366</v>
      </c>
      <c r="D3716" s="19" t="s">
        <v>7366</v>
      </c>
      <c r="E3716" s="19" t="s">
        <v>7398</v>
      </c>
    </row>
    <row r="3717" spans="1:5" ht="24" customHeight="1" x14ac:dyDescent="0.25">
      <c r="A3717" s="16">
        <v>3746</v>
      </c>
      <c r="B3717" s="19" t="s">
        <v>7183</v>
      </c>
      <c r="C3717" s="19" t="s">
        <v>7366</v>
      </c>
      <c r="D3717" s="19" t="s">
        <v>7366</v>
      </c>
      <c r="E3717" s="19" t="s">
        <v>7399</v>
      </c>
    </row>
    <row r="3718" spans="1:5" ht="24" customHeight="1" x14ac:dyDescent="0.25">
      <c r="A3718" s="16">
        <v>3747</v>
      </c>
      <c r="B3718" s="19" t="s">
        <v>7183</v>
      </c>
      <c r="C3718" s="19" t="s">
        <v>7366</v>
      </c>
      <c r="D3718" s="19" t="s">
        <v>7366</v>
      </c>
      <c r="E3718" s="19" t="s">
        <v>7400</v>
      </c>
    </row>
    <row r="3719" spans="1:5" x14ac:dyDescent="0.25">
      <c r="A3719" s="16">
        <v>3748</v>
      </c>
      <c r="B3719" s="19" t="s">
        <v>7183</v>
      </c>
      <c r="C3719" s="19" t="s">
        <v>7366</v>
      </c>
      <c r="D3719" s="19" t="s">
        <v>7366</v>
      </c>
      <c r="E3719" s="19" t="s">
        <v>7401</v>
      </c>
    </row>
    <row r="3720" spans="1:5" ht="24" customHeight="1" x14ac:dyDescent="0.25">
      <c r="A3720" s="16">
        <v>3749</v>
      </c>
      <c r="B3720" s="19" t="s">
        <v>7183</v>
      </c>
      <c r="C3720" s="19" t="s">
        <v>7366</v>
      </c>
      <c r="D3720" s="19" t="s">
        <v>7366</v>
      </c>
      <c r="E3720" s="19" t="s">
        <v>7402</v>
      </c>
    </row>
    <row r="3721" spans="1:5" ht="36" customHeight="1" x14ac:dyDescent="0.25">
      <c r="A3721" s="16">
        <v>3750</v>
      </c>
      <c r="B3721" s="19" t="s">
        <v>7183</v>
      </c>
      <c r="C3721" s="19" t="s">
        <v>7366</v>
      </c>
      <c r="D3721" s="19" t="s">
        <v>7366</v>
      </c>
      <c r="E3721" s="19" t="s">
        <v>7403</v>
      </c>
    </row>
    <row r="3722" spans="1:5" x14ac:dyDescent="0.25">
      <c r="A3722" s="16">
        <v>3751</v>
      </c>
      <c r="B3722" s="19" t="s">
        <v>7183</v>
      </c>
      <c r="C3722" s="19" t="s">
        <v>7366</v>
      </c>
      <c r="D3722" s="19" t="s">
        <v>7366</v>
      </c>
      <c r="E3722" s="19" t="s">
        <v>7404</v>
      </c>
    </row>
    <row r="3723" spans="1:5" x14ac:dyDescent="0.25">
      <c r="A3723" s="16">
        <v>3752</v>
      </c>
      <c r="B3723" s="19" t="s">
        <v>7183</v>
      </c>
      <c r="C3723" s="19" t="s">
        <v>7366</v>
      </c>
      <c r="D3723" s="19" t="s">
        <v>7366</v>
      </c>
      <c r="E3723" s="19" t="s">
        <v>7405</v>
      </c>
    </row>
    <row r="3724" spans="1:5" x14ac:dyDescent="0.25">
      <c r="A3724" s="16">
        <v>3753</v>
      </c>
      <c r="B3724" s="19" t="s">
        <v>7183</v>
      </c>
      <c r="C3724" s="19" t="s">
        <v>7366</v>
      </c>
      <c r="D3724" s="19" t="s">
        <v>7406</v>
      </c>
      <c r="E3724" s="19" t="s">
        <v>7407</v>
      </c>
    </row>
    <row r="3725" spans="1:5" x14ac:dyDescent="0.25">
      <c r="A3725" s="16">
        <v>3754</v>
      </c>
      <c r="B3725" s="19" t="s">
        <v>7183</v>
      </c>
      <c r="C3725" s="19" t="s">
        <v>7366</v>
      </c>
      <c r="D3725" s="19" t="s">
        <v>7406</v>
      </c>
      <c r="E3725" s="19" t="s">
        <v>7408</v>
      </c>
    </row>
    <row r="3726" spans="1:5" x14ac:dyDescent="0.25">
      <c r="A3726" s="16">
        <v>3755</v>
      </c>
      <c r="B3726" s="19" t="s">
        <v>7183</v>
      </c>
      <c r="C3726" s="19" t="s">
        <v>7366</v>
      </c>
      <c r="D3726" s="19" t="s">
        <v>7406</v>
      </c>
      <c r="E3726" s="19" t="s">
        <v>7409</v>
      </c>
    </row>
    <row r="3727" spans="1:5" x14ac:dyDescent="0.25">
      <c r="A3727" s="16">
        <v>3756</v>
      </c>
      <c r="B3727" s="19" t="s">
        <v>7183</v>
      </c>
      <c r="C3727" s="19" t="s">
        <v>7366</v>
      </c>
      <c r="D3727" s="19" t="s">
        <v>7406</v>
      </c>
      <c r="E3727" s="19" t="s">
        <v>7410</v>
      </c>
    </row>
    <row r="3728" spans="1:5" ht="24" customHeight="1" x14ac:dyDescent="0.25">
      <c r="A3728" s="16">
        <v>3757</v>
      </c>
      <c r="B3728" s="19" t="s">
        <v>7183</v>
      </c>
      <c r="C3728" s="19" t="s">
        <v>7366</v>
      </c>
      <c r="D3728" s="19" t="s">
        <v>7406</v>
      </c>
      <c r="E3728" s="19" t="s">
        <v>7411</v>
      </c>
    </row>
    <row r="3729" spans="1:5" ht="24" customHeight="1" x14ac:dyDescent="0.25">
      <c r="A3729" s="16">
        <v>3758</v>
      </c>
      <c r="B3729" s="19" t="s">
        <v>7183</v>
      </c>
      <c r="C3729" s="19" t="s">
        <v>7366</v>
      </c>
      <c r="D3729" s="19" t="s">
        <v>7406</v>
      </c>
      <c r="E3729" s="19" t="s">
        <v>7412</v>
      </c>
    </row>
    <row r="3730" spans="1:5" x14ac:dyDescent="0.25">
      <c r="A3730" s="16">
        <v>3759</v>
      </c>
      <c r="B3730" s="19" t="s">
        <v>7183</v>
      </c>
      <c r="C3730" s="19" t="s">
        <v>7366</v>
      </c>
      <c r="D3730" s="19" t="s">
        <v>7406</v>
      </c>
      <c r="E3730" s="19" t="s">
        <v>7413</v>
      </c>
    </row>
    <row r="3731" spans="1:5" ht="36" customHeight="1" x14ac:dyDescent="0.25">
      <c r="A3731" s="16">
        <v>3760</v>
      </c>
      <c r="B3731" s="19" t="s">
        <v>7183</v>
      </c>
      <c r="C3731" s="19" t="s">
        <v>7366</v>
      </c>
      <c r="D3731" s="19" t="s">
        <v>7406</v>
      </c>
      <c r="E3731" s="19" t="s">
        <v>7414</v>
      </c>
    </row>
    <row r="3732" spans="1:5" x14ac:dyDescent="0.25">
      <c r="A3732" s="16">
        <v>3761</v>
      </c>
      <c r="B3732" s="19" t="s">
        <v>7183</v>
      </c>
      <c r="C3732" s="19" t="s">
        <v>7366</v>
      </c>
      <c r="D3732" s="19" t="s">
        <v>7415</v>
      </c>
      <c r="E3732" s="19" t="s">
        <v>4820</v>
      </c>
    </row>
    <row r="3733" spans="1:5" x14ac:dyDescent="0.25">
      <c r="A3733" s="16">
        <v>3762</v>
      </c>
      <c r="B3733" s="19" t="s">
        <v>7183</v>
      </c>
      <c r="C3733" s="19" t="s">
        <v>7366</v>
      </c>
      <c r="D3733" s="19" t="s">
        <v>7415</v>
      </c>
      <c r="E3733" s="19" t="s">
        <v>7416</v>
      </c>
    </row>
    <row r="3734" spans="1:5" x14ac:dyDescent="0.25">
      <c r="A3734" s="16">
        <v>3763</v>
      </c>
      <c r="B3734" s="19" t="s">
        <v>7183</v>
      </c>
      <c r="C3734" s="19" t="s">
        <v>7366</v>
      </c>
      <c r="D3734" s="19" t="s">
        <v>7415</v>
      </c>
      <c r="E3734" s="19" t="s">
        <v>7417</v>
      </c>
    </row>
    <row r="3735" spans="1:5" x14ac:dyDescent="0.25">
      <c r="A3735" s="16">
        <v>3764</v>
      </c>
      <c r="B3735" s="19" t="s">
        <v>7183</v>
      </c>
      <c r="C3735" s="19" t="s">
        <v>7366</v>
      </c>
      <c r="D3735" s="19" t="s">
        <v>7415</v>
      </c>
      <c r="E3735" s="19" t="s">
        <v>7418</v>
      </c>
    </row>
    <row r="3736" spans="1:5" x14ac:dyDescent="0.25">
      <c r="A3736" s="16">
        <v>3765</v>
      </c>
      <c r="B3736" s="19" t="s">
        <v>7183</v>
      </c>
      <c r="C3736" s="19" t="s">
        <v>7366</v>
      </c>
      <c r="D3736" s="19" t="s">
        <v>7415</v>
      </c>
      <c r="E3736" s="19" t="s">
        <v>7419</v>
      </c>
    </row>
    <row r="3737" spans="1:5" x14ac:dyDescent="0.25">
      <c r="A3737" s="16">
        <v>3766</v>
      </c>
      <c r="B3737" s="19" t="s">
        <v>7183</v>
      </c>
      <c r="C3737" s="19" t="s">
        <v>7366</v>
      </c>
      <c r="D3737" s="19" t="s">
        <v>7415</v>
      </c>
      <c r="E3737" s="19" t="s">
        <v>7420</v>
      </c>
    </row>
    <row r="3738" spans="1:5" x14ac:dyDescent="0.25">
      <c r="A3738" s="16">
        <v>3767</v>
      </c>
      <c r="B3738" s="19" t="s">
        <v>7183</v>
      </c>
      <c r="C3738" s="19" t="s">
        <v>7366</v>
      </c>
      <c r="D3738" s="19" t="s">
        <v>7415</v>
      </c>
      <c r="E3738" s="19" t="s">
        <v>7421</v>
      </c>
    </row>
    <row r="3739" spans="1:5" x14ac:dyDescent="0.25">
      <c r="A3739" s="16">
        <v>3768</v>
      </c>
      <c r="B3739" s="19" t="s">
        <v>7183</v>
      </c>
      <c r="C3739" s="19" t="s">
        <v>7366</v>
      </c>
      <c r="D3739" s="19" t="s">
        <v>7415</v>
      </c>
      <c r="E3739" s="19" t="s">
        <v>7422</v>
      </c>
    </row>
    <row r="3740" spans="1:5" ht="24" customHeight="1" x14ac:dyDescent="0.25">
      <c r="A3740" s="16">
        <v>3769</v>
      </c>
      <c r="B3740" s="19" t="s">
        <v>7183</v>
      </c>
      <c r="C3740" s="19" t="s">
        <v>7366</v>
      </c>
      <c r="D3740" s="19" t="s">
        <v>7415</v>
      </c>
      <c r="E3740" s="19" t="s">
        <v>7423</v>
      </c>
    </row>
    <row r="3741" spans="1:5" ht="24" customHeight="1" x14ac:dyDescent="0.25">
      <c r="A3741" s="16">
        <v>3770</v>
      </c>
      <c r="B3741" s="19" t="s">
        <v>7183</v>
      </c>
      <c r="C3741" s="19" t="s">
        <v>7366</v>
      </c>
      <c r="D3741" s="19" t="s">
        <v>7415</v>
      </c>
      <c r="E3741" s="19" t="s">
        <v>7424</v>
      </c>
    </row>
    <row r="3742" spans="1:5" ht="24" customHeight="1" x14ac:dyDescent="0.25">
      <c r="A3742" s="16">
        <v>3771</v>
      </c>
      <c r="B3742" s="19" t="s">
        <v>7183</v>
      </c>
      <c r="C3742" s="19" t="s">
        <v>7366</v>
      </c>
      <c r="D3742" s="19" t="s">
        <v>7415</v>
      </c>
      <c r="E3742" s="19" t="s">
        <v>7425</v>
      </c>
    </row>
    <row r="3743" spans="1:5" ht="24" customHeight="1" x14ac:dyDescent="0.25">
      <c r="A3743" s="16">
        <v>3772</v>
      </c>
      <c r="B3743" s="19" t="s">
        <v>7183</v>
      </c>
      <c r="C3743" s="19" t="s">
        <v>7366</v>
      </c>
      <c r="D3743" s="19" t="s">
        <v>7415</v>
      </c>
      <c r="E3743" s="19" t="s">
        <v>7426</v>
      </c>
    </row>
    <row r="3744" spans="1:5" x14ac:dyDescent="0.25">
      <c r="A3744" s="16">
        <v>3773</v>
      </c>
      <c r="B3744" s="19" t="s">
        <v>7183</v>
      </c>
      <c r="C3744" s="19" t="s">
        <v>7366</v>
      </c>
      <c r="D3744" s="19" t="s">
        <v>7415</v>
      </c>
      <c r="E3744" s="19" t="s">
        <v>7427</v>
      </c>
    </row>
    <row r="3745" spans="1:5" x14ac:dyDescent="0.25">
      <c r="A3745" s="16">
        <v>3774</v>
      </c>
      <c r="B3745" s="19" t="s">
        <v>7183</v>
      </c>
      <c r="C3745" s="19" t="s">
        <v>7366</v>
      </c>
      <c r="D3745" s="19" t="s">
        <v>7415</v>
      </c>
      <c r="E3745" s="19" t="s">
        <v>7428</v>
      </c>
    </row>
    <row r="3746" spans="1:5" x14ac:dyDescent="0.25">
      <c r="A3746" s="16">
        <v>3775</v>
      </c>
      <c r="B3746" s="19" t="s">
        <v>7183</v>
      </c>
      <c r="C3746" s="19" t="s">
        <v>7366</v>
      </c>
      <c r="D3746" s="19" t="s">
        <v>7415</v>
      </c>
      <c r="E3746" s="19" t="s">
        <v>7429</v>
      </c>
    </row>
    <row r="3747" spans="1:5" x14ac:dyDescent="0.25">
      <c r="A3747" s="16">
        <v>3776</v>
      </c>
      <c r="B3747" s="19" t="s">
        <v>7183</v>
      </c>
      <c r="C3747" s="19" t="s">
        <v>7366</v>
      </c>
      <c r="D3747" s="19" t="s">
        <v>7415</v>
      </c>
      <c r="E3747" s="19" t="s">
        <v>7430</v>
      </c>
    </row>
    <row r="3748" spans="1:5" x14ac:dyDescent="0.25">
      <c r="A3748" s="16">
        <v>3777</v>
      </c>
      <c r="B3748" s="19" t="s">
        <v>7183</v>
      </c>
      <c r="C3748" s="19" t="s">
        <v>7366</v>
      </c>
      <c r="D3748" s="19" t="s">
        <v>7415</v>
      </c>
      <c r="E3748" s="19" t="s">
        <v>7431</v>
      </c>
    </row>
    <row r="3749" spans="1:5" x14ac:dyDescent="0.25">
      <c r="A3749" s="16">
        <v>3778</v>
      </c>
      <c r="B3749" s="19" t="s">
        <v>7183</v>
      </c>
      <c r="C3749" s="19" t="s">
        <v>7366</v>
      </c>
      <c r="D3749" s="19" t="s">
        <v>7415</v>
      </c>
      <c r="E3749" s="19" t="s">
        <v>7432</v>
      </c>
    </row>
    <row r="3750" spans="1:5" ht="24" customHeight="1" x14ac:dyDescent="0.25">
      <c r="A3750" s="16">
        <v>3779</v>
      </c>
      <c r="B3750" s="19" t="s">
        <v>7183</v>
      </c>
      <c r="C3750" s="19" t="s">
        <v>7366</v>
      </c>
      <c r="D3750" s="19" t="s">
        <v>7433</v>
      </c>
      <c r="E3750" s="19" t="s">
        <v>7434</v>
      </c>
    </row>
    <row r="3751" spans="1:5" ht="24" customHeight="1" x14ac:dyDescent="0.25">
      <c r="A3751" s="16">
        <v>3780</v>
      </c>
      <c r="B3751" s="19" t="s">
        <v>7183</v>
      </c>
      <c r="C3751" s="19" t="s">
        <v>7366</v>
      </c>
      <c r="D3751" s="19" t="s">
        <v>7433</v>
      </c>
      <c r="E3751" s="19" t="s">
        <v>7435</v>
      </c>
    </row>
    <row r="3752" spans="1:5" x14ac:dyDescent="0.25">
      <c r="A3752" s="16">
        <v>3781</v>
      </c>
      <c r="B3752" s="19" t="s">
        <v>7183</v>
      </c>
      <c r="C3752" s="19" t="s">
        <v>7366</v>
      </c>
      <c r="D3752" s="19" t="s">
        <v>7433</v>
      </c>
      <c r="E3752" s="19" t="s">
        <v>7436</v>
      </c>
    </row>
    <row r="3753" spans="1:5" ht="24" customHeight="1" x14ac:dyDescent="0.25">
      <c r="A3753" s="16">
        <v>3782</v>
      </c>
      <c r="B3753" s="19" t="s">
        <v>7183</v>
      </c>
      <c r="C3753" s="19" t="s">
        <v>7366</v>
      </c>
      <c r="D3753" s="19" t="s">
        <v>7433</v>
      </c>
      <c r="E3753" s="19" t="s">
        <v>7437</v>
      </c>
    </row>
    <row r="3754" spans="1:5" x14ac:dyDescent="0.25">
      <c r="A3754" s="16">
        <v>3783</v>
      </c>
      <c r="B3754" s="19" t="s">
        <v>7183</v>
      </c>
      <c r="C3754" s="19" t="s">
        <v>7366</v>
      </c>
      <c r="D3754" s="19" t="s">
        <v>7433</v>
      </c>
      <c r="E3754" s="19" t="s">
        <v>7438</v>
      </c>
    </row>
    <row r="3755" spans="1:5" ht="24" customHeight="1" x14ac:dyDescent="0.25">
      <c r="A3755" s="16">
        <v>3784</v>
      </c>
      <c r="B3755" s="19" t="s">
        <v>7183</v>
      </c>
      <c r="C3755" s="19" t="s">
        <v>7366</v>
      </c>
      <c r="D3755" s="19" t="s">
        <v>7433</v>
      </c>
      <c r="E3755" s="19" t="s">
        <v>7439</v>
      </c>
    </row>
    <row r="3756" spans="1:5" ht="24" customHeight="1" x14ac:dyDescent="0.25">
      <c r="A3756" s="16">
        <v>3785</v>
      </c>
      <c r="B3756" s="19" t="s">
        <v>7183</v>
      </c>
      <c r="C3756" s="19" t="s">
        <v>7366</v>
      </c>
      <c r="D3756" s="19" t="s">
        <v>7433</v>
      </c>
      <c r="E3756" s="19" t="s">
        <v>7440</v>
      </c>
    </row>
    <row r="3757" spans="1:5" x14ac:dyDescent="0.25">
      <c r="A3757" s="16">
        <v>3786</v>
      </c>
      <c r="B3757" s="19" t="s">
        <v>7183</v>
      </c>
      <c r="C3757" s="19" t="s">
        <v>7366</v>
      </c>
      <c r="D3757" s="19" t="s">
        <v>7433</v>
      </c>
      <c r="E3757" s="19" t="s">
        <v>7441</v>
      </c>
    </row>
    <row r="3758" spans="1:5" x14ac:dyDescent="0.25">
      <c r="A3758" s="16">
        <v>3787</v>
      </c>
      <c r="B3758" s="19" t="s">
        <v>7183</v>
      </c>
      <c r="C3758" s="19" t="s">
        <v>7366</v>
      </c>
      <c r="D3758" s="19" t="s">
        <v>7442</v>
      </c>
      <c r="E3758" s="19" t="s">
        <v>7443</v>
      </c>
    </row>
    <row r="3759" spans="1:5" x14ac:dyDescent="0.25">
      <c r="A3759" s="16">
        <v>3788</v>
      </c>
      <c r="B3759" s="19" t="s">
        <v>7183</v>
      </c>
      <c r="C3759" s="19" t="s">
        <v>7366</v>
      </c>
      <c r="D3759" s="19" t="s">
        <v>7442</v>
      </c>
      <c r="E3759" s="19" t="s">
        <v>7444</v>
      </c>
    </row>
    <row r="3760" spans="1:5" x14ac:dyDescent="0.25">
      <c r="A3760" s="16">
        <v>3789</v>
      </c>
      <c r="B3760" s="19" t="s">
        <v>7183</v>
      </c>
      <c r="C3760" s="19" t="s">
        <v>7366</v>
      </c>
      <c r="D3760" s="19" t="s">
        <v>7442</v>
      </c>
      <c r="E3760" s="19" t="s">
        <v>7445</v>
      </c>
    </row>
    <row r="3761" spans="1:5" x14ac:dyDescent="0.25">
      <c r="A3761" s="16">
        <v>3790</v>
      </c>
      <c r="B3761" s="19" t="s">
        <v>7183</v>
      </c>
      <c r="C3761" s="19" t="s">
        <v>7366</v>
      </c>
      <c r="D3761" s="19" t="s">
        <v>7442</v>
      </c>
      <c r="E3761" s="19" t="s">
        <v>7446</v>
      </c>
    </row>
    <row r="3762" spans="1:5" ht="24" customHeight="1" x14ac:dyDescent="0.25">
      <c r="A3762" s="16">
        <v>3791</v>
      </c>
      <c r="B3762" s="19" t="s">
        <v>7183</v>
      </c>
      <c r="C3762" s="19" t="s">
        <v>7366</v>
      </c>
      <c r="D3762" s="19" t="s">
        <v>7442</v>
      </c>
      <c r="E3762" s="19" t="s">
        <v>7447</v>
      </c>
    </row>
    <row r="3763" spans="1:5" x14ac:dyDescent="0.25">
      <c r="A3763" s="16">
        <v>3792</v>
      </c>
      <c r="B3763" s="19" t="s">
        <v>7183</v>
      </c>
      <c r="C3763" s="19" t="s">
        <v>7366</v>
      </c>
      <c r="D3763" s="19" t="s">
        <v>7442</v>
      </c>
      <c r="E3763" s="19" t="s">
        <v>7448</v>
      </c>
    </row>
    <row r="3764" spans="1:5" ht="24" customHeight="1" x14ac:dyDescent="0.25">
      <c r="A3764" s="16">
        <v>3793</v>
      </c>
      <c r="B3764" s="19" t="s">
        <v>7183</v>
      </c>
      <c r="C3764" s="19" t="s">
        <v>7366</v>
      </c>
      <c r="D3764" s="19" t="s">
        <v>7442</v>
      </c>
      <c r="E3764" s="19" t="s">
        <v>7449</v>
      </c>
    </row>
    <row r="3765" spans="1:5" ht="36" customHeight="1" x14ac:dyDescent="0.25">
      <c r="A3765" s="16">
        <v>3794</v>
      </c>
      <c r="B3765" s="19" t="s">
        <v>7183</v>
      </c>
      <c r="C3765" s="19" t="s">
        <v>7366</v>
      </c>
      <c r="D3765" s="19" t="s">
        <v>7442</v>
      </c>
      <c r="E3765" s="19" t="s">
        <v>7450</v>
      </c>
    </row>
    <row r="3766" spans="1:5" x14ac:dyDescent="0.25">
      <c r="A3766" s="16">
        <v>3795</v>
      </c>
      <c r="B3766" s="19" t="s">
        <v>7183</v>
      </c>
      <c r="C3766" s="19" t="s">
        <v>7366</v>
      </c>
      <c r="D3766" s="19" t="s">
        <v>7442</v>
      </c>
      <c r="E3766" s="19" t="s">
        <v>7451</v>
      </c>
    </row>
    <row r="3767" spans="1:5" x14ac:dyDescent="0.25">
      <c r="A3767" s="16">
        <v>3796</v>
      </c>
      <c r="B3767" s="19" t="s">
        <v>7183</v>
      </c>
      <c r="C3767" s="19" t="s">
        <v>7366</v>
      </c>
      <c r="D3767" s="19" t="s">
        <v>7442</v>
      </c>
      <c r="E3767" s="19" t="s">
        <v>7452</v>
      </c>
    </row>
    <row r="3768" spans="1:5" ht="24" customHeight="1" x14ac:dyDescent="0.25">
      <c r="A3768" s="16">
        <v>3797</v>
      </c>
      <c r="B3768" s="19" t="s">
        <v>7183</v>
      </c>
      <c r="C3768" s="19" t="s">
        <v>7366</v>
      </c>
      <c r="D3768" s="19" t="s">
        <v>7442</v>
      </c>
      <c r="E3768" s="19" t="s">
        <v>7453</v>
      </c>
    </row>
    <row r="3769" spans="1:5" x14ac:dyDescent="0.25">
      <c r="A3769" s="16">
        <v>3798</v>
      </c>
      <c r="B3769" s="19" t="s">
        <v>7183</v>
      </c>
      <c r="C3769" s="19" t="s">
        <v>7366</v>
      </c>
      <c r="D3769" s="19" t="s">
        <v>7442</v>
      </c>
      <c r="E3769" s="19" t="s">
        <v>7454</v>
      </c>
    </row>
    <row r="3770" spans="1:5" ht="24" customHeight="1" x14ac:dyDescent="0.25">
      <c r="A3770" s="16">
        <v>3799</v>
      </c>
      <c r="B3770" s="19" t="s">
        <v>7183</v>
      </c>
      <c r="C3770" s="19" t="s">
        <v>7455</v>
      </c>
      <c r="D3770" s="19" t="s">
        <v>7456</v>
      </c>
      <c r="E3770" s="19" t="s">
        <v>7457</v>
      </c>
    </row>
    <row r="3771" spans="1:5" ht="24" customHeight="1" x14ac:dyDescent="0.25">
      <c r="A3771" s="16">
        <v>3800</v>
      </c>
      <c r="B3771" s="19" t="s">
        <v>7183</v>
      </c>
      <c r="C3771" s="19" t="s">
        <v>7455</v>
      </c>
      <c r="D3771" s="19" t="s">
        <v>7456</v>
      </c>
      <c r="E3771" s="19" t="s">
        <v>7458</v>
      </c>
    </row>
    <row r="3772" spans="1:5" ht="24" customHeight="1" x14ac:dyDescent="0.25">
      <c r="A3772" s="16">
        <v>3801</v>
      </c>
      <c r="B3772" s="19" t="s">
        <v>7183</v>
      </c>
      <c r="C3772" s="19" t="s">
        <v>7455</v>
      </c>
      <c r="D3772" s="19" t="s">
        <v>7456</v>
      </c>
      <c r="E3772" s="19" t="s">
        <v>7459</v>
      </c>
    </row>
    <row r="3773" spans="1:5" ht="24" customHeight="1" x14ac:dyDescent="0.25">
      <c r="A3773" s="16">
        <v>3802</v>
      </c>
      <c r="B3773" s="19" t="s">
        <v>7183</v>
      </c>
      <c r="C3773" s="19" t="s">
        <v>7455</v>
      </c>
      <c r="D3773" s="19" t="s">
        <v>7456</v>
      </c>
      <c r="E3773" s="19" t="s">
        <v>7460</v>
      </c>
    </row>
    <row r="3774" spans="1:5" ht="24" customHeight="1" x14ac:dyDescent="0.25">
      <c r="A3774" s="16">
        <v>3803</v>
      </c>
      <c r="B3774" s="19" t="s">
        <v>7183</v>
      </c>
      <c r="C3774" s="19" t="s">
        <v>7455</v>
      </c>
      <c r="D3774" s="19" t="s">
        <v>7456</v>
      </c>
      <c r="E3774" s="19" t="s">
        <v>7461</v>
      </c>
    </row>
    <row r="3775" spans="1:5" ht="24" customHeight="1" x14ac:dyDescent="0.25">
      <c r="A3775" s="16">
        <v>3804</v>
      </c>
      <c r="B3775" s="19" t="s">
        <v>7183</v>
      </c>
      <c r="C3775" s="19" t="s">
        <v>7455</v>
      </c>
      <c r="D3775" s="19" t="s">
        <v>7456</v>
      </c>
      <c r="E3775" s="19" t="s">
        <v>7462</v>
      </c>
    </row>
    <row r="3776" spans="1:5" ht="24" customHeight="1" x14ac:dyDescent="0.25">
      <c r="A3776" s="16">
        <v>3805</v>
      </c>
      <c r="B3776" s="19" t="s">
        <v>7183</v>
      </c>
      <c r="C3776" s="19" t="s">
        <v>7455</v>
      </c>
      <c r="D3776" s="19" t="s">
        <v>7456</v>
      </c>
      <c r="E3776" s="19" t="s">
        <v>7463</v>
      </c>
    </row>
    <row r="3777" spans="1:5" ht="24" customHeight="1" x14ac:dyDescent="0.25">
      <c r="A3777" s="16">
        <v>3806</v>
      </c>
      <c r="B3777" s="19" t="s">
        <v>7183</v>
      </c>
      <c r="C3777" s="19" t="s">
        <v>7455</v>
      </c>
      <c r="D3777" s="19" t="s">
        <v>7456</v>
      </c>
      <c r="E3777" s="19" t="s">
        <v>7464</v>
      </c>
    </row>
    <row r="3778" spans="1:5" ht="24" customHeight="1" x14ac:dyDescent="0.25">
      <c r="A3778" s="16">
        <v>3807</v>
      </c>
      <c r="B3778" s="19" t="s">
        <v>7183</v>
      </c>
      <c r="C3778" s="19" t="s">
        <v>7455</v>
      </c>
      <c r="D3778" s="19" t="s">
        <v>7456</v>
      </c>
      <c r="E3778" s="19" t="s">
        <v>7465</v>
      </c>
    </row>
    <row r="3779" spans="1:5" ht="24" customHeight="1" x14ac:dyDescent="0.25">
      <c r="A3779" s="16">
        <v>3808</v>
      </c>
      <c r="B3779" s="19" t="s">
        <v>7183</v>
      </c>
      <c r="C3779" s="19" t="s">
        <v>7455</v>
      </c>
      <c r="D3779" s="19" t="s">
        <v>7456</v>
      </c>
      <c r="E3779" s="19" t="s">
        <v>7466</v>
      </c>
    </row>
    <row r="3780" spans="1:5" ht="24" customHeight="1" x14ac:dyDescent="0.25">
      <c r="A3780" s="16">
        <v>3809</v>
      </c>
      <c r="B3780" s="19" t="s">
        <v>7183</v>
      </c>
      <c r="C3780" s="19" t="s">
        <v>7455</v>
      </c>
      <c r="D3780" s="19" t="s">
        <v>7456</v>
      </c>
      <c r="E3780" s="19" t="s">
        <v>7467</v>
      </c>
    </row>
    <row r="3781" spans="1:5" ht="24" customHeight="1" x14ac:dyDescent="0.25">
      <c r="A3781" s="16">
        <v>3810</v>
      </c>
      <c r="B3781" s="19" t="s">
        <v>7183</v>
      </c>
      <c r="C3781" s="19" t="s">
        <v>7455</v>
      </c>
      <c r="D3781" s="19" t="s">
        <v>7456</v>
      </c>
      <c r="E3781" s="19" t="s">
        <v>7468</v>
      </c>
    </row>
    <row r="3782" spans="1:5" ht="24" customHeight="1" x14ac:dyDescent="0.25">
      <c r="A3782" s="16">
        <v>3811</v>
      </c>
      <c r="B3782" s="19" t="s">
        <v>7183</v>
      </c>
      <c r="C3782" s="19" t="s">
        <v>7455</v>
      </c>
      <c r="D3782" s="19" t="s">
        <v>7469</v>
      </c>
      <c r="E3782" s="19" t="s">
        <v>4820</v>
      </c>
    </row>
    <row r="3783" spans="1:5" ht="24" customHeight="1" x14ac:dyDescent="0.25">
      <c r="A3783" s="16">
        <v>3812</v>
      </c>
      <c r="B3783" s="19" t="s">
        <v>7183</v>
      </c>
      <c r="C3783" s="19" t="s">
        <v>7455</v>
      </c>
      <c r="D3783" s="19" t="s">
        <v>7469</v>
      </c>
      <c r="E3783" s="19" t="s">
        <v>7470</v>
      </c>
    </row>
    <row r="3784" spans="1:5" ht="24" customHeight="1" x14ac:dyDescent="0.25">
      <c r="A3784" s="16">
        <v>3813</v>
      </c>
      <c r="B3784" s="19" t="s">
        <v>7183</v>
      </c>
      <c r="C3784" s="19" t="s">
        <v>7455</v>
      </c>
      <c r="D3784" s="19" t="s">
        <v>7469</v>
      </c>
      <c r="E3784" s="19" t="s">
        <v>7471</v>
      </c>
    </row>
    <row r="3785" spans="1:5" ht="24" customHeight="1" x14ac:dyDescent="0.25">
      <c r="A3785" s="16">
        <v>3814</v>
      </c>
      <c r="B3785" s="19" t="s">
        <v>7183</v>
      </c>
      <c r="C3785" s="19" t="s">
        <v>7455</v>
      </c>
      <c r="D3785" s="19" t="s">
        <v>7469</v>
      </c>
      <c r="E3785" s="19" t="s">
        <v>7472</v>
      </c>
    </row>
    <row r="3786" spans="1:5" ht="24" customHeight="1" x14ac:dyDescent="0.25">
      <c r="A3786" s="16">
        <v>3815</v>
      </c>
      <c r="B3786" s="19" t="s">
        <v>7183</v>
      </c>
      <c r="C3786" s="19" t="s">
        <v>7455</v>
      </c>
      <c r="D3786" s="19" t="s">
        <v>7469</v>
      </c>
      <c r="E3786" s="19" t="s">
        <v>7473</v>
      </c>
    </row>
    <row r="3787" spans="1:5" ht="24" customHeight="1" x14ac:dyDescent="0.25">
      <c r="A3787" s="16">
        <v>3816</v>
      </c>
      <c r="B3787" s="19" t="s">
        <v>7183</v>
      </c>
      <c r="C3787" s="19" t="s">
        <v>7455</v>
      </c>
      <c r="D3787" s="19" t="s">
        <v>7469</v>
      </c>
      <c r="E3787" s="19" t="s">
        <v>7474</v>
      </c>
    </row>
    <row r="3788" spans="1:5" ht="24" customHeight="1" x14ac:dyDescent="0.25">
      <c r="A3788" s="16">
        <v>3817</v>
      </c>
      <c r="B3788" s="19" t="s">
        <v>7183</v>
      </c>
      <c r="C3788" s="19" t="s">
        <v>7455</v>
      </c>
      <c r="D3788" s="19" t="s">
        <v>7469</v>
      </c>
      <c r="E3788" s="19" t="s">
        <v>7475</v>
      </c>
    </row>
    <row r="3789" spans="1:5" ht="24" customHeight="1" x14ac:dyDescent="0.25">
      <c r="A3789" s="16">
        <v>3818</v>
      </c>
      <c r="B3789" s="19" t="s">
        <v>7183</v>
      </c>
      <c r="C3789" s="19" t="s">
        <v>7455</v>
      </c>
      <c r="D3789" s="19" t="s">
        <v>7469</v>
      </c>
      <c r="E3789" s="19" t="s">
        <v>7476</v>
      </c>
    </row>
    <row r="3790" spans="1:5" ht="24" customHeight="1" x14ac:dyDescent="0.25">
      <c r="A3790" s="16">
        <v>3819</v>
      </c>
      <c r="B3790" s="19" t="s">
        <v>7183</v>
      </c>
      <c r="C3790" s="19" t="s">
        <v>7455</v>
      </c>
      <c r="D3790" s="19" t="s">
        <v>7469</v>
      </c>
      <c r="E3790" s="19" t="s">
        <v>7477</v>
      </c>
    </row>
    <row r="3791" spans="1:5" ht="24" customHeight="1" x14ac:dyDescent="0.25">
      <c r="A3791" s="16">
        <v>3820</v>
      </c>
      <c r="B3791" s="19" t="s">
        <v>7183</v>
      </c>
      <c r="C3791" s="19" t="s">
        <v>7455</v>
      </c>
      <c r="D3791" s="19" t="s">
        <v>7469</v>
      </c>
      <c r="E3791" s="19" t="s">
        <v>7478</v>
      </c>
    </row>
    <row r="3792" spans="1:5" ht="24" customHeight="1" x14ac:dyDescent="0.25">
      <c r="A3792" s="16">
        <v>3821</v>
      </c>
      <c r="B3792" s="19" t="s">
        <v>7183</v>
      </c>
      <c r="C3792" s="19" t="s">
        <v>7455</v>
      </c>
      <c r="D3792" s="19" t="s">
        <v>7469</v>
      </c>
      <c r="E3792" s="19" t="s">
        <v>7479</v>
      </c>
    </row>
    <row r="3793" spans="1:5" ht="24" customHeight="1" x14ac:dyDescent="0.25">
      <c r="A3793" s="16">
        <v>3822</v>
      </c>
      <c r="B3793" s="19" t="s">
        <v>7183</v>
      </c>
      <c r="C3793" s="19" t="s">
        <v>7455</v>
      </c>
      <c r="D3793" s="19" t="s">
        <v>7469</v>
      </c>
      <c r="E3793" s="19" t="s">
        <v>7480</v>
      </c>
    </row>
    <row r="3794" spans="1:5" ht="24" customHeight="1" x14ac:dyDescent="0.25">
      <c r="A3794" s="16">
        <v>3823</v>
      </c>
      <c r="B3794" s="19" t="s">
        <v>7183</v>
      </c>
      <c r="C3794" s="19" t="s">
        <v>7455</v>
      </c>
      <c r="D3794" s="19" t="s">
        <v>7469</v>
      </c>
      <c r="E3794" s="19" t="s">
        <v>7481</v>
      </c>
    </row>
    <row r="3795" spans="1:5" ht="24" customHeight="1" x14ac:dyDescent="0.25">
      <c r="A3795" s="16">
        <v>3824</v>
      </c>
      <c r="B3795" s="19" t="s">
        <v>7183</v>
      </c>
      <c r="C3795" s="19" t="s">
        <v>7455</v>
      </c>
      <c r="D3795" s="19" t="s">
        <v>7469</v>
      </c>
      <c r="E3795" s="19" t="s">
        <v>7482</v>
      </c>
    </row>
    <row r="3796" spans="1:5" ht="36" customHeight="1" x14ac:dyDescent="0.25">
      <c r="A3796" s="16">
        <v>3825</v>
      </c>
      <c r="B3796" s="19" t="s">
        <v>7183</v>
      </c>
      <c r="C3796" s="19" t="s">
        <v>7455</v>
      </c>
      <c r="D3796" s="19" t="s">
        <v>7469</v>
      </c>
      <c r="E3796" s="19" t="s">
        <v>7483</v>
      </c>
    </row>
    <row r="3797" spans="1:5" ht="24" customHeight="1" x14ac:dyDescent="0.25">
      <c r="A3797" s="16">
        <v>3826</v>
      </c>
      <c r="B3797" s="19" t="s">
        <v>7183</v>
      </c>
      <c r="C3797" s="19" t="s">
        <v>7455</v>
      </c>
      <c r="D3797" s="19" t="s">
        <v>7469</v>
      </c>
      <c r="E3797" s="19" t="s">
        <v>7484</v>
      </c>
    </row>
    <row r="3798" spans="1:5" ht="24" customHeight="1" x14ac:dyDescent="0.25">
      <c r="A3798" s="16">
        <v>3827</v>
      </c>
      <c r="B3798" s="19" t="s">
        <v>7183</v>
      </c>
      <c r="C3798" s="19" t="s">
        <v>7455</v>
      </c>
      <c r="D3798" s="19" t="s">
        <v>7469</v>
      </c>
      <c r="E3798" s="19" t="s">
        <v>7485</v>
      </c>
    </row>
    <row r="3799" spans="1:5" ht="36" customHeight="1" x14ac:dyDescent="0.25">
      <c r="A3799" s="16">
        <v>3828</v>
      </c>
      <c r="B3799" s="19" t="s">
        <v>7183</v>
      </c>
      <c r="C3799" s="19" t="s">
        <v>7455</v>
      </c>
      <c r="D3799" s="19" t="s">
        <v>7469</v>
      </c>
      <c r="E3799" s="19" t="s">
        <v>7486</v>
      </c>
    </row>
    <row r="3800" spans="1:5" ht="36" customHeight="1" x14ac:dyDescent="0.25">
      <c r="A3800" s="16">
        <v>3829</v>
      </c>
      <c r="B3800" s="19" t="s">
        <v>7183</v>
      </c>
      <c r="C3800" s="19" t="s">
        <v>7455</v>
      </c>
      <c r="D3800" s="19" t="s">
        <v>7469</v>
      </c>
      <c r="E3800" s="19" t="s">
        <v>7487</v>
      </c>
    </row>
    <row r="3801" spans="1:5" ht="24" customHeight="1" x14ac:dyDescent="0.25">
      <c r="A3801" s="16">
        <v>3830</v>
      </c>
      <c r="B3801" s="19" t="s">
        <v>7183</v>
      </c>
      <c r="C3801" s="19" t="s">
        <v>7455</v>
      </c>
      <c r="D3801" s="19" t="s">
        <v>7469</v>
      </c>
      <c r="E3801" s="19" t="s">
        <v>7488</v>
      </c>
    </row>
    <row r="3802" spans="1:5" ht="24" customHeight="1" x14ac:dyDescent="0.25">
      <c r="A3802" s="16">
        <v>3831</v>
      </c>
      <c r="B3802" s="19" t="s">
        <v>7183</v>
      </c>
      <c r="C3802" s="19" t="s">
        <v>7455</v>
      </c>
      <c r="D3802" s="19" t="s">
        <v>7469</v>
      </c>
      <c r="E3802" s="19" t="s">
        <v>7489</v>
      </c>
    </row>
    <row r="3803" spans="1:5" ht="36" customHeight="1" x14ac:dyDescent="0.25">
      <c r="A3803" s="16">
        <v>3832</v>
      </c>
      <c r="B3803" s="19" t="s">
        <v>7183</v>
      </c>
      <c r="C3803" s="19" t="s">
        <v>7455</v>
      </c>
      <c r="D3803" s="19" t="s">
        <v>7469</v>
      </c>
      <c r="E3803" s="19" t="s">
        <v>7490</v>
      </c>
    </row>
    <row r="3804" spans="1:5" ht="24" customHeight="1" x14ac:dyDescent="0.25">
      <c r="A3804" s="16">
        <v>3833</v>
      </c>
      <c r="B3804" s="19" t="s">
        <v>7183</v>
      </c>
      <c r="C3804" s="19" t="s">
        <v>7455</v>
      </c>
      <c r="D3804" s="19" t="s">
        <v>7469</v>
      </c>
      <c r="E3804" s="19" t="s">
        <v>7491</v>
      </c>
    </row>
    <row r="3805" spans="1:5" ht="24" customHeight="1" x14ac:dyDescent="0.25">
      <c r="A3805" s="16">
        <v>3834</v>
      </c>
      <c r="B3805" s="19" t="s">
        <v>7183</v>
      </c>
      <c r="C3805" s="19" t="s">
        <v>7455</v>
      </c>
      <c r="D3805" s="19" t="s">
        <v>7469</v>
      </c>
      <c r="E3805" s="19" t="s">
        <v>7492</v>
      </c>
    </row>
    <row r="3806" spans="1:5" ht="24" customHeight="1" x14ac:dyDescent="0.25">
      <c r="A3806" s="16">
        <v>3835</v>
      </c>
      <c r="B3806" s="19" t="s">
        <v>7183</v>
      </c>
      <c r="C3806" s="19" t="s">
        <v>7455</v>
      </c>
      <c r="D3806" s="19" t="s">
        <v>7469</v>
      </c>
      <c r="E3806" s="19" t="s">
        <v>7493</v>
      </c>
    </row>
    <row r="3807" spans="1:5" ht="24" customHeight="1" x14ac:dyDescent="0.25">
      <c r="A3807" s="16">
        <v>3836</v>
      </c>
      <c r="B3807" s="19" t="s">
        <v>7183</v>
      </c>
      <c r="C3807" s="19" t="s">
        <v>7455</v>
      </c>
      <c r="D3807" s="19" t="s">
        <v>7469</v>
      </c>
      <c r="E3807" s="19" t="s">
        <v>7494</v>
      </c>
    </row>
    <row r="3808" spans="1:5" ht="24" customHeight="1" x14ac:dyDescent="0.25">
      <c r="A3808" s="16">
        <v>3837</v>
      </c>
      <c r="B3808" s="19" t="s">
        <v>7183</v>
      </c>
      <c r="C3808" s="19" t="s">
        <v>7455</v>
      </c>
      <c r="D3808" s="19" t="s">
        <v>7455</v>
      </c>
      <c r="E3808" s="19" t="s">
        <v>7495</v>
      </c>
    </row>
    <row r="3809" spans="1:5" ht="24" customHeight="1" x14ac:dyDescent="0.25">
      <c r="A3809" s="16">
        <v>3838</v>
      </c>
      <c r="B3809" s="19" t="s">
        <v>7183</v>
      </c>
      <c r="C3809" s="19" t="s">
        <v>7455</v>
      </c>
      <c r="D3809" s="19" t="s">
        <v>7455</v>
      </c>
      <c r="E3809" s="19" t="s">
        <v>7496</v>
      </c>
    </row>
    <row r="3810" spans="1:5" ht="24" customHeight="1" x14ac:dyDescent="0.25">
      <c r="A3810" s="16">
        <v>3839</v>
      </c>
      <c r="B3810" s="19" t="s">
        <v>7183</v>
      </c>
      <c r="C3810" s="19" t="s">
        <v>7455</v>
      </c>
      <c r="D3810" s="19" t="s">
        <v>7455</v>
      </c>
      <c r="E3810" s="19" t="s">
        <v>7497</v>
      </c>
    </row>
    <row r="3811" spans="1:5" ht="24" customHeight="1" x14ac:dyDescent="0.25">
      <c r="A3811" s="16">
        <v>3840</v>
      </c>
      <c r="B3811" s="19" t="s">
        <v>7183</v>
      </c>
      <c r="C3811" s="19" t="s">
        <v>7455</v>
      </c>
      <c r="D3811" s="19" t="s">
        <v>7455</v>
      </c>
      <c r="E3811" s="19" t="s">
        <v>6429</v>
      </c>
    </row>
    <row r="3812" spans="1:5" ht="24" customHeight="1" x14ac:dyDescent="0.25">
      <c r="A3812" s="16">
        <v>3841</v>
      </c>
      <c r="B3812" s="19" t="s">
        <v>7183</v>
      </c>
      <c r="C3812" s="19" t="s">
        <v>7455</v>
      </c>
      <c r="D3812" s="19" t="s">
        <v>7455</v>
      </c>
      <c r="E3812" s="19" t="s">
        <v>6500</v>
      </c>
    </row>
    <row r="3813" spans="1:5" ht="24" customHeight="1" x14ac:dyDescent="0.25">
      <c r="A3813" s="16">
        <v>3842</v>
      </c>
      <c r="B3813" s="19" t="s">
        <v>7183</v>
      </c>
      <c r="C3813" s="19" t="s">
        <v>7455</v>
      </c>
      <c r="D3813" s="19" t="s">
        <v>7455</v>
      </c>
      <c r="E3813" s="19" t="s">
        <v>7498</v>
      </c>
    </row>
    <row r="3814" spans="1:5" ht="24" customHeight="1" x14ac:dyDescent="0.25">
      <c r="A3814" s="16">
        <v>3843</v>
      </c>
      <c r="B3814" s="19" t="s">
        <v>7183</v>
      </c>
      <c r="C3814" s="19" t="s">
        <v>7455</v>
      </c>
      <c r="D3814" s="19" t="s">
        <v>7455</v>
      </c>
      <c r="E3814" s="19" t="s">
        <v>7499</v>
      </c>
    </row>
    <row r="3815" spans="1:5" ht="24" customHeight="1" x14ac:dyDescent="0.25">
      <c r="A3815" s="16">
        <v>3844</v>
      </c>
      <c r="B3815" s="19" t="s">
        <v>7183</v>
      </c>
      <c r="C3815" s="19" t="s">
        <v>7455</v>
      </c>
      <c r="D3815" s="19" t="s">
        <v>7455</v>
      </c>
      <c r="E3815" s="19" t="s">
        <v>7500</v>
      </c>
    </row>
    <row r="3816" spans="1:5" ht="24" customHeight="1" x14ac:dyDescent="0.25">
      <c r="A3816" s="16">
        <v>3845</v>
      </c>
      <c r="B3816" s="19" t="s">
        <v>7183</v>
      </c>
      <c r="C3816" s="19" t="s">
        <v>7455</v>
      </c>
      <c r="D3816" s="19" t="s">
        <v>7501</v>
      </c>
      <c r="E3816" s="19" t="s">
        <v>7502</v>
      </c>
    </row>
    <row r="3817" spans="1:5" ht="24" customHeight="1" x14ac:dyDescent="0.25">
      <c r="A3817" s="16">
        <v>3846</v>
      </c>
      <c r="B3817" s="19" t="s">
        <v>7183</v>
      </c>
      <c r="C3817" s="19" t="s">
        <v>7455</v>
      </c>
      <c r="D3817" s="19" t="s">
        <v>7501</v>
      </c>
      <c r="E3817" s="19" t="s">
        <v>7503</v>
      </c>
    </row>
    <row r="3818" spans="1:5" ht="24" customHeight="1" x14ac:dyDescent="0.25">
      <c r="A3818" s="16">
        <v>3847</v>
      </c>
      <c r="B3818" s="19" t="s">
        <v>7183</v>
      </c>
      <c r="C3818" s="19" t="s">
        <v>7455</v>
      </c>
      <c r="D3818" s="19" t="s">
        <v>7501</v>
      </c>
      <c r="E3818" s="19" t="s">
        <v>7504</v>
      </c>
    </row>
    <row r="3819" spans="1:5" ht="24" customHeight="1" x14ac:dyDescent="0.25">
      <c r="A3819" s="16">
        <v>3848</v>
      </c>
      <c r="B3819" s="19" t="s">
        <v>7183</v>
      </c>
      <c r="C3819" s="19" t="s">
        <v>7455</v>
      </c>
      <c r="D3819" s="19" t="s">
        <v>7501</v>
      </c>
      <c r="E3819" s="19" t="s">
        <v>7505</v>
      </c>
    </row>
    <row r="3820" spans="1:5" ht="24" customHeight="1" x14ac:dyDescent="0.25">
      <c r="A3820" s="16">
        <v>3849</v>
      </c>
      <c r="B3820" s="19" t="s">
        <v>7183</v>
      </c>
      <c r="C3820" s="19" t="s">
        <v>7455</v>
      </c>
      <c r="D3820" s="19" t="s">
        <v>7501</v>
      </c>
      <c r="E3820" s="19" t="s">
        <v>7506</v>
      </c>
    </row>
    <row r="3821" spans="1:5" ht="24" customHeight="1" x14ac:dyDescent="0.25">
      <c r="A3821" s="16">
        <v>3850</v>
      </c>
      <c r="B3821" s="19" t="s">
        <v>7183</v>
      </c>
      <c r="C3821" s="19" t="s">
        <v>7455</v>
      </c>
      <c r="D3821" s="19" t="s">
        <v>7501</v>
      </c>
      <c r="E3821" s="19" t="s">
        <v>7507</v>
      </c>
    </row>
    <row r="3822" spans="1:5" ht="24" customHeight="1" x14ac:dyDescent="0.25">
      <c r="A3822" s="16">
        <v>3851</v>
      </c>
      <c r="B3822" s="19" t="s">
        <v>7183</v>
      </c>
      <c r="C3822" s="19" t="s">
        <v>7455</v>
      </c>
      <c r="D3822" s="19" t="s">
        <v>7501</v>
      </c>
      <c r="E3822" s="19" t="s">
        <v>7508</v>
      </c>
    </row>
    <row r="3823" spans="1:5" ht="24" customHeight="1" x14ac:dyDescent="0.25">
      <c r="A3823" s="16">
        <v>3852</v>
      </c>
      <c r="B3823" s="19" t="s">
        <v>7183</v>
      </c>
      <c r="C3823" s="19" t="s">
        <v>7455</v>
      </c>
      <c r="D3823" s="19" t="s">
        <v>7509</v>
      </c>
      <c r="E3823" s="19" t="s">
        <v>5757</v>
      </c>
    </row>
    <row r="3824" spans="1:5" ht="24" customHeight="1" x14ac:dyDescent="0.25">
      <c r="A3824" s="16">
        <v>3853</v>
      </c>
      <c r="B3824" s="19" t="s">
        <v>7183</v>
      </c>
      <c r="C3824" s="19" t="s">
        <v>7455</v>
      </c>
      <c r="D3824" s="19" t="s">
        <v>7509</v>
      </c>
      <c r="E3824" s="19" t="s">
        <v>7510</v>
      </c>
    </row>
    <row r="3825" spans="1:5" ht="24" customHeight="1" x14ac:dyDescent="0.25">
      <c r="A3825" s="16">
        <v>3854</v>
      </c>
      <c r="B3825" s="19" t="s">
        <v>7183</v>
      </c>
      <c r="C3825" s="19" t="s">
        <v>7455</v>
      </c>
      <c r="D3825" s="19" t="s">
        <v>7509</v>
      </c>
      <c r="E3825" s="19" t="s">
        <v>7511</v>
      </c>
    </row>
    <row r="3826" spans="1:5" ht="24" customHeight="1" x14ac:dyDescent="0.25">
      <c r="A3826" s="16">
        <v>3855</v>
      </c>
      <c r="B3826" s="19" t="s">
        <v>7183</v>
      </c>
      <c r="C3826" s="19" t="s">
        <v>7455</v>
      </c>
      <c r="D3826" s="19" t="s">
        <v>7509</v>
      </c>
      <c r="E3826" s="19" t="s">
        <v>7512</v>
      </c>
    </row>
    <row r="3827" spans="1:5" ht="24" customHeight="1" x14ac:dyDescent="0.25">
      <c r="A3827" s="16">
        <v>3856</v>
      </c>
      <c r="B3827" s="19" t="s">
        <v>7183</v>
      </c>
      <c r="C3827" s="19" t="s">
        <v>7455</v>
      </c>
      <c r="D3827" s="19" t="s">
        <v>7509</v>
      </c>
      <c r="E3827" s="19" t="s">
        <v>7513</v>
      </c>
    </row>
    <row r="3828" spans="1:5" ht="24" customHeight="1" x14ac:dyDescent="0.25">
      <c r="A3828" s="16">
        <v>3857</v>
      </c>
      <c r="B3828" s="19" t="s">
        <v>7183</v>
      </c>
      <c r="C3828" s="19" t="s">
        <v>7455</v>
      </c>
      <c r="D3828" s="19" t="s">
        <v>7509</v>
      </c>
      <c r="E3828" s="19" t="s">
        <v>7514</v>
      </c>
    </row>
    <row r="3829" spans="1:5" ht="24" customHeight="1" x14ac:dyDescent="0.25">
      <c r="A3829" s="16">
        <v>3858</v>
      </c>
      <c r="B3829" s="19" t="s">
        <v>7183</v>
      </c>
      <c r="C3829" s="19" t="s">
        <v>7455</v>
      </c>
      <c r="D3829" s="19" t="s">
        <v>7509</v>
      </c>
      <c r="E3829" s="19" t="s">
        <v>7515</v>
      </c>
    </row>
    <row r="3830" spans="1:5" ht="24" customHeight="1" x14ac:dyDescent="0.25">
      <c r="A3830" s="16">
        <v>3859</v>
      </c>
      <c r="B3830" s="19" t="s">
        <v>7183</v>
      </c>
      <c r="C3830" s="19" t="s">
        <v>7455</v>
      </c>
      <c r="D3830" s="19" t="s">
        <v>7509</v>
      </c>
      <c r="E3830" s="19" t="s">
        <v>7516</v>
      </c>
    </row>
    <row r="3831" spans="1:5" ht="24" customHeight="1" x14ac:dyDescent="0.25">
      <c r="A3831" s="16">
        <v>3860</v>
      </c>
      <c r="B3831" s="19" t="s">
        <v>7183</v>
      </c>
      <c r="C3831" s="19" t="s">
        <v>7455</v>
      </c>
      <c r="D3831" s="19" t="s">
        <v>7509</v>
      </c>
      <c r="E3831" s="19" t="s">
        <v>7517</v>
      </c>
    </row>
    <row r="3832" spans="1:5" ht="36" customHeight="1" x14ac:dyDescent="0.25">
      <c r="A3832" s="16">
        <v>3861</v>
      </c>
      <c r="B3832" s="19" t="s">
        <v>7183</v>
      </c>
      <c r="C3832" s="19" t="s">
        <v>7455</v>
      </c>
      <c r="D3832" s="19" t="s">
        <v>7509</v>
      </c>
      <c r="E3832" s="19" t="s">
        <v>7518</v>
      </c>
    </row>
    <row r="3833" spans="1:5" ht="36" customHeight="1" x14ac:dyDescent="0.25">
      <c r="A3833" s="16">
        <v>3862</v>
      </c>
      <c r="B3833" s="19" t="s">
        <v>7183</v>
      </c>
      <c r="C3833" s="19" t="s">
        <v>7455</v>
      </c>
      <c r="D3833" s="19" t="s">
        <v>7509</v>
      </c>
      <c r="E3833" s="19" t="s">
        <v>7519</v>
      </c>
    </row>
    <row r="3834" spans="1:5" ht="24" customHeight="1" x14ac:dyDescent="0.25">
      <c r="A3834" s="16">
        <v>3863</v>
      </c>
      <c r="B3834" s="19" t="s">
        <v>7183</v>
      </c>
      <c r="C3834" s="19" t="s">
        <v>7455</v>
      </c>
      <c r="D3834" s="19" t="s">
        <v>7509</v>
      </c>
      <c r="E3834" s="19" t="s">
        <v>7520</v>
      </c>
    </row>
    <row r="3835" spans="1:5" ht="24" customHeight="1" x14ac:dyDescent="0.25">
      <c r="A3835" s="16">
        <v>3864</v>
      </c>
      <c r="B3835" s="19" t="s">
        <v>7183</v>
      </c>
      <c r="C3835" s="19" t="s">
        <v>7455</v>
      </c>
      <c r="D3835" s="19" t="s">
        <v>7509</v>
      </c>
      <c r="E3835" s="19" t="s">
        <v>7521</v>
      </c>
    </row>
    <row r="3836" spans="1:5" ht="24" customHeight="1" x14ac:dyDescent="0.25">
      <c r="A3836" s="16">
        <v>3865</v>
      </c>
      <c r="B3836" s="19" t="s">
        <v>7183</v>
      </c>
      <c r="C3836" s="19" t="s">
        <v>7455</v>
      </c>
      <c r="D3836" s="19" t="s">
        <v>7509</v>
      </c>
      <c r="E3836" s="19" t="s">
        <v>7522</v>
      </c>
    </row>
    <row r="3837" spans="1:5" ht="24" customHeight="1" x14ac:dyDescent="0.25">
      <c r="A3837" s="16">
        <v>3866</v>
      </c>
      <c r="B3837" s="19" t="s">
        <v>7183</v>
      </c>
      <c r="C3837" s="19" t="s">
        <v>7455</v>
      </c>
      <c r="D3837" s="19" t="s">
        <v>7509</v>
      </c>
      <c r="E3837" s="19" t="s">
        <v>7523</v>
      </c>
    </row>
    <row r="3838" spans="1:5" ht="24" customHeight="1" x14ac:dyDescent="0.25">
      <c r="A3838" s="16">
        <v>3867</v>
      </c>
      <c r="B3838" s="19" t="s">
        <v>7183</v>
      </c>
      <c r="C3838" s="19" t="s">
        <v>7455</v>
      </c>
      <c r="D3838" s="19" t="s">
        <v>7509</v>
      </c>
      <c r="E3838" s="19" t="s">
        <v>7524</v>
      </c>
    </row>
    <row r="3839" spans="1:5" ht="24" customHeight="1" x14ac:dyDescent="0.25">
      <c r="A3839" s="16">
        <v>3868</v>
      </c>
      <c r="B3839" s="19" t="s">
        <v>7183</v>
      </c>
      <c r="C3839" s="19" t="s">
        <v>7455</v>
      </c>
      <c r="D3839" s="19" t="s">
        <v>7509</v>
      </c>
      <c r="E3839" s="19" t="s">
        <v>7525</v>
      </c>
    </row>
    <row r="3840" spans="1:5" ht="24" customHeight="1" x14ac:dyDescent="0.25">
      <c r="A3840" s="16">
        <v>3869</v>
      </c>
      <c r="B3840" s="19" t="s">
        <v>7183</v>
      </c>
      <c r="C3840" s="19" t="s">
        <v>7455</v>
      </c>
      <c r="D3840" s="19" t="s">
        <v>7509</v>
      </c>
      <c r="E3840" s="19" t="s">
        <v>7526</v>
      </c>
    </row>
    <row r="3841" spans="1:5" ht="24" customHeight="1" x14ac:dyDescent="0.25">
      <c r="A3841" s="16">
        <v>3870</v>
      </c>
      <c r="B3841" s="19" t="s">
        <v>7183</v>
      </c>
      <c r="C3841" s="19" t="s">
        <v>7455</v>
      </c>
      <c r="D3841" s="19" t="s">
        <v>7509</v>
      </c>
      <c r="E3841" s="19" t="s">
        <v>7527</v>
      </c>
    </row>
    <row r="3842" spans="1:5" ht="24" customHeight="1" x14ac:dyDescent="0.25">
      <c r="A3842" s="16">
        <v>3871</v>
      </c>
      <c r="B3842" s="19" t="s">
        <v>7183</v>
      </c>
      <c r="C3842" s="19" t="s">
        <v>7455</v>
      </c>
      <c r="D3842" s="19" t="s">
        <v>7528</v>
      </c>
      <c r="E3842" s="19" t="s">
        <v>7529</v>
      </c>
    </row>
    <row r="3843" spans="1:5" ht="24" customHeight="1" x14ac:dyDescent="0.25">
      <c r="A3843" s="16">
        <v>3872</v>
      </c>
      <c r="B3843" s="19" t="s">
        <v>7183</v>
      </c>
      <c r="C3843" s="19" t="s">
        <v>7455</v>
      </c>
      <c r="D3843" s="19" t="s">
        <v>7528</v>
      </c>
      <c r="E3843" s="19" t="s">
        <v>7530</v>
      </c>
    </row>
    <row r="3844" spans="1:5" ht="24" customHeight="1" x14ac:dyDescent="0.25">
      <c r="A3844" s="16">
        <v>3873</v>
      </c>
      <c r="B3844" s="19" t="s">
        <v>7183</v>
      </c>
      <c r="C3844" s="19" t="s">
        <v>7455</v>
      </c>
      <c r="D3844" s="19" t="s">
        <v>7528</v>
      </c>
      <c r="E3844" s="19" t="s">
        <v>7531</v>
      </c>
    </row>
    <row r="3845" spans="1:5" ht="24" customHeight="1" x14ac:dyDescent="0.25">
      <c r="A3845" s="16">
        <v>3874</v>
      </c>
      <c r="B3845" s="19" t="s">
        <v>7183</v>
      </c>
      <c r="C3845" s="19" t="s">
        <v>7455</v>
      </c>
      <c r="D3845" s="19" t="s">
        <v>7528</v>
      </c>
      <c r="E3845" s="19" t="s">
        <v>7532</v>
      </c>
    </row>
    <row r="3846" spans="1:5" ht="24" customHeight="1" x14ac:dyDescent="0.25">
      <c r="A3846" s="16">
        <v>3875</v>
      </c>
      <c r="B3846" s="19" t="s">
        <v>7183</v>
      </c>
      <c r="C3846" s="19" t="s">
        <v>7455</v>
      </c>
      <c r="D3846" s="19" t="s">
        <v>7528</v>
      </c>
      <c r="E3846" s="19" t="s">
        <v>7533</v>
      </c>
    </row>
    <row r="3847" spans="1:5" ht="24" customHeight="1" x14ac:dyDescent="0.25">
      <c r="A3847" s="16">
        <v>3876</v>
      </c>
      <c r="B3847" s="19" t="s">
        <v>7183</v>
      </c>
      <c r="C3847" s="19" t="s">
        <v>7455</v>
      </c>
      <c r="D3847" s="19" t="s">
        <v>7528</v>
      </c>
      <c r="E3847" s="19" t="s">
        <v>7534</v>
      </c>
    </row>
    <row r="3848" spans="1:5" ht="24" customHeight="1" x14ac:dyDescent="0.25">
      <c r="A3848" s="16">
        <v>3877</v>
      </c>
      <c r="B3848" s="19" t="s">
        <v>7183</v>
      </c>
      <c r="C3848" s="19" t="s">
        <v>7455</v>
      </c>
      <c r="D3848" s="19" t="s">
        <v>7528</v>
      </c>
      <c r="E3848" s="19" t="s">
        <v>7535</v>
      </c>
    </row>
    <row r="3849" spans="1:5" ht="24" customHeight="1" x14ac:dyDescent="0.25">
      <c r="A3849" s="16">
        <v>3878</v>
      </c>
      <c r="B3849" s="19" t="s">
        <v>7183</v>
      </c>
      <c r="C3849" s="19" t="s">
        <v>7455</v>
      </c>
      <c r="D3849" s="19" t="s">
        <v>7528</v>
      </c>
      <c r="E3849" s="19" t="s">
        <v>7536</v>
      </c>
    </row>
    <row r="3850" spans="1:5" x14ac:dyDescent="0.25">
      <c r="A3850" s="16">
        <v>3879</v>
      </c>
      <c r="B3850" s="19" t="s">
        <v>7183</v>
      </c>
      <c r="C3850" s="19" t="s">
        <v>7537</v>
      </c>
      <c r="D3850" s="19" t="s">
        <v>7538</v>
      </c>
      <c r="E3850" s="19" t="s">
        <v>7539</v>
      </c>
    </row>
    <row r="3851" spans="1:5" x14ac:dyDescent="0.25">
      <c r="A3851" s="16">
        <v>3880</v>
      </c>
      <c r="B3851" s="19" t="s">
        <v>7183</v>
      </c>
      <c r="C3851" s="19" t="s">
        <v>7537</v>
      </c>
      <c r="D3851" s="19" t="s">
        <v>7538</v>
      </c>
      <c r="E3851" s="19" t="s">
        <v>7540</v>
      </c>
    </row>
    <row r="3852" spans="1:5" ht="24" customHeight="1" x14ac:dyDescent="0.25">
      <c r="A3852" s="16">
        <v>3881</v>
      </c>
      <c r="B3852" s="19" t="s">
        <v>7183</v>
      </c>
      <c r="C3852" s="19" t="s">
        <v>7537</v>
      </c>
      <c r="D3852" s="19" t="s">
        <v>7538</v>
      </c>
      <c r="E3852" s="19" t="s">
        <v>7541</v>
      </c>
    </row>
    <row r="3853" spans="1:5" x14ac:dyDescent="0.25">
      <c r="A3853" s="16">
        <v>3882</v>
      </c>
      <c r="B3853" s="19" t="s">
        <v>7183</v>
      </c>
      <c r="C3853" s="19" t="s">
        <v>7537</v>
      </c>
      <c r="D3853" s="19" t="s">
        <v>7538</v>
      </c>
      <c r="E3853" s="19" t="s">
        <v>7542</v>
      </c>
    </row>
    <row r="3854" spans="1:5" x14ac:dyDescent="0.25">
      <c r="A3854" s="16">
        <v>3883</v>
      </c>
      <c r="B3854" s="19" t="s">
        <v>7183</v>
      </c>
      <c r="C3854" s="19" t="s">
        <v>7537</v>
      </c>
      <c r="D3854" s="19" t="s">
        <v>7538</v>
      </c>
      <c r="E3854" s="19" t="s">
        <v>7543</v>
      </c>
    </row>
    <row r="3855" spans="1:5" x14ac:dyDescent="0.25">
      <c r="A3855" s="16">
        <v>3884</v>
      </c>
      <c r="B3855" s="19" t="s">
        <v>7183</v>
      </c>
      <c r="C3855" s="19" t="s">
        <v>7537</v>
      </c>
      <c r="D3855" s="19" t="s">
        <v>7538</v>
      </c>
      <c r="E3855" s="19" t="s">
        <v>7544</v>
      </c>
    </row>
    <row r="3856" spans="1:5" ht="36" customHeight="1" x14ac:dyDescent="0.25">
      <c r="A3856" s="16">
        <v>3885</v>
      </c>
      <c r="B3856" s="19" t="s">
        <v>7183</v>
      </c>
      <c r="C3856" s="19" t="s">
        <v>7537</v>
      </c>
      <c r="D3856" s="19" t="s">
        <v>7538</v>
      </c>
      <c r="E3856" s="19" t="s">
        <v>7545</v>
      </c>
    </row>
    <row r="3857" spans="1:5" ht="24" customHeight="1" x14ac:dyDescent="0.25">
      <c r="A3857" s="16">
        <v>3886</v>
      </c>
      <c r="B3857" s="19" t="s">
        <v>7183</v>
      </c>
      <c r="C3857" s="19" t="s">
        <v>7537</v>
      </c>
      <c r="D3857" s="19" t="s">
        <v>7538</v>
      </c>
      <c r="E3857" s="19" t="s">
        <v>7546</v>
      </c>
    </row>
    <row r="3858" spans="1:5" x14ac:dyDescent="0.25">
      <c r="A3858" s="16">
        <v>3887</v>
      </c>
      <c r="B3858" s="19" t="s">
        <v>7183</v>
      </c>
      <c r="C3858" s="19" t="s">
        <v>7537</v>
      </c>
      <c r="D3858" s="19" t="s">
        <v>7538</v>
      </c>
      <c r="E3858" s="19" t="s">
        <v>7547</v>
      </c>
    </row>
    <row r="3859" spans="1:5" x14ac:dyDescent="0.25">
      <c r="A3859" s="16">
        <v>3888</v>
      </c>
      <c r="B3859" s="19" t="s">
        <v>7183</v>
      </c>
      <c r="C3859" s="19" t="s">
        <v>7537</v>
      </c>
      <c r="D3859" s="19" t="s">
        <v>7538</v>
      </c>
      <c r="E3859" s="19" t="s">
        <v>7548</v>
      </c>
    </row>
    <row r="3860" spans="1:5" x14ac:dyDescent="0.25">
      <c r="A3860" s="16">
        <v>3889</v>
      </c>
      <c r="B3860" s="19" t="s">
        <v>7183</v>
      </c>
      <c r="C3860" s="19" t="s">
        <v>7537</v>
      </c>
      <c r="D3860" s="19" t="s">
        <v>7549</v>
      </c>
      <c r="E3860" s="19" t="s">
        <v>7550</v>
      </c>
    </row>
    <row r="3861" spans="1:5" x14ac:dyDescent="0.25">
      <c r="A3861" s="16">
        <v>3890</v>
      </c>
      <c r="B3861" s="19" t="s">
        <v>7183</v>
      </c>
      <c r="C3861" s="19" t="s">
        <v>7537</v>
      </c>
      <c r="D3861" s="19" t="s">
        <v>7549</v>
      </c>
      <c r="E3861" s="19" t="s">
        <v>7551</v>
      </c>
    </row>
    <row r="3862" spans="1:5" x14ac:dyDescent="0.25">
      <c r="A3862" s="16">
        <v>3891</v>
      </c>
      <c r="B3862" s="19" t="s">
        <v>7183</v>
      </c>
      <c r="C3862" s="19" t="s">
        <v>7537</v>
      </c>
      <c r="D3862" s="19" t="s">
        <v>7549</v>
      </c>
      <c r="E3862" s="19" t="s">
        <v>7552</v>
      </c>
    </row>
    <row r="3863" spans="1:5" x14ac:dyDescent="0.25">
      <c r="A3863" s="16">
        <v>3892</v>
      </c>
      <c r="B3863" s="19" t="s">
        <v>7183</v>
      </c>
      <c r="C3863" s="19" t="s">
        <v>7537</v>
      </c>
      <c r="D3863" s="19" t="s">
        <v>7549</v>
      </c>
      <c r="E3863" s="19" t="s">
        <v>7553</v>
      </c>
    </row>
    <row r="3864" spans="1:5" ht="36" customHeight="1" x14ac:dyDescent="0.25">
      <c r="A3864" s="16">
        <v>3893</v>
      </c>
      <c r="B3864" s="19" t="s">
        <v>7183</v>
      </c>
      <c r="C3864" s="19" t="s">
        <v>7537</v>
      </c>
      <c r="D3864" s="19" t="s">
        <v>7549</v>
      </c>
      <c r="E3864" s="19" t="s">
        <v>7554</v>
      </c>
    </row>
    <row r="3865" spans="1:5" x14ac:dyDescent="0.25">
      <c r="A3865" s="16">
        <v>3894</v>
      </c>
      <c r="B3865" s="19" t="s">
        <v>7183</v>
      </c>
      <c r="C3865" s="19" t="s">
        <v>7537</v>
      </c>
      <c r="D3865" s="19" t="s">
        <v>7549</v>
      </c>
      <c r="E3865" s="19" t="s">
        <v>7555</v>
      </c>
    </row>
    <row r="3866" spans="1:5" x14ac:dyDescent="0.25">
      <c r="A3866" s="16">
        <v>3895</v>
      </c>
      <c r="B3866" s="19" t="s">
        <v>7183</v>
      </c>
      <c r="C3866" s="19" t="s">
        <v>7537</v>
      </c>
      <c r="D3866" s="19" t="s">
        <v>7549</v>
      </c>
      <c r="E3866" s="19" t="s">
        <v>7556</v>
      </c>
    </row>
    <row r="3867" spans="1:5" x14ac:dyDescent="0.25">
      <c r="A3867" s="16">
        <v>3896</v>
      </c>
      <c r="B3867" s="19" t="s">
        <v>7183</v>
      </c>
      <c r="C3867" s="19" t="s">
        <v>7537</v>
      </c>
      <c r="D3867" s="19" t="s">
        <v>7557</v>
      </c>
      <c r="E3867" s="19" t="s">
        <v>7558</v>
      </c>
    </row>
    <row r="3868" spans="1:5" x14ac:dyDescent="0.25">
      <c r="A3868" s="16">
        <v>3897</v>
      </c>
      <c r="B3868" s="19" t="s">
        <v>7183</v>
      </c>
      <c r="C3868" s="19" t="s">
        <v>7537</v>
      </c>
      <c r="D3868" s="19" t="s">
        <v>7557</v>
      </c>
      <c r="E3868" s="19" t="s">
        <v>7559</v>
      </c>
    </row>
    <row r="3869" spans="1:5" x14ac:dyDescent="0.25">
      <c r="A3869" s="16">
        <v>3898</v>
      </c>
      <c r="B3869" s="19" t="s">
        <v>7183</v>
      </c>
      <c r="C3869" s="19" t="s">
        <v>7537</v>
      </c>
      <c r="D3869" s="19" t="s">
        <v>7557</v>
      </c>
      <c r="E3869" s="19" t="s">
        <v>7560</v>
      </c>
    </row>
    <row r="3870" spans="1:5" ht="24" customHeight="1" x14ac:dyDescent="0.25">
      <c r="A3870" s="16">
        <v>3899</v>
      </c>
      <c r="B3870" s="19" t="s">
        <v>7183</v>
      </c>
      <c r="C3870" s="19" t="s">
        <v>7537</v>
      </c>
      <c r="D3870" s="19" t="s">
        <v>7557</v>
      </c>
      <c r="E3870" s="19" t="s">
        <v>7561</v>
      </c>
    </row>
    <row r="3871" spans="1:5" x14ac:dyDescent="0.25">
      <c r="A3871" s="16">
        <v>3900</v>
      </c>
      <c r="B3871" s="19" t="s">
        <v>7183</v>
      </c>
      <c r="C3871" s="19" t="s">
        <v>7537</v>
      </c>
      <c r="D3871" s="19" t="s">
        <v>7557</v>
      </c>
      <c r="E3871" s="19" t="s">
        <v>7562</v>
      </c>
    </row>
    <row r="3872" spans="1:5" x14ac:dyDescent="0.25">
      <c r="A3872" s="16">
        <v>3901</v>
      </c>
      <c r="B3872" s="19" t="s">
        <v>7183</v>
      </c>
      <c r="C3872" s="19" t="s">
        <v>7537</v>
      </c>
      <c r="D3872" s="19" t="s">
        <v>7557</v>
      </c>
      <c r="E3872" s="19" t="s">
        <v>7563</v>
      </c>
    </row>
    <row r="3873" spans="1:5" ht="24" customHeight="1" x14ac:dyDescent="0.25">
      <c r="A3873" s="16">
        <v>3902</v>
      </c>
      <c r="B3873" s="19" t="s">
        <v>7183</v>
      </c>
      <c r="C3873" s="19" t="s">
        <v>7537</v>
      </c>
      <c r="D3873" s="19" t="s">
        <v>7557</v>
      </c>
      <c r="E3873" s="19" t="s">
        <v>7564</v>
      </c>
    </row>
    <row r="3874" spans="1:5" x14ac:dyDescent="0.25">
      <c r="A3874" s="16">
        <v>3903</v>
      </c>
      <c r="B3874" s="19" t="s">
        <v>7183</v>
      </c>
      <c r="C3874" s="19" t="s">
        <v>7537</v>
      </c>
      <c r="D3874" s="19" t="s">
        <v>7557</v>
      </c>
      <c r="E3874" s="19" t="s">
        <v>7565</v>
      </c>
    </row>
    <row r="3875" spans="1:5" x14ac:dyDescent="0.25">
      <c r="A3875" s="16">
        <v>3904</v>
      </c>
      <c r="B3875" s="19" t="s">
        <v>7183</v>
      </c>
      <c r="C3875" s="19" t="s">
        <v>7537</v>
      </c>
      <c r="D3875" s="19" t="s">
        <v>7557</v>
      </c>
      <c r="E3875" s="19" t="s">
        <v>7566</v>
      </c>
    </row>
    <row r="3876" spans="1:5" ht="24" customHeight="1" x14ac:dyDescent="0.25">
      <c r="A3876" s="16">
        <v>3905</v>
      </c>
      <c r="B3876" s="19" t="s">
        <v>7183</v>
      </c>
      <c r="C3876" s="19" t="s">
        <v>7537</v>
      </c>
      <c r="D3876" s="19" t="s">
        <v>7557</v>
      </c>
      <c r="E3876" s="19" t="s">
        <v>7567</v>
      </c>
    </row>
    <row r="3877" spans="1:5" x14ac:dyDescent="0.25">
      <c r="A3877" s="16">
        <v>3906</v>
      </c>
      <c r="B3877" s="19" t="s">
        <v>7183</v>
      </c>
      <c r="C3877" s="19" t="s">
        <v>7537</v>
      </c>
      <c r="D3877" s="19" t="s">
        <v>7537</v>
      </c>
      <c r="E3877" s="19" t="s">
        <v>7568</v>
      </c>
    </row>
    <row r="3878" spans="1:5" x14ac:dyDescent="0.25">
      <c r="A3878" s="16">
        <v>3907</v>
      </c>
      <c r="B3878" s="19" t="s">
        <v>7183</v>
      </c>
      <c r="C3878" s="19" t="s">
        <v>7537</v>
      </c>
      <c r="D3878" s="19" t="s">
        <v>7537</v>
      </c>
      <c r="E3878" s="19" t="s">
        <v>7569</v>
      </c>
    </row>
    <row r="3879" spans="1:5" x14ac:dyDescent="0.25">
      <c r="A3879" s="16">
        <v>3908</v>
      </c>
      <c r="B3879" s="19" t="s">
        <v>7183</v>
      </c>
      <c r="C3879" s="19" t="s">
        <v>7537</v>
      </c>
      <c r="D3879" s="19" t="s">
        <v>7537</v>
      </c>
      <c r="E3879" s="19" t="s">
        <v>7570</v>
      </c>
    </row>
    <row r="3880" spans="1:5" x14ac:dyDescent="0.25">
      <c r="A3880" s="16">
        <v>3909</v>
      </c>
      <c r="B3880" s="19" t="s">
        <v>7183</v>
      </c>
      <c r="C3880" s="19" t="s">
        <v>7537</v>
      </c>
      <c r="D3880" s="19" t="s">
        <v>7537</v>
      </c>
      <c r="E3880" s="19" t="s">
        <v>7571</v>
      </c>
    </row>
    <row r="3881" spans="1:5" x14ac:dyDescent="0.25">
      <c r="A3881" s="16">
        <v>3910</v>
      </c>
      <c r="B3881" s="19" t="s">
        <v>7183</v>
      </c>
      <c r="C3881" s="19" t="s">
        <v>7537</v>
      </c>
      <c r="D3881" s="19" t="s">
        <v>7537</v>
      </c>
      <c r="E3881" s="19" t="s">
        <v>7572</v>
      </c>
    </row>
    <row r="3882" spans="1:5" x14ac:dyDescent="0.25">
      <c r="A3882" s="16">
        <v>3911</v>
      </c>
      <c r="B3882" s="19" t="s">
        <v>7183</v>
      </c>
      <c r="C3882" s="19" t="s">
        <v>7537</v>
      </c>
      <c r="D3882" s="19" t="s">
        <v>7537</v>
      </c>
      <c r="E3882" s="19" t="s">
        <v>7573</v>
      </c>
    </row>
    <row r="3883" spans="1:5" x14ac:dyDescent="0.25">
      <c r="A3883" s="16">
        <v>3912</v>
      </c>
      <c r="B3883" s="19" t="s">
        <v>7183</v>
      </c>
      <c r="C3883" s="19" t="s">
        <v>7537</v>
      </c>
      <c r="D3883" s="19" t="s">
        <v>7537</v>
      </c>
      <c r="E3883" s="19" t="s">
        <v>7574</v>
      </c>
    </row>
    <row r="3884" spans="1:5" x14ac:dyDescent="0.25">
      <c r="A3884" s="16">
        <v>3913</v>
      </c>
      <c r="B3884" s="19" t="s">
        <v>7183</v>
      </c>
      <c r="C3884" s="19" t="s">
        <v>7537</v>
      </c>
      <c r="D3884" s="19" t="s">
        <v>7537</v>
      </c>
      <c r="E3884" s="19" t="s">
        <v>7575</v>
      </c>
    </row>
    <row r="3885" spans="1:5" x14ac:dyDescent="0.25">
      <c r="A3885" s="16">
        <v>3914</v>
      </c>
      <c r="B3885" s="19" t="s">
        <v>7183</v>
      </c>
      <c r="C3885" s="19" t="s">
        <v>7537</v>
      </c>
      <c r="D3885" s="19" t="s">
        <v>7537</v>
      </c>
      <c r="E3885" s="19" t="s">
        <v>7576</v>
      </c>
    </row>
    <row r="3886" spans="1:5" x14ac:dyDescent="0.25">
      <c r="A3886" s="16">
        <v>3915</v>
      </c>
      <c r="B3886" s="19" t="s">
        <v>7183</v>
      </c>
      <c r="C3886" s="19" t="s">
        <v>7537</v>
      </c>
      <c r="D3886" s="19" t="s">
        <v>7537</v>
      </c>
      <c r="E3886" s="19" t="s">
        <v>7577</v>
      </c>
    </row>
    <row r="3887" spans="1:5" x14ac:dyDescent="0.25">
      <c r="A3887" s="16">
        <v>3916</v>
      </c>
      <c r="B3887" s="19" t="s">
        <v>7183</v>
      </c>
      <c r="C3887" s="19" t="s">
        <v>7537</v>
      </c>
      <c r="D3887" s="19" t="s">
        <v>7537</v>
      </c>
      <c r="E3887" s="19" t="s">
        <v>7578</v>
      </c>
    </row>
    <row r="3888" spans="1:5" x14ac:dyDescent="0.25">
      <c r="A3888" s="16">
        <v>3917</v>
      </c>
      <c r="B3888" s="19" t="s">
        <v>7183</v>
      </c>
      <c r="C3888" s="19" t="s">
        <v>7537</v>
      </c>
      <c r="D3888" s="19" t="s">
        <v>7537</v>
      </c>
      <c r="E3888" s="19" t="s">
        <v>7579</v>
      </c>
    </row>
    <row r="3889" spans="1:5" ht="24" customHeight="1" x14ac:dyDescent="0.25">
      <c r="A3889" s="16">
        <v>3918</v>
      </c>
      <c r="B3889" s="19" t="s">
        <v>7183</v>
      </c>
      <c r="C3889" s="19" t="s">
        <v>7537</v>
      </c>
      <c r="D3889" s="19" t="s">
        <v>7537</v>
      </c>
      <c r="E3889" s="19" t="s">
        <v>7580</v>
      </c>
    </row>
    <row r="3890" spans="1:5" ht="24" customHeight="1" x14ac:dyDescent="0.25">
      <c r="A3890" s="16">
        <v>3919</v>
      </c>
      <c r="B3890" s="19" t="s">
        <v>7183</v>
      </c>
      <c r="C3890" s="19" t="s">
        <v>7537</v>
      </c>
      <c r="D3890" s="19" t="s">
        <v>7537</v>
      </c>
      <c r="E3890" s="19" t="s">
        <v>7581</v>
      </c>
    </row>
    <row r="3891" spans="1:5" x14ac:dyDescent="0.25">
      <c r="A3891" s="16">
        <v>3920</v>
      </c>
      <c r="B3891" s="19" t="s">
        <v>7183</v>
      </c>
      <c r="C3891" s="19" t="s">
        <v>7537</v>
      </c>
      <c r="D3891" s="19" t="s">
        <v>7537</v>
      </c>
      <c r="E3891" s="19" t="s">
        <v>7582</v>
      </c>
    </row>
    <row r="3892" spans="1:5" ht="24" customHeight="1" x14ac:dyDescent="0.25">
      <c r="A3892" s="16">
        <v>3921</v>
      </c>
      <c r="B3892" s="19" t="s">
        <v>7183</v>
      </c>
      <c r="C3892" s="19" t="s">
        <v>7537</v>
      </c>
      <c r="D3892" s="19" t="s">
        <v>7537</v>
      </c>
      <c r="E3892" s="19" t="s">
        <v>7583</v>
      </c>
    </row>
    <row r="3893" spans="1:5" ht="24" customHeight="1" x14ac:dyDescent="0.25">
      <c r="A3893" s="16">
        <v>3922</v>
      </c>
      <c r="B3893" s="19" t="s">
        <v>7183</v>
      </c>
      <c r="C3893" s="19" t="s">
        <v>7537</v>
      </c>
      <c r="D3893" s="19" t="s">
        <v>7537</v>
      </c>
      <c r="E3893" s="19" t="s">
        <v>7584</v>
      </c>
    </row>
    <row r="3894" spans="1:5" x14ac:dyDescent="0.25">
      <c r="A3894" s="16">
        <v>3923</v>
      </c>
      <c r="B3894" s="19" t="s">
        <v>7183</v>
      </c>
      <c r="C3894" s="19" t="s">
        <v>7537</v>
      </c>
      <c r="D3894" s="19" t="s">
        <v>7537</v>
      </c>
      <c r="E3894" s="19" t="s">
        <v>7585</v>
      </c>
    </row>
    <row r="3895" spans="1:5" x14ac:dyDescent="0.25">
      <c r="A3895" s="16">
        <v>3924</v>
      </c>
      <c r="B3895" s="19" t="s">
        <v>7183</v>
      </c>
      <c r="C3895" s="19" t="s">
        <v>7537</v>
      </c>
      <c r="D3895" s="19" t="s">
        <v>7537</v>
      </c>
      <c r="E3895" s="19" t="s">
        <v>7586</v>
      </c>
    </row>
    <row r="3896" spans="1:5" ht="24" customHeight="1" x14ac:dyDescent="0.25">
      <c r="A3896" s="16">
        <v>3925</v>
      </c>
      <c r="B3896" s="19" t="s">
        <v>7183</v>
      </c>
      <c r="C3896" s="19" t="s">
        <v>7537</v>
      </c>
      <c r="D3896" s="19" t="s">
        <v>7537</v>
      </c>
      <c r="E3896" s="19" t="s">
        <v>7587</v>
      </c>
    </row>
    <row r="3897" spans="1:5" x14ac:dyDescent="0.25">
      <c r="A3897" s="16">
        <v>3926</v>
      </c>
      <c r="B3897" s="19" t="s">
        <v>7183</v>
      </c>
      <c r="C3897" s="19" t="s">
        <v>7537</v>
      </c>
      <c r="D3897" s="19" t="s">
        <v>7537</v>
      </c>
      <c r="E3897" s="19" t="s">
        <v>7588</v>
      </c>
    </row>
    <row r="3898" spans="1:5" x14ac:dyDescent="0.25">
      <c r="A3898" s="16">
        <v>3927</v>
      </c>
      <c r="B3898" s="19" t="s">
        <v>7183</v>
      </c>
      <c r="C3898" s="19" t="s">
        <v>7537</v>
      </c>
      <c r="D3898" s="19" t="s">
        <v>7537</v>
      </c>
      <c r="E3898" s="19" t="s">
        <v>7589</v>
      </c>
    </row>
    <row r="3899" spans="1:5" x14ac:dyDescent="0.25">
      <c r="A3899" s="16">
        <v>3928</v>
      </c>
      <c r="B3899" s="19" t="s">
        <v>7183</v>
      </c>
      <c r="C3899" s="19" t="s">
        <v>7537</v>
      </c>
      <c r="D3899" s="19" t="s">
        <v>7537</v>
      </c>
      <c r="E3899" s="19" t="s">
        <v>7590</v>
      </c>
    </row>
    <row r="3900" spans="1:5" ht="24" customHeight="1" x14ac:dyDescent="0.25">
      <c r="A3900" s="16">
        <v>3929</v>
      </c>
      <c r="B3900" s="19" t="s">
        <v>7183</v>
      </c>
      <c r="C3900" s="19" t="s">
        <v>7537</v>
      </c>
      <c r="D3900" s="19" t="s">
        <v>7591</v>
      </c>
      <c r="E3900" s="19" t="s">
        <v>7592</v>
      </c>
    </row>
    <row r="3901" spans="1:5" ht="24" customHeight="1" x14ac:dyDescent="0.25">
      <c r="A3901" s="16">
        <v>3930</v>
      </c>
      <c r="B3901" s="19" t="s">
        <v>7183</v>
      </c>
      <c r="C3901" s="19" t="s">
        <v>7537</v>
      </c>
      <c r="D3901" s="19" t="s">
        <v>7591</v>
      </c>
      <c r="E3901" s="19" t="s">
        <v>6659</v>
      </c>
    </row>
    <row r="3902" spans="1:5" ht="24" customHeight="1" x14ac:dyDescent="0.25">
      <c r="A3902" s="16">
        <v>3931</v>
      </c>
      <c r="B3902" s="19" t="s">
        <v>7183</v>
      </c>
      <c r="C3902" s="19" t="s">
        <v>7537</v>
      </c>
      <c r="D3902" s="19" t="s">
        <v>7591</v>
      </c>
      <c r="E3902" s="19" t="s">
        <v>7593</v>
      </c>
    </row>
    <row r="3903" spans="1:5" ht="24" customHeight="1" x14ac:dyDescent="0.25">
      <c r="A3903" s="16">
        <v>3932</v>
      </c>
      <c r="B3903" s="19" t="s">
        <v>7183</v>
      </c>
      <c r="C3903" s="19" t="s">
        <v>7537</v>
      </c>
      <c r="D3903" s="19" t="s">
        <v>7591</v>
      </c>
      <c r="E3903" s="19" t="s">
        <v>7594</v>
      </c>
    </row>
    <row r="3904" spans="1:5" ht="24" customHeight="1" x14ac:dyDescent="0.25">
      <c r="A3904" s="16">
        <v>3933</v>
      </c>
      <c r="B3904" s="19" t="s">
        <v>7183</v>
      </c>
      <c r="C3904" s="19" t="s">
        <v>7537</v>
      </c>
      <c r="D3904" s="19" t="s">
        <v>7591</v>
      </c>
      <c r="E3904" s="19" t="s">
        <v>7595</v>
      </c>
    </row>
    <row r="3905" spans="1:5" ht="24" customHeight="1" x14ac:dyDescent="0.25">
      <c r="A3905" s="16">
        <v>3934</v>
      </c>
      <c r="B3905" s="19" t="s">
        <v>7183</v>
      </c>
      <c r="C3905" s="19" t="s">
        <v>7537</v>
      </c>
      <c r="D3905" s="19" t="s">
        <v>7591</v>
      </c>
      <c r="E3905" s="19" t="s">
        <v>7596</v>
      </c>
    </row>
    <row r="3906" spans="1:5" ht="24" customHeight="1" x14ac:dyDescent="0.25">
      <c r="A3906" s="16">
        <v>3935</v>
      </c>
      <c r="B3906" s="19" t="s">
        <v>7183</v>
      </c>
      <c r="C3906" s="19" t="s">
        <v>7537</v>
      </c>
      <c r="D3906" s="19" t="s">
        <v>7591</v>
      </c>
      <c r="E3906" s="19" t="s">
        <v>7597</v>
      </c>
    </row>
    <row r="3907" spans="1:5" ht="24" customHeight="1" x14ac:dyDescent="0.25">
      <c r="A3907" s="16">
        <v>3936</v>
      </c>
      <c r="B3907" s="19" t="s">
        <v>7183</v>
      </c>
      <c r="C3907" s="19" t="s">
        <v>7537</v>
      </c>
      <c r="D3907" s="19" t="s">
        <v>7591</v>
      </c>
      <c r="E3907" s="19" t="s">
        <v>7598</v>
      </c>
    </row>
    <row r="3908" spans="1:5" ht="24" customHeight="1" x14ac:dyDescent="0.25">
      <c r="A3908" s="16">
        <v>3937</v>
      </c>
      <c r="B3908" s="19" t="s">
        <v>7183</v>
      </c>
      <c r="C3908" s="19" t="s">
        <v>7537</v>
      </c>
      <c r="D3908" s="19" t="s">
        <v>7591</v>
      </c>
      <c r="E3908" s="19" t="s">
        <v>7599</v>
      </c>
    </row>
    <row r="3909" spans="1:5" ht="24" customHeight="1" x14ac:dyDescent="0.25">
      <c r="A3909" s="16">
        <v>3938</v>
      </c>
      <c r="B3909" s="19" t="s">
        <v>7183</v>
      </c>
      <c r="C3909" s="19" t="s">
        <v>7537</v>
      </c>
      <c r="D3909" s="19" t="s">
        <v>7591</v>
      </c>
      <c r="E3909" s="19" t="s">
        <v>7600</v>
      </c>
    </row>
    <row r="3910" spans="1:5" ht="24" customHeight="1" x14ac:dyDescent="0.25">
      <c r="A3910" s="16">
        <v>3939</v>
      </c>
      <c r="B3910" s="19" t="s">
        <v>7183</v>
      </c>
      <c r="C3910" s="19" t="s">
        <v>7537</v>
      </c>
      <c r="D3910" s="19" t="s">
        <v>7591</v>
      </c>
      <c r="E3910" s="19" t="s">
        <v>7601</v>
      </c>
    </row>
    <row r="3911" spans="1:5" ht="24" customHeight="1" x14ac:dyDescent="0.25">
      <c r="A3911" s="16">
        <v>3940</v>
      </c>
      <c r="B3911" s="19" t="s">
        <v>7183</v>
      </c>
      <c r="C3911" s="19" t="s">
        <v>7537</v>
      </c>
      <c r="D3911" s="19" t="s">
        <v>7591</v>
      </c>
      <c r="E3911" s="19" t="s">
        <v>7602</v>
      </c>
    </row>
    <row r="3912" spans="1:5" ht="24" customHeight="1" x14ac:dyDescent="0.25">
      <c r="A3912" s="16">
        <v>3941</v>
      </c>
      <c r="B3912" s="19" t="s">
        <v>7183</v>
      </c>
      <c r="C3912" s="19" t="s">
        <v>7537</v>
      </c>
      <c r="D3912" s="19" t="s">
        <v>7591</v>
      </c>
      <c r="E3912" s="19" t="s">
        <v>7603</v>
      </c>
    </row>
    <row r="3913" spans="1:5" ht="24" customHeight="1" x14ac:dyDescent="0.25">
      <c r="A3913" s="16">
        <v>3942</v>
      </c>
      <c r="B3913" s="19" t="s">
        <v>7183</v>
      </c>
      <c r="C3913" s="19" t="s">
        <v>7537</v>
      </c>
      <c r="D3913" s="19" t="s">
        <v>7591</v>
      </c>
      <c r="E3913" s="19" t="s">
        <v>7604</v>
      </c>
    </row>
    <row r="3914" spans="1:5" ht="24" customHeight="1" x14ac:dyDescent="0.25">
      <c r="A3914" s="16">
        <v>3943</v>
      </c>
      <c r="B3914" s="19" t="s">
        <v>7183</v>
      </c>
      <c r="C3914" s="19" t="s">
        <v>7537</v>
      </c>
      <c r="D3914" s="19" t="s">
        <v>7591</v>
      </c>
      <c r="E3914" s="19" t="s">
        <v>7605</v>
      </c>
    </row>
    <row r="3915" spans="1:5" ht="36" customHeight="1" x14ac:dyDescent="0.25">
      <c r="A3915" s="16">
        <v>3944</v>
      </c>
      <c r="B3915" s="19" t="s">
        <v>7606</v>
      </c>
      <c r="C3915" s="19" t="s">
        <v>7607</v>
      </c>
      <c r="D3915" s="19" t="s">
        <v>7008</v>
      </c>
      <c r="E3915" s="19" t="s">
        <v>7608</v>
      </c>
    </row>
    <row r="3916" spans="1:5" ht="36" customHeight="1" x14ac:dyDescent="0.25">
      <c r="A3916" s="16">
        <v>3945</v>
      </c>
      <c r="B3916" s="19" t="s">
        <v>7606</v>
      </c>
      <c r="C3916" s="19" t="s">
        <v>7607</v>
      </c>
      <c r="D3916" s="19" t="s">
        <v>7008</v>
      </c>
      <c r="E3916" s="19" t="s">
        <v>7609</v>
      </c>
    </row>
    <row r="3917" spans="1:5" ht="36" customHeight="1" x14ac:dyDescent="0.25">
      <c r="A3917" s="16">
        <v>3946</v>
      </c>
      <c r="B3917" s="19" t="s">
        <v>7606</v>
      </c>
      <c r="C3917" s="19" t="s">
        <v>7607</v>
      </c>
      <c r="D3917" s="19" t="s">
        <v>7008</v>
      </c>
      <c r="E3917" s="19" t="s">
        <v>7610</v>
      </c>
    </row>
    <row r="3918" spans="1:5" ht="36" customHeight="1" x14ac:dyDescent="0.25">
      <c r="A3918" s="16">
        <v>3947</v>
      </c>
      <c r="B3918" s="19" t="s">
        <v>7606</v>
      </c>
      <c r="C3918" s="19" t="s">
        <v>7607</v>
      </c>
      <c r="D3918" s="19" t="s">
        <v>7008</v>
      </c>
      <c r="E3918" s="19" t="s">
        <v>7611</v>
      </c>
    </row>
    <row r="3919" spans="1:5" ht="36" customHeight="1" x14ac:dyDescent="0.25">
      <c r="A3919" s="16">
        <v>3948</v>
      </c>
      <c r="B3919" s="19" t="s">
        <v>7606</v>
      </c>
      <c r="C3919" s="19" t="s">
        <v>7607</v>
      </c>
      <c r="D3919" s="19" t="s">
        <v>7008</v>
      </c>
      <c r="E3919" s="19" t="s">
        <v>7612</v>
      </c>
    </row>
    <row r="3920" spans="1:5" ht="36" customHeight="1" x14ac:dyDescent="0.25">
      <c r="A3920" s="16">
        <v>3949</v>
      </c>
      <c r="B3920" s="19" t="s">
        <v>7606</v>
      </c>
      <c r="C3920" s="19" t="s">
        <v>7607</v>
      </c>
      <c r="D3920" s="19" t="s">
        <v>7008</v>
      </c>
      <c r="E3920" s="19" t="s">
        <v>7613</v>
      </c>
    </row>
    <row r="3921" spans="1:5" ht="36" customHeight="1" x14ac:dyDescent="0.25">
      <c r="A3921" s="16">
        <v>3950</v>
      </c>
      <c r="B3921" s="19" t="s">
        <v>7606</v>
      </c>
      <c r="C3921" s="19" t="s">
        <v>7607</v>
      </c>
      <c r="D3921" s="19" t="s">
        <v>7008</v>
      </c>
      <c r="E3921" s="19" t="s">
        <v>7614</v>
      </c>
    </row>
    <row r="3922" spans="1:5" ht="36" customHeight="1" x14ac:dyDescent="0.25">
      <c r="A3922" s="16">
        <v>3951</v>
      </c>
      <c r="B3922" s="19" t="s">
        <v>7606</v>
      </c>
      <c r="C3922" s="19" t="s">
        <v>7607</v>
      </c>
      <c r="D3922" s="19" t="s">
        <v>7008</v>
      </c>
      <c r="E3922" s="19" t="s">
        <v>7615</v>
      </c>
    </row>
    <row r="3923" spans="1:5" ht="36" customHeight="1" x14ac:dyDescent="0.25">
      <c r="A3923" s="16">
        <v>3952</v>
      </c>
      <c r="B3923" s="19" t="s">
        <v>7606</v>
      </c>
      <c r="C3923" s="19" t="s">
        <v>7607</v>
      </c>
      <c r="D3923" s="19" t="s">
        <v>7008</v>
      </c>
      <c r="E3923" s="19" t="s">
        <v>7616</v>
      </c>
    </row>
    <row r="3924" spans="1:5" ht="36" customHeight="1" x14ac:dyDescent="0.25">
      <c r="A3924" s="16">
        <v>3953</v>
      </c>
      <c r="B3924" s="19" t="s">
        <v>7606</v>
      </c>
      <c r="C3924" s="19" t="s">
        <v>7607</v>
      </c>
      <c r="D3924" s="19" t="s">
        <v>7008</v>
      </c>
      <c r="E3924" s="19" t="s">
        <v>7617</v>
      </c>
    </row>
    <row r="3925" spans="1:5" ht="36" customHeight="1" x14ac:dyDescent="0.25">
      <c r="A3925" s="16">
        <v>3954</v>
      </c>
      <c r="B3925" s="19" t="s">
        <v>7606</v>
      </c>
      <c r="C3925" s="19" t="s">
        <v>7607</v>
      </c>
      <c r="D3925" s="19" t="s">
        <v>7008</v>
      </c>
      <c r="E3925" s="19" t="s">
        <v>7618</v>
      </c>
    </row>
    <row r="3926" spans="1:5" ht="36" customHeight="1" x14ac:dyDescent="0.25">
      <c r="A3926" s="16">
        <v>3955</v>
      </c>
      <c r="B3926" s="19" t="s">
        <v>7606</v>
      </c>
      <c r="C3926" s="19" t="s">
        <v>7607</v>
      </c>
      <c r="D3926" s="19" t="s">
        <v>7008</v>
      </c>
      <c r="E3926" s="19" t="s">
        <v>7619</v>
      </c>
    </row>
    <row r="3927" spans="1:5" ht="36" customHeight="1" x14ac:dyDescent="0.25">
      <c r="A3927" s="16">
        <v>3956</v>
      </c>
      <c r="B3927" s="19" t="s">
        <v>7606</v>
      </c>
      <c r="C3927" s="19" t="s">
        <v>7607</v>
      </c>
      <c r="D3927" s="19" t="s">
        <v>7008</v>
      </c>
      <c r="E3927" s="19" t="s">
        <v>7620</v>
      </c>
    </row>
    <row r="3928" spans="1:5" ht="36" customHeight="1" x14ac:dyDescent="0.25">
      <c r="A3928" s="16">
        <v>3957</v>
      </c>
      <c r="B3928" s="19" t="s">
        <v>7606</v>
      </c>
      <c r="C3928" s="19" t="s">
        <v>7607</v>
      </c>
      <c r="D3928" s="19" t="s">
        <v>7008</v>
      </c>
      <c r="E3928" s="19" t="s">
        <v>7621</v>
      </c>
    </row>
    <row r="3929" spans="1:5" ht="36" customHeight="1" x14ac:dyDescent="0.25">
      <c r="A3929" s="16">
        <v>3958</v>
      </c>
      <c r="B3929" s="19" t="s">
        <v>7606</v>
      </c>
      <c r="C3929" s="19" t="s">
        <v>7607</v>
      </c>
      <c r="D3929" s="19" t="s">
        <v>7008</v>
      </c>
      <c r="E3929" s="19" t="s">
        <v>7622</v>
      </c>
    </row>
    <row r="3930" spans="1:5" ht="36" customHeight="1" x14ac:dyDescent="0.25">
      <c r="A3930" s="16">
        <v>3959</v>
      </c>
      <c r="B3930" s="19" t="s">
        <v>7606</v>
      </c>
      <c r="C3930" s="19" t="s">
        <v>7607</v>
      </c>
      <c r="D3930" s="19" t="s">
        <v>7008</v>
      </c>
      <c r="E3930" s="19" t="s">
        <v>7623</v>
      </c>
    </row>
    <row r="3931" spans="1:5" ht="36" customHeight="1" x14ac:dyDescent="0.25">
      <c r="A3931" s="16">
        <v>3960</v>
      </c>
      <c r="B3931" s="19" t="s">
        <v>7606</v>
      </c>
      <c r="C3931" s="19" t="s">
        <v>7607</v>
      </c>
      <c r="D3931" s="19" t="s">
        <v>7008</v>
      </c>
      <c r="E3931" s="19" t="s">
        <v>7624</v>
      </c>
    </row>
    <row r="3932" spans="1:5" ht="36" customHeight="1" x14ac:dyDescent="0.25">
      <c r="A3932" s="16">
        <v>3961</v>
      </c>
      <c r="B3932" s="19" t="s">
        <v>7606</v>
      </c>
      <c r="C3932" s="19" t="s">
        <v>7607</v>
      </c>
      <c r="D3932" s="19" t="s">
        <v>7008</v>
      </c>
      <c r="E3932" s="19" t="s">
        <v>7625</v>
      </c>
    </row>
    <row r="3933" spans="1:5" ht="36" customHeight="1" x14ac:dyDescent="0.25">
      <c r="A3933" s="16">
        <v>3962</v>
      </c>
      <c r="B3933" s="19" t="s">
        <v>7606</v>
      </c>
      <c r="C3933" s="19" t="s">
        <v>7607</v>
      </c>
      <c r="D3933" s="19" t="s">
        <v>7008</v>
      </c>
      <c r="E3933" s="19" t="s">
        <v>7626</v>
      </c>
    </row>
    <row r="3934" spans="1:5" ht="36" customHeight="1" x14ac:dyDescent="0.25">
      <c r="A3934" s="16">
        <v>3963</v>
      </c>
      <c r="B3934" s="19" t="s">
        <v>7606</v>
      </c>
      <c r="C3934" s="19" t="s">
        <v>7607</v>
      </c>
      <c r="D3934" s="19" t="s">
        <v>7008</v>
      </c>
      <c r="E3934" s="19" t="s">
        <v>7627</v>
      </c>
    </row>
    <row r="3935" spans="1:5" ht="36" customHeight="1" x14ac:dyDescent="0.25">
      <c r="A3935" s="16">
        <v>3964</v>
      </c>
      <c r="B3935" s="19" t="s">
        <v>7606</v>
      </c>
      <c r="C3935" s="19" t="s">
        <v>7607</v>
      </c>
      <c r="D3935" s="19" t="s">
        <v>7008</v>
      </c>
      <c r="E3935" s="19" t="s">
        <v>7628</v>
      </c>
    </row>
    <row r="3936" spans="1:5" ht="36" customHeight="1" x14ac:dyDescent="0.25">
      <c r="A3936" s="16">
        <v>3965</v>
      </c>
      <c r="B3936" s="19" t="s">
        <v>7606</v>
      </c>
      <c r="C3936" s="19" t="s">
        <v>7607</v>
      </c>
      <c r="D3936" s="19" t="s">
        <v>7008</v>
      </c>
      <c r="E3936" s="19" t="s">
        <v>7629</v>
      </c>
    </row>
    <row r="3937" spans="1:5" ht="36" customHeight="1" x14ac:dyDescent="0.25">
      <c r="A3937" s="16">
        <v>3966</v>
      </c>
      <c r="B3937" s="19" t="s">
        <v>7606</v>
      </c>
      <c r="C3937" s="19" t="s">
        <v>7607</v>
      </c>
      <c r="D3937" s="19" t="s">
        <v>7008</v>
      </c>
      <c r="E3937" s="19" t="s">
        <v>7630</v>
      </c>
    </row>
    <row r="3938" spans="1:5" ht="36" customHeight="1" x14ac:dyDescent="0.25">
      <c r="A3938" s="16">
        <v>3967</v>
      </c>
      <c r="B3938" s="19" t="s">
        <v>7606</v>
      </c>
      <c r="C3938" s="19" t="s">
        <v>7607</v>
      </c>
      <c r="D3938" s="19" t="s">
        <v>7008</v>
      </c>
      <c r="E3938" s="19" t="s">
        <v>7631</v>
      </c>
    </row>
    <row r="3939" spans="1:5" ht="36" customHeight="1" x14ac:dyDescent="0.25">
      <c r="A3939" s="16">
        <v>3968</v>
      </c>
      <c r="B3939" s="19" t="s">
        <v>7606</v>
      </c>
      <c r="C3939" s="19" t="s">
        <v>7607</v>
      </c>
      <c r="D3939" s="19" t="s">
        <v>7008</v>
      </c>
      <c r="E3939" s="19" t="s">
        <v>7632</v>
      </c>
    </row>
    <row r="3940" spans="1:5" ht="36" customHeight="1" x14ac:dyDescent="0.25">
      <c r="A3940" s="16">
        <v>3969</v>
      </c>
      <c r="B3940" s="19" t="s">
        <v>7606</v>
      </c>
      <c r="C3940" s="19" t="s">
        <v>7607</v>
      </c>
      <c r="D3940" s="19" t="s">
        <v>7008</v>
      </c>
      <c r="E3940" s="19" t="s">
        <v>7633</v>
      </c>
    </row>
    <row r="3941" spans="1:5" ht="36" customHeight="1" x14ac:dyDescent="0.25">
      <c r="A3941" s="16">
        <v>3970</v>
      </c>
      <c r="B3941" s="19" t="s">
        <v>7606</v>
      </c>
      <c r="C3941" s="19" t="s">
        <v>7607</v>
      </c>
      <c r="D3941" s="19" t="s">
        <v>7008</v>
      </c>
      <c r="E3941" s="19" t="s">
        <v>7634</v>
      </c>
    </row>
    <row r="3942" spans="1:5" ht="36" customHeight="1" x14ac:dyDescent="0.25">
      <c r="A3942" s="16">
        <v>3971</v>
      </c>
      <c r="B3942" s="19" t="s">
        <v>7606</v>
      </c>
      <c r="C3942" s="19" t="s">
        <v>7607</v>
      </c>
      <c r="D3942" s="19" t="s">
        <v>7008</v>
      </c>
      <c r="E3942" s="19" t="s">
        <v>7635</v>
      </c>
    </row>
    <row r="3943" spans="1:5" ht="36" customHeight="1" x14ac:dyDescent="0.25">
      <c r="A3943" s="16">
        <v>3972</v>
      </c>
      <c r="B3943" s="19" t="s">
        <v>7606</v>
      </c>
      <c r="C3943" s="19" t="s">
        <v>7607</v>
      </c>
      <c r="D3943" s="19" t="s">
        <v>7008</v>
      </c>
      <c r="E3943" s="19" t="s">
        <v>7636</v>
      </c>
    </row>
    <row r="3944" spans="1:5" ht="36" customHeight="1" x14ac:dyDescent="0.25">
      <c r="A3944" s="16">
        <v>3973</v>
      </c>
      <c r="B3944" s="19" t="s">
        <v>7606</v>
      </c>
      <c r="C3944" s="19" t="s">
        <v>7607</v>
      </c>
      <c r="D3944" s="19" t="s">
        <v>5446</v>
      </c>
      <c r="E3944" s="19" t="s">
        <v>7637</v>
      </c>
    </row>
    <row r="3945" spans="1:5" ht="36" customHeight="1" x14ac:dyDescent="0.25">
      <c r="A3945" s="16">
        <v>3974</v>
      </c>
      <c r="B3945" s="19" t="s">
        <v>7606</v>
      </c>
      <c r="C3945" s="19" t="s">
        <v>7607</v>
      </c>
      <c r="D3945" s="19" t="s">
        <v>5446</v>
      </c>
      <c r="E3945" s="19" t="s">
        <v>7638</v>
      </c>
    </row>
    <row r="3946" spans="1:5" ht="36" customHeight="1" x14ac:dyDescent="0.25">
      <c r="A3946" s="16">
        <v>3975</v>
      </c>
      <c r="B3946" s="19" t="s">
        <v>7606</v>
      </c>
      <c r="C3946" s="19" t="s">
        <v>7607</v>
      </c>
      <c r="D3946" s="19" t="s">
        <v>5446</v>
      </c>
      <c r="E3946" s="19" t="s">
        <v>7639</v>
      </c>
    </row>
    <row r="3947" spans="1:5" ht="36" customHeight="1" x14ac:dyDescent="0.25">
      <c r="A3947" s="16">
        <v>3976</v>
      </c>
      <c r="B3947" s="19" t="s">
        <v>7606</v>
      </c>
      <c r="C3947" s="19" t="s">
        <v>7607</v>
      </c>
      <c r="D3947" s="19" t="s">
        <v>5446</v>
      </c>
      <c r="E3947" s="19" t="s">
        <v>7640</v>
      </c>
    </row>
    <row r="3948" spans="1:5" ht="36" customHeight="1" x14ac:dyDescent="0.25">
      <c r="A3948" s="16">
        <v>3977</v>
      </c>
      <c r="B3948" s="19" t="s">
        <v>7606</v>
      </c>
      <c r="C3948" s="19" t="s">
        <v>7607</v>
      </c>
      <c r="D3948" s="19" t="s">
        <v>5446</v>
      </c>
      <c r="E3948" s="19" t="s">
        <v>7641</v>
      </c>
    </row>
    <row r="3949" spans="1:5" ht="36" customHeight="1" x14ac:dyDescent="0.25">
      <c r="A3949" s="16">
        <v>3978</v>
      </c>
      <c r="B3949" s="19" t="s">
        <v>7606</v>
      </c>
      <c r="C3949" s="19" t="s">
        <v>7607</v>
      </c>
      <c r="D3949" s="19" t="s">
        <v>5446</v>
      </c>
      <c r="E3949" s="19" t="s">
        <v>7642</v>
      </c>
    </row>
    <row r="3950" spans="1:5" ht="36" customHeight="1" x14ac:dyDescent="0.25">
      <c r="A3950" s="16">
        <v>3979</v>
      </c>
      <c r="B3950" s="19" t="s">
        <v>7606</v>
      </c>
      <c r="C3950" s="19" t="s">
        <v>7607</v>
      </c>
      <c r="D3950" s="19" t="s">
        <v>5446</v>
      </c>
      <c r="E3950" s="19" t="s">
        <v>7643</v>
      </c>
    </row>
    <row r="3951" spans="1:5" ht="36" customHeight="1" x14ac:dyDescent="0.25">
      <c r="A3951" s="16">
        <v>3980</v>
      </c>
      <c r="B3951" s="19" t="s">
        <v>7606</v>
      </c>
      <c r="C3951" s="19" t="s">
        <v>7607</v>
      </c>
      <c r="D3951" s="19" t="s">
        <v>5446</v>
      </c>
      <c r="E3951" s="19" t="s">
        <v>7644</v>
      </c>
    </row>
    <row r="3952" spans="1:5" ht="36" customHeight="1" x14ac:dyDescent="0.25">
      <c r="A3952" s="16">
        <v>3981</v>
      </c>
      <c r="B3952" s="19" t="s">
        <v>7606</v>
      </c>
      <c r="C3952" s="19" t="s">
        <v>7607</v>
      </c>
      <c r="D3952" s="19" t="s">
        <v>5446</v>
      </c>
      <c r="E3952" s="19" t="s">
        <v>7645</v>
      </c>
    </row>
    <row r="3953" spans="1:5" ht="36" customHeight="1" x14ac:dyDescent="0.25">
      <c r="A3953" s="16">
        <v>3982</v>
      </c>
      <c r="B3953" s="19" t="s">
        <v>7606</v>
      </c>
      <c r="C3953" s="19" t="s">
        <v>7607</v>
      </c>
      <c r="D3953" s="19" t="s">
        <v>5446</v>
      </c>
      <c r="E3953" s="19" t="s">
        <v>7646</v>
      </c>
    </row>
    <row r="3954" spans="1:5" ht="36" customHeight="1" x14ac:dyDescent="0.25">
      <c r="A3954" s="16">
        <v>3983</v>
      </c>
      <c r="B3954" s="19" t="s">
        <v>7606</v>
      </c>
      <c r="C3954" s="19" t="s">
        <v>7607</v>
      </c>
      <c r="D3954" s="19" t="s">
        <v>5446</v>
      </c>
      <c r="E3954" s="19" t="s">
        <v>7647</v>
      </c>
    </row>
    <row r="3955" spans="1:5" ht="36" customHeight="1" x14ac:dyDescent="0.25">
      <c r="A3955" s="16">
        <v>3984</v>
      </c>
      <c r="B3955" s="19" t="s">
        <v>7606</v>
      </c>
      <c r="C3955" s="19" t="s">
        <v>7607</v>
      </c>
      <c r="D3955" s="19" t="s">
        <v>5446</v>
      </c>
      <c r="E3955" s="19" t="s">
        <v>7648</v>
      </c>
    </row>
    <row r="3956" spans="1:5" ht="36" customHeight="1" x14ac:dyDescent="0.25">
      <c r="A3956" s="16">
        <v>3985</v>
      </c>
      <c r="B3956" s="19" t="s">
        <v>7606</v>
      </c>
      <c r="C3956" s="19" t="s">
        <v>7607</v>
      </c>
      <c r="D3956" s="19" t="s">
        <v>5446</v>
      </c>
      <c r="E3956" s="19" t="s">
        <v>7649</v>
      </c>
    </row>
    <row r="3957" spans="1:5" ht="36" customHeight="1" x14ac:dyDescent="0.25">
      <c r="A3957" s="16">
        <v>3986</v>
      </c>
      <c r="B3957" s="19" t="s">
        <v>7606</v>
      </c>
      <c r="C3957" s="19" t="s">
        <v>7607</v>
      </c>
      <c r="D3957" s="19" t="s">
        <v>5446</v>
      </c>
      <c r="E3957" s="19" t="s">
        <v>7650</v>
      </c>
    </row>
    <row r="3958" spans="1:5" ht="36" customHeight="1" x14ac:dyDescent="0.25">
      <c r="A3958" s="16">
        <v>3987</v>
      </c>
      <c r="B3958" s="19" t="s">
        <v>7606</v>
      </c>
      <c r="C3958" s="19" t="s">
        <v>7607</v>
      </c>
      <c r="D3958" s="19" t="s">
        <v>5446</v>
      </c>
      <c r="E3958" s="19" t="s">
        <v>7651</v>
      </c>
    </row>
    <row r="3959" spans="1:5" ht="36" customHeight="1" x14ac:dyDescent="0.25">
      <c r="A3959" s="16">
        <v>3988</v>
      </c>
      <c r="B3959" s="19" t="s">
        <v>7606</v>
      </c>
      <c r="C3959" s="19" t="s">
        <v>7607</v>
      </c>
      <c r="D3959" s="19" t="s">
        <v>5446</v>
      </c>
      <c r="E3959" s="19" t="s">
        <v>7652</v>
      </c>
    </row>
    <row r="3960" spans="1:5" ht="36" customHeight="1" x14ac:dyDescent="0.25">
      <c r="A3960" s="16">
        <v>3989</v>
      </c>
      <c r="B3960" s="19" t="s">
        <v>7606</v>
      </c>
      <c r="C3960" s="19" t="s">
        <v>7607</v>
      </c>
      <c r="D3960" s="19" t="s">
        <v>5464</v>
      </c>
      <c r="E3960" s="19" t="s">
        <v>7653</v>
      </c>
    </row>
    <row r="3961" spans="1:5" ht="36" customHeight="1" x14ac:dyDescent="0.25">
      <c r="A3961" s="16">
        <v>3990</v>
      </c>
      <c r="B3961" s="19" t="s">
        <v>7606</v>
      </c>
      <c r="C3961" s="19" t="s">
        <v>7607</v>
      </c>
      <c r="D3961" s="19" t="s">
        <v>5464</v>
      </c>
      <c r="E3961" s="19" t="s">
        <v>7654</v>
      </c>
    </row>
    <row r="3962" spans="1:5" ht="36" customHeight="1" x14ac:dyDescent="0.25">
      <c r="A3962" s="16">
        <v>3991</v>
      </c>
      <c r="B3962" s="19" t="s">
        <v>7606</v>
      </c>
      <c r="C3962" s="19" t="s">
        <v>7607</v>
      </c>
      <c r="D3962" s="19" t="s">
        <v>5464</v>
      </c>
      <c r="E3962" s="19" t="s">
        <v>7655</v>
      </c>
    </row>
    <row r="3963" spans="1:5" ht="36" customHeight="1" x14ac:dyDescent="0.25">
      <c r="A3963" s="16">
        <v>3992</v>
      </c>
      <c r="B3963" s="19" t="s">
        <v>7606</v>
      </c>
      <c r="C3963" s="19" t="s">
        <v>7607</v>
      </c>
      <c r="D3963" s="19" t="s">
        <v>5464</v>
      </c>
      <c r="E3963" s="19" t="s">
        <v>7656</v>
      </c>
    </row>
    <row r="3964" spans="1:5" ht="36" customHeight="1" x14ac:dyDescent="0.25">
      <c r="A3964" s="16">
        <v>3993</v>
      </c>
      <c r="B3964" s="19" t="s">
        <v>7606</v>
      </c>
      <c r="C3964" s="19" t="s">
        <v>7607</v>
      </c>
      <c r="D3964" s="19" t="s">
        <v>5464</v>
      </c>
      <c r="E3964" s="19" t="s">
        <v>7657</v>
      </c>
    </row>
    <row r="3965" spans="1:5" ht="36" customHeight="1" x14ac:dyDescent="0.25">
      <c r="A3965" s="16">
        <v>3994</v>
      </c>
      <c r="B3965" s="19" t="s">
        <v>7606</v>
      </c>
      <c r="C3965" s="19" t="s">
        <v>7607</v>
      </c>
      <c r="D3965" s="19" t="s">
        <v>5464</v>
      </c>
      <c r="E3965" s="19" t="s">
        <v>7658</v>
      </c>
    </row>
    <row r="3966" spans="1:5" ht="36" customHeight="1" x14ac:dyDescent="0.25">
      <c r="A3966" s="16">
        <v>3995</v>
      </c>
      <c r="B3966" s="19" t="s">
        <v>7606</v>
      </c>
      <c r="C3966" s="19" t="s">
        <v>7607</v>
      </c>
      <c r="D3966" s="19" t="s">
        <v>5464</v>
      </c>
      <c r="E3966" s="19" t="s">
        <v>7659</v>
      </c>
    </row>
    <row r="3967" spans="1:5" ht="36" customHeight="1" x14ac:dyDescent="0.25">
      <c r="A3967" s="16">
        <v>3996</v>
      </c>
      <c r="B3967" s="19" t="s">
        <v>7606</v>
      </c>
      <c r="C3967" s="19" t="s">
        <v>7607</v>
      </c>
      <c r="D3967" s="19" t="s">
        <v>5464</v>
      </c>
      <c r="E3967" s="19" t="s">
        <v>7660</v>
      </c>
    </row>
    <row r="3968" spans="1:5" ht="36" customHeight="1" x14ac:dyDescent="0.25">
      <c r="A3968" s="16">
        <v>3997</v>
      </c>
      <c r="B3968" s="19" t="s">
        <v>7606</v>
      </c>
      <c r="C3968" s="19" t="s">
        <v>7607</v>
      </c>
      <c r="D3968" s="19" t="s">
        <v>5464</v>
      </c>
      <c r="E3968" s="19" t="s">
        <v>7661</v>
      </c>
    </row>
    <row r="3969" spans="1:5" ht="36" customHeight="1" x14ac:dyDescent="0.25">
      <c r="A3969" s="16">
        <v>3998</v>
      </c>
      <c r="B3969" s="19" t="s">
        <v>7606</v>
      </c>
      <c r="C3969" s="19" t="s">
        <v>7607</v>
      </c>
      <c r="D3969" s="19" t="s">
        <v>5464</v>
      </c>
      <c r="E3969" s="19" t="s">
        <v>7662</v>
      </c>
    </row>
    <row r="3970" spans="1:5" ht="36" customHeight="1" x14ac:dyDescent="0.25">
      <c r="A3970" s="16">
        <v>3999</v>
      </c>
      <c r="B3970" s="19" t="s">
        <v>7606</v>
      </c>
      <c r="C3970" s="19" t="s">
        <v>7607</v>
      </c>
      <c r="D3970" s="19" t="s">
        <v>5464</v>
      </c>
      <c r="E3970" s="19" t="s">
        <v>7663</v>
      </c>
    </row>
    <row r="3971" spans="1:5" ht="36" customHeight="1" x14ac:dyDescent="0.25">
      <c r="A3971" s="16">
        <v>4000</v>
      </c>
      <c r="B3971" s="19" t="s">
        <v>7606</v>
      </c>
      <c r="C3971" s="19" t="s">
        <v>7607</v>
      </c>
      <c r="D3971" s="19" t="s">
        <v>5464</v>
      </c>
      <c r="E3971" s="19" t="s">
        <v>7664</v>
      </c>
    </row>
    <row r="3972" spans="1:5" ht="36" customHeight="1" x14ac:dyDescent="0.25">
      <c r="A3972" s="16">
        <v>4001</v>
      </c>
      <c r="B3972" s="19" t="s">
        <v>7606</v>
      </c>
      <c r="C3972" s="19" t="s">
        <v>7607</v>
      </c>
      <c r="D3972" s="19" t="s">
        <v>5464</v>
      </c>
      <c r="E3972" s="19" t="s">
        <v>7665</v>
      </c>
    </row>
    <row r="3973" spans="1:5" ht="36" customHeight="1" x14ac:dyDescent="0.25">
      <c r="A3973" s="16">
        <v>4002</v>
      </c>
      <c r="B3973" s="19" t="s">
        <v>7606</v>
      </c>
      <c r="C3973" s="19" t="s">
        <v>7607</v>
      </c>
      <c r="D3973" s="19" t="s">
        <v>5464</v>
      </c>
      <c r="E3973" s="19" t="s">
        <v>7666</v>
      </c>
    </row>
    <row r="3974" spans="1:5" ht="36" customHeight="1" x14ac:dyDescent="0.25">
      <c r="A3974" s="16">
        <v>4003</v>
      </c>
      <c r="B3974" s="19" t="s">
        <v>7606</v>
      </c>
      <c r="C3974" s="19" t="s">
        <v>7607</v>
      </c>
      <c r="D3974" s="19" t="s">
        <v>5464</v>
      </c>
      <c r="E3974" s="19" t="s">
        <v>7667</v>
      </c>
    </row>
    <row r="3975" spans="1:5" ht="36" customHeight="1" x14ac:dyDescent="0.25">
      <c r="A3975" s="16">
        <v>4004</v>
      </c>
      <c r="B3975" s="19" t="s">
        <v>7606</v>
      </c>
      <c r="C3975" s="19" t="s">
        <v>7607</v>
      </c>
      <c r="D3975" s="19" t="s">
        <v>5464</v>
      </c>
      <c r="E3975" s="19" t="s">
        <v>7668</v>
      </c>
    </row>
    <row r="3976" spans="1:5" ht="36" customHeight="1" x14ac:dyDescent="0.25">
      <c r="A3976" s="16">
        <v>4005</v>
      </c>
      <c r="B3976" s="19" t="s">
        <v>7606</v>
      </c>
      <c r="C3976" s="19" t="s">
        <v>7607</v>
      </c>
      <c r="D3976" s="19" t="s">
        <v>5464</v>
      </c>
      <c r="E3976" s="19" t="s">
        <v>7669</v>
      </c>
    </row>
    <row r="3977" spans="1:5" ht="36" customHeight="1" x14ac:dyDescent="0.25">
      <c r="A3977" s="16">
        <v>4006</v>
      </c>
      <c r="B3977" s="19" t="s">
        <v>7606</v>
      </c>
      <c r="C3977" s="19" t="s">
        <v>7607</v>
      </c>
      <c r="D3977" s="19" t="s">
        <v>5464</v>
      </c>
      <c r="E3977" s="19" t="s">
        <v>7670</v>
      </c>
    </row>
    <row r="3978" spans="1:5" ht="36" customHeight="1" x14ac:dyDescent="0.25">
      <c r="A3978" s="16">
        <v>4007</v>
      </c>
      <c r="B3978" s="19" t="s">
        <v>7606</v>
      </c>
      <c r="C3978" s="19" t="s">
        <v>7607</v>
      </c>
      <c r="D3978" s="19" t="s">
        <v>5464</v>
      </c>
      <c r="E3978" s="19" t="s">
        <v>7671</v>
      </c>
    </row>
    <row r="3979" spans="1:5" ht="36" customHeight="1" x14ac:dyDescent="0.25">
      <c r="A3979" s="16">
        <v>4008</v>
      </c>
      <c r="B3979" s="19" t="s">
        <v>7606</v>
      </c>
      <c r="C3979" s="19" t="s">
        <v>7607</v>
      </c>
      <c r="D3979" s="19" t="s">
        <v>5464</v>
      </c>
      <c r="E3979" s="19" t="s">
        <v>7672</v>
      </c>
    </row>
    <row r="3980" spans="1:5" ht="36" customHeight="1" x14ac:dyDescent="0.25">
      <c r="A3980" s="16">
        <v>4009</v>
      </c>
      <c r="B3980" s="19" t="s">
        <v>7606</v>
      </c>
      <c r="C3980" s="19" t="s">
        <v>7607</v>
      </c>
      <c r="D3980" s="19" t="s">
        <v>5464</v>
      </c>
      <c r="E3980" s="19" t="s">
        <v>7673</v>
      </c>
    </row>
    <row r="3981" spans="1:5" ht="36" customHeight="1" x14ac:dyDescent="0.25">
      <c r="A3981" s="16">
        <v>4010</v>
      </c>
      <c r="B3981" s="19" t="s">
        <v>7606</v>
      </c>
      <c r="C3981" s="19" t="s">
        <v>7607</v>
      </c>
      <c r="D3981" s="19" t="s">
        <v>5464</v>
      </c>
      <c r="E3981" s="19" t="s">
        <v>7674</v>
      </c>
    </row>
    <row r="3982" spans="1:5" ht="36" customHeight="1" x14ac:dyDescent="0.25">
      <c r="A3982" s="16">
        <v>4011</v>
      </c>
      <c r="B3982" s="19" t="s">
        <v>7606</v>
      </c>
      <c r="C3982" s="19" t="s">
        <v>7607</v>
      </c>
      <c r="D3982" s="19" t="s">
        <v>7048</v>
      </c>
      <c r="E3982" s="19" t="s">
        <v>7675</v>
      </c>
    </row>
    <row r="3983" spans="1:5" ht="36" customHeight="1" x14ac:dyDescent="0.25">
      <c r="A3983" s="16">
        <v>4012</v>
      </c>
      <c r="B3983" s="19" t="s">
        <v>7606</v>
      </c>
      <c r="C3983" s="19" t="s">
        <v>7607</v>
      </c>
      <c r="D3983" s="19" t="s">
        <v>7048</v>
      </c>
      <c r="E3983" s="19" t="s">
        <v>7676</v>
      </c>
    </row>
    <row r="3984" spans="1:5" ht="36" customHeight="1" x14ac:dyDescent="0.25">
      <c r="A3984" s="16">
        <v>4013</v>
      </c>
      <c r="B3984" s="19" t="s">
        <v>7606</v>
      </c>
      <c r="C3984" s="19" t="s">
        <v>7607</v>
      </c>
      <c r="D3984" s="19" t="s">
        <v>7048</v>
      </c>
      <c r="E3984" s="19" t="s">
        <v>7677</v>
      </c>
    </row>
    <row r="3985" spans="1:5" ht="36" customHeight="1" x14ac:dyDescent="0.25">
      <c r="A3985" s="16">
        <v>4014</v>
      </c>
      <c r="B3985" s="19" t="s">
        <v>7606</v>
      </c>
      <c r="C3985" s="19" t="s">
        <v>7607</v>
      </c>
      <c r="D3985" s="19" t="s">
        <v>7048</v>
      </c>
      <c r="E3985" s="19" t="s">
        <v>7678</v>
      </c>
    </row>
    <row r="3986" spans="1:5" ht="36" customHeight="1" x14ac:dyDescent="0.25">
      <c r="A3986" s="16">
        <v>4015</v>
      </c>
      <c r="B3986" s="19" t="s">
        <v>7606</v>
      </c>
      <c r="C3986" s="19" t="s">
        <v>7607</v>
      </c>
      <c r="D3986" s="19" t="s">
        <v>7048</v>
      </c>
      <c r="E3986" s="19" t="s">
        <v>7679</v>
      </c>
    </row>
    <row r="3987" spans="1:5" ht="36" customHeight="1" x14ac:dyDescent="0.25">
      <c r="A3987" s="16">
        <v>4016</v>
      </c>
      <c r="B3987" s="19" t="s">
        <v>7606</v>
      </c>
      <c r="C3987" s="19" t="s">
        <v>7607</v>
      </c>
      <c r="D3987" s="19" t="s">
        <v>7048</v>
      </c>
      <c r="E3987" s="19" t="s">
        <v>7680</v>
      </c>
    </row>
    <row r="3988" spans="1:5" ht="36" customHeight="1" x14ac:dyDescent="0.25">
      <c r="A3988" s="16">
        <v>4017</v>
      </c>
      <c r="B3988" s="19" t="s">
        <v>7606</v>
      </c>
      <c r="C3988" s="19" t="s">
        <v>7607</v>
      </c>
      <c r="D3988" s="19" t="s">
        <v>7048</v>
      </c>
      <c r="E3988" s="19" t="s">
        <v>7681</v>
      </c>
    </row>
    <row r="3989" spans="1:5" ht="36" customHeight="1" x14ac:dyDescent="0.25">
      <c r="A3989" s="16">
        <v>4018</v>
      </c>
      <c r="B3989" s="19" t="s">
        <v>7606</v>
      </c>
      <c r="C3989" s="19" t="s">
        <v>7607</v>
      </c>
      <c r="D3989" s="19" t="s">
        <v>7048</v>
      </c>
      <c r="E3989" s="19" t="s">
        <v>7682</v>
      </c>
    </row>
    <row r="3990" spans="1:5" ht="36" customHeight="1" x14ac:dyDescent="0.25">
      <c r="A3990" s="16">
        <v>4019</v>
      </c>
      <c r="B3990" s="19" t="s">
        <v>7606</v>
      </c>
      <c r="C3990" s="19" t="s">
        <v>7607</v>
      </c>
      <c r="D3990" s="19" t="s">
        <v>7048</v>
      </c>
      <c r="E3990" s="19" t="s">
        <v>7683</v>
      </c>
    </row>
    <row r="3991" spans="1:5" ht="36" customHeight="1" x14ac:dyDescent="0.25">
      <c r="A3991" s="16">
        <v>4020</v>
      </c>
      <c r="B3991" s="19" t="s">
        <v>7606</v>
      </c>
      <c r="C3991" s="19" t="s">
        <v>7607</v>
      </c>
      <c r="D3991" s="19" t="s">
        <v>7048</v>
      </c>
      <c r="E3991" s="19" t="s">
        <v>7684</v>
      </c>
    </row>
    <row r="3992" spans="1:5" ht="36" customHeight="1" x14ac:dyDescent="0.25">
      <c r="A3992" s="16">
        <v>4021</v>
      </c>
      <c r="B3992" s="19" t="s">
        <v>7606</v>
      </c>
      <c r="C3992" s="19" t="s">
        <v>7607</v>
      </c>
      <c r="D3992" s="19" t="s">
        <v>7048</v>
      </c>
      <c r="E3992" s="19" t="s">
        <v>7685</v>
      </c>
    </row>
    <row r="3993" spans="1:5" ht="36" customHeight="1" x14ac:dyDescent="0.25">
      <c r="A3993" s="16">
        <v>4022</v>
      </c>
      <c r="B3993" s="19" t="s">
        <v>7606</v>
      </c>
      <c r="C3993" s="19" t="s">
        <v>7607</v>
      </c>
      <c r="D3993" s="19" t="s">
        <v>7048</v>
      </c>
      <c r="E3993" s="19" t="s">
        <v>7686</v>
      </c>
    </row>
    <row r="3994" spans="1:5" ht="36" customHeight="1" x14ac:dyDescent="0.25">
      <c r="A3994" s="16">
        <v>4023</v>
      </c>
      <c r="B3994" s="19" t="s">
        <v>7606</v>
      </c>
      <c r="C3994" s="19" t="s">
        <v>7607</v>
      </c>
      <c r="D3994" s="19" t="s">
        <v>7048</v>
      </c>
      <c r="E3994" s="19" t="s">
        <v>7687</v>
      </c>
    </row>
    <row r="3995" spans="1:5" ht="36" customHeight="1" x14ac:dyDescent="0.25">
      <c r="A3995" s="16">
        <v>4024</v>
      </c>
      <c r="B3995" s="19" t="s">
        <v>7606</v>
      </c>
      <c r="C3995" s="19" t="s">
        <v>7607</v>
      </c>
      <c r="D3995" s="19" t="s">
        <v>7048</v>
      </c>
      <c r="E3995" s="19" t="s">
        <v>7688</v>
      </c>
    </row>
    <row r="3996" spans="1:5" ht="36" customHeight="1" x14ac:dyDescent="0.25">
      <c r="A3996" s="16">
        <v>4025</v>
      </c>
      <c r="B3996" s="19" t="s">
        <v>7606</v>
      </c>
      <c r="C3996" s="19" t="s">
        <v>7607</v>
      </c>
      <c r="D3996" s="19" t="s">
        <v>7048</v>
      </c>
      <c r="E3996" s="19" t="s">
        <v>7689</v>
      </c>
    </row>
    <row r="3997" spans="1:5" ht="36" customHeight="1" x14ac:dyDescent="0.25">
      <c r="A3997" s="16">
        <v>4026</v>
      </c>
      <c r="B3997" s="19" t="s">
        <v>7606</v>
      </c>
      <c r="C3997" s="19" t="s">
        <v>7607</v>
      </c>
      <c r="D3997" s="19" t="s">
        <v>7048</v>
      </c>
      <c r="E3997" s="19" t="s">
        <v>7690</v>
      </c>
    </row>
    <row r="3998" spans="1:5" ht="36" customHeight="1" x14ac:dyDescent="0.25">
      <c r="A3998" s="16">
        <v>4027</v>
      </c>
      <c r="B3998" s="19" t="s">
        <v>7606</v>
      </c>
      <c r="C3998" s="19" t="s">
        <v>7607</v>
      </c>
      <c r="D3998" s="19" t="s">
        <v>7048</v>
      </c>
      <c r="E3998" s="19" t="s">
        <v>7691</v>
      </c>
    </row>
    <row r="3999" spans="1:5" ht="36" customHeight="1" x14ac:dyDescent="0.25">
      <c r="A3999" s="16">
        <v>4028</v>
      </c>
      <c r="B3999" s="19" t="s">
        <v>7606</v>
      </c>
      <c r="C3999" s="19" t="s">
        <v>7607</v>
      </c>
      <c r="D3999" s="19" t="s">
        <v>7048</v>
      </c>
      <c r="E3999" s="19" t="s">
        <v>7692</v>
      </c>
    </row>
    <row r="4000" spans="1:5" ht="36" customHeight="1" x14ac:dyDescent="0.25">
      <c r="A4000" s="16">
        <v>4029</v>
      </c>
      <c r="B4000" s="19" t="s">
        <v>7606</v>
      </c>
      <c r="C4000" s="19" t="s">
        <v>7607</v>
      </c>
      <c r="D4000" s="19" t="s">
        <v>7061</v>
      </c>
      <c r="E4000" s="19" t="s">
        <v>7693</v>
      </c>
    </row>
    <row r="4001" spans="1:5" ht="36" customHeight="1" x14ac:dyDescent="0.25">
      <c r="A4001" s="16">
        <v>4030</v>
      </c>
      <c r="B4001" s="19" t="s">
        <v>7606</v>
      </c>
      <c r="C4001" s="19" t="s">
        <v>7607</v>
      </c>
      <c r="D4001" s="19" t="s">
        <v>7061</v>
      </c>
      <c r="E4001" s="19" t="s">
        <v>7694</v>
      </c>
    </row>
    <row r="4002" spans="1:5" ht="36" customHeight="1" x14ac:dyDescent="0.25">
      <c r="A4002" s="16">
        <v>4031</v>
      </c>
      <c r="B4002" s="19" t="s">
        <v>7606</v>
      </c>
      <c r="C4002" s="19" t="s">
        <v>7607</v>
      </c>
      <c r="D4002" s="19" t="s">
        <v>7061</v>
      </c>
      <c r="E4002" s="19" t="s">
        <v>7695</v>
      </c>
    </row>
    <row r="4003" spans="1:5" ht="36" customHeight="1" x14ac:dyDescent="0.25">
      <c r="A4003" s="16">
        <v>4032</v>
      </c>
      <c r="B4003" s="19" t="s">
        <v>7606</v>
      </c>
      <c r="C4003" s="19" t="s">
        <v>7607</v>
      </c>
      <c r="D4003" s="19" t="s">
        <v>7061</v>
      </c>
      <c r="E4003" s="19" t="s">
        <v>7696</v>
      </c>
    </row>
    <row r="4004" spans="1:5" ht="36" customHeight="1" x14ac:dyDescent="0.25">
      <c r="A4004" s="16">
        <v>4033</v>
      </c>
      <c r="B4004" s="19" t="s">
        <v>7606</v>
      </c>
      <c r="C4004" s="19" t="s">
        <v>7607</v>
      </c>
      <c r="D4004" s="19" t="s">
        <v>7061</v>
      </c>
      <c r="E4004" s="19" t="s">
        <v>7697</v>
      </c>
    </row>
    <row r="4005" spans="1:5" ht="36" customHeight="1" x14ac:dyDescent="0.25">
      <c r="A4005" s="16">
        <v>4034</v>
      </c>
      <c r="B4005" s="19" t="s">
        <v>7606</v>
      </c>
      <c r="C4005" s="19" t="s">
        <v>7607</v>
      </c>
      <c r="D4005" s="19" t="s">
        <v>7061</v>
      </c>
      <c r="E4005" s="19" t="s">
        <v>7698</v>
      </c>
    </row>
    <row r="4006" spans="1:5" ht="36" customHeight="1" x14ac:dyDescent="0.25">
      <c r="A4006" s="16">
        <v>4035</v>
      </c>
      <c r="B4006" s="19" t="s">
        <v>7606</v>
      </c>
      <c r="C4006" s="19" t="s">
        <v>7607</v>
      </c>
      <c r="D4006" s="19" t="s">
        <v>7061</v>
      </c>
      <c r="E4006" s="19" t="s">
        <v>7699</v>
      </c>
    </row>
    <row r="4007" spans="1:5" ht="36" customHeight="1" x14ac:dyDescent="0.25">
      <c r="A4007" s="16">
        <v>4036</v>
      </c>
      <c r="B4007" s="19" t="s">
        <v>7606</v>
      </c>
      <c r="C4007" s="19" t="s">
        <v>7607</v>
      </c>
      <c r="D4007" s="19" t="s">
        <v>7061</v>
      </c>
      <c r="E4007" s="19" t="s">
        <v>7700</v>
      </c>
    </row>
    <row r="4008" spans="1:5" ht="36" customHeight="1" x14ac:dyDescent="0.25">
      <c r="A4008" s="16">
        <v>4037</v>
      </c>
      <c r="B4008" s="19" t="s">
        <v>7606</v>
      </c>
      <c r="C4008" s="19" t="s">
        <v>7607</v>
      </c>
      <c r="D4008" s="19" t="s">
        <v>7061</v>
      </c>
      <c r="E4008" s="19" t="s">
        <v>7701</v>
      </c>
    </row>
    <row r="4009" spans="1:5" ht="36" customHeight="1" x14ac:dyDescent="0.25">
      <c r="A4009" s="16">
        <v>4038</v>
      </c>
      <c r="B4009" s="19" t="s">
        <v>7606</v>
      </c>
      <c r="C4009" s="19" t="s">
        <v>7607</v>
      </c>
      <c r="D4009" s="19" t="s">
        <v>7061</v>
      </c>
      <c r="E4009" s="19" t="s">
        <v>7702</v>
      </c>
    </row>
    <row r="4010" spans="1:5" ht="36" customHeight="1" x14ac:dyDescent="0.25">
      <c r="A4010" s="16">
        <v>4039</v>
      </c>
      <c r="B4010" s="19" t="s">
        <v>7606</v>
      </c>
      <c r="C4010" s="19" t="s">
        <v>7607</v>
      </c>
      <c r="D4010" s="19" t="s">
        <v>7061</v>
      </c>
      <c r="E4010" s="19" t="s">
        <v>7703</v>
      </c>
    </row>
    <row r="4011" spans="1:5" ht="36" customHeight="1" x14ac:dyDescent="0.25">
      <c r="A4011" s="16">
        <v>4040</v>
      </c>
      <c r="B4011" s="19" t="s">
        <v>7606</v>
      </c>
      <c r="C4011" s="19" t="s">
        <v>7607</v>
      </c>
      <c r="D4011" s="19" t="s">
        <v>7061</v>
      </c>
      <c r="E4011" s="19" t="s">
        <v>7704</v>
      </c>
    </row>
    <row r="4012" spans="1:5" ht="36" customHeight="1" x14ac:dyDescent="0.25">
      <c r="A4012" s="16">
        <v>4041</v>
      </c>
      <c r="B4012" s="19" t="s">
        <v>7606</v>
      </c>
      <c r="C4012" s="19" t="s">
        <v>7607</v>
      </c>
      <c r="D4012" s="19" t="s">
        <v>7061</v>
      </c>
      <c r="E4012" s="19" t="s">
        <v>7705</v>
      </c>
    </row>
    <row r="4013" spans="1:5" ht="36" customHeight="1" x14ac:dyDescent="0.25">
      <c r="A4013" s="16">
        <v>4042</v>
      </c>
      <c r="B4013" s="19" t="s">
        <v>7606</v>
      </c>
      <c r="C4013" s="19" t="s">
        <v>7607</v>
      </c>
      <c r="D4013" s="19" t="s">
        <v>7061</v>
      </c>
      <c r="E4013" s="19" t="s">
        <v>7706</v>
      </c>
    </row>
    <row r="4014" spans="1:5" ht="36" customHeight="1" x14ac:dyDescent="0.25">
      <c r="A4014" s="16">
        <v>4043</v>
      </c>
      <c r="B4014" s="19" t="s">
        <v>7606</v>
      </c>
      <c r="C4014" s="19" t="s">
        <v>7607</v>
      </c>
      <c r="D4014" s="19" t="s">
        <v>7061</v>
      </c>
      <c r="E4014" s="19" t="s">
        <v>7707</v>
      </c>
    </row>
    <row r="4015" spans="1:5" x14ac:dyDescent="0.25">
      <c r="A4015" s="16">
        <v>4044</v>
      </c>
      <c r="B4015" s="19" t="s">
        <v>7606</v>
      </c>
      <c r="C4015" s="19" t="s">
        <v>7708</v>
      </c>
      <c r="D4015" s="19" t="s">
        <v>7709</v>
      </c>
      <c r="E4015" s="19" t="s">
        <v>4885</v>
      </c>
    </row>
    <row r="4016" spans="1:5" ht="24" customHeight="1" x14ac:dyDescent="0.25">
      <c r="A4016" s="16">
        <v>4045</v>
      </c>
      <c r="B4016" s="19" t="s">
        <v>7606</v>
      </c>
      <c r="C4016" s="19" t="s">
        <v>7708</v>
      </c>
      <c r="D4016" s="19" t="s">
        <v>7709</v>
      </c>
      <c r="E4016" s="19" t="s">
        <v>7710</v>
      </c>
    </row>
    <row r="4017" spans="1:5" x14ac:dyDescent="0.25">
      <c r="A4017" s="16">
        <v>4046</v>
      </c>
      <c r="B4017" s="19" t="s">
        <v>7606</v>
      </c>
      <c r="C4017" s="19" t="s">
        <v>7708</v>
      </c>
      <c r="D4017" s="19" t="s">
        <v>7709</v>
      </c>
      <c r="E4017" s="19" t="s">
        <v>7711</v>
      </c>
    </row>
    <row r="4018" spans="1:5" ht="24" customHeight="1" x14ac:dyDescent="0.25">
      <c r="A4018" s="16">
        <v>4047</v>
      </c>
      <c r="B4018" s="19" t="s">
        <v>7606</v>
      </c>
      <c r="C4018" s="19" t="s">
        <v>7708</v>
      </c>
      <c r="D4018" s="19" t="s">
        <v>7709</v>
      </c>
      <c r="E4018" s="19" t="s">
        <v>7712</v>
      </c>
    </row>
    <row r="4019" spans="1:5" x14ac:dyDescent="0.25">
      <c r="A4019" s="16">
        <v>4048</v>
      </c>
      <c r="B4019" s="19" t="s">
        <v>7606</v>
      </c>
      <c r="C4019" s="19" t="s">
        <v>7708</v>
      </c>
      <c r="D4019" s="19" t="s">
        <v>7709</v>
      </c>
      <c r="E4019" s="19" t="s">
        <v>7713</v>
      </c>
    </row>
    <row r="4020" spans="1:5" x14ac:dyDescent="0.25">
      <c r="A4020" s="16">
        <v>4049</v>
      </c>
      <c r="B4020" s="19" t="s">
        <v>7606</v>
      </c>
      <c r="C4020" s="19" t="s">
        <v>7708</v>
      </c>
      <c r="D4020" s="19" t="s">
        <v>7709</v>
      </c>
      <c r="E4020" s="19" t="s">
        <v>7714</v>
      </c>
    </row>
    <row r="4021" spans="1:5" ht="24" customHeight="1" x14ac:dyDescent="0.25">
      <c r="A4021" s="16">
        <v>4050</v>
      </c>
      <c r="B4021" s="19" t="s">
        <v>7606</v>
      </c>
      <c r="C4021" s="19" t="s">
        <v>7708</v>
      </c>
      <c r="D4021" s="19" t="s">
        <v>7709</v>
      </c>
      <c r="E4021" s="19" t="s">
        <v>7715</v>
      </c>
    </row>
    <row r="4022" spans="1:5" x14ac:dyDescent="0.25">
      <c r="A4022" s="16">
        <v>4051</v>
      </c>
      <c r="B4022" s="19" t="s">
        <v>7606</v>
      </c>
      <c r="C4022" s="19" t="s">
        <v>7708</v>
      </c>
      <c r="D4022" s="19" t="s">
        <v>7716</v>
      </c>
      <c r="E4022" s="19" t="s">
        <v>7717</v>
      </c>
    </row>
    <row r="4023" spans="1:5" ht="24" customHeight="1" x14ac:dyDescent="0.25">
      <c r="A4023" s="16">
        <v>4052</v>
      </c>
      <c r="B4023" s="19" t="s">
        <v>7606</v>
      </c>
      <c r="C4023" s="19" t="s">
        <v>7708</v>
      </c>
      <c r="D4023" s="19" t="s">
        <v>7716</v>
      </c>
      <c r="E4023" s="19" t="s">
        <v>7718</v>
      </c>
    </row>
    <row r="4024" spans="1:5" x14ac:dyDescent="0.25">
      <c r="A4024" s="16">
        <v>4053</v>
      </c>
      <c r="B4024" s="19" t="s">
        <v>7606</v>
      </c>
      <c r="C4024" s="19" t="s">
        <v>7708</v>
      </c>
      <c r="D4024" s="19" t="s">
        <v>7716</v>
      </c>
      <c r="E4024" s="19" t="s">
        <v>7719</v>
      </c>
    </row>
    <row r="4025" spans="1:5" x14ac:dyDescent="0.25">
      <c r="A4025" s="16">
        <v>4054</v>
      </c>
      <c r="B4025" s="19" t="s">
        <v>7606</v>
      </c>
      <c r="C4025" s="19" t="s">
        <v>7708</v>
      </c>
      <c r="D4025" s="19" t="s">
        <v>7716</v>
      </c>
      <c r="E4025" s="19" t="s">
        <v>7720</v>
      </c>
    </row>
    <row r="4026" spans="1:5" x14ac:dyDescent="0.25">
      <c r="A4026" s="16">
        <v>4055</v>
      </c>
      <c r="B4026" s="19" t="s">
        <v>7606</v>
      </c>
      <c r="C4026" s="19" t="s">
        <v>7708</v>
      </c>
      <c r="D4026" s="19" t="s">
        <v>7716</v>
      </c>
      <c r="E4026" s="19" t="s">
        <v>7721</v>
      </c>
    </row>
    <row r="4027" spans="1:5" x14ac:dyDescent="0.25">
      <c r="A4027" s="16">
        <v>4056</v>
      </c>
      <c r="B4027" s="19" t="s">
        <v>7606</v>
      </c>
      <c r="C4027" s="19" t="s">
        <v>7708</v>
      </c>
      <c r="D4027" s="19" t="s">
        <v>7716</v>
      </c>
      <c r="E4027" s="19" t="s">
        <v>7722</v>
      </c>
    </row>
    <row r="4028" spans="1:5" x14ac:dyDescent="0.25">
      <c r="A4028" s="16">
        <v>4057</v>
      </c>
      <c r="B4028" s="19" t="s">
        <v>7606</v>
      </c>
      <c r="C4028" s="19" t="s">
        <v>7708</v>
      </c>
      <c r="D4028" s="19" t="s">
        <v>7716</v>
      </c>
      <c r="E4028" s="19" t="s">
        <v>7723</v>
      </c>
    </row>
    <row r="4029" spans="1:5" ht="24" customHeight="1" x14ac:dyDescent="0.25">
      <c r="A4029" s="16">
        <v>4058</v>
      </c>
      <c r="B4029" s="19" t="s">
        <v>7606</v>
      </c>
      <c r="C4029" s="19" t="s">
        <v>7708</v>
      </c>
      <c r="D4029" s="19" t="s">
        <v>7716</v>
      </c>
      <c r="E4029" s="19" t="s">
        <v>7724</v>
      </c>
    </row>
    <row r="4030" spans="1:5" ht="24" customHeight="1" x14ac:dyDescent="0.25">
      <c r="A4030" s="16">
        <v>4059</v>
      </c>
      <c r="B4030" s="19" t="s">
        <v>7606</v>
      </c>
      <c r="C4030" s="19" t="s">
        <v>7708</v>
      </c>
      <c r="D4030" s="19" t="s">
        <v>7725</v>
      </c>
      <c r="E4030" s="19" t="s">
        <v>7726</v>
      </c>
    </row>
    <row r="4031" spans="1:5" x14ac:dyDescent="0.25">
      <c r="A4031" s="16">
        <v>4060</v>
      </c>
      <c r="B4031" s="19" t="s">
        <v>7606</v>
      </c>
      <c r="C4031" s="19" t="s">
        <v>7708</v>
      </c>
      <c r="D4031" s="19" t="s">
        <v>7725</v>
      </c>
      <c r="E4031" s="19" t="s">
        <v>7727</v>
      </c>
    </row>
    <row r="4032" spans="1:5" x14ac:dyDescent="0.25">
      <c r="A4032" s="16">
        <v>4061</v>
      </c>
      <c r="B4032" s="19" t="s">
        <v>7606</v>
      </c>
      <c r="C4032" s="19" t="s">
        <v>7708</v>
      </c>
      <c r="D4032" s="19" t="s">
        <v>7725</v>
      </c>
      <c r="E4032" s="19" t="s">
        <v>7728</v>
      </c>
    </row>
    <row r="4033" spans="1:5" x14ac:dyDescent="0.25">
      <c r="A4033" s="16">
        <v>4062</v>
      </c>
      <c r="B4033" s="19" t="s">
        <v>7606</v>
      </c>
      <c r="C4033" s="19" t="s">
        <v>7708</v>
      </c>
      <c r="D4033" s="19" t="s">
        <v>7725</v>
      </c>
      <c r="E4033" s="19" t="s">
        <v>7729</v>
      </c>
    </row>
    <row r="4034" spans="1:5" ht="24" customHeight="1" x14ac:dyDescent="0.25">
      <c r="A4034" s="16">
        <v>4063</v>
      </c>
      <c r="B4034" s="19" t="s">
        <v>7606</v>
      </c>
      <c r="C4034" s="19" t="s">
        <v>7708</v>
      </c>
      <c r="D4034" s="19" t="s">
        <v>7725</v>
      </c>
      <c r="E4034" s="19" t="s">
        <v>7730</v>
      </c>
    </row>
    <row r="4035" spans="1:5" ht="24" customHeight="1" x14ac:dyDescent="0.25">
      <c r="A4035" s="16">
        <v>4064</v>
      </c>
      <c r="B4035" s="19" t="s">
        <v>7606</v>
      </c>
      <c r="C4035" s="19" t="s">
        <v>7708</v>
      </c>
      <c r="D4035" s="19" t="s">
        <v>7725</v>
      </c>
      <c r="E4035" s="19" t="s">
        <v>7731</v>
      </c>
    </row>
    <row r="4036" spans="1:5" x14ac:dyDescent="0.25">
      <c r="A4036" s="16">
        <v>4065</v>
      </c>
      <c r="B4036" s="19" t="s">
        <v>7606</v>
      </c>
      <c r="C4036" s="19" t="s">
        <v>7708</v>
      </c>
      <c r="D4036" s="19" t="s">
        <v>7725</v>
      </c>
      <c r="E4036" s="19" t="s">
        <v>7732</v>
      </c>
    </row>
    <row r="4037" spans="1:5" ht="24" customHeight="1" x14ac:dyDescent="0.25">
      <c r="A4037" s="16">
        <v>4066</v>
      </c>
      <c r="B4037" s="19" t="s">
        <v>7606</v>
      </c>
      <c r="C4037" s="19" t="s">
        <v>7708</v>
      </c>
      <c r="D4037" s="19" t="s">
        <v>7725</v>
      </c>
      <c r="E4037" s="19" t="s">
        <v>7733</v>
      </c>
    </row>
    <row r="4038" spans="1:5" ht="24" customHeight="1" x14ac:dyDescent="0.25">
      <c r="A4038" s="16">
        <v>4067</v>
      </c>
      <c r="B4038" s="19" t="s">
        <v>7606</v>
      </c>
      <c r="C4038" s="19" t="s">
        <v>7708</v>
      </c>
      <c r="D4038" s="19" t="s">
        <v>7725</v>
      </c>
      <c r="E4038" s="19" t="s">
        <v>7734</v>
      </c>
    </row>
    <row r="4039" spans="1:5" ht="24" customHeight="1" x14ac:dyDescent="0.25">
      <c r="A4039" s="16">
        <v>4068</v>
      </c>
      <c r="B4039" s="19" t="s">
        <v>7606</v>
      </c>
      <c r="C4039" s="19" t="s">
        <v>7708</v>
      </c>
      <c r="D4039" s="19" t="s">
        <v>7735</v>
      </c>
      <c r="E4039" s="19" t="s">
        <v>7736</v>
      </c>
    </row>
    <row r="4040" spans="1:5" x14ac:dyDescent="0.25">
      <c r="A4040" s="16">
        <v>4069</v>
      </c>
      <c r="B4040" s="19" t="s">
        <v>7606</v>
      </c>
      <c r="C4040" s="19" t="s">
        <v>7708</v>
      </c>
      <c r="D4040" s="19" t="s">
        <v>7735</v>
      </c>
      <c r="E4040" s="19" t="s">
        <v>7737</v>
      </c>
    </row>
    <row r="4041" spans="1:5" x14ac:dyDescent="0.25">
      <c r="A4041" s="16">
        <v>4070</v>
      </c>
      <c r="B4041" s="19" t="s">
        <v>7606</v>
      </c>
      <c r="C4041" s="19" t="s">
        <v>7708</v>
      </c>
      <c r="D4041" s="19" t="s">
        <v>7735</v>
      </c>
      <c r="E4041" s="19" t="s">
        <v>7738</v>
      </c>
    </row>
    <row r="4042" spans="1:5" ht="24" customHeight="1" x14ac:dyDescent="0.25">
      <c r="A4042" s="16">
        <v>4071</v>
      </c>
      <c r="B4042" s="19" t="s">
        <v>7606</v>
      </c>
      <c r="C4042" s="19" t="s">
        <v>7708</v>
      </c>
      <c r="D4042" s="19" t="s">
        <v>7735</v>
      </c>
      <c r="E4042" s="19" t="s">
        <v>7739</v>
      </c>
    </row>
    <row r="4043" spans="1:5" x14ac:dyDescent="0.25">
      <c r="A4043" s="16">
        <v>4072</v>
      </c>
      <c r="B4043" s="19" t="s">
        <v>7606</v>
      </c>
      <c r="C4043" s="19" t="s">
        <v>7708</v>
      </c>
      <c r="D4043" s="19" t="s">
        <v>7735</v>
      </c>
      <c r="E4043" s="19" t="s">
        <v>7740</v>
      </c>
    </row>
    <row r="4044" spans="1:5" x14ac:dyDescent="0.25">
      <c r="A4044" s="16">
        <v>4073</v>
      </c>
      <c r="B4044" s="19" t="s">
        <v>7606</v>
      </c>
      <c r="C4044" s="19" t="s">
        <v>7708</v>
      </c>
      <c r="D4044" s="19" t="s">
        <v>7735</v>
      </c>
      <c r="E4044" s="19" t="s">
        <v>7741</v>
      </c>
    </row>
    <row r="4045" spans="1:5" x14ac:dyDescent="0.25">
      <c r="A4045" s="16">
        <v>4074</v>
      </c>
      <c r="B4045" s="19" t="s">
        <v>7606</v>
      </c>
      <c r="C4045" s="19" t="s">
        <v>7708</v>
      </c>
      <c r="D4045" s="19" t="s">
        <v>7735</v>
      </c>
      <c r="E4045" s="19" t="s">
        <v>7742</v>
      </c>
    </row>
    <row r="4046" spans="1:5" x14ac:dyDescent="0.25">
      <c r="A4046" s="16">
        <v>4075</v>
      </c>
      <c r="B4046" s="19" t="s">
        <v>7606</v>
      </c>
      <c r="C4046" s="19" t="s">
        <v>7708</v>
      </c>
      <c r="D4046" s="19" t="s">
        <v>7735</v>
      </c>
      <c r="E4046" s="19" t="s">
        <v>7743</v>
      </c>
    </row>
    <row r="4047" spans="1:5" x14ac:dyDescent="0.25">
      <c r="A4047" s="16">
        <v>4076</v>
      </c>
      <c r="B4047" s="19" t="s">
        <v>7606</v>
      </c>
      <c r="C4047" s="19" t="s">
        <v>7708</v>
      </c>
      <c r="D4047" s="19" t="s">
        <v>7735</v>
      </c>
      <c r="E4047" s="19" t="s">
        <v>7744</v>
      </c>
    </row>
    <row r="4048" spans="1:5" ht="24" customHeight="1" x14ac:dyDescent="0.25">
      <c r="A4048" s="16">
        <v>4077</v>
      </c>
      <c r="B4048" s="19" t="s">
        <v>7606</v>
      </c>
      <c r="C4048" s="19" t="s">
        <v>7708</v>
      </c>
      <c r="D4048" s="19" t="s">
        <v>7745</v>
      </c>
      <c r="E4048" s="19" t="s">
        <v>7746</v>
      </c>
    </row>
    <row r="4049" spans="1:5" x14ac:dyDescent="0.25">
      <c r="A4049" s="16">
        <v>4078</v>
      </c>
      <c r="B4049" s="19" t="s">
        <v>7606</v>
      </c>
      <c r="C4049" s="19" t="s">
        <v>7708</v>
      </c>
      <c r="D4049" s="19" t="s">
        <v>7745</v>
      </c>
      <c r="E4049" s="19" t="s">
        <v>7747</v>
      </c>
    </row>
    <row r="4050" spans="1:5" x14ac:dyDescent="0.25">
      <c r="A4050" s="16">
        <v>4079</v>
      </c>
      <c r="B4050" s="19" t="s">
        <v>7606</v>
      </c>
      <c r="C4050" s="19" t="s">
        <v>7708</v>
      </c>
      <c r="D4050" s="19" t="s">
        <v>7745</v>
      </c>
      <c r="E4050" s="19" t="s">
        <v>7748</v>
      </c>
    </row>
    <row r="4051" spans="1:5" ht="24" customHeight="1" x14ac:dyDescent="0.25">
      <c r="A4051" s="16">
        <v>4080</v>
      </c>
      <c r="B4051" s="19" t="s">
        <v>7606</v>
      </c>
      <c r="C4051" s="19" t="s">
        <v>7708</v>
      </c>
      <c r="D4051" s="19" t="s">
        <v>7745</v>
      </c>
      <c r="E4051" s="19" t="s">
        <v>7749</v>
      </c>
    </row>
    <row r="4052" spans="1:5" x14ac:dyDescent="0.25">
      <c r="A4052" s="16">
        <v>4081</v>
      </c>
      <c r="B4052" s="19" t="s">
        <v>7606</v>
      </c>
      <c r="C4052" s="19" t="s">
        <v>7708</v>
      </c>
      <c r="D4052" s="19" t="s">
        <v>7745</v>
      </c>
      <c r="E4052" s="19" t="s">
        <v>7750</v>
      </c>
    </row>
    <row r="4053" spans="1:5" ht="24" customHeight="1" x14ac:dyDescent="0.25">
      <c r="A4053" s="16">
        <v>4082</v>
      </c>
      <c r="B4053" s="19" t="s">
        <v>7606</v>
      </c>
      <c r="C4053" s="19" t="s">
        <v>7708</v>
      </c>
      <c r="D4053" s="19" t="s">
        <v>7745</v>
      </c>
      <c r="E4053" s="19" t="s">
        <v>7751</v>
      </c>
    </row>
    <row r="4054" spans="1:5" x14ac:dyDescent="0.25">
      <c r="A4054" s="16">
        <v>4083</v>
      </c>
      <c r="B4054" s="19" t="s">
        <v>7606</v>
      </c>
      <c r="C4054" s="19" t="s">
        <v>7708</v>
      </c>
      <c r="D4054" s="19" t="s">
        <v>7745</v>
      </c>
      <c r="E4054" s="19" t="s">
        <v>7752</v>
      </c>
    </row>
    <row r="4055" spans="1:5" x14ac:dyDescent="0.25">
      <c r="A4055" s="16">
        <v>4084</v>
      </c>
      <c r="B4055" s="19" t="s">
        <v>7606</v>
      </c>
      <c r="C4055" s="19" t="s">
        <v>7708</v>
      </c>
      <c r="D4055" s="19" t="s">
        <v>7745</v>
      </c>
      <c r="E4055" s="19" t="s">
        <v>7753</v>
      </c>
    </row>
    <row r="4056" spans="1:5" x14ac:dyDescent="0.25">
      <c r="A4056" s="16">
        <v>4085</v>
      </c>
      <c r="B4056" s="19" t="s">
        <v>7606</v>
      </c>
      <c r="C4056" s="19" t="s">
        <v>7708</v>
      </c>
      <c r="D4056" s="19" t="s">
        <v>7745</v>
      </c>
      <c r="E4056" s="19" t="s">
        <v>7754</v>
      </c>
    </row>
    <row r="4057" spans="1:5" ht="24" customHeight="1" x14ac:dyDescent="0.25">
      <c r="A4057" s="16">
        <v>4086</v>
      </c>
      <c r="B4057" s="19" t="s">
        <v>7606</v>
      </c>
      <c r="C4057" s="19" t="s">
        <v>7708</v>
      </c>
      <c r="D4057" s="19" t="s">
        <v>7755</v>
      </c>
      <c r="E4057" s="19" t="s">
        <v>7756</v>
      </c>
    </row>
    <row r="4058" spans="1:5" ht="24" customHeight="1" x14ac:dyDescent="0.25">
      <c r="A4058" s="16">
        <v>4087</v>
      </c>
      <c r="B4058" s="19" t="s">
        <v>7606</v>
      </c>
      <c r="C4058" s="19" t="s">
        <v>7708</v>
      </c>
      <c r="D4058" s="19" t="s">
        <v>7755</v>
      </c>
      <c r="E4058" s="19" t="s">
        <v>7757</v>
      </c>
    </row>
    <row r="4059" spans="1:5" ht="24" customHeight="1" x14ac:dyDescent="0.25">
      <c r="A4059" s="16">
        <v>4088</v>
      </c>
      <c r="B4059" s="19" t="s">
        <v>7606</v>
      </c>
      <c r="C4059" s="19" t="s">
        <v>7708</v>
      </c>
      <c r="D4059" s="19" t="s">
        <v>7755</v>
      </c>
      <c r="E4059" s="19" t="s">
        <v>7758</v>
      </c>
    </row>
    <row r="4060" spans="1:5" ht="24" customHeight="1" x14ac:dyDescent="0.25">
      <c r="A4060" s="16">
        <v>4089</v>
      </c>
      <c r="B4060" s="19" t="s">
        <v>7606</v>
      </c>
      <c r="C4060" s="19" t="s">
        <v>7708</v>
      </c>
      <c r="D4060" s="19" t="s">
        <v>7755</v>
      </c>
      <c r="E4060" s="19" t="s">
        <v>7759</v>
      </c>
    </row>
    <row r="4061" spans="1:5" ht="24" customHeight="1" x14ac:dyDescent="0.25">
      <c r="A4061" s="16">
        <v>4090</v>
      </c>
      <c r="B4061" s="19" t="s">
        <v>7606</v>
      </c>
      <c r="C4061" s="19" t="s">
        <v>7708</v>
      </c>
      <c r="D4061" s="19" t="s">
        <v>7755</v>
      </c>
      <c r="E4061" s="19" t="s">
        <v>7760</v>
      </c>
    </row>
    <row r="4062" spans="1:5" ht="24" customHeight="1" x14ac:dyDescent="0.25">
      <c r="A4062" s="16">
        <v>4091</v>
      </c>
      <c r="B4062" s="19" t="s">
        <v>7606</v>
      </c>
      <c r="C4062" s="19" t="s">
        <v>7708</v>
      </c>
      <c r="D4062" s="19" t="s">
        <v>7755</v>
      </c>
      <c r="E4062" s="19" t="s">
        <v>7761</v>
      </c>
    </row>
    <row r="4063" spans="1:5" ht="24" customHeight="1" x14ac:dyDescent="0.25">
      <c r="A4063" s="16">
        <v>4092</v>
      </c>
      <c r="B4063" s="19" t="s">
        <v>7606</v>
      </c>
      <c r="C4063" s="19" t="s">
        <v>7708</v>
      </c>
      <c r="D4063" s="19" t="s">
        <v>7755</v>
      </c>
      <c r="E4063" s="19" t="s">
        <v>7762</v>
      </c>
    </row>
    <row r="4064" spans="1:5" ht="24" customHeight="1" x14ac:dyDescent="0.25">
      <c r="A4064" s="16">
        <v>4093</v>
      </c>
      <c r="B4064" s="19" t="s">
        <v>7606</v>
      </c>
      <c r="C4064" s="19" t="s">
        <v>7708</v>
      </c>
      <c r="D4064" s="19" t="s">
        <v>7755</v>
      </c>
      <c r="E4064" s="19" t="s">
        <v>7763</v>
      </c>
    </row>
    <row r="4065" spans="1:5" ht="36" customHeight="1" x14ac:dyDescent="0.25">
      <c r="A4065" s="16">
        <v>4094</v>
      </c>
      <c r="B4065" s="19" t="s">
        <v>7606</v>
      </c>
      <c r="C4065" s="19" t="s">
        <v>7708</v>
      </c>
      <c r="D4065" s="19" t="s">
        <v>7755</v>
      </c>
      <c r="E4065" s="19" t="s">
        <v>7764</v>
      </c>
    </row>
    <row r="4066" spans="1:5" ht="24" customHeight="1" x14ac:dyDescent="0.25">
      <c r="A4066" s="16">
        <v>4095</v>
      </c>
      <c r="B4066" s="19" t="s">
        <v>7606</v>
      </c>
      <c r="C4066" s="19" t="s">
        <v>7708</v>
      </c>
      <c r="D4066" s="19" t="s">
        <v>7755</v>
      </c>
      <c r="E4066" s="19" t="s">
        <v>7765</v>
      </c>
    </row>
    <row r="4067" spans="1:5" ht="24" customHeight="1" x14ac:dyDescent="0.25">
      <c r="A4067" s="16">
        <v>4096</v>
      </c>
      <c r="B4067" s="19" t="s">
        <v>7606</v>
      </c>
      <c r="C4067" s="19" t="s">
        <v>7708</v>
      </c>
      <c r="D4067" s="19" t="s">
        <v>7755</v>
      </c>
      <c r="E4067" s="19" t="s">
        <v>7766</v>
      </c>
    </row>
    <row r="4068" spans="1:5" x14ac:dyDescent="0.25">
      <c r="A4068" s="16">
        <v>4097</v>
      </c>
      <c r="B4068" s="19" t="s">
        <v>7606</v>
      </c>
      <c r="C4068" s="19" t="s">
        <v>7767</v>
      </c>
      <c r="D4068" s="19" t="s">
        <v>7768</v>
      </c>
      <c r="E4068" s="19" t="s">
        <v>7769</v>
      </c>
    </row>
    <row r="4069" spans="1:5" x14ac:dyDescent="0.25">
      <c r="A4069" s="16">
        <v>4098</v>
      </c>
      <c r="B4069" s="19" t="s">
        <v>7606</v>
      </c>
      <c r="C4069" s="19" t="s">
        <v>7767</v>
      </c>
      <c r="D4069" s="19" t="s">
        <v>7768</v>
      </c>
      <c r="E4069" s="19" t="s">
        <v>7770</v>
      </c>
    </row>
    <row r="4070" spans="1:5" ht="24" customHeight="1" x14ac:dyDescent="0.25">
      <c r="A4070" s="16">
        <v>4099</v>
      </c>
      <c r="B4070" s="19" t="s">
        <v>7606</v>
      </c>
      <c r="C4070" s="19" t="s">
        <v>7767</v>
      </c>
      <c r="D4070" s="19" t="s">
        <v>7768</v>
      </c>
      <c r="E4070" s="19" t="s">
        <v>7771</v>
      </c>
    </row>
    <row r="4071" spans="1:5" x14ac:dyDescent="0.25">
      <c r="A4071" s="16">
        <v>4100</v>
      </c>
      <c r="B4071" s="19" t="s">
        <v>7606</v>
      </c>
      <c r="C4071" s="19" t="s">
        <v>7767</v>
      </c>
      <c r="D4071" s="19" t="s">
        <v>7768</v>
      </c>
      <c r="E4071" s="19" t="s">
        <v>7772</v>
      </c>
    </row>
    <row r="4072" spans="1:5" x14ac:dyDescent="0.25">
      <c r="A4072" s="16">
        <v>4101</v>
      </c>
      <c r="B4072" s="19" t="s">
        <v>7606</v>
      </c>
      <c r="C4072" s="19" t="s">
        <v>7767</v>
      </c>
      <c r="D4072" s="19" t="s">
        <v>7768</v>
      </c>
      <c r="E4072" s="19" t="s">
        <v>7773</v>
      </c>
    </row>
    <row r="4073" spans="1:5" x14ac:dyDescent="0.25">
      <c r="A4073" s="16">
        <v>4102</v>
      </c>
      <c r="B4073" s="19" t="s">
        <v>7606</v>
      </c>
      <c r="C4073" s="19" t="s">
        <v>7767</v>
      </c>
      <c r="D4073" s="19" t="s">
        <v>7768</v>
      </c>
      <c r="E4073" s="19" t="s">
        <v>7774</v>
      </c>
    </row>
    <row r="4074" spans="1:5" x14ac:dyDescent="0.25">
      <c r="A4074" s="16">
        <v>4103</v>
      </c>
      <c r="B4074" s="19" t="s">
        <v>7606</v>
      </c>
      <c r="C4074" s="19" t="s">
        <v>7767</v>
      </c>
      <c r="D4074" s="19" t="s">
        <v>7768</v>
      </c>
      <c r="E4074" s="19" t="s">
        <v>7775</v>
      </c>
    </row>
    <row r="4075" spans="1:5" x14ac:dyDescent="0.25">
      <c r="A4075" s="16">
        <v>4104</v>
      </c>
      <c r="B4075" s="19" t="s">
        <v>7606</v>
      </c>
      <c r="C4075" s="19" t="s">
        <v>7767</v>
      </c>
      <c r="D4075" s="19" t="s">
        <v>7776</v>
      </c>
      <c r="E4075" s="19" t="s">
        <v>7777</v>
      </c>
    </row>
    <row r="4076" spans="1:5" ht="24" customHeight="1" x14ac:dyDescent="0.25">
      <c r="A4076" s="16">
        <v>4105</v>
      </c>
      <c r="B4076" s="19" t="s">
        <v>7606</v>
      </c>
      <c r="C4076" s="19" t="s">
        <v>7767</v>
      </c>
      <c r="D4076" s="19" t="s">
        <v>7776</v>
      </c>
      <c r="E4076" s="19" t="s">
        <v>7778</v>
      </c>
    </row>
    <row r="4077" spans="1:5" x14ac:dyDescent="0.25">
      <c r="A4077" s="16">
        <v>4106</v>
      </c>
      <c r="B4077" s="19" t="s">
        <v>7606</v>
      </c>
      <c r="C4077" s="19" t="s">
        <v>7767</v>
      </c>
      <c r="D4077" s="19" t="s">
        <v>7776</v>
      </c>
      <c r="E4077" s="19" t="s">
        <v>7779</v>
      </c>
    </row>
    <row r="4078" spans="1:5" x14ac:dyDescent="0.25">
      <c r="A4078" s="16">
        <v>4107</v>
      </c>
      <c r="B4078" s="19" t="s">
        <v>7606</v>
      </c>
      <c r="C4078" s="19" t="s">
        <v>7767</v>
      </c>
      <c r="D4078" s="19" t="s">
        <v>7776</v>
      </c>
      <c r="E4078" s="19" t="s">
        <v>7780</v>
      </c>
    </row>
    <row r="4079" spans="1:5" ht="24" customHeight="1" x14ac:dyDescent="0.25">
      <c r="A4079" s="16">
        <v>4108</v>
      </c>
      <c r="B4079" s="19" t="s">
        <v>7606</v>
      </c>
      <c r="C4079" s="19" t="s">
        <v>7767</v>
      </c>
      <c r="D4079" s="19" t="s">
        <v>7776</v>
      </c>
      <c r="E4079" s="19" t="s">
        <v>7781</v>
      </c>
    </row>
    <row r="4080" spans="1:5" x14ac:dyDescent="0.25">
      <c r="A4080" s="16">
        <v>4109</v>
      </c>
      <c r="B4080" s="19" t="s">
        <v>7606</v>
      </c>
      <c r="C4080" s="19" t="s">
        <v>7767</v>
      </c>
      <c r="D4080" s="19" t="s">
        <v>7776</v>
      </c>
      <c r="E4080" s="19" t="s">
        <v>7782</v>
      </c>
    </row>
    <row r="4081" spans="1:5" x14ac:dyDescent="0.25">
      <c r="A4081" s="16">
        <v>4110</v>
      </c>
      <c r="B4081" s="19" t="s">
        <v>7606</v>
      </c>
      <c r="C4081" s="19" t="s">
        <v>7767</v>
      </c>
      <c r="D4081" s="19" t="s">
        <v>7776</v>
      </c>
      <c r="E4081" s="19" t="s">
        <v>7783</v>
      </c>
    </row>
    <row r="4082" spans="1:5" x14ac:dyDescent="0.25">
      <c r="A4082" s="16">
        <v>4111</v>
      </c>
      <c r="B4082" s="19" t="s">
        <v>7606</v>
      </c>
      <c r="C4082" s="19" t="s">
        <v>7767</v>
      </c>
      <c r="D4082" s="19" t="s">
        <v>7776</v>
      </c>
      <c r="E4082" s="19" t="s">
        <v>7784</v>
      </c>
    </row>
    <row r="4083" spans="1:5" x14ac:dyDescent="0.25">
      <c r="A4083" s="16">
        <v>4112</v>
      </c>
      <c r="B4083" s="19" t="s">
        <v>7606</v>
      </c>
      <c r="C4083" s="19" t="s">
        <v>7767</v>
      </c>
      <c r="D4083" s="19" t="s">
        <v>7785</v>
      </c>
      <c r="E4083" s="19" t="s">
        <v>7786</v>
      </c>
    </row>
    <row r="4084" spans="1:5" ht="24" customHeight="1" x14ac:dyDescent="0.25">
      <c r="A4084" s="16">
        <v>4113</v>
      </c>
      <c r="B4084" s="19" t="s">
        <v>7606</v>
      </c>
      <c r="C4084" s="19" t="s">
        <v>7767</v>
      </c>
      <c r="D4084" s="19" t="s">
        <v>7785</v>
      </c>
      <c r="E4084" s="19" t="s">
        <v>7787</v>
      </c>
    </row>
    <row r="4085" spans="1:5" x14ac:dyDescent="0.25">
      <c r="A4085" s="16">
        <v>4114</v>
      </c>
      <c r="B4085" s="19" t="s">
        <v>7606</v>
      </c>
      <c r="C4085" s="19" t="s">
        <v>7767</v>
      </c>
      <c r="D4085" s="19" t="s">
        <v>7785</v>
      </c>
      <c r="E4085" s="19" t="s">
        <v>7788</v>
      </c>
    </row>
    <row r="4086" spans="1:5" x14ac:dyDescent="0.25">
      <c r="A4086" s="16">
        <v>4115</v>
      </c>
      <c r="B4086" s="19" t="s">
        <v>7606</v>
      </c>
      <c r="C4086" s="19" t="s">
        <v>7767</v>
      </c>
      <c r="D4086" s="19" t="s">
        <v>7785</v>
      </c>
      <c r="E4086" s="19" t="s">
        <v>6627</v>
      </c>
    </row>
    <row r="4087" spans="1:5" x14ac:dyDescent="0.25">
      <c r="A4087" s="16">
        <v>4116</v>
      </c>
      <c r="B4087" s="19" t="s">
        <v>7606</v>
      </c>
      <c r="C4087" s="19" t="s">
        <v>7767</v>
      </c>
      <c r="D4087" s="19" t="s">
        <v>7785</v>
      </c>
      <c r="E4087" s="19" t="s">
        <v>7789</v>
      </c>
    </row>
    <row r="4088" spans="1:5" x14ac:dyDescent="0.25">
      <c r="A4088" s="16">
        <v>4117</v>
      </c>
      <c r="B4088" s="19" t="s">
        <v>7606</v>
      </c>
      <c r="C4088" s="19" t="s">
        <v>7767</v>
      </c>
      <c r="D4088" s="19" t="s">
        <v>7785</v>
      </c>
      <c r="E4088" s="19" t="s">
        <v>7790</v>
      </c>
    </row>
    <row r="4089" spans="1:5" x14ac:dyDescent="0.25">
      <c r="A4089" s="16">
        <v>4118</v>
      </c>
      <c r="B4089" s="19" t="s">
        <v>7606</v>
      </c>
      <c r="C4089" s="19" t="s">
        <v>7767</v>
      </c>
      <c r="D4089" s="19" t="s">
        <v>7785</v>
      </c>
      <c r="E4089" s="19" t="s">
        <v>7791</v>
      </c>
    </row>
    <row r="4090" spans="1:5" ht="24" customHeight="1" x14ac:dyDescent="0.25">
      <c r="A4090" s="16">
        <v>4119</v>
      </c>
      <c r="B4090" s="19" t="s">
        <v>7606</v>
      </c>
      <c r="C4090" s="19" t="s">
        <v>7767</v>
      </c>
      <c r="D4090" s="19" t="s">
        <v>7785</v>
      </c>
      <c r="E4090" s="19" t="s">
        <v>7792</v>
      </c>
    </row>
    <row r="4091" spans="1:5" ht="24" customHeight="1" x14ac:dyDescent="0.25">
      <c r="A4091" s="16">
        <v>4120</v>
      </c>
      <c r="B4091" s="19" t="s">
        <v>7606</v>
      </c>
      <c r="C4091" s="19" t="s">
        <v>7793</v>
      </c>
      <c r="D4091" s="19" t="s">
        <v>7794</v>
      </c>
      <c r="E4091" s="19" t="s">
        <v>7795</v>
      </c>
    </row>
    <row r="4092" spans="1:5" ht="36" customHeight="1" x14ac:dyDescent="0.25">
      <c r="A4092" s="16">
        <v>4121</v>
      </c>
      <c r="B4092" s="19" t="s">
        <v>7606</v>
      </c>
      <c r="C4092" s="19" t="s">
        <v>7793</v>
      </c>
      <c r="D4092" s="19" t="s">
        <v>7794</v>
      </c>
      <c r="E4092" s="19" t="s">
        <v>7796</v>
      </c>
    </row>
    <row r="4093" spans="1:5" ht="24" customHeight="1" x14ac:dyDescent="0.25">
      <c r="A4093" s="16">
        <v>4122</v>
      </c>
      <c r="B4093" s="19" t="s">
        <v>7606</v>
      </c>
      <c r="C4093" s="19" t="s">
        <v>7793</v>
      </c>
      <c r="D4093" s="19" t="s">
        <v>7794</v>
      </c>
      <c r="E4093" s="19" t="s">
        <v>7797</v>
      </c>
    </row>
    <row r="4094" spans="1:5" ht="24" customHeight="1" x14ac:dyDescent="0.25">
      <c r="A4094" s="16">
        <v>4123</v>
      </c>
      <c r="B4094" s="19" t="s">
        <v>7606</v>
      </c>
      <c r="C4094" s="19" t="s">
        <v>7793</v>
      </c>
      <c r="D4094" s="19" t="s">
        <v>7794</v>
      </c>
      <c r="E4094" s="19" t="s">
        <v>7798</v>
      </c>
    </row>
    <row r="4095" spans="1:5" ht="24" customHeight="1" x14ac:dyDescent="0.25">
      <c r="A4095" s="16">
        <v>4124</v>
      </c>
      <c r="B4095" s="19" t="s">
        <v>7606</v>
      </c>
      <c r="C4095" s="19" t="s">
        <v>7793</v>
      </c>
      <c r="D4095" s="19" t="s">
        <v>7794</v>
      </c>
      <c r="E4095" s="19" t="s">
        <v>7799</v>
      </c>
    </row>
    <row r="4096" spans="1:5" ht="24" customHeight="1" x14ac:dyDescent="0.25">
      <c r="A4096" s="16">
        <v>4125</v>
      </c>
      <c r="B4096" s="19" t="s">
        <v>7606</v>
      </c>
      <c r="C4096" s="19" t="s">
        <v>7793</v>
      </c>
      <c r="D4096" s="19" t="s">
        <v>7794</v>
      </c>
      <c r="E4096" s="19" t="s">
        <v>7800</v>
      </c>
    </row>
    <row r="4097" spans="1:5" ht="36" customHeight="1" x14ac:dyDescent="0.25">
      <c r="A4097" s="16">
        <v>4126</v>
      </c>
      <c r="B4097" s="19" t="s">
        <v>7606</v>
      </c>
      <c r="C4097" s="19" t="s">
        <v>7793</v>
      </c>
      <c r="D4097" s="19" t="s">
        <v>7794</v>
      </c>
      <c r="E4097" s="19" t="s">
        <v>7801</v>
      </c>
    </row>
    <row r="4098" spans="1:5" ht="36" customHeight="1" x14ac:dyDescent="0.25">
      <c r="A4098" s="16">
        <v>4127</v>
      </c>
      <c r="B4098" s="19" t="s">
        <v>7606</v>
      </c>
      <c r="C4098" s="19" t="s">
        <v>7793</v>
      </c>
      <c r="D4098" s="19" t="s">
        <v>7794</v>
      </c>
      <c r="E4098" s="19" t="s">
        <v>7802</v>
      </c>
    </row>
    <row r="4099" spans="1:5" ht="24" customHeight="1" x14ac:dyDescent="0.25">
      <c r="A4099" s="16">
        <v>4128</v>
      </c>
      <c r="B4099" s="19" t="s">
        <v>7606</v>
      </c>
      <c r="C4099" s="19" t="s">
        <v>7793</v>
      </c>
      <c r="D4099" s="19" t="s">
        <v>7794</v>
      </c>
      <c r="E4099" s="19" t="s">
        <v>7803</v>
      </c>
    </row>
    <row r="4100" spans="1:5" ht="24" customHeight="1" x14ac:dyDescent="0.25">
      <c r="A4100" s="16">
        <v>4129</v>
      </c>
      <c r="B4100" s="19" t="s">
        <v>7606</v>
      </c>
      <c r="C4100" s="19" t="s">
        <v>7793</v>
      </c>
      <c r="D4100" s="19" t="s">
        <v>7794</v>
      </c>
      <c r="E4100" s="19" t="s">
        <v>7804</v>
      </c>
    </row>
    <row r="4101" spans="1:5" ht="24" customHeight="1" x14ac:dyDescent="0.25">
      <c r="A4101" s="16">
        <v>4130</v>
      </c>
      <c r="B4101" s="19" t="s">
        <v>7606</v>
      </c>
      <c r="C4101" s="19" t="s">
        <v>7793</v>
      </c>
      <c r="D4101" s="19" t="s">
        <v>7794</v>
      </c>
      <c r="E4101" s="19" t="s">
        <v>7805</v>
      </c>
    </row>
    <row r="4102" spans="1:5" ht="24" customHeight="1" x14ac:dyDescent="0.25">
      <c r="A4102" s="16">
        <v>4131</v>
      </c>
      <c r="B4102" s="19" t="s">
        <v>7606</v>
      </c>
      <c r="C4102" s="19" t="s">
        <v>7793</v>
      </c>
      <c r="D4102" s="19" t="s">
        <v>7794</v>
      </c>
      <c r="E4102" s="19" t="s">
        <v>7806</v>
      </c>
    </row>
    <row r="4103" spans="1:5" ht="24" customHeight="1" x14ac:dyDescent="0.25">
      <c r="A4103" s="16">
        <v>4132</v>
      </c>
      <c r="B4103" s="19" t="s">
        <v>7606</v>
      </c>
      <c r="C4103" s="19" t="s">
        <v>7793</v>
      </c>
      <c r="D4103" s="19" t="s">
        <v>7807</v>
      </c>
      <c r="E4103" s="19" t="s">
        <v>7808</v>
      </c>
    </row>
    <row r="4104" spans="1:5" ht="24" customHeight="1" x14ac:dyDescent="0.25">
      <c r="A4104" s="16">
        <v>4133</v>
      </c>
      <c r="B4104" s="19" t="s">
        <v>7606</v>
      </c>
      <c r="C4104" s="19" t="s">
        <v>7793</v>
      </c>
      <c r="D4104" s="19" t="s">
        <v>7807</v>
      </c>
      <c r="E4104" s="19" t="s">
        <v>7809</v>
      </c>
    </row>
    <row r="4105" spans="1:5" ht="24" customHeight="1" x14ac:dyDescent="0.25">
      <c r="A4105" s="16">
        <v>4134</v>
      </c>
      <c r="B4105" s="19" t="s">
        <v>7606</v>
      </c>
      <c r="C4105" s="19" t="s">
        <v>7793</v>
      </c>
      <c r="D4105" s="19" t="s">
        <v>7807</v>
      </c>
      <c r="E4105" s="19" t="s">
        <v>7810</v>
      </c>
    </row>
    <row r="4106" spans="1:5" ht="24" customHeight="1" x14ac:dyDescent="0.25">
      <c r="A4106" s="16">
        <v>4135</v>
      </c>
      <c r="B4106" s="19" t="s">
        <v>7606</v>
      </c>
      <c r="C4106" s="19" t="s">
        <v>7793</v>
      </c>
      <c r="D4106" s="19" t="s">
        <v>7807</v>
      </c>
      <c r="E4106" s="19" t="s">
        <v>7811</v>
      </c>
    </row>
    <row r="4107" spans="1:5" ht="24" customHeight="1" x14ac:dyDescent="0.25">
      <c r="A4107" s="16">
        <v>4136</v>
      </c>
      <c r="B4107" s="19" t="s">
        <v>7606</v>
      </c>
      <c r="C4107" s="19" t="s">
        <v>7793</v>
      </c>
      <c r="D4107" s="19" t="s">
        <v>7807</v>
      </c>
      <c r="E4107" s="19" t="s">
        <v>7812</v>
      </c>
    </row>
    <row r="4108" spans="1:5" ht="24" customHeight="1" x14ac:dyDescent="0.25">
      <c r="A4108" s="16">
        <v>4137</v>
      </c>
      <c r="B4108" s="19" t="s">
        <v>7606</v>
      </c>
      <c r="C4108" s="19" t="s">
        <v>7793</v>
      </c>
      <c r="D4108" s="19" t="s">
        <v>7807</v>
      </c>
      <c r="E4108" s="19" t="s">
        <v>7813</v>
      </c>
    </row>
    <row r="4109" spans="1:5" ht="24" customHeight="1" x14ac:dyDescent="0.25">
      <c r="A4109" s="16">
        <v>4138</v>
      </c>
      <c r="B4109" s="19" t="s">
        <v>7606</v>
      </c>
      <c r="C4109" s="19" t="s">
        <v>7793</v>
      </c>
      <c r="D4109" s="19" t="s">
        <v>7807</v>
      </c>
      <c r="E4109" s="19" t="s">
        <v>7814</v>
      </c>
    </row>
    <row r="4110" spans="1:5" x14ac:dyDescent="0.25">
      <c r="A4110" s="16">
        <v>4139</v>
      </c>
      <c r="B4110" s="19" t="s">
        <v>7606</v>
      </c>
      <c r="C4110" s="19" t="s">
        <v>7793</v>
      </c>
      <c r="D4110" s="19" t="s">
        <v>7815</v>
      </c>
      <c r="E4110" s="19" t="s">
        <v>7816</v>
      </c>
    </row>
    <row r="4111" spans="1:5" x14ac:dyDescent="0.25">
      <c r="A4111" s="16">
        <v>4140</v>
      </c>
      <c r="B4111" s="19" t="s">
        <v>7606</v>
      </c>
      <c r="C4111" s="19" t="s">
        <v>7793</v>
      </c>
      <c r="D4111" s="19" t="s">
        <v>7815</v>
      </c>
      <c r="E4111" s="19" t="s">
        <v>7817</v>
      </c>
    </row>
    <row r="4112" spans="1:5" ht="24" customHeight="1" x14ac:dyDescent="0.25">
      <c r="A4112" s="16">
        <v>4141</v>
      </c>
      <c r="B4112" s="19" t="s">
        <v>7606</v>
      </c>
      <c r="C4112" s="19" t="s">
        <v>7793</v>
      </c>
      <c r="D4112" s="19" t="s">
        <v>7815</v>
      </c>
      <c r="E4112" s="19" t="s">
        <v>7818</v>
      </c>
    </row>
    <row r="4113" spans="1:5" x14ac:dyDescent="0.25">
      <c r="A4113" s="16">
        <v>4142</v>
      </c>
      <c r="B4113" s="19" t="s">
        <v>7606</v>
      </c>
      <c r="C4113" s="19" t="s">
        <v>7793</v>
      </c>
      <c r="D4113" s="19" t="s">
        <v>7815</v>
      </c>
      <c r="E4113" s="19" t="s">
        <v>7819</v>
      </c>
    </row>
    <row r="4114" spans="1:5" x14ac:dyDescent="0.25">
      <c r="A4114" s="16">
        <v>4143</v>
      </c>
      <c r="B4114" s="19" t="s">
        <v>7606</v>
      </c>
      <c r="C4114" s="19" t="s">
        <v>7793</v>
      </c>
      <c r="D4114" s="19" t="s">
        <v>7815</v>
      </c>
      <c r="E4114" s="19" t="s">
        <v>7820</v>
      </c>
    </row>
    <row r="4115" spans="1:5" x14ac:dyDescent="0.25">
      <c r="A4115" s="16">
        <v>4144</v>
      </c>
      <c r="B4115" s="19" t="s">
        <v>7606</v>
      </c>
      <c r="C4115" s="19" t="s">
        <v>7793</v>
      </c>
      <c r="D4115" s="19" t="s">
        <v>7815</v>
      </c>
      <c r="E4115" s="19" t="s">
        <v>7821</v>
      </c>
    </row>
    <row r="4116" spans="1:5" x14ac:dyDescent="0.25">
      <c r="A4116" s="16">
        <v>4145</v>
      </c>
      <c r="B4116" s="19" t="s">
        <v>7606</v>
      </c>
      <c r="C4116" s="19" t="s">
        <v>7793</v>
      </c>
      <c r="D4116" s="19" t="s">
        <v>7815</v>
      </c>
      <c r="E4116" s="19" t="s">
        <v>7822</v>
      </c>
    </row>
    <row r="4117" spans="1:5" ht="24" customHeight="1" x14ac:dyDescent="0.25">
      <c r="A4117" s="16">
        <v>4146</v>
      </c>
      <c r="B4117" s="19" t="s">
        <v>7606</v>
      </c>
      <c r="C4117" s="19" t="s">
        <v>7793</v>
      </c>
      <c r="D4117" s="19" t="s">
        <v>7823</v>
      </c>
      <c r="E4117" s="19" t="s">
        <v>7824</v>
      </c>
    </row>
    <row r="4118" spans="1:5" ht="24" customHeight="1" x14ac:dyDescent="0.25">
      <c r="A4118" s="16">
        <v>4147</v>
      </c>
      <c r="B4118" s="19" t="s">
        <v>7606</v>
      </c>
      <c r="C4118" s="19" t="s">
        <v>7793</v>
      </c>
      <c r="D4118" s="19" t="s">
        <v>7823</v>
      </c>
      <c r="E4118" s="19" t="s">
        <v>7825</v>
      </c>
    </row>
    <row r="4119" spans="1:5" ht="36" customHeight="1" x14ac:dyDescent="0.25">
      <c r="A4119" s="16">
        <v>4148</v>
      </c>
      <c r="B4119" s="19" t="s">
        <v>7606</v>
      </c>
      <c r="C4119" s="19" t="s">
        <v>7793</v>
      </c>
      <c r="D4119" s="19" t="s">
        <v>7823</v>
      </c>
      <c r="E4119" s="19" t="s">
        <v>7826</v>
      </c>
    </row>
    <row r="4120" spans="1:5" ht="24" customHeight="1" x14ac:dyDescent="0.25">
      <c r="A4120" s="16">
        <v>4149</v>
      </c>
      <c r="B4120" s="19" t="s">
        <v>7606</v>
      </c>
      <c r="C4120" s="19" t="s">
        <v>7793</v>
      </c>
      <c r="D4120" s="19" t="s">
        <v>7823</v>
      </c>
      <c r="E4120" s="19" t="s">
        <v>7827</v>
      </c>
    </row>
    <row r="4121" spans="1:5" ht="36" customHeight="1" x14ac:dyDescent="0.25">
      <c r="A4121" s="16">
        <v>4150</v>
      </c>
      <c r="B4121" s="19" t="s">
        <v>7606</v>
      </c>
      <c r="C4121" s="19" t="s">
        <v>7793</v>
      </c>
      <c r="D4121" s="19" t="s">
        <v>7823</v>
      </c>
      <c r="E4121" s="19" t="s">
        <v>7828</v>
      </c>
    </row>
    <row r="4122" spans="1:5" ht="24" customHeight="1" x14ac:dyDescent="0.25">
      <c r="A4122" s="16">
        <v>4151</v>
      </c>
      <c r="B4122" s="19" t="s">
        <v>7606</v>
      </c>
      <c r="C4122" s="19" t="s">
        <v>7793</v>
      </c>
      <c r="D4122" s="19" t="s">
        <v>7823</v>
      </c>
      <c r="E4122" s="19" t="s">
        <v>7829</v>
      </c>
    </row>
    <row r="4123" spans="1:5" ht="24" customHeight="1" x14ac:dyDescent="0.25">
      <c r="A4123" s="16">
        <v>4152</v>
      </c>
      <c r="B4123" s="19" t="s">
        <v>7606</v>
      </c>
      <c r="C4123" s="19" t="s">
        <v>7793</v>
      </c>
      <c r="D4123" s="19" t="s">
        <v>7823</v>
      </c>
      <c r="E4123" s="19" t="s">
        <v>7830</v>
      </c>
    </row>
    <row r="4124" spans="1:5" ht="24" customHeight="1" x14ac:dyDescent="0.25">
      <c r="A4124" s="16">
        <v>4153</v>
      </c>
      <c r="B4124" s="19" t="s">
        <v>7606</v>
      </c>
      <c r="C4124" s="19" t="s">
        <v>7793</v>
      </c>
      <c r="D4124" s="19" t="s">
        <v>7823</v>
      </c>
      <c r="E4124" s="19" t="s">
        <v>7831</v>
      </c>
    </row>
    <row r="4125" spans="1:5" x14ac:dyDescent="0.25">
      <c r="A4125" s="16">
        <v>4154</v>
      </c>
      <c r="B4125" s="19" t="s">
        <v>7606</v>
      </c>
      <c r="C4125" s="19" t="s">
        <v>7793</v>
      </c>
      <c r="D4125" s="19" t="s">
        <v>7823</v>
      </c>
      <c r="E4125" s="19" t="s">
        <v>7832</v>
      </c>
    </row>
    <row r="4126" spans="1:5" ht="24" customHeight="1" x14ac:dyDescent="0.25">
      <c r="A4126" s="16">
        <v>4155</v>
      </c>
      <c r="B4126" s="19" t="s">
        <v>7606</v>
      </c>
      <c r="C4126" s="19" t="s">
        <v>7793</v>
      </c>
      <c r="D4126" s="19" t="s">
        <v>7823</v>
      </c>
      <c r="E4126" s="19" t="s">
        <v>7833</v>
      </c>
    </row>
    <row r="4127" spans="1:5" ht="24" customHeight="1" x14ac:dyDescent="0.25">
      <c r="A4127" s="16">
        <v>4156</v>
      </c>
      <c r="B4127" s="19" t="s">
        <v>7606</v>
      </c>
      <c r="C4127" s="19" t="s">
        <v>7793</v>
      </c>
      <c r="D4127" s="19" t="s">
        <v>7823</v>
      </c>
      <c r="E4127" s="19" t="s">
        <v>7834</v>
      </c>
    </row>
    <row r="4128" spans="1:5" x14ac:dyDescent="0.25">
      <c r="A4128" s="16">
        <v>4157</v>
      </c>
      <c r="B4128" s="19" t="s">
        <v>7606</v>
      </c>
      <c r="C4128" s="19" t="s">
        <v>7793</v>
      </c>
      <c r="D4128" s="19" t="s">
        <v>7823</v>
      </c>
      <c r="E4128" s="19" t="s">
        <v>7835</v>
      </c>
    </row>
    <row r="4129" spans="1:5" ht="24" customHeight="1" x14ac:dyDescent="0.25">
      <c r="A4129" s="16">
        <v>4158</v>
      </c>
      <c r="B4129" s="19" t="s">
        <v>7606</v>
      </c>
      <c r="C4129" s="19" t="s">
        <v>7793</v>
      </c>
      <c r="D4129" s="19" t="s">
        <v>7823</v>
      </c>
      <c r="E4129" s="19" t="s">
        <v>7836</v>
      </c>
    </row>
    <row r="4130" spans="1:5" x14ac:dyDescent="0.25">
      <c r="A4130" s="16">
        <v>4159</v>
      </c>
      <c r="B4130" s="19" t="s">
        <v>7606</v>
      </c>
      <c r="C4130" s="19" t="s">
        <v>7793</v>
      </c>
      <c r="D4130" s="19" t="s">
        <v>7793</v>
      </c>
      <c r="E4130" s="19" t="s">
        <v>7837</v>
      </c>
    </row>
    <row r="4131" spans="1:5" ht="24" customHeight="1" x14ac:dyDescent="0.25">
      <c r="A4131" s="16">
        <v>4160</v>
      </c>
      <c r="B4131" s="19" t="s">
        <v>7606</v>
      </c>
      <c r="C4131" s="19" t="s">
        <v>7793</v>
      </c>
      <c r="D4131" s="19" t="s">
        <v>7793</v>
      </c>
      <c r="E4131" s="19" t="s">
        <v>7838</v>
      </c>
    </row>
    <row r="4132" spans="1:5" x14ac:dyDescent="0.25">
      <c r="A4132" s="16">
        <v>4161</v>
      </c>
      <c r="B4132" s="19" t="s">
        <v>7606</v>
      </c>
      <c r="C4132" s="19" t="s">
        <v>7793</v>
      </c>
      <c r="D4132" s="19" t="s">
        <v>7793</v>
      </c>
      <c r="E4132" s="19" t="s">
        <v>7839</v>
      </c>
    </row>
    <row r="4133" spans="1:5" ht="24" customHeight="1" x14ac:dyDescent="0.25">
      <c r="A4133" s="16">
        <v>4162</v>
      </c>
      <c r="B4133" s="19" t="s">
        <v>7606</v>
      </c>
      <c r="C4133" s="19" t="s">
        <v>7793</v>
      </c>
      <c r="D4133" s="19" t="s">
        <v>7793</v>
      </c>
      <c r="E4133" s="19" t="s">
        <v>7840</v>
      </c>
    </row>
    <row r="4134" spans="1:5" ht="24" customHeight="1" x14ac:dyDescent="0.25">
      <c r="A4134" s="16">
        <v>4163</v>
      </c>
      <c r="B4134" s="19" t="s">
        <v>7606</v>
      </c>
      <c r="C4134" s="19" t="s">
        <v>7793</v>
      </c>
      <c r="D4134" s="19" t="s">
        <v>7793</v>
      </c>
      <c r="E4134" s="19" t="s">
        <v>7841</v>
      </c>
    </row>
    <row r="4135" spans="1:5" x14ac:dyDescent="0.25">
      <c r="A4135" s="16">
        <v>4164</v>
      </c>
      <c r="B4135" s="19" t="s">
        <v>7606</v>
      </c>
      <c r="C4135" s="19" t="s">
        <v>7793</v>
      </c>
      <c r="D4135" s="19" t="s">
        <v>7793</v>
      </c>
      <c r="E4135" s="19" t="s">
        <v>7842</v>
      </c>
    </row>
    <row r="4136" spans="1:5" x14ac:dyDescent="0.25">
      <c r="A4136" s="16">
        <v>4165</v>
      </c>
      <c r="B4136" s="19" t="s">
        <v>7606</v>
      </c>
      <c r="C4136" s="19" t="s">
        <v>7793</v>
      </c>
      <c r="D4136" s="19" t="s">
        <v>7843</v>
      </c>
      <c r="E4136" s="19" t="s">
        <v>7844</v>
      </c>
    </row>
    <row r="4137" spans="1:5" x14ac:dyDescent="0.25">
      <c r="A4137" s="16">
        <v>4166</v>
      </c>
      <c r="B4137" s="19" t="s">
        <v>7606</v>
      </c>
      <c r="C4137" s="19" t="s">
        <v>7793</v>
      </c>
      <c r="D4137" s="19" t="s">
        <v>7843</v>
      </c>
      <c r="E4137" s="19" t="s">
        <v>7845</v>
      </c>
    </row>
    <row r="4138" spans="1:5" x14ac:dyDescent="0.25">
      <c r="A4138" s="16">
        <v>4167</v>
      </c>
      <c r="B4138" s="19" t="s">
        <v>7606</v>
      </c>
      <c r="C4138" s="19" t="s">
        <v>7793</v>
      </c>
      <c r="D4138" s="19" t="s">
        <v>7843</v>
      </c>
      <c r="E4138" s="19" t="s">
        <v>7846</v>
      </c>
    </row>
    <row r="4139" spans="1:5" x14ac:dyDescent="0.25">
      <c r="A4139" s="16">
        <v>4168</v>
      </c>
      <c r="B4139" s="19" t="s">
        <v>7606</v>
      </c>
      <c r="C4139" s="19" t="s">
        <v>7793</v>
      </c>
      <c r="D4139" s="19" t="s">
        <v>7843</v>
      </c>
      <c r="E4139" s="19" t="s">
        <v>7847</v>
      </c>
    </row>
    <row r="4140" spans="1:5" ht="24" customHeight="1" x14ac:dyDescent="0.25">
      <c r="A4140" s="16">
        <v>4169</v>
      </c>
      <c r="B4140" s="19" t="s">
        <v>7606</v>
      </c>
      <c r="C4140" s="19" t="s">
        <v>7793</v>
      </c>
      <c r="D4140" s="19" t="s">
        <v>7843</v>
      </c>
      <c r="E4140" s="19" t="s">
        <v>7848</v>
      </c>
    </row>
    <row r="4141" spans="1:5" x14ac:dyDescent="0.25">
      <c r="A4141" s="16">
        <v>4170</v>
      </c>
      <c r="B4141" s="19" t="s">
        <v>7606</v>
      </c>
      <c r="C4141" s="19" t="s">
        <v>7793</v>
      </c>
      <c r="D4141" s="19" t="s">
        <v>7843</v>
      </c>
      <c r="E4141" s="19" t="s">
        <v>7849</v>
      </c>
    </row>
    <row r="4142" spans="1:5" x14ac:dyDescent="0.25">
      <c r="A4142" s="16">
        <v>4171</v>
      </c>
      <c r="B4142" s="19" t="s">
        <v>7606</v>
      </c>
      <c r="C4142" s="19" t="s">
        <v>7793</v>
      </c>
      <c r="D4142" s="19" t="s">
        <v>7843</v>
      </c>
      <c r="E4142" s="19" t="s">
        <v>7850</v>
      </c>
    </row>
    <row r="4143" spans="1:5" ht="24" customHeight="1" x14ac:dyDescent="0.25">
      <c r="A4143" s="16">
        <v>4172</v>
      </c>
      <c r="B4143" s="19" t="s">
        <v>7606</v>
      </c>
      <c r="C4143" s="19" t="s">
        <v>7793</v>
      </c>
      <c r="D4143" s="19" t="s">
        <v>7843</v>
      </c>
      <c r="E4143" s="19" t="s">
        <v>7851</v>
      </c>
    </row>
    <row r="4144" spans="1:5" x14ac:dyDescent="0.25">
      <c r="A4144" s="16">
        <v>4173</v>
      </c>
      <c r="B4144" s="19" t="s">
        <v>7606</v>
      </c>
      <c r="C4144" s="19" t="s">
        <v>7793</v>
      </c>
      <c r="D4144" s="19" t="s">
        <v>7843</v>
      </c>
      <c r="E4144" s="19" t="s">
        <v>7852</v>
      </c>
    </row>
    <row r="4145" spans="1:5" ht="24" customHeight="1" x14ac:dyDescent="0.25">
      <c r="A4145" s="16">
        <v>4174</v>
      </c>
      <c r="B4145" s="19" t="s">
        <v>7606</v>
      </c>
      <c r="C4145" s="19" t="s">
        <v>7793</v>
      </c>
      <c r="D4145" s="19" t="s">
        <v>7843</v>
      </c>
      <c r="E4145" s="19" t="s">
        <v>7853</v>
      </c>
    </row>
    <row r="4146" spans="1:5" x14ac:dyDescent="0.25">
      <c r="A4146" s="16">
        <v>4175</v>
      </c>
      <c r="B4146" s="19" t="s">
        <v>7606</v>
      </c>
      <c r="C4146" s="19" t="s">
        <v>7854</v>
      </c>
      <c r="D4146" s="19" t="s">
        <v>7854</v>
      </c>
      <c r="E4146" s="19" t="s">
        <v>7855</v>
      </c>
    </row>
    <row r="4147" spans="1:5" x14ac:dyDescent="0.25">
      <c r="A4147" s="16">
        <v>4176</v>
      </c>
      <c r="B4147" s="19" t="s">
        <v>7606</v>
      </c>
      <c r="C4147" s="19" t="s">
        <v>7854</v>
      </c>
      <c r="D4147" s="19" t="s">
        <v>7854</v>
      </c>
      <c r="E4147" s="19" t="s">
        <v>7856</v>
      </c>
    </row>
    <row r="4148" spans="1:5" ht="24" customHeight="1" x14ac:dyDescent="0.25">
      <c r="A4148" s="16">
        <v>4177</v>
      </c>
      <c r="B4148" s="19" t="s">
        <v>7606</v>
      </c>
      <c r="C4148" s="19" t="s">
        <v>7854</v>
      </c>
      <c r="D4148" s="19" t="s">
        <v>7854</v>
      </c>
      <c r="E4148" s="19" t="s">
        <v>7857</v>
      </c>
    </row>
    <row r="4149" spans="1:5" x14ac:dyDescent="0.25">
      <c r="A4149" s="16">
        <v>4178</v>
      </c>
      <c r="B4149" s="19" t="s">
        <v>7606</v>
      </c>
      <c r="C4149" s="19" t="s">
        <v>7854</v>
      </c>
      <c r="D4149" s="19" t="s">
        <v>7854</v>
      </c>
      <c r="E4149" s="19" t="s">
        <v>7858</v>
      </c>
    </row>
    <row r="4150" spans="1:5" x14ac:dyDescent="0.25">
      <c r="A4150" s="16">
        <v>4179</v>
      </c>
      <c r="B4150" s="19" t="s">
        <v>7606</v>
      </c>
      <c r="C4150" s="19" t="s">
        <v>7854</v>
      </c>
      <c r="D4150" s="19" t="s">
        <v>7854</v>
      </c>
      <c r="E4150" s="19" t="s">
        <v>7859</v>
      </c>
    </row>
    <row r="4151" spans="1:5" ht="24" customHeight="1" x14ac:dyDescent="0.25">
      <c r="A4151" s="16">
        <v>4180</v>
      </c>
      <c r="B4151" s="19" t="s">
        <v>7606</v>
      </c>
      <c r="C4151" s="19" t="s">
        <v>7854</v>
      </c>
      <c r="D4151" s="19" t="s">
        <v>7854</v>
      </c>
      <c r="E4151" s="19" t="s">
        <v>7860</v>
      </c>
    </row>
    <row r="4152" spans="1:5" ht="24" customHeight="1" x14ac:dyDescent="0.25">
      <c r="A4152" s="16">
        <v>4181</v>
      </c>
      <c r="B4152" s="19" t="s">
        <v>7606</v>
      </c>
      <c r="C4152" s="19" t="s">
        <v>7854</v>
      </c>
      <c r="D4152" s="19" t="s">
        <v>7854</v>
      </c>
      <c r="E4152" s="19" t="s">
        <v>7861</v>
      </c>
    </row>
    <row r="4153" spans="1:5" x14ac:dyDescent="0.25">
      <c r="A4153" s="16">
        <v>4182</v>
      </c>
      <c r="B4153" s="19" t="s">
        <v>7606</v>
      </c>
      <c r="C4153" s="19" t="s">
        <v>7854</v>
      </c>
      <c r="D4153" s="19" t="s">
        <v>7854</v>
      </c>
      <c r="E4153" s="19" t="s">
        <v>7862</v>
      </c>
    </row>
    <row r="4154" spans="1:5" x14ac:dyDescent="0.25">
      <c r="A4154" s="16">
        <v>4183</v>
      </c>
      <c r="B4154" s="19" t="s">
        <v>7606</v>
      </c>
      <c r="C4154" s="19" t="s">
        <v>7854</v>
      </c>
      <c r="D4154" s="19" t="s">
        <v>7854</v>
      </c>
      <c r="E4154" s="19" t="s">
        <v>7863</v>
      </c>
    </row>
    <row r="4155" spans="1:5" ht="24" customHeight="1" x14ac:dyDescent="0.25">
      <c r="A4155" s="16">
        <v>4184</v>
      </c>
      <c r="B4155" s="19" t="s">
        <v>7606</v>
      </c>
      <c r="C4155" s="19" t="s">
        <v>7854</v>
      </c>
      <c r="D4155" s="19" t="s">
        <v>7854</v>
      </c>
      <c r="E4155" s="19" t="s">
        <v>7864</v>
      </c>
    </row>
    <row r="4156" spans="1:5" x14ac:dyDescent="0.25">
      <c r="A4156" s="16">
        <v>4185</v>
      </c>
      <c r="B4156" s="19" t="s">
        <v>7606</v>
      </c>
      <c r="C4156" s="19" t="s">
        <v>7854</v>
      </c>
      <c r="D4156" s="19" t="s">
        <v>7854</v>
      </c>
      <c r="E4156" s="19" t="s">
        <v>7865</v>
      </c>
    </row>
    <row r="4157" spans="1:5" ht="24" customHeight="1" x14ac:dyDescent="0.25">
      <c r="A4157" s="16">
        <v>4186</v>
      </c>
      <c r="B4157" s="19" t="s">
        <v>7606</v>
      </c>
      <c r="C4157" s="19" t="s">
        <v>7854</v>
      </c>
      <c r="D4157" s="19" t="s">
        <v>7866</v>
      </c>
      <c r="E4157" s="19" t="s">
        <v>7867</v>
      </c>
    </row>
    <row r="4158" spans="1:5" ht="24" customHeight="1" x14ac:dyDescent="0.25">
      <c r="A4158" s="16">
        <v>4187</v>
      </c>
      <c r="B4158" s="19" t="s">
        <v>7606</v>
      </c>
      <c r="C4158" s="19" t="s">
        <v>7854</v>
      </c>
      <c r="D4158" s="19" t="s">
        <v>7866</v>
      </c>
      <c r="E4158" s="19" t="s">
        <v>7868</v>
      </c>
    </row>
    <row r="4159" spans="1:5" ht="24" customHeight="1" x14ac:dyDescent="0.25">
      <c r="A4159" s="16">
        <v>4188</v>
      </c>
      <c r="B4159" s="19" t="s">
        <v>7606</v>
      </c>
      <c r="C4159" s="19" t="s">
        <v>7854</v>
      </c>
      <c r="D4159" s="19" t="s">
        <v>7866</v>
      </c>
      <c r="E4159" s="19" t="s">
        <v>7869</v>
      </c>
    </row>
    <row r="4160" spans="1:5" ht="24" customHeight="1" x14ac:dyDescent="0.25">
      <c r="A4160" s="16">
        <v>4189</v>
      </c>
      <c r="B4160" s="19" t="s">
        <v>7606</v>
      </c>
      <c r="C4160" s="19" t="s">
        <v>7854</v>
      </c>
      <c r="D4160" s="19" t="s">
        <v>7866</v>
      </c>
      <c r="E4160" s="19" t="s">
        <v>7870</v>
      </c>
    </row>
    <row r="4161" spans="1:5" ht="24" customHeight="1" x14ac:dyDescent="0.25">
      <c r="A4161" s="16">
        <v>4190</v>
      </c>
      <c r="B4161" s="19" t="s">
        <v>7606</v>
      </c>
      <c r="C4161" s="19" t="s">
        <v>7854</v>
      </c>
      <c r="D4161" s="19" t="s">
        <v>7866</v>
      </c>
      <c r="E4161" s="19" t="s">
        <v>7871</v>
      </c>
    </row>
    <row r="4162" spans="1:5" ht="24" customHeight="1" x14ac:dyDescent="0.25">
      <c r="A4162" s="16">
        <v>4191</v>
      </c>
      <c r="B4162" s="19" t="s">
        <v>7606</v>
      </c>
      <c r="C4162" s="19" t="s">
        <v>7854</v>
      </c>
      <c r="D4162" s="19" t="s">
        <v>7866</v>
      </c>
      <c r="E4162" s="19" t="s">
        <v>7872</v>
      </c>
    </row>
    <row r="4163" spans="1:5" ht="24" customHeight="1" x14ac:dyDescent="0.25">
      <c r="A4163" s="16">
        <v>4192</v>
      </c>
      <c r="B4163" s="19" t="s">
        <v>7606</v>
      </c>
      <c r="C4163" s="19" t="s">
        <v>7854</v>
      </c>
      <c r="D4163" s="19" t="s">
        <v>7866</v>
      </c>
      <c r="E4163" s="19" t="s">
        <v>7873</v>
      </c>
    </row>
    <row r="4164" spans="1:5" ht="24" customHeight="1" x14ac:dyDescent="0.25">
      <c r="A4164" s="16">
        <v>4193</v>
      </c>
      <c r="B4164" s="19" t="s">
        <v>7606</v>
      </c>
      <c r="C4164" s="19" t="s">
        <v>7854</v>
      </c>
      <c r="D4164" s="19" t="s">
        <v>7866</v>
      </c>
      <c r="E4164" s="19" t="s">
        <v>7874</v>
      </c>
    </row>
    <row r="4165" spans="1:5" ht="24" customHeight="1" x14ac:dyDescent="0.25">
      <c r="A4165" s="16">
        <v>4194</v>
      </c>
      <c r="B4165" s="19" t="s">
        <v>7606</v>
      </c>
      <c r="C4165" s="19" t="s">
        <v>7854</v>
      </c>
      <c r="D4165" s="19" t="s">
        <v>7866</v>
      </c>
      <c r="E4165" s="19" t="s">
        <v>7875</v>
      </c>
    </row>
    <row r="4166" spans="1:5" ht="24" customHeight="1" x14ac:dyDescent="0.25">
      <c r="A4166" s="16">
        <v>4195</v>
      </c>
      <c r="B4166" s="19" t="s">
        <v>7606</v>
      </c>
      <c r="C4166" s="19" t="s">
        <v>7854</v>
      </c>
      <c r="D4166" s="19" t="s">
        <v>7866</v>
      </c>
      <c r="E4166" s="19" t="s">
        <v>7876</v>
      </c>
    </row>
    <row r="4167" spans="1:5" x14ac:dyDescent="0.25">
      <c r="A4167" s="16">
        <v>4196</v>
      </c>
      <c r="B4167" s="19" t="s">
        <v>7606</v>
      </c>
      <c r="C4167" s="19" t="s">
        <v>7854</v>
      </c>
      <c r="D4167" s="19" t="s">
        <v>7877</v>
      </c>
      <c r="E4167" s="19" t="s">
        <v>7878</v>
      </c>
    </row>
    <row r="4168" spans="1:5" ht="24" customHeight="1" x14ac:dyDescent="0.25">
      <c r="A4168" s="16">
        <v>4197</v>
      </c>
      <c r="B4168" s="19" t="s">
        <v>7606</v>
      </c>
      <c r="C4168" s="19" t="s">
        <v>7854</v>
      </c>
      <c r="D4168" s="19" t="s">
        <v>7877</v>
      </c>
      <c r="E4168" s="19" t="s">
        <v>7879</v>
      </c>
    </row>
    <row r="4169" spans="1:5" x14ac:dyDescent="0.25">
      <c r="A4169" s="16">
        <v>4198</v>
      </c>
      <c r="B4169" s="19" t="s">
        <v>7606</v>
      </c>
      <c r="C4169" s="19" t="s">
        <v>7854</v>
      </c>
      <c r="D4169" s="19" t="s">
        <v>7877</v>
      </c>
      <c r="E4169" s="19" t="s">
        <v>7880</v>
      </c>
    </row>
    <row r="4170" spans="1:5" x14ac:dyDescent="0.25">
      <c r="A4170" s="16">
        <v>4199</v>
      </c>
      <c r="B4170" s="19" t="s">
        <v>7606</v>
      </c>
      <c r="C4170" s="19" t="s">
        <v>7854</v>
      </c>
      <c r="D4170" s="19" t="s">
        <v>7877</v>
      </c>
      <c r="E4170" s="19" t="s">
        <v>7881</v>
      </c>
    </row>
    <row r="4171" spans="1:5" x14ac:dyDescent="0.25">
      <c r="A4171" s="16">
        <v>4200</v>
      </c>
      <c r="B4171" s="19" t="s">
        <v>7606</v>
      </c>
      <c r="C4171" s="19" t="s">
        <v>7854</v>
      </c>
      <c r="D4171" s="19" t="s">
        <v>7877</v>
      </c>
      <c r="E4171" s="19" t="s">
        <v>7882</v>
      </c>
    </row>
    <row r="4172" spans="1:5" x14ac:dyDescent="0.25">
      <c r="A4172" s="16">
        <v>4201</v>
      </c>
      <c r="B4172" s="19" t="s">
        <v>7606</v>
      </c>
      <c r="C4172" s="19" t="s">
        <v>7854</v>
      </c>
      <c r="D4172" s="19" t="s">
        <v>7883</v>
      </c>
      <c r="E4172" s="19" t="s">
        <v>7884</v>
      </c>
    </row>
    <row r="4173" spans="1:5" ht="24" customHeight="1" x14ac:dyDescent="0.25">
      <c r="A4173" s="16">
        <v>4202</v>
      </c>
      <c r="B4173" s="19" t="s">
        <v>7606</v>
      </c>
      <c r="C4173" s="19" t="s">
        <v>7854</v>
      </c>
      <c r="D4173" s="19" t="s">
        <v>7883</v>
      </c>
      <c r="E4173" s="19" t="s">
        <v>7885</v>
      </c>
    </row>
    <row r="4174" spans="1:5" ht="24" customHeight="1" x14ac:dyDescent="0.25">
      <c r="A4174" s="16">
        <v>4203</v>
      </c>
      <c r="B4174" s="19" t="s">
        <v>7606</v>
      </c>
      <c r="C4174" s="19" t="s">
        <v>7854</v>
      </c>
      <c r="D4174" s="19" t="s">
        <v>7883</v>
      </c>
      <c r="E4174" s="19" t="s">
        <v>7886</v>
      </c>
    </row>
    <row r="4175" spans="1:5" x14ac:dyDescent="0.25">
      <c r="A4175" s="16">
        <v>4204</v>
      </c>
      <c r="B4175" s="19" t="s">
        <v>7606</v>
      </c>
      <c r="C4175" s="19" t="s">
        <v>7854</v>
      </c>
      <c r="D4175" s="19" t="s">
        <v>7883</v>
      </c>
      <c r="E4175" s="19" t="s">
        <v>7887</v>
      </c>
    </row>
    <row r="4176" spans="1:5" ht="24" customHeight="1" x14ac:dyDescent="0.25">
      <c r="A4176" s="16">
        <v>4205</v>
      </c>
      <c r="B4176" s="19" t="s">
        <v>7606</v>
      </c>
      <c r="C4176" s="19" t="s">
        <v>7854</v>
      </c>
      <c r="D4176" s="19" t="s">
        <v>7883</v>
      </c>
      <c r="E4176" s="19" t="s">
        <v>7888</v>
      </c>
    </row>
    <row r="4177" spans="1:5" ht="24" customHeight="1" x14ac:dyDescent="0.25">
      <c r="A4177" s="16">
        <v>4206</v>
      </c>
      <c r="B4177" s="19" t="s">
        <v>7606</v>
      </c>
      <c r="C4177" s="19" t="s">
        <v>7854</v>
      </c>
      <c r="D4177" s="19" t="s">
        <v>7883</v>
      </c>
      <c r="E4177" s="19" t="s">
        <v>7889</v>
      </c>
    </row>
    <row r="4178" spans="1:5" x14ac:dyDescent="0.25">
      <c r="A4178" s="16">
        <v>4207</v>
      </c>
      <c r="B4178" s="19" t="s">
        <v>7606</v>
      </c>
      <c r="C4178" s="19" t="s">
        <v>7854</v>
      </c>
      <c r="D4178" s="19" t="s">
        <v>7883</v>
      </c>
      <c r="E4178" s="19" t="s">
        <v>7890</v>
      </c>
    </row>
    <row r="4179" spans="1:5" x14ac:dyDescent="0.25">
      <c r="A4179" s="16">
        <v>4208</v>
      </c>
      <c r="B4179" s="19" t="s">
        <v>7606</v>
      </c>
      <c r="C4179" s="19" t="s">
        <v>7854</v>
      </c>
      <c r="D4179" s="19" t="s">
        <v>7883</v>
      </c>
      <c r="E4179" s="19" t="s">
        <v>7891</v>
      </c>
    </row>
    <row r="4180" spans="1:5" x14ac:dyDescent="0.25">
      <c r="A4180" s="16">
        <v>4209</v>
      </c>
      <c r="B4180" s="19" t="s">
        <v>7606</v>
      </c>
      <c r="C4180" s="19" t="s">
        <v>7854</v>
      </c>
      <c r="D4180" s="19" t="s">
        <v>7883</v>
      </c>
      <c r="E4180" s="19" t="s">
        <v>7892</v>
      </c>
    </row>
    <row r="4181" spans="1:5" ht="24" customHeight="1" x14ac:dyDescent="0.25">
      <c r="A4181" s="16">
        <v>4210</v>
      </c>
      <c r="B4181" s="19" t="s">
        <v>7606</v>
      </c>
      <c r="C4181" s="19" t="s">
        <v>7854</v>
      </c>
      <c r="D4181" s="19" t="s">
        <v>7883</v>
      </c>
      <c r="E4181" s="19" t="s">
        <v>7893</v>
      </c>
    </row>
    <row r="4182" spans="1:5" ht="24" customHeight="1" x14ac:dyDescent="0.25">
      <c r="A4182" s="16">
        <v>4211</v>
      </c>
      <c r="B4182" s="19" t="s">
        <v>7606</v>
      </c>
      <c r="C4182" s="19" t="s">
        <v>7854</v>
      </c>
      <c r="D4182" s="19" t="s">
        <v>7883</v>
      </c>
      <c r="E4182" s="19" t="s">
        <v>7894</v>
      </c>
    </row>
    <row r="4183" spans="1:5" x14ac:dyDescent="0.25">
      <c r="A4183" s="16">
        <v>4212</v>
      </c>
      <c r="B4183" s="19" t="s">
        <v>7606</v>
      </c>
      <c r="C4183" s="19" t="s">
        <v>7854</v>
      </c>
      <c r="D4183" s="19" t="s">
        <v>7883</v>
      </c>
      <c r="E4183" s="19" t="s">
        <v>7895</v>
      </c>
    </row>
    <row r="4184" spans="1:5" x14ac:dyDescent="0.25">
      <c r="A4184" s="16">
        <v>4213</v>
      </c>
      <c r="B4184" s="19" t="s">
        <v>7606</v>
      </c>
      <c r="C4184" s="19" t="s">
        <v>7854</v>
      </c>
      <c r="D4184" s="19" t="s">
        <v>7883</v>
      </c>
      <c r="E4184" s="19" t="s">
        <v>7896</v>
      </c>
    </row>
    <row r="4185" spans="1:5" x14ac:dyDescent="0.25">
      <c r="A4185" s="16">
        <v>4214</v>
      </c>
      <c r="B4185" s="19" t="s">
        <v>7606</v>
      </c>
      <c r="C4185" s="19" t="s">
        <v>7854</v>
      </c>
      <c r="D4185" s="19" t="s">
        <v>7883</v>
      </c>
      <c r="E4185" s="19" t="s">
        <v>7897</v>
      </c>
    </row>
    <row r="4186" spans="1:5" x14ac:dyDescent="0.25">
      <c r="A4186" s="16">
        <v>4215</v>
      </c>
      <c r="B4186" s="19" t="s">
        <v>7606</v>
      </c>
      <c r="C4186" s="19" t="s">
        <v>7854</v>
      </c>
      <c r="D4186" s="19" t="s">
        <v>7883</v>
      </c>
      <c r="E4186" s="19" t="s">
        <v>7898</v>
      </c>
    </row>
    <row r="4187" spans="1:5" x14ac:dyDescent="0.25">
      <c r="A4187" s="16">
        <v>4216</v>
      </c>
      <c r="B4187" s="19" t="s">
        <v>7606</v>
      </c>
      <c r="C4187" s="19" t="s">
        <v>7854</v>
      </c>
      <c r="D4187" s="19" t="s">
        <v>7883</v>
      </c>
      <c r="E4187" s="19" t="s">
        <v>7899</v>
      </c>
    </row>
    <row r="4188" spans="1:5" x14ac:dyDescent="0.25">
      <c r="A4188" s="16">
        <v>4217</v>
      </c>
      <c r="B4188" s="19" t="s">
        <v>7606</v>
      </c>
      <c r="C4188" s="19" t="s">
        <v>7854</v>
      </c>
      <c r="D4188" s="19" t="s">
        <v>7900</v>
      </c>
      <c r="E4188" s="19" t="s">
        <v>7901</v>
      </c>
    </row>
    <row r="4189" spans="1:5" ht="24" customHeight="1" x14ac:dyDescent="0.25">
      <c r="A4189" s="16">
        <v>4218</v>
      </c>
      <c r="B4189" s="19" t="s">
        <v>7606</v>
      </c>
      <c r="C4189" s="19" t="s">
        <v>7854</v>
      </c>
      <c r="D4189" s="19" t="s">
        <v>7900</v>
      </c>
      <c r="E4189" s="19" t="s">
        <v>7902</v>
      </c>
    </row>
    <row r="4190" spans="1:5" x14ac:dyDescent="0.25">
      <c r="A4190" s="16">
        <v>4219</v>
      </c>
      <c r="B4190" s="19" t="s">
        <v>7606</v>
      </c>
      <c r="C4190" s="19" t="s">
        <v>7854</v>
      </c>
      <c r="D4190" s="19" t="s">
        <v>7900</v>
      </c>
      <c r="E4190" s="19" t="s">
        <v>7903</v>
      </c>
    </row>
    <row r="4191" spans="1:5" x14ac:dyDescent="0.25">
      <c r="A4191" s="16">
        <v>4220</v>
      </c>
      <c r="B4191" s="19" t="s">
        <v>7606</v>
      </c>
      <c r="C4191" s="19" t="s">
        <v>7854</v>
      </c>
      <c r="D4191" s="19" t="s">
        <v>7900</v>
      </c>
      <c r="E4191" s="19" t="s">
        <v>7904</v>
      </c>
    </row>
    <row r="4192" spans="1:5" x14ac:dyDescent="0.25">
      <c r="A4192" s="16">
        <v>4221</v>
      </c>
      <c r="B4192" s="19" t="s">
        <v>7606</v>
      </c>
      <c r="C4192" s="19" t="s">
        <v>7854</v>
      </c>
      <c r="D4192" s="19" t="s">
        <v>7905</v>
      </c>
      <c r="E4192" s="19" t="s">
        <v>7906</v>
      </c>
    </row>
    <row r="4193" spans="1:5" ht="36" customHeight="1" x14ac:dyDescent="0.25">
      <c r="A4193" s="16">
        <v>4222</v>
      </c>
      <c r="B4193" s="19" t="s">
        <v>7606</v>
      </c>
      <c r="C4193" s="19" t="s">
        <v>7854</v>
      </c>
      <c r="D4193" s="19" t="s">
        <v>7905</v>
      </c>
      <c r="E4193" s="19" t="s">
        <v>7907</v>
      </c>
    </row>
    <row r="4194" spans="1:5" x14ac:dyDescent="0.25">
      <c r="A4194" s="16">
        <v>4223</v>
      </c>
      <c r="B4194" s="19" t="s">
        <v>7606</v>
      </c>
      <c r="C4194" s="19" t="s">
        <v>7854</v>
      </c>
      <c r="D4194" s="19" t="s">
        <v>7905</v>
      </c>
      <c r="E4194" s="19" t="s">
        <v>7908</v>
      </c>
    </row>
    <row r="4195" spans="1:5" ht="24" customHeight="1" x14ac:dyDescent="0.25">
      <c r="A4195" s="16">
        <v>4224</v>
      </c>
      <c r="B4195" s="19" t="s">
        <v>7606</v>
      </c>
      <c r="C4195" s="19" t="s">
        <v>7854</v>
      </c>
      <c r="D4195" s="19" t="s">
        <v>7905</v>
      </c>
      <c r="E4195" s="19" t="s">
        <v>7909</v>
      </c>
    </row>
    <row r="4196" spans="1:5" x14ac:dyDescent="0.25">
      <c r="A4196" s="16">
        <v>4225</v>
      </c>
      <c r="B4196" s="19" t="s">
        <v>7606</v>
      </c>
      <c r="C4196" s="19" t="s">
        <v>7854</v>
      </c>
      <c r="D4196" s="19" t="s">
        <v>7905</v>
      </c>
      <c r="E4196" s="19" t="s">
        <v>7910</v>
      </c>
    </row>
    <row r="4197" spans="1:5" ht="24" customHeight="1" x14ac:dyDescent="0.25">
      <c r="A4197" s="16">
        <v>4226</v>
      </c>
      <c r="B4197" s="19" t="s">
        <v>7606</v>
      </c>
      <c r="C4197" s="19" t="s">
        <v>7854</v>
      </c>
      <c r="D4197" s="19" t="s">
        <v>7905</v>
      </c>
      <c r="E4197" s="19" t="s">
        <v>7911</v>
      </c>
    </row>
    <row r="4198" spans="1:5" x14ac:dyDescent="0.25">
      <c r="A4198" s="16">
        <v>4227</v>
      </c>
      <c r="B4198" s="19" t="s">
        <v>7606</v>
      </c>
      <c r="C4198" s="19" t="s">
        <v>7854</v>
      </c>
      <c r="D4198" s="19" t="s">
        <v>7905</v>
      </c>
      <c r="E4198" s="19" t="s">
        <v>7912</v>
      </c>
    </row>
    <row r="4199" spans="1:5" x14ac:dyDescent="0.25">
      <c r="A4199" s="16">
        <v>4228</v>
      </c>
      <c r="B4199" s="19" t="s">
        <v>7606</v>
      </c>
      <c r="C4199" s="19" t="s">
        <v>7854</v>
      </c>
      <c r="D4199" s="19" t="s">
        <v>7905</v>
      </c>
      <c r="E4199" s="19" t="s">
        <v>7913</v>
      </c>
    </row>
    <row r="4200" spans="1:5" x14ac:dyDescent="0.25">
      <c r="A4200" s="16">
        <v>4229</v>
      </c>
      <c r="B4200" s="19" t="s">
        <v>7606</v>
      </c>
      <c r="C4200" s="19" t="s">
        <v>7854</v>
      </c>
      <c r="D4200" s="19" t="s">
        <v>7905</v>
      </c>
      <c r="E4200" s="19" t="s">
        <v>7914</v>
      </c>
    </row>
    <row r="4201" spans="1:5" x14ac:dyDescent="0.25">
      <c r="A4201" s="16">
        <v>4230</v>
      </c>
      <c r="B4201" s="19" t="s">
        <v>7606</v>
      </c>
      <c r="C4201" s="19" t="s">
        <v>7854</v>
      </c>
      <c r="D4201" s="19" t="s">
        <v>7915</v>
      </c>
      <c r="E4201" s="19" t="s">
        <v>7916</v>
      </c>
    </row>
    <row r="4202" spans="1:5" ht="24" customHeight="1" x14ac:dyDescent="0.25">
      <c r="A4202" s="16">
        <v>4231</v>
      </c>
      <c r="B4202" s="19" t="s">
        <v>7606</v>
      </c>
      <c r="C4202" s="19" t="s">
        <v>7854</v>
      </c>
      <c r="D4202" s="19" t="s">
        <v>7915</v>
      </c>
      <c r="E4202" s="19" t="s">
        <v>7917</v>
      </c>
    </row>
    <row r="4203" spans="1:5" x14ac:dyDescent="0.25">
      <c r="A4203" s="16">
        <v>4232</v>
      </c>
      <c r="B4203" s="19" t="s">
        <v>7606</v>
      </c>
      <c r="C4203" s="19" t="s">
        <v>7854</v>
      </c>
      <c r="D4203" s="19" t="s">
        <v>7915</v>
      </c>
      <c r="E4203" s="19" t="s">
        <v>7918</v>
      </c>
    </row>
    <row r="4204" spans="1:5" ht="24" customHeight="1" x14ac:dyDescent="0.25">
      <c r="A4204" s="16">
        <v>4233</v>
      </c>
      <c r="B4204" s="19" t="s">
        <v>7606</v>
      </c>
      <c r="C4204" s="19" t="s">
        <v>7854</v>
      </c>
      <c r="D4204" s="19" t="s">
        <v>7915</v>
      </c>
      <c r="E4204" s="19" t="s">
        <v>7919</v>
      </c>
    </row>
    <row r="4205" spans="1:5" ht="24" customHeight="1" x14ac:dyDescent="0.25">
      <c r="A4205" s="16">
        <v>4234</v>
      </c>
      <c r="B4205" s="19" t="s">
        <v>7606</v>
      </c>
      <c r="C4205" s="19" t="s">
        <v>7854</v>
      </c>
      <c r="D4205" s="19" t="s">
        <v>7915</v>
      </c>
      <c r="E4205" s="19" t="s">
        <v>7920</v>
      </c>
    </row>
    <row r="4206" spans="1:5" x14ac:dyDescent="0.25">
      <c r="A4206" s="16">
        <v>4235</v>
      </c>
      <c r="B4206" s="19" t="s">
        <v>7606</v>
      </c>
      <c r="C4206" s="19" t="s">
        <v>7854</v>
      </c>
      <c r="D4206" s="19" t="s">
        <v>7915</v>
      </c>
      <c r="E4206" s="19" t="s">
        <v>7921</v>
      </c>
    </row>
    <row r="4207" spans="1:5" ht="24" customHeight="1" x14ac:dyDescent="0.25">
      <c r="A4207" s="16">
        <v>4236</v>
      </c>
      <c r="B4207" s="19" t="s">
        <v>7606</v>
      </c>
      <c r="C4207" s="19" t="s">
        <v>7854</v>
      </c>
      <c r="D4207" s="19" t="s">
        <v>7915</v>
      </c>
      <c r="E4207" s="19" t="s">
        <v>7922</v>
      </c>
    </row>
    <row r="4208" spans="1:5" ht="24" customHeight="1" x14ac:dyDescent="0.25">
      <c r="A4208" s="16">
        <v>4237</v>
      </c>
      <c r="B4208" s="19" t="s">
        <v>7606</v>
      </c>
      <c r="C4208" s="19" t="s">
        <v>7854</v>
      </c>
      <c r="D4208" s="19" t="s">
        <v>7923</v>
      </c>
      <c r="E4208" s="19" t="s">
        <v>7924</v>
      </c>
    </row>
    <row r="4209" spans="1:5" ht="24" customHeight="1" x14ac:dyDescent="0.25">
      <c r="A4209" s="16">
        <v>4238</v>
      </c>
      <c r="B4209" s="19" t="s">
        <v>7606</v>
      </c>
      <c r="C4209" s="19" t="s">
        <v>7854</v>
      </c>
      <c r="D4209" s="19" t="s">
        <v>7923</v>
      </c>
      <c r="E4209" s="19" t="s">
        <v>7925</v>
      </c>
    </row>
    <row r="4210" spans="1:5" ht="24" customHeight="1" x14ac:dyDescent="0.25">
      <c r="A4210" s="16">
        <v>4239</v>
      </c>
      <c r="B4210" s="19" t="s">
        <v>7606</v>
      </c>
      <c r="C4210" s="19" t="s">
        <v>7926</v>
      </c>
      <c r="D4210" s="19" t="s">
        <v>7926</v>
      </c>
      <c r="E4210" s="19" t="s">
        <v>7927</v>
      </c>
    </row>
    <row r="4211" spans="1:5" ht="24" customHeight="1" x14ac:dyDescent="0.25">
      <c r="A4211" s="16">
        <v>4240</v>
      </c>
      <c r="B4211" s="19" t="s">
        <v>7606</v>
      </c>
      <c r="C4211" s="19" t="s">
        <v>7926</v>
      </c>
      <c r="D4211" s="19" t="s">
        <v>7926</v>
      </c>
      <c r="E4211" s="19" t="s">
        <v>7928</v>
      </c>
    </row>
    <row r="4212" spans="1:5" ht="24" customHeight="1" x14ac:dyDescent="0.25">
      <c r="A4212" s="16">
        <v>4241</v>
      </c>
      <c r="B4212" s="19" t="s">
        <v>7606</v>
      </c>
      <c r="C4212" s="19" t="s">
        <v>7926</v>
      </c>
      <c r="D4212" s="19" t="s">
        <v>7926</v>
      </c>
      <c r="E4212" s="19" t="s">
        <v>7929</v>
      </c>
    </row>
    <row r="4213" spans="1:5" ht="24" customHeight="1" x14ac:dyDescent="0.25">
      <c r="A4213" s="16">
        <v>4242</v>
      </c>
      <c r="B4213" s="19" t="s">
        <v>7606</v>
      </c>
      <c r="C4213" s="19" t="s">
        <v>7926</v>
      </c>
      <c r="D4213" s="19" t="s">
        <v>7926</v>
      </c>
      <c r="E4213" s="19" t="s">
        <v>7930</v>
      </c>
    </row>
    <row r="4214" spans="1:5" ht="24" customHeight="1" x14ac:dyDescent="0.25">
      <c r="A4214" s="16">
        <v>4243</v>
      </c>
      <c r="B4214" s="19" t="s">
        <v>7606</v>
      </c>
      <c r="C4214" s="19" t="s">
        <v>7926</v>
      </c>
      <c r="D4214" s="19" t="s">
        <v>7926</v>
      </c>
      <c r="E4214" s="19" t="s">
        <v>7931</v>
      </c>
    </row>
    <row r="4215" spans="1:5" ht="24" customHeight="1" x14ac:dyDescent="0.25">
      <c r="A4215" s="16">
        <v>4244</v>
      </c>
      <c r="B4215" s="19" t="s">
        <v>7606</v>
      </c>
      <c r="C4215" s="19" t="s">
        <v>7926</v>
      </c>
      <c r="D4215" s="19" t="s">
        <v>7926</v>
      </c>
      <c r="E4215" s="19" t="s">
        <v>7932</v>
      </c>
    </row>
    <row r="4216" spans="1:5" ht="24" customHeight="1" x14ac:dyDescent="0.25">
      <c r="A4216" s="16">
        <v>4245</v>
      </c>
      <c r="B4216" s="19" t="s">
        <v>7606</v>
      </c>
      <c r="C4216" s="19" t="s">
        <v>7926</v>
      </c>
      <c r="D4216" s="19" t="s">
        <v>7926</v>
      </c>
      <c r="E4216" s="19" t="s">
        <v>7933</v>
      </c>
    </row>
    <row r="4217" spans="1:5" ht="24" customHeight="1" x14ac:dyDescent="0.25">
      <c r="A4217" s="16">
        <v>4246</v>
      </c>
      <c r="B4217" s="19" t="s">
        <v>7606</v>
      </c>
      <c r="C4217" s="19" t="s">
        <v>7926</v>
      </c>
      <c r="D4217" s="19" t="s">
        <v>7926</v>
      </c>
      <c r="E4217" s="19" t="s">
        <v>7934</v>
      </c>
    </row>
    <row r="4218" spans="1:5" ht="24" customHeight="1" x14ac:dyDescent="0.25">
      <c r="A4218" s="16">
        <v>4247</v>
      </c>
      <c r="B4218" s="19" t="s">
        <v>7606</v>
      </c>
      <c r="C4218" s="19" t="s">
        <v>7926</v>
      </c>
      <c r="D4218" s="19" t="s">
        <v>7926</v>
      </c>
      <c r="E4218" s="19" t="s">
        <v>7935</v>
      </c>
    </row>
    <row r="4219" spans="1:5" ht="24" customHeight="1" x14ac:dyDescent="0.25">
      <c r="A4219" s="16">
        <v>4248</v>
      </c>
      <c r="B4219" s="19" t="s">
        <v>7606</v>
      </c>
      <c r="C4219" s="19" t="s">
        <v>7926</v>
      </c>
      <c r="D4219" s="19" t="s">
        <v>7926</v>
      </c>
      <c r="E4219" s="19" t="s">
        <v>7936</v>
      </c>
    </row>
    <row r="4220" spans="1:5" ht="24" customHeight="1" x14ac:dyDescent="0.25">
      <c r="A4220" s="16">
        <v>4249</v>
      </c>
      <c r="B4220" s="19" t="s">
        <v>7606</v>
      </c>
      <c r="C4220" s="19" t="s">
        <v>7926</v>
      </c>
      <c r="D4220" s="19" t="s">
        <v>7926</v>
      </c>
      <c r="E4220" s="19" t="s">
        <v>7937</v>
      </c>
    </row>
    <row r="4221" spans="1:5" ht="24" customHeight="1" x14ac:dyDescent="0.25">
      <c r="A4221" s="16">
        <v>4250</v>
      </c>
      <c r="B4221" s="19" t="s">
        <v>7606</v>
      </c>
      <c r="C4221" s="19" t="s">
        <v>7926</v>
      </c>
      <c r="D4221" s="19" t="s">
        <v>7926</v>
      </c>
      <c r="E4221" s="19" t="s">
        <v>7938</v>
      </c>
    </row>
    <row r="4222" spans="1:5" ht="24" customHeight="1" x14ac:dyDescent="0.25">
      <c r="A4222" s="16">
        <v>4251</v>
      </c>
      <c r="B4222" s="19" t="s">
        <v>7606</v>
      </c>
      <c r="C4222" s="19" t="s">
        <v>7926</v>
      </c>
      <c r="D4222" s="19" t="s">
        <v>7939</v>
      </c>
      <c r="E4222" s="19" t="s">
        <v>7940</v>
      </c>
    </row>
    <row r="4223" spans="1:5" ht="36" customHeight="1" x14ac:dyDescent="0.25">
      <c r="A4223" s="16">
        <v>4252</v>
      </c>
      <c r="B4223" s="19" t="s">
        <v>7606</v>
      </c>
      <c r="C4223" s="19" t="s">
        <v>7926</v>
      </c>
      <c r="D4223" s="19" t="s">
        <v>7939</v>
      </c>
      <c r="E4223" s="19" t="s">
        <v>7941</v>
      </c>
    </row>
    <row r="4224" spans="1:5" ht="24" customHeight="1" x14ac:dyDescent="0.25">
      <c r="A4224" s="16">
        <v>4253</v>
      </c>
      <c r="B4224" s="19" t="s">
        <v>7606</v>
      </c>
      <c r="C4224" s="19" t="s">
        <v>7926</v>
      </c>
      <c r="D4224" s="19" t="s">
        <v>7939</v>
      </c>
      <c r="E4224" s="19" t="s">
        <v>7942</v>
      </c>
    </row>
    <row r="4225" spans="1:5" ht="24" customHeight="1" x14ac:dyDescent="0.25">
      <c r="A4225" s="16">
        <v>4254</v>
      </c>
      <c r="B4225" s="19" t="s">
        <v>7606</v>
      </c>
      <c r="C4225" s="19" t="s">
        <v>7926</v>
      </c>
      <c r="D4225" s="19" t="s">
        <v>7939</v>
      </c>
      <c r="E4225" s="19" t="s">
        <v>7943</v>
      </c>
    </row>
    <row r="4226" spans="1:5" ht="24" customHeight="1" x14ac:dyDescent="0.25">
      <c r="A4226" s="16">
        <v>4255</v>
      </c>
      <c r="B4226" s="19" t="s">
        <v>7606</v>
      </c>
      <c r="C4226" s="19" t="s">
        <v>7926</v>
      </c>
      <c r="D4226" s="19" t="s">
        <v>7939</v>
      </c>
      <c r="E4226" s="19" t="s">
        <v>7944</v>
      </c>
    </row>
    <row r="4227" spans="1:5" ht="24" customHeight="1" x14ac:dyDescent="0.25">
      <c r="A4227" s="16">
        <v>4256</v>
      </c>
      <c r="B4227" s="19" t="s">
        <v>7606</v>
      </c>
      <c r="C4227" s="19" t="s">
        <v>7926</v>
      </c>
      <c r="D4227" s="19" t="s">
        <v>7939</v>
      </c>
      <c r="E4227" s="19" t="s">
        <v>7945</v>
      </c>
    </row>
    <row r="4228" spans="1:5" ht="24" customHeight="1" x14ac:dyDescent="0.25">
      <c r="A4228" s="16">
        <v>4257</v>
      </c>
      <c r="B4228" s="19" t="s">
        <v>7606</v>
      </c>
      <c r="C4228" s="19" t="s">
        <v>7926</v>
      </c>
      <c r="D4228" s="19" t="s">
        <v>7939</v>
      </c>
      <c r="E4228" s="19" t="s">
        <v>7946</v>
      </c>
    </row>
    <row r="4229" spans="1:5" ht="24" customHeight="1" x14ac:dyDescent="0.25">
      <c r="A4229" s="16">
        <v>4258</v>
      </c>
      <c r="B4229" s="19" t="s">
        <v>7606</v>
      </c>
      <c r="C4229" s="19" t="s">
        <v>7926</v>
      </c>
      <c r="D4229" s="19" t="s">
        <v>7947</v>
      </c>
      <c r="E4229" s="19" t="s">
        <v>7948</v>
      </c>
    </row>
    <row r="4230" spans="1:5" ht="24" customHeight="1" x14ac:dyDescent="0.25">
      <c r="A4230" s="16">
        <v>4259</v>
      </c>
      <c r="B4230" s="19" t="s">
        <v>7606</v>
      </c>
      <c r="C4230" s="19" t="s">
        <v>7926</v>
      </c>
      <c r="D4230" s="19" t="s">
        <v>7947</v>
      </c>
      <c r="E4230" s="19" t="s">
        <v>7949</v>
      </c>
    </row>
    <row r="4231" spans="1:5" ht="24" customHeight="1" x14ac:dyDescent="0.25">
      <c r="A4231" s="16">
        <v>4260</v>
      </c>
      <c r="B4231" s="19" t="s">
        <v>7606</v>
      </c>
      <c r="C4231" s="19" t="s">
        <v>7926</v>
      </c>
      <c r="D4231" s="19" t="s">
        <v>7947</v>
      </c>
      <c r="E4231" s="19" t="s">
        <v>7950</v>
      </c>
    </row>
    <row r="4232" spans="1:5" ht="36" customHeight="1" x14ac:dyDescent="0.25">
      <c r="A4232" s="16">
        <v>4261</v>
      </c>
      <c r="B4232" s="19" t="s">
        <v>7606</v>
      </c>
      <c r="C4232" s="19" t="s">
        <v>7926</v>
      </c>
      <c r="D4232" s="19" t="s">
        <v>7947</v>
      </c>
      <c r="E4232" s="19" t="s">
        <v>7951</v>
      </c>
    </row>
    <row r="4233" spans="1:5" ht="24" customHeight="1" x14ac:dyDescent="0.25">
      <c r="A4233" s="16">
        <v>4262</v>
      </c>
      <c r="B4233" s="19" t="s">
        <v>7606</v>
      </c>
      <c r="C4233" s="19" t="s">
        <v>7926</v>
      </c>
      <c r="D4233" s="19" t="s">
        <v>7947</v>
      </c>
      <c r="E4233" s="19" t="s">
        <v>7952</v>
      </c>
    </row>
    <row r="4234" spans="1:5" ht="24" customHeight="1" x14ac:dyDescent="0.25">
      <c r="A4234" s="16">
        <v>4263</v>
      </c>
      <c r="B4234" s="19" t="s">
        <v>7606</v>
      </c>
      <c r="C4234" s="19" t="s">
        <v>7926</v>
      </c>
      <c r="D4234" s="19" t="s">
        <v>7947</v>
      </c>
      <c r="E4234" s="19" t="s">
        <v>7953</v>
      </c>
    </row>
    <row r="4235" spans="1:5" ht="24" customHeight="1" x14ac:dyDescent="0.25">
      <c r="A4235" s="16">
        <v>4264</v>
      </c>
      <c r="B4235" s="19" t="s">
        <v>7606</v>
      </c>
      <c r="C4235" s="19" t="s">
        <v>7926</v>
      </c>
      <c r="D4235" s="19" t="s">
        <v>7947</v>
      </c>
      <c r="E4235" s="19" t="s">
        <v>7954</v>
      </c>
    </row>
    <row r="4236" spans="1:5" ht="24" customHeight="1" x14ac:dyDescent="0.25">
      <c r="A4236" s="16">
        <v>4265</v>
      </c>
      <c r="B4236" s="19" t="s">
        <v>7606</v>
      </c>
      <c r="C4236" s="19" t="s">
        <v>7926</v>
      </c>
      <c r="D4236" s="19" t="s">
        <v>7947</v>
      </c>
      <c r="E4236" s="19" t="s">
        <v>7955</v>
      </c>
    </row>
    <row r="4237" spans="1:5" ht="24" customHeight="1" x14ac:dyDescent="0.25">
      <c r="A4237" s="16">
        <v>4266</v>
      </c>
      <c r="B4237" s="19" t="s">
        <v>7606</v>
      </c>
      <c r="C4237" s="19" t="s">
        <v>7926</v>
      </c>
      <c r="D4237" s="19" t="s">
        <v>7947</v>
      </c>
      <c r="E4237" s="19" t="s">
        <v>7956</v>
      </c>
    </row>
    <row r="4238" spans="1:5" ht="24" customHeight="1" x14ac:dyDescent="0.25">
      <c r="A4238" s="16">
        <v>4267</v>
      </c>
      <c r="B4238" s="19" t="s">
        <v>7606</v>
      </c>
      <c r="C4238" s="19" t="s">
        <v>7926</v>
      </c>
      <c r="D4238" s="19" t="s">
        <v>7947</v>
      </c>
      <c r="E4238" s="19" t="s">
        <v>7957</v>
      </c>
    </row>
    <row r="4239" spans="1:5" ht="24" customHeight="1" x14ac:dyDescent="0.25">
      <c r="A4239" s="16">
        <v>4268</v>
      </c>
      <c r="B4239" s="19" t="s">
        <v>7606</v>
      </c>
      <c r="C4239" s="19" t="s">
        <v>7926</v>
      </c>
      <c r="D4239" s="19" t="s">
        <v>7947</v>
      </c>
      <c r="E4239" s="19" t="s">
        <v>7958</v>
      </c>
    </row>
    <row r="4240" spans="1:5" ht="24" customHeight="1" x14ac:dyDescent="0.25">
      <c r="A4240" s="16">
        <v>4269</v>
      </c>
      <c r="B4240" s="19" t="s">
        <v>7606</v>
      </c>
      <c r="C4240" s="19" t="s">
        <v>7926</v>
      </c>
      <c r="D4240" s="19" t="s">
        <v>7947</v>
      </c>
      <c r="E4240" s="19" t="s">
        <v>7959</v>
      </c>
    </row>
    <row r="4241" spans="1:5" ht="24" customHeight="1" x14ac:dyDescent="0.25">
      <c r="A4241" s="16">
        <v>4270</v>
      </c>
      <c r="B4241" s="19" t="s">
        <v>7606</v>
      </c>
      <c r="C4241" s="19" t="s">
        <v>7926</v>
      </c>
      <c r="D4241" s="19" t="s">
        <v>7947</v>
      </c>
      <c r="E4241" s="19" t="s">
        <v>7960</v>
      </c>
    </row>
    <row r="4242" spans="1:5" ht="24" customHeight="1" x14ac:dyDescent="0.25">
      <c r="A4242" s="16">
        <v>4271</v>
      </c>
      <c r="B4242" s="19" t="s">
        <v>7606</v>
      </c>
      <c r="C4242" s="19" t="s">
        <v>7926</v>
      </c>
      <c r="D4242" s="19" t="s">
        <v>7961</v>
      </c>
      <c r="E4242" s="19" t="s">
        <v>7962</v>
      </c>
    </row>
    <row r="4243" spans="1:5" ht="24" customHeight="1" x14ac:dyDescent="0.25">
      <c r="A4243" s="16">
        <v>4272</v>
      </c>
      <c r="B4243" s="19" t="s">
        <v>7606</v>
      </c>
      <c r="C4243" s="19" t="s">
        <v>7926</v>
      </c>
      <c r="D4243" s="19" t="s">
        <v>7961</v>
      </c>
      <c r="E4243" s="19" t="s">
        <v>7963</v>
      </c>
    </row>
    <row r="4244" spans="1:5" ht="24" customHeight="1" x14ac:dyDescent="0.25">
      <c r="A4244" s="16">
        <v>4273</v>
      </c>
      <c r="B4244" s="19" t="s">
        <v>7606</v>
      </c>
      <c r="C4244" s="19" t="s">
        <v>7926</v>
      </c>
      <c r="D4244" s="19" t="s">
        <v>7961</v>
      </c>
      <c r="E4244" s="19" t="s">
        <v>7964</v>
      </c>
    </row>
    <row r="4245" spans="1:5" ht="24" customHeight="1" x14ac:dyDescent="0.25">
      <c r="A4245" s="16">
        <v>4274</v>
      </c>
      <c r="B4245" s="19" t="s">
        <v>7606</v>
      </c>
      <c r="C4245" s="19" t="s">
        <v>7926</v>
      </c>
      <c r="D4245" s="19" t="s">
        <v>7961</v>
      </c>
      <c r="E4245" s="19" t="s">
        <v>7965</v>
      </c>
    </row>
    <row r="4246" spans="1:5" ht="24" customHeight="1" x14ac:dyDescent="0.25">
      <c r="A4246" s="16">
        <v>4275</v>
      </c>
      <c r="B4246" s="19" t="s">
        <v>7606</v>
      </c>
      <c r="C4246" s="19" t="s">
        <v>7926</v>
      </c>
      <c r="D4246" s="19" t="s">
        <v>7961</v>
      </c>
      <c r="E4246" s="19" t="s">
        <v>7966</v>
      </c>
    </row>
    <row r="4247" spans="1:5" ht="24" customHeight="1" x14ac:dyDescent="0.25">
      <c r="A4247" s="16">
        <v>4276</v>
      </c>
      <c r="B4247" s="19" t="s">
        <v>7606</v>
      </c>
      <c r="C4247" s="19" t="s">
        <v>7926</v>
      </c>
      <c r="D4247" s="19" t="s">
        <v>7961</v>
      </c>
      <c r="E4247" s="19" t="s">
        <v>7967</v>
      </c>
    </row>
    <row r="4248" spans="1:5" ht="24" customHeight="1" x14ac:dyDescent="0.25">
      <c r="A4248" s="16">
        <v>4277</v>
      </c>
      <c r="B4248" s="19" t="s">
        <v>7606</v>
      </c>
      <c r="C4248" s="19" t="s">
        <v>7926</v>
      </c>
      <c r="D4248" s="19" t="s">
        <v>7961</v>
      </c>
      <c r="E4248" s="19" t="s">
        <v>7968</v>
      </c>
    </row>
    <row r="4249" spans="1:5" ht="24" customHeight="1" x14ac:dyDescent="0.25">
      <c r="A4249" s="16">
        <v>4278</v>
      </c>
      <c r="B4249" s="19" t="s">
        <v>7606</v>
      </c>
      <c r="C4249" s="19" t="s">
        <v>7926</v>
      </c>
      <c r="D4249" s="19" t="s">
        <v>7961</v>
      </c>
      <c r="E4249" s="19" t="s">
        <v>7969</v>
      </c>
    </row>
    <row r="4250" spans="1:5" ht="24" customHeight="1" x14ac:dyDescent="0.25">
      <c r="A4250" s="16">
        <v>4279</v>
      </c>
      <c r="B4250" s="19" t="s">
        <v>7606</v>
      </c>
      <c r="C4250" s="19" t="s">
        <v>7926</v>
      </c>
      <c r="D4250" s="19" t="s">
        <v>7961</v>
      </c>
      <c r="E4250" s="19" t="s">
        <v>7970</v>
      </c>
    </row>
    <row r="4251" spans="1:5" ht="24" customHeight="1" x14ac:dyDescent="0.25">
      <c r="A4251" s="16">
        <v>4280</v>
      </c>
      <c r="B4251" s="19" t="s">
        <v>7606</v>
      </c>
      <c r="C4251" s="19" t="s">
        <v>7926</v>
      </c>
      <c r="D4251" s="19" t="s">
        <v>7961</v>
      </c>
      <c r="E4251" s="19" t="s">
        <v>7971</v>
      </c>
    </row>
    <row r="4252" spans="1:5" ht="24" customHeight="1" x14ac:dyDescent="0.25">
      <c r="A4252" s="16">
        <v>4281</v>
      </c>
      <c r="B4252" s="19" t="s">
        <v>7606</v>
      </c>
      <c r="C4252" s="19" t="s">
        <v>7926</v>
      </c>
      <c r="D4252" s="19" t="s">
        <v>7972</v>
      </c>
      <c r="E4252" s="19" t="s">
        <v>7973</v>
      </c>
    </row>
    <row r="4253" spans="1:5" ht="24" customHeight="1" x14ac:dyDescent="0.25">
      <c r="A4253" s="16">
        <v>4282</v>
      </c>
      <c r="B4253" s="19" t="s">
        <v>7606</v>
      </c>
      <c r="C4253" s="19" t="s">
        <v>7926</v>
      </c>
      <c r="D4253" s="19" t="s">
        <v>7972</v>
      </c>
      <c r="E4253" s="19" t="s">
        <v>7974</v>
      </c>
    </row>
    <row r="4254" spans="1:5" ht="36" customHeight="1" x14ac:dyDescent="0.25">
      <c r="A4254" s="16">
        <v>4283</v>
      </c>
      <c r="B4254" s="19" t="s">
        <v>7606</v>
      </c>
      <c r="C4254" s="19" t="s">
        <v>7926</v>
      </c>
      <c r="D4254" s="19" t="s">
        <v>7972</v>
      </c>
      <c r="E4254" s="19" t="s">
        <v>7975</v>
      </c>
    </row>
    <row r="4255" spans="1:5" ht="24" customHeight="1" x14ac:dyDescent="0.25">
      <c r="A4255" s="16">
        <v>4284</v>
      </c>
      <c r="B4255" s="19" t="s">
        <v>7606</v>
      </c>
      <c r="C4255" s="19" t="s">
        <v>7926</v>
      </c>
      <c r="D4255" s="19" t="s">
        <v>7972</v>
      </c>
      <c r="E4255" s="19" t="s">
        <v>7976</v>
      </c>
    </row>
    <row r="4256" spans="1:5" ht="24" customHeight="1" x14ac:dyDescent="0.25">
      <c r="A4256" s="16">
        <v>4285</v>
      </c>
      <c r="B4256" s="19" t="s">
        <v>7606</v>
      </c>
      <c r="C4256" s="19" t="s">
        <v>7926</v>
      </c>
      <c r="D4256" s="19" t="s">
        <v>7972</v>
      </c>
      <c r="E4256" s="19" t="s">
        <v>7977</v>
      </c>
    </row>
    <row r="4257" spans="1:5" ht="24" customHeight="1" x14ac:dyDescent="0.25">
      <c r="A4257" s="16">
        <v>4286</v>
      </c>
      <c r="B4257" s="19" t="s">
        <v>7606</v>
      </c>
      <c r="C4257" s="19" t="s">
        <v>7926</v>
      </c>
      <c r="D4257" s="19" t="s">
        <v>7972</v>
      </c>
      <c r="E4257" s="19" t="s">
        <v>7978</v>
      </c>
    </row>
    <row r="4258" spans="1:5" ht="24" customHeight="1" x14ac:dyDescent="0.25">
      <c r="A4258" s="16">
        <v>4287</v>
      </c>
      <c r="B4258" s="19" t="s">
        <v>7606</v>
      </c>
      <c r="C4258" s="19" t="s">
        <v>7926</v>
      </c>
      <c r="D4258" s="19" t="s">
        <v>7972</v>
      </c>
      <c r="E4258" s="19" t="s">
        <v>7979</v>
      </c>
    </row>
    <row r="4259" spans="1:5" ht="36" customHeight="1" x14ac:dyDescent="0.25">
      <c r="A4259" s="16">
        <v>4288</v>
      </c>
      <c r="B4259" s="19" t="s">
        <v>7606</v>
      </c>
      <c r="C4259" s="19" t="s">
        <v>7926</v>
      </c>
      <c r="D4259" s="19" t="s">
        <v>7972</v>
      </c>
      <c r="E4259" s="19" t="s">
        <v>7980</v>
      </c>
    </row>
    <row r="4260" spans="1:5" x14ac:dyDescent="0.25">
      <c r="A4260" s="16">
        <v>4289</v>
      </c>
      <c r="B4260" s="19" t="s">
        <v>7606</v>
      </c>
      <c r="C4260" s="19" t="s">
        <v>7981</v>
      </c>
      <c r="D4260" s="19" t="s">
        <v>7982</v>
      </c>
      <c r="E4260" s="19" t="s">
        <v>7983</v>
      </c>
    </row>
    <row r="4261" spans="1:5" ht="24" customHeight="1" x14ac:dyDescent="0.25">
      <c r="A4261" s="16">
        <v>4290</v>
      </c>
      <c r="B4261" s="19" t="s">
        <v>7606</v>
      </c>
      <c r="C4261" s="19" t="s">
        <v>7981</v>
      </c>
      <c r="D4261" s="19" t="s">
        <v>7982</v>
      </c>
      <c r="E4261" s="19" t="s">
        <v>7984</v>
      </c>
    </row>
    <row r="4262" spans="1:5" x14ac:dyDescent="0.25">
      <c r="A4262" s="16">
        <v>4291</v>
      </c>
      <c r="B4262" s="19" t="s">
        <v>7606</v>
      </c>
      <c r="C4262" s="19" t="s">
        <v>7981</v>
      </c>
      <c r="D4262" s="19" t="s">
        <v>7982</v>
      </c>
      <c r="E4262" s="19" t="s">
        <v>7985</v>
      </c>
    </row>
    <row r="4263" spans="1:5" x14ac:dyDescent="0.25">
      <c r="A4263" s="16">
        <v>4292</v>
      </c>
      <c r="B4263" s="19" t="s">
        <v>7606</v>
      </c>
      <c r="C4263" s="19" t="s">
        <v>7981</v>
      </c>
      <c r="D4263" s="19" t="s">
        <v>7982</v>
      </c>
      <c r="E4263" s="19" t="s">
        <v>7986</v>
      </c>
    </row>
    <row r="4264" spans="1:5" ht="24" customHeight="1" x14ac:dyDescent="0.25">
      <c r="A4264" s="16">
        <v>4293</v>
      </c>
      <c r="B4264" s="19" t="s">
        <v>7606</v>
      </c>
      <c r="C4264" s="19" t="s">
        <v>7981</v>
      </c>
      <c r="D4264" s="19" t="s">
        <v>7982</v>
      </c>
      <c r="E4264" s="19" t="s">
        <v>7987</v>
      </c>
    </row>
    <row r="4265" spans="1:5" ht="24" customHeight="1" x14ac:dyDescent="0.25">
      <c r="A4265" s="16">
        <v>4294</v>
      </c>
      <c r="B4265" s="19" t="s">
        <v>7606</v>
      </c>
      <c r="C4265" s="19" t="s">
        <v>7981</v>
      </c>
      <c r="D4265" s="19" t="s">
        <v>7982</v>
      </c>
      <c r="E4265" s="19" t="s">
        <v>7988</v>
      </c>
    </row>
    <row r="4266" spans="1:5" x14ac:dyDescent="0.25">
      <c r="A4266" s="16">
        <v>4295</v>
      </c>
      <c r="B4266" s="19" t="s">
        <v>7606</v>
      </c>
      <c r="C4266" s="19" t="s">
        <v>7981</v>
      </c>
      <c r="D4266" s="19" t="s">
        <v>7982</v>
      </c>
      <c r="E4266" s="19" t="s">
        <v>7989</v>
      </c>
    </row>
    <row r="4267" spans="1:5" ht="24" customHeight="1" x14ac:dyDescent="0.25">
      <c r="A4267" s="16">
        <v>4296</v>
      </c>
      <c r="B4267" s="19" t="s">
        <v>7606</v>
      </c>
      <c r="C4267" s="19" t="s">
        <v>7981</v>
      </c>
      <c r="D4267" s="19" t="s">
        <v>7982</v>
      </c>
      <c r="E4267" s="19" t="s">
        <v>7990</v>
      </c>
    </row>
    <row r="4268" spans="1:5" x14ac:dyDescent="0.25">
      <c r="A4268" s="16">
        <v>4297</v>
      </c>
      <c r="B4268" s="19" t="s">
        <v>7606</v>
      </c>
      <c r="C4268" s="19" t="s">
        <v>7981</v>
      </c>
      <c r="D4268" s="19" t="s">
        <v>7982</v>
      </c>
      <c r="E4268" s="19" t="s">
        <v>7991</v>
      </c>
    </row>
    <row r="4269" spans="1:5" x14ac:dyDescent="0.25">
      <c r="A4269" s="16">
        <v>4298</v>
      </c>
      <c r="B4269" s="19" t="s">
        <v>7606</v>
      </c>
      <c r="C4269" s="19" t="s">
        <v>7981</v>
      </c>
      <c r="D4269" s="19" t="s">
        <v>7982</v>
      </c>
      <c r="E4269" s="19" t="s">
        <v>7992</v>
      </c>
    </row>
    <row r="4270" spans="1:5" x14ac:dyDescent="0.25">
      <c r="A4270" s="16">
        <v>4299</v>
      </c>
      <c r="B4270" s="19" t="s">
        <v>7606</v>
      </c>
      <c r="C4270" s="19" t="s">
        <v>7981</v>
      </c>
      <c r="D4270" s="19" t="s">
        <v>7981</v>
      </c>
      <c r="E4270" s="19" t="s">
        <v>7993</v>
      </c>
    </row>
    <row r="4271" spans="1:5" x14ac:dyDescent="0.25">
      <c r="A4271" s="16">
        <v>4300</v>
      </c>
      <c r="B4271" s="19" t="s">
        <v>7606</v>
      </c>
      <c r="C4271" s="19" t="s">
        <v>7981</v>
      </c>
      <c r="D4271" s="19" t="s">
        <v>7981</v>
      </c>
      <c r="E4271" s="19" t="s">
        <v>7994</v>
      </c>
    </row>
    <row r="4272" spans="1:5" x14ac:dyDescent="0.25">
      <c r="A4272" s="16">
        <v>4301</v>
      </c>
      <c r="B4272" s="19" t="s">
        <v>7606</v>
      </c>
      <c r="C4272" s="19" t="s">
        <v>7981</v>
      </c>
      <c r="D4272" s="19" t="s">
        <v>7981</v>
      </c>
      <c r="E4272" s="19" t="s">
        <v>7995</v>
      </c>
    </row>
    <row r="4273" spans="1:5" x14ac:dyDescent="0.25">
      <c r="A4273" s="16">
        <v>4302</v>
      </c>
      <c r="B4273" s="19" t="s">
        <v>7606</v>
      </c>
      <c r="C4273" s="19" t="s">
        <v>7981</v>
      </c>
      <c r="D4273" s="19" t="s">
        <v>7981</v>
      </c>
      <c r="E4273" s="19" t="s">
        <v>7996</v>
      </c>
    </row>
    <row r="4274" spans="1:5" ht="24" customHeight="1" x14ac:dyDescent="0.25">
      <c r="A4274" s="16">
        <v>4303</v>
      </c>
      <c r="B4274" s="19" t="s">
        <v>7606</v>
      </c>
      <c r="C4274" s="19" t="s">
        <v>7981</v>
      </c>
      <c r="D4274" s="19" t="s">
        <v>7981</v>
      </c>
      <c r="E4274" s="19" t="s">
        <v>7997</v>
      </c>
    </row>
    <row r="4275" spans="1:5" x14ac:dyDescent="0.25">
      <c r="A4275" s="16">
        <v>4304</v>
      </c>
      <c r="B4275" s="19" t="s">
        <v>7606</v>
      </c>
      <c r="C4275" s="19" t="s">
        <v>7981</v>
      </c>
      <c r="D4275" s="19" t="s">
        <v>7981</v>
      </c>
      <c r="E4275" s="19" t="s">
        <v>7998</v>
      </c>
    </row>
    <row r="4276" spans="1:5" ht="24" customHeight="1" x14ac:dyDescent="0.25">
      <c r="A4276" s="16">
        <v>4305</v>
      </c>
      <c r="B4276" s="19" t="s">
        <v>7606</v>
      </c>
      <c r="C4276" s="19" t="s">
        <v>7981</v>
      </c>
      <c r="D4276" s="19" t="s">
        <v>7981</v>
      </c>
      <c r="E4276" s="19" t="s">
        <v>7999</v>
      </c>
    </row>
    <row r="4277" spans="1:5" x14ac:dyDescent="0.25">
      <c r="A4277" s="16">
        <v>4306</v>
      </c>
      <c r="B4277" s="19" t="s">
        <v>7606</v>
      </c>
      <c r="C4277" s="19" t="s">
        <v>7981</v>
      </c>
      <c r="D4277" s="19" t="s">
        <v>7981</v>
      </c>
      <c r="E4277" s="19" t="s">
        <v>8000</v>
      </c>
    </row>
    <row r="4278" spans="1:5" ht="24" customHeight="1" x14ac:dyDescent="0.25">
      <c r="A4278" s="16">
        <v>4307</v>
      </c>
      <c r="B4278" s="19" t="s">
        <v>7606</v>
      </c>
      <c r="C4278" s="19" t="s">
        <v>7981</v>
      </c>
      <c r="D4278" s="19" t="s">
        <v>7981</v>
      </c>
      <c r="E4278" s="19" t="s">
        <v>8001</v>
      </c>
    </row>
    <row r="4279" spans="1:5" x14ac:dyDescent="0.25">
      <c r="A4279" s="16">
        <v>4308</v>
      </c>
      <c r="B4279" s="19" t="s">
        <v>7606</v>
      </c>
      <c r="C4279" s="19" t="s">
        <v>7981</v>
      </c>
      <c r="D4279" s="19" t="s">
        <v>7981</v>
      </c>
      <c r="E4279" s="19" t="s">
        <v>8002</v>
      </c>
    </row>
    <row r="4280" spans="1:5" ht="24" customHeight="1" x14ac:dyDescent="0.25">
      <c r="A4280" s="16">
        <v>4309</v>
      </c>
      <c r="B4280" s="19" t="s">
        <v>7606</v>
      </c>
      <c r="C4280" s="19" t="s">
        <v>7981</v>
      </c>
      <c r="D4280" s="19" t="s">
        <v>8003</v>
      </c>
      <c r="E4280" s="19" t="s">
        <v>8004</v>
      </c>
    </row>
    <row r="4281" spans="1:5" x14ac:dyDescent="0.25">
      <c r="A4281" s="16">
        <v>4310</v>
      </c>
      <c r="B4281" s="19" t="s">
        <v>7606</v>
      </c>
      <c r="C4281" s="19" t="s">
        <v>7981</v>
      </c>
      <c r="D4281" s="19" t="s">
        <v>8003</v>
      </c>
      <c r="E4281" s="19" t="s">
        <v>8005</v>
      </c>
    </row>
    <row r="4282" spans="1:5" x14ac:dyDescent="0.25">
      <c r="A4282" s="16">
        <v>4311</v>
      </c>
      <c r="B4282" s="19" t="s">
        <v>7606</v>
      </c>
      <c r="C4282" s="19" t="s">
        <v>7981</v>
      </c>
      <c r="D4282" s="19" t="s">
        <v>8003</v>
      </c>
      <c r="E4282" s="19" t="s">
        <v>8006</v>
      </c>
    </row>
    <row r="4283" spans="1:5" ht="24" customHeight="1" x14ac:dyDescent="0.25">
      <c r="A4283" s="16">
        <v>4312</v>
      </c>
      <c r="B4283" s="19" t="s">
        <v>7606</v>
      </c>
      <c r="C4283" s="19" t="s">
        <v>7981</v>
      </c>
      <c r="D4283" s="19" t="s">
        <v>8003</v>
      </c>
      <c r="E4283" s="19" t="s">
        <v>8007</v>
      </c>
    </row>
    <row r="4284" spans="1:5" x14ac:dyDescent="0.25">
      <c r="A4284" s="16">
        <v>4313</v>
      </c>
      <c r="B4284" s="19" t="s">
        <v>7606</v>
      </c>
      <c r="C4284" s="19" t="s">
        <v>7981</v>
      </c>
      <c r="D4284" s="19" t="s">
        <v>8003</v>
      </c>
      <c r="E4284" s="19" t="s">
        <v>8008</v>
      </c>
    </row>
    <row r="4285" spans="1:5" x14ac:dyDescent="0.25">
      <c r="A4285" s="16">
        <v>4314</v>
      </c>
      <c r="B4285" s="19" t="s">
        <v>7606</v>
      </c>
      <c r="C4285" s="19" t="s">
        <v>7981</v>
      </c>
      <c r="D4285" s="19" t="s">
        <v>8003</v>
      </c>
      <c r="E4285" s="19" t="s">
        <v>8009</v>
      </c>
    </row>
    <row r="4286" spans="1:5" x14ac:dyDescent="0.25">
      <c r="A4286" s="16">
        <v>4315</v>
      </c>
      <c r="B4286" s="19" t="s">
        <v>7606</v>
      </c>
      <c r="C4286" s="19" t="s">
        <v>7981</v>
      </c>
      <c r="D4286" s="19" t="s">
        <v>8003</v>
      </c>
      <c r="E4286" s="19" t="s">
        <v>8010</v>
      </c>
    </row>
    <row r="4287" spans="1:5" x14ac:dyDescent="0.25">
      <c r="A4287" s="16">
        <v>4316</v>
      </c>
      <c r="B4287" s="19" t="s">
        <v>7606</v>
      </c>
      <c r="C4287" s="19" t="s">
        <v>7981</v>
      </c>
      <c r="D4287" s="19" t="s">
        <v>8003</v>
      </c>
      <c r="E4287" s="19" t="s">
        <v>8011</v>
      </c>
    </row>
    <row r="4288" spans="1:5" x14ac:dyDescent="0.25">
      <c r="A4288" s="16">
        <v>4317</v>
      </c>
      <c r="B4288" s="19" t="s">
        <v>7606</v>
      </c>
      <c r="C4288" s="19" t="s">
        <v>7981</v>
      </c>
      <c r="D4288" s="19" t="s">
        <v>8003</v>
      </c>
      <c r="E4288" s="19" t="s">
        <v>8012</v>
      </c>
    </row>
    <row r="4289" spans="1:5" ht="24" customHeight="1" x14ac:dyDescent="0.25">
      <c r="A4289" s="16">
        <v>4318</v>
      </c>
      <c r="B4289" s="19" t="s">
        <v>7606</v>
      </c>
      <c r="C4289" s="19" t="s">
        <v>7981</v>
      </c>
      <c r="D4289" s="19" t="s">
        <v>8003</v>
      </c>
      <c r="E4289" s="19" t="s">
        <v>8013</v>
      </c>
    </row>
    <row r="4290" spans="1:5" ht="24" customHeight="1" x14ac:dyDescent="0.25">
      <c r="A4290" s="16">
        <v>4319</v>
      </c>
      <c r="B4290" s="19" t="s">
        <v>7606</v>
      </c>
      <c r="C4290" s="19" t="s">
        <v>7981</v>
      </c>
      <c r="D4290" s="19" t="s">
        <v>8003</v>
      </c>
      <c r="E4290" s="19" t="s">
        <v>8014</v>
      </c>
    </row>
    <row r="4291" spans="1:5" ht="24" customHeight="1" x14ac:dyDescent="0.25">
      <c r="A4291" s="16">
        <v>4320</v>
      </c>
      <c r="B4291" s="19" t="s">
        <v>7606</v>
      </c>
      <c r="C4291" s="19" t="s">
        <v>7981</v>
      </c>
      <c r="D4291" s="19" t="s">
        <v>8003</v>
      </c>
      <c r="E4291" s="19" t="s">
        <v>8015</v>
      </c>
    </row>
    <row r="4292" spans="1:5" x14ac:dyDescent="0.25">
      <c r="A4292" s="16">
        <v>4321</v>
      </c>
      <c r="B4292" s="19" t="s">
        <v>7606</v>
      </c>
      <c r="C4292" s="19" t="s">
        <v>7981</v>
      </c>
      <c r="D4292" s="19" t="s">
        <v>8003</v>
      </c>
      <c r="E4292" s="19" t="s">
        <v>8016</v>
      </c>
    </row>
    <row r="4293" spans="1:5" x14ac:dyDescent="0.25">
      <c r="A4293" s="16">
        <v>4322</v>
      </c>
      <c r="B4293" s="19" t="s">
        <v>7606</v>
      </c>
      <c r="C4293" s="19" t="s">
        <v>7981</v>
      </c>
      <c r="D4293" s="19" t="s">
        <v>8017</v>
      </c>
      <c r="E4293" s="19" t="s">
        <v>8018</v>
      </c>
    </row>
    <row r="4294" spans="1:5" x14ac:dyDescent="0.25">
      <c r="A4294" s="16">
        <v>4323</v>
      </c>
      <c r="B4294" s="19" t="s">
        <v>7606</v>
      </c>
      <c r="C4294" s="19" t="s">
        <v>7981</v>
      </c>
      <c r="D4294" s="19" t="s">
        <v>8017</v>
      </c>
      <c r="E4294" s="19" t="s">
        <v>8019</v>
      </c>
    </row>
    <row r="4295" spans="1:5" ht="24" customHeight="1" x14ac:dyDescent="0.25">
      <c r="A4295" s="16">
        <v>4324</v>
      </c>
      <c r="B4295" s="19" t="s">
        <v>7606</v>
      </c>
      <c r="C4295" s="19" t="s">
        <v>7981</v>
      </c>
      <c r="D4295" s="19" t="s">
        <v>8017</v>
      </c>
      <c r="E4295" s="19" t="s">
        <v>8020</v>
      </c>
    </row>
    <row r="4296" spans="1:5" ht="24" customHeight="1" x14ac:dyDescent="0.25">
      <c r="A4296" s="16">
        <v>4325</v>
      </c>
      <c r="B4296" s="19" t="s">
        <v>7606</v>
      </c>
      <c r="C4296" s="19" t="s">
        <v>7981</v>
      </c>
      <c r="D4296" s="19" t="s">
        <v>8017</v>
      </c>
      <c r="E4296" s="19" t="s">
        <v>8021</v>
      </c>
    </row>
    <row r="4297" spans="1:5" x14ac:dyDescent="0.25">
      <c r="A4297" s="16">
        <v>4326</v>
      </c>
      <c r="B4297" s="19" t="s">
        <v>7606</v>
      </c>
      <c r="C4297" s="19" t="s">
        <v>7981</v>
      </c>
      <c r="D4297" s="19" t="s">
        <v>8017</v>
      </c>
      <c r="E4297" s="19" t="s">
        <v>8022</v>
      </c>
    </row>
    <row r="4298" spans="1:5" ht="24" customHeight="1" x14ac:dyDescent="0.25">
      <c r="A4298" s="16">
        <v>4327</v>
      </c>
      <c r="B4298" s="19" t="s">
        <v>7606</v>
      </c>
      <c r="C4298" s="19" t="s">
        <v>7981</v>
      </c>
      <c r="D4298" s="19" t="s">
        <v>8023</v>
      </c>
      <c r="E4298" s="19" t="s">
        <v>8024</v>
      </c>
    </row>
    <row r="4299" spans="1:5" ht="24" customHeight="1" x14ac:dyDescent="0.25">
      <c r="A4299" s="16">
        <v>4328</v>
      </c>
      <c r="B4299" s="19" t="s">
        <v>7606</v>
      </c>
      <c r="C4299" s="19" t="s">
        <v>7981</v>
      </c>
      <c r="D4299" s="19" t="s">
        <v>8023</v>
      </c>
      <c r="E4299" s="19" t="s">
        <v>8025</v>
      </c>
    </row>
    <row r="4300" spans="1:5" ht="24" customHeight="1" x14ac:dyDescent="0.25">
      <c r="A4300" s="16">
        <v>4329</v>
      </c>
      <c r="B4300" s="19" t="s">
        <v>7606</v>
      </c>
      <c r="C4300" s="19" t="s">
        <v>7981</v>
      </c>
      <c r="D4300" s="19" t="s">
        <v>8023</v>
      </c>
      <c r="E4300" s="19" t="s">
        <v>8026</v>
      </c>
    </row>
    <row r="4301" spans="1:5" ht="24" customHeight="1" x14ac:dyDescent="0.25">
      <c r="A4301" s="16">
        <v>4330</v>
      </c>
      <c r="B4301" s="19" t="s">
        <v>7606</v>
      </c>
      <c r="C4301" s="19" t="s">
        <v>7981</v>
      </c>
      <c r="D4301" s="19" t="s">
        <v>8023</v>
      </c>
      <c r="E4301" s="19" t="s">
        <v>8027</v>
      </c>
    </row>
    <row r="4302" spans="1:5" ht="36" customHeight="1" x14ac:dyDescent="0.25">
      <c r="A4302" s="16">
        <v>4331</v>
      </c>
      <c r="B4302" s="19" t="s">
        <v>7606</v>
      </c>
      <c r="C4302" s="19" t="s">
        <v>7981</v>
      </c>
      <c r="D4302" s="19" t="s">
        <v>8023</v>
      </c>
      <c r="E4302" s="19" t="s">
        <v>8028</v>
      </c>
    </row>
    <row r="4303" spans="1:5" ht="24" customHeight="1" x14ac:dyDescent="0.25">
      <c r="A4303" s="16">
        <v>4332</v>
      </c>
      <c r="B4303" s="19" t="s">
        <v>7606</v>
      </c>
      <c r="C4303" s="19" t="s">
        <v>7981</v>
      </c>
      <c r="D4303" s="19" t="s">
        <v>8023</v>
      </c>
      <c r="E4303" s="19" t="s">
        <v>8029</v>
      </c>
    </row>
    <row r="4304" spans="1:5" x14ac:dyDescent="0.25">
      <c r="A4304" s="16">
        <v>4333</v>
      </c>
      <c r="B4304" s="19" t="s">
        <v>7606</v>
      </c>
      <c r="C4304" s="19" t="s">
        <v>7981</v>
      </c>
      <c r="D4304" s="19" t="s">
        <v>8023</v>
      </c>
      <c r="E4304" s="19" t="s">
        <v>8030</v>
      </c>
    </row>
    <row r="4305" spans="1:5" ht="24" customHeight="1" x14ac:dyDescent="0.25">
      <c r="A4305" s="16">
        <v>4334</v>
      </c>
      <c r="B4305" s="19" t="s">
        <v>7606</v>
      </c>
      <c r="C4305" s="19" t="s">
        <v>7981</v>
      </c>
      <c r="D4305" s="19" t="s">
        <v>8023</v>
      </c>
      <c r="E4305" s="19" t="s">
        <v>8031</v>
      </c>
    </row>
    <row r="4306" spans="1:5" x14ac:dyDescent="0.25">
      <c r="A4306" s="16">
        <v>4335</v>
      </c>
      <c r="B4306" s="19" t="s">
        <v>7606</v>
      </c>
      <c r="C4306" s="19" t="s">
        <v>7981</v>
      </c>
      <c r="D4306" s="19" t="s">
        <v>8023</v>
      </c>
      <c r="E4306" s="19" t="s">
        <v>8032</v>
      </c>
    </row>
    <row r="4307" spans="1:5" x14ac:dyDescent="0.25">
      <c r="A4307" s="16">
        <v>4336</v>
      </c>
      <c r="B4307" s="19" t="s">
        <v>7606</v>
      </c>
      <c r="C4307" s="19" t="s">
        <v>7981</v>
      </c>
      <c r="D4307" s="19" t="s">
        <v>8023</v>
      </c>
      <c r="E4307" s="19" t="s">
        <v>8033</v>
      </c>
    </row>
    <row r="4308" spans="1:5" ht="24" customHeight="1" x14ac:dyDescent="0.25">
      <c r="A4308" s="16">
        <v>4337</v>
      </c>
      <c r="B4308" s="19" t="s">
        <v>7606</v>
      </c>
      <c r="C4308" s="19" t="s">
        <v>7981</v>
      </c>
      <c r="D4308" s="19" t="s">
        <v>8034</v>
      </c>
      <c r="E4308" s="19" t="s">
        <v>8035</v>
      </c>
    </row>
    <row r="4309" spans="1:5" ht="24" customHeight="1" x14ac:dyDescent="0.25">
      <c r="A4309" s="16">
        <v>4338</v>
      </c>
      <c r="B4309" s="19" t="s">
        <v>7606</v>
      </c>
      <c r="C4309" s="19" t="s">
        <v>7981</v>
      </c>
      <c r="D4309" s="19" t="s">
        <v>8034</v>
      </c>
      <c r="E4309" s="19" t="s">
        <v>8036</v>
      </c>
    </row>
    <row r="4310" spans="1:5" x14ac:dyDescent="0.25">
      <c r="A4310" s="16">
        <v>4339</v>
      </c>
      <c r="B4310" s="19" t="s">
        <v>7606</v>
      </c>
      <c r="C4310" s="19" t="s">
        <v>7981</v>
      </c>
      <c r="D4310" s="19" t="s">
        <v>8034</v>
      </c>
      <c r="E4310" s="19" t="s">
        <v>8037</v>
      </c>
    </row>
    <row r="4311" spans="1:5" x14ac:dyDescent="0.25">
      <c r="A4311" s="16">
        <v>4340</v>
      </c>
      <c r="B4311" s="19" t="s">
        <v>7606</v>
      </c>
      <c r="C4311" s="19" t="s">
        <v>7981</v>
      </c>
      <c r="D4311" s="19" t="s">
        <v>8034</v>
      </c>
      <c r="E4311" s="19" t="s">
        <v>8038</v>
      </c>
    </row>
    <row r="4312" spans="1:5" x14ac:dyDescent="0.25">
      <c r="A4312" s="16">
        <v>4341</v>
      </c>
      <c r="B4312" s="19" t="s">
        <v>7606</v>
      </c>
      <c r="C4312" s="19" t="s">
        <v>7981</v>
      </c>
      <c r="D4312" s="19" t="s">
        <v>8034</v>
      </c>
      <c r="E4312" s="19" t="s">
        <v>8039</v>
      </c>
    </row>
    <row r="4313" spans="1:5" ht="24" customHeight="1" x14ac:dyDescent="0.25">
      <c r="A4313" s="16">
        <v>4342</v>
      </c>
      <c r="B4313" s="19" t="s">
        <v>7606</v>
      </c>
      <c r="C4313" s="19" t="s">
        <v>7981</v>
      </c>
      <c r="D4313" s="19" t="s">
        <v>8040</v>
      </c>
      <c r="E4313" s="19" t="s">
        <v>8041</v>
      </c>
    </row>
    <row r="4314" spans="1:5" x14ac:dyDescent="0.25">
      <c r="A4314" s="16">
        <v>4343</v>
      </c>
      <c r="B4314" s="19" t="s">
        <v>7606</v>
      </c>
      <c r="C4314" s="19" t="s">
        <v>7981</v>
      </c>
      <c r="D4314" s="19" t="s">
        <v>8040</v>
      </c>
      <c r="E4314" s="19" t="s">
        <v>8042</v>
      </c>
    </row>
    <row r="4315" spans="1:5" x14ac:dyDescent="0.25">
      <c r="A4315" s="16">
        <v>4344</v>
      </c>
      <c r="B4315" s="19" t="s">
        <v>7606</v>
      </c>
      <c r="C4315" s="19" t="s">
        <v>7981</v>
      </c>
      <c r="D4315" s="19" t="s">
        <v>8040</v>
      </c>
      <c r="E4315" s="19" t="s">
        <v>8043</v>
      </c>
    </row>
    <row r="4316" spans="1:5" x14ac:dyDescent="0.25">
      <c r="A4316" s="16">
        <v>4345</v>
      </c>
      <c r="B4316" s="19" t="s">
        <v>7606</v>
      </c>
      <c r="C4316" s="19" t="s">
        <v>7981</v>
      </c>
      <c r="D4316" s="19" t="s">
        <v>8040</v>
      </c>
      <c r="E4316" s="19" t="s">
        <v>8044</v>
      </c>
    </row>
    <row r="4317" spans="1:5" x14ac:dyDescent="0.25">
      <c r="A4317" s="16">
        <v>4346</v>
      </c>
      <c r="B4317" s="19" t="s">
        <v>7606</v>
      </c>
      <c r="C4317" s="19" t="s">
        <v>7981</v>
      </c>
      <c r="D4317" s="19" t="s">
        <v>8040</v>
      </c>
      <c r="E4317" s="19" t="s">
        <v>8045</v>
      </c>
    </row>
    <row r="4318" spans="1:5" x14ac:dyDescent="0.25">
      <c r="A4318" s="16">
        <v>4347</v>
      </c>
      <c r="B4318" s="19" t="s">
        <v>7606</v>
      </c>
      <c r="C4318" s="19" t="s">
        <v>7981</v>
      </c>
      <c r="D4318" s="19" t="s">
        <v>8040</v>
      </c>
      <c r="E4318" s="19" t="s">
        <v>8046</v>
      </c>
    </row>
    <row r="4319" spans="1:5" ht="24" customHeight="1" x14ac:dyDescent="0.25">
      <c r="A4319" s="16">
        <v>4348</v>
      </c>
      <c r="B4319" s="19" t="s">
        <v>7606</v>
      </c>
      <c r="C4319" s="19" t="s">
        <v>8047</v>
      </c>
      <c r="D4319" s="19" t="s">
        <v>8048</v>
      </c>
      <c r="E4319" s="19" t="s">
        <v>8049</v>
      </c>
    </row>
    <row r="4320" spans="1:5" x14ac:dyDescent="0.25">
      <c r="A4320" s="16">
        <v>4349</v>
      </c>
      <c r="B4320" s="19" t="s">
        <v>7606</v>
      </c>
      <c r="C4320" s="19" t="s">
        <v>8047</v>
      </c>
      <c r="D4320" s="19" t="s">
        <v>8048</v>
      </c>
      <c r="E4320" s="19" t="s">
        <v>8050</v>
      </c>
    </row>
    <row r="4321" spans="1:5" ht="24" customHeight="1" x14ac:dyDescent="0.25">
      <c r="A4321" s="16">
        <v>4350</v>
      </c>
      <c r="B4321" s="19" t="s">
        <v>7606</v>
      </c>
      <c r="C4321" s="19" t="s">
        <v>8047</v>
      </c>
      <c r="D4321" s="19" t="s">
        <v>8048</v>
      </c>
      <c r="E4321" s="19" t="s">
        <v>8051</v>
      </c>
    </row>
    <row r="4322" spans="1:5" x14ac:dyDescent="0.25">
      <c r="A4322" s="16">
        <v>4351</v>
      </c>
      <c r="B4322" s="19" t="s">
        <v>7606</v>
      </c>
      <c r="C4322" s="19" t="s">
        <v>8047</v>
      </c>
      <c r="D4322" s="19" t="s">
        <v>8048</v>
      </c>
      <c r="E4322" s="19" t="s">
        <v>8052</v>
      </c>
    </row>
    <row r="4323" spans="1:5" x14ac:dyDescent="0.25">
      <c r="A4323" s="16">
        <v>4352</v>
      </c>
      <c r="B4323" s="19" t="s">
        <v>7606</v>
      </c>
      <c r="C4323" s="19" t="s">
        <v>8047</v>
      </c>
      <c r="D4323" s="19" t="s">
        <v>8048</v>
      </c>
      <c r="E4323" s="19" t="s">
        <v>8053</v>
      </c>
    </row>
    <row r="4324" spans="1:5" x14ac:dyDescent="0.25">
      <c r="A4324" s="16">
        <v>4353</v>
      </c>
      <c r="B4324" s="19" t="s">
        <v>7606</v>
      </c>
      <c r="C4324" s="19" t="s">
        <v>8047</v>
      </c>
      <c r="D4324" s="19" t="s">
        <v>8048</v>
      </c>
      <c r="E4324" s="19" t="s">
        <v>8054</v>
      </c>
    </row>
    <row r="4325" spans="1:5" x14ac:dyDescent="0.25">
      <c r="A4325" s="16">
        <v>4354</v>
      </c>
      <c r="B4325" s="19" t="s">
        <v>7606</v>
      </c>
      <c r="C4325" s="19" t="s">
        <v>8047</v>
      </c>
      <c r="D4325" s="19" t="s">
        <v>8048</v>
      </c>
      <c r="E4325" s="19" t="s">
        <v>8055</v>
      </c>
    </row>
    <row r="4326" spans="1:5" ht="24" customHeight="1" x14ac:dyDescent="0.25">
      <c r="A4326" s="16">
        <v>4355</v>
      </c>
      <c r="B4326" s="19" t="s">
        <v>7606</v>
      </c>
      <c r="C4326" s="19" t="s">
        <v>8047</v>
      </c>
      <c r="D4326" s="19" t="s">
        <v>8056</v>
      </c>
      <c r="E4326" s="19" t="s">
        <v>8057</v>
      </c>
    </row>
    <row r="4327" spans="1:5" x14ac:dyDescent="0.25">
      <c r="A4327" s="16">
        <v>4356</v>
      </c>
      <c r="B4327" s="19" t="s">
        <v>7606</v>
      </c>
      <c r="C4327" s="19" t="s">
        <v>8047</v>
      </c>
      <c r="D4327" s="19" t="s">
        <v>8056</v>
      </c>
      <c r="E4327" s="19" t="s">
        <v>8058</v>
      </c>
    </row>
    <row r="4328" spans="1:5" x14ac:dyDescent="0.25">
      <c r="A4328" s="16">
        <v>4357</v>
      </c>
      <c r="B4328" s="19" t="s">
        <v>7606</v>
      </c>
      <c r="C4328" s="19" t="s">
        <v>8047</v>
      </c>
      <c r="D4328" s="19" t="s">
        <v>8056</v>
      </c>
      <c r="E4328" s="19" t="s">
        <v>8059</v>
      </c>
    </row>
    <row r="4329" spans="1:5" ht="24" customHeight="1" x14ac:dyDescent="0.25">
      <c r="A4329" s="16">
        <v>4358</v>
      </c>
      <c r="B4329" s="19" t="s">
        <v>7606</v>
      </c>
      <c r="C4329" s="19" t="s">
        <v>8047</v>
      </c>
      <c r="D4329" s="19" t="s">
        <v>8056</v>
      </c>
      <c r="E4329" s="19" t="s">
        <v>8060</v>
      </c>
    </row>
    <row r="4330" spans="1:5" x14ac:dyDescent="0.25">
      <c r="A4330" s="16">
        <v>4359</v>
      </c>
      <c r="B4330" s="19" t="s">
        <v>7606</v>
      </c>
      <c r="C4330" s="19" t="s">
        <v>8047</v>
      </c>
      <c r="D4330" s="19" t="s">
        <v>8056</v>
      </c>
      <c r="E4330" s="19" t="s">
        <v>8061</v>
      </c>
    </row>
    <row r="4331" spans="1:5" x14ac:dyDescent="0.25">
      <c r="A4331" s="16">
        <v>4360</v>
      </c>
      <c r="B4331" s="19" t="s">
        <v>7606</v>
      </c>
      <c r="C4331" s="19" t="s">
        <v>8047</v>
      </c>
      <c r="D4331" s="19" t="s">
        <v>8056</v>
      </c>
      <c r="E4331" s="19" t="s">
        <v>8062</v>
      </c>
    </row>
    <row r="4332" spans="1:5" x14ac:dyDescent="0.25">
      <c r="A4332" s="16">
        <v>4361</v>
      </c>
      <c r="B4332" s="19" t="s">
        <v>7606</v>
      </c>
      <c r="C4332" s="19" t="s">
        <v>8047</v>
      </c>
      <c r="D4332" s="19" t="s">
        <v>8056</v>
      </c>
      <c r="E4332" s="19" t="s">
        <v>8063</v>
      </c>
    </row>
    <row r="4333" spans="1:5" x14ac:dyDescent="0.25">
      <c r="A4333" s="16">
        <v>4362</v>
      </c>
      <c r="B4333" s="19" t="s">
        <v>7606</v>
      </c>
      <c r="C4333" s="19" t="s">
        <v>8047</v>
      </c>
      <c r="D4333" s="19" t="s">
        <v>8047</v>
      </c>
      <c r="E4333" s="19" t="s">
        <v>8064</v>
      </c>
    </row>
    <row r="4334" spans="1:5" x14ac:dyDescent="0.25">
      <c r="A4334" s="16">
        <v>4363</v>
      </c>
      <c r="B4334" s="19" t="s">
        <v>7606</v>
      </c>
      <c r="C4334" s="19" t="s">
        <v>8047</v>
      </c>
      <c r="D4334" s="19" t="s">
        <v>8047</v>
      </c>
      <c r="E4334" s="19" t="s">
        <v>8065</v>
      </c>
    </row>
    <row r="4335" spans="1:5" x14ac:dyDescent="0.25">
      <c r="A4335" s="16">
        <v>4364</v>
      </c>
      <c r="B4335" s="19" t="s">
        <v>7606</v>
      </c>
      <c r="C4335" s="19" t="s">
        <v>8047</v>
      </c>
      <c r="D4335" s="19" t="s">
        <v>8047</v>
      </c>
      <c r="E4335" s="19" t="s">
        <v>8066</v>
      </c>
    </row>
    <row r="4336" spans="1:5" ht="24" customHeight="1" x14ac:dyDescent="0.25">
      <c r="A4336" s="16">
        <v>4365</v>
      </c>
      <c r="B4336" s="19" t="s">
        <v>7606</v>
      </c>
      <c r="C4336" s="19" t="s">
        <v>8047</v>
      </c>
      <c r="D4336" s="19" t="s">
        <v>8047</v>
      </c>
      <c r="E4336" s="19" t="s">
        <v>8067</v>
      </c>
    </row>
    <row r="4337" spans="1:5" ht="24" customHeight="1" x14ac:dyDescent="0.25">
      <c r="A4337" s="16">
        <v>4366</v>
      </c>
      <c r="B4337" s="19" t="s">
        <v>7606</v>
      </c>
      <c r="C4337" s="19" t="s">
        <v>8047</v>
      </c>
      <c r="D4337" s="19" t="s">
        <v>8047</v>
      </c>
      <c r="E4337" s="19" t="s">
        <v>8068</v>
      </c>
    </row>
    <row r="4338" spans="1:5" x14ac:dyDescent="0.25">
      <c r="A4338" s="16">
        <v>4367</v>
      </c>
      <c r="B4338" s="19" t="s">
        <v>7606</v>
      </c>
      <c r="C4338" s="19" t="s">
        <v>8047</v>
      </c>
      <c r="D4338" s="19" t="s">
        <v>8047</v>
      </c>
      <c r="E4338" s="19" t="s">
        <v>4468</v>
      </c>
    </row>
    <row r="4339" spans="1:5" x14ac:dyDescent="0.25">
      <c r="A4339" s="16">
        <v>4368</v>
      </c>
      <c r="B4339" s="19" t="s">
        <v>7606</v>
      </c>
      <c r="C4339" s="19" t="s">
        <v>8047</v>
      </c>
      <c r="D4339" s="19" t="s">
        <v>8047</v>
      </c>
      <c r="E4339" s="19" t="s">
        <v>8069</v>
      </c>
    </row>
    <row r="4340" spans="1:5" ht="24" customHeight="1" x14ac:dyDescent="0.25">
      <c r="A4340" s="16">
        <v>4369</v>
      </c>
      <c r="B4340" s="19" t="s">
        <v>7606</v>
      </c>
      <c r="C4340" s="19" t="s">
        <v>8047</v>
      </c>
      <c r="D4340" s="19" t="s">
        <v>8047</v>
      </c>
      <c r="E4340" s="19" t="s">
        <v>8070</v>
      </c>
    </row>
    <row r="4341" spans="1:5" x14ac:dyDescent="0.25">
      <c r="A4341" s="16">
        <v>4370</v>
      </c>
      <c r="B4341" s="19" t="s">
        <v>7606</v>
      </c>
      <c r="C4341" s="19" t="s">
        <v>8047</v>
      </c>
      <c r="D4341" s="19" t="s">
        <v>8047</v>
      </c>
      <c r="E4341" s="19" t="s">
        <v>8071</v>
      </c>
    </row>
    <row r="4342" spans="1:5" ht="36" customHeight="1" x14ac:dyDescent="0.25">
      <c r="A4342" s="16">
        <v>4371</v>
      </c>
      <c r="B4342" s="19" t="s">
        <v>7606</v>
      </c>
      <c r="C4342" s="19" t="s">
        <v>8047</v>
      </c>
      <c r="D4342" s="19" t="s">
        <v>8072</v>
      </c>
      <c r="E4342" s="19" t="s">
        <v>8073</v>
      </c>
    </row>
    <row r="4343" spans="1:5" ht="24" customHeight="1" x14ac:dyDescent="0.25">
      <c r="A4343" s="16">
        <v>4372</v>
      </c>
      <c r="B4343" s="19" t="s">
        <v>7606</v>
      </c>
      <c r="C4343" s="19" t="s">
        <v>8047</v>
      </c>
      <c r="D4343" s="19" t="s">
        <v>8072</v>
      </c>
      <c r="E4343" s="19" t="s">
        <v>8074</v>
      </c>
    </row>
    <row r="4344" spans="1:5" ht="24" customHeight="1" x14ac:dyDescent="0.25">
      <c r="A4344" s="16">
        <v>4373</v>
      </c>
      <c r="B4344" s="19" t="s">
        <v>7606</v>
      </c>
      <c r="C4344" s="19" t="s">
        <v>8047</v>
      </c>
      <c r="D4344" s="19" t="s">
        <v>8072</v>
      </c>
      <c r="E4344" s="19" t="s">
        <v>8075</v>
      </c>
    </row>
    <row r="4345" spans="1:5" ht="24" customHeight="1" x14ac:dyDescent="0.25">
      <c r="A4345" s="16">
        <v>4374</v>
      </c>
      <c r="B4345" s="19" t="s">
        <v>7606</v>
      </c>
      <c r="C4345" s="19" t="s">
        <v>8047</v>
      </c>
      <c r="D4345" s="19" t="s">
        <v>8072</v>
      </c>
      <c r="E4345" s="19" t="s">
        <v>8076</v>
      </c>
    </row>
    <row r="4346" spans="1:5" ht="24" customHeight="1" x14ac:dyDescent="0.25">
      <c r="A4346" s="16">
        <v>4375</v>
      </c>
      <c r="B4346" s="19" t="s">
        <v>7606</v>
      </c>
      <c r="C4346" s="19" t="s">
        <v>8047</v>
      </c>
      <c r="D4346" s="19" t="s">
        <v>8072</v>
      </c>
      <c r="E4346" s="19" t="s">
        <v>8077</v>
      </c>
    </row>
    <row r="4347" spans="1:5" x14ac:dyDescent="0.25">
      <c r="A4347" s="16">
        <v>4376</v>
      </c>
      <c r="B4347" s="19" t="s">
        <v>7606</v>
      </c>
      <c r="C4347" s="19" t="s">
        <v>8047</v>
      </c>
      <c r="D4347" s="19" t="s">
        <v>8078</v>
      </c>
      <c r="E4347" s="19" t="s">
        <v>8079</v>
      </c>
    </row>
    <row r="4348" spans="1:5" x14ac:dyDescent="0.25">
      <c r="A4348" s="16">
        <v>4377</v>
      </c>
      <c r="B4348" s="19" t="s">
        <v>7606</v>
      </c>
      <c r="C4348" s="19" t="s">
        <v>8047</v>
      </c>
      <c r="D4348" s="19" t="s">
        <v>8078</v>
      </c>
      <c r="E4348" s="19" t="s">
        <v>8080</v>
      </c>
    </row>
    <row r="4349" spans="1:5" x14ac:dyDescent="0.25">
      <c r="A4349" s="16">
        <v>4378</v>
      </c>
      <c r="B4349" s="19" t="s">
        <v>7606</v>
      </c>
      <c r="C4349" s="19" t="s">
        <v>8047</v>
      </c>
      <c r="D4349" s="19" t="s">
        <v>8078</v>
      </c>
      <c r="E4349" s="19" t="s">
        <v>8081</v>
      </c>
    </row>
    <row r="4350" spans="1:5" x14ac:dyDescent="0.25">
      <c r="A4350" s="16">
        <v>4379</v>
      </c>
      <c r="B4350" s="19" t="s">
        <v>7606</v>
      </c>
      <c r="C4350" s="19" t="s">
        <v>8047</v>
      </c>
      <c r="D4350" s="19" t="s">
        <v>8078</v>
      </c>
      <c r="E4350" s="19" t="s">
        <v>8082</v>
      </c>
    </row>
    <row r="4351" spans="1:5" ht="24" customHeight="1" x14ac:dyDescent="0.25">
      <c r="A4351" s="16">
        <v>4380</v>
      </c>
      <c r="B4351" s="19" t="s">
        <v>7606</v>
      </c>
      <c r="C4351" s="19" t="s">
        <v>8047</v>
      </c>
      <c r="D4351" s="19" t="s">
        <v>8078</v>
      </c>
      <c r="E4351" s="19" t="s">
        <v>8083</v>
      </c>
    </row>
    <row r="4352" spans="1:5" x14ac:dyDescent="0.25">
      <c r="A4352" s="16">
        <v>4381</v>
      </c>
      <c r="B4352" s="19" t="s">
        <v>7606</v>
      </c>
      <c r="C4352" s="19" t="s">
        <v>8047</v>
      </c>
      <c r="D4352" s="19" t="s">
        <v>8078</v>
      </c>
      <c r="E4352" s="19" t="s">
        <v>8084</v>
      </c>
    </row>
    <row r="4353" spans="1:5" x14ac:dyDescent="0.25">
      <c r="A4353" s="16">
        <v>4382</v>
      </c>
      <c r="B4353" s="19" t="s">
        <v>7606</v>
      </c>
      <c r="C4353" s="19" t="s">
        <v>8085</v>
      </c>
      <c r="D4353" s="19" t="s">
        <v>8085</v>
      </c>
      <c r="E4353" s="19" t="s">
        <v>8086</v>
      </c>
    </row>
    <row r="4354" spans="1:5" ht="24" customHeight="1" x14ac:dyDescent="0.25">
      <c r="A4354" s="16">
        <v>4383</v>
      </c>
      <c r="B4354" s="19" t="s">
        <v>7606</v>
      </c>
      <c r="C4354" s="19" t="s">
        <v>8085</v>
      </c>
      <c r="D4354" s="19" t="s">
        <v>8085</v>
      </c>
      <c r="E4354" s="19" t="s">
        <v>8087</v>
      </c>
    </row>
    <row r="4355" spans="1:5" x14ac:dyDescent="0.25">
      <c r="A4355" s="16">
        <v>4384</v>
      </c>
      <c r="B4355" s="19" t="s">
        <v>7606</v>
      </c>
      <c r="C4355" s="19" t="s">
        <v>8085</v>
      </c>
      <c r="D4355" s="19" t="s">
        <v>8085</v>
      </c>
      <c r="E4355" s="19" t="s">
        <v>8088</v>
      </c>
    </row>
    <row r="4356" spans="1:5" x14ac:dyDescent="0.25">
      <c r="A4356" s="16">
        <v>4385</v>
      </c>
      <c r="B4356" s="19" t="s">
        <v>7606</v>
      </c>
      <c r="C4356" s="19" t="s">
        <v>8085</v>
      </c>
      <c r="D4356" s="19" t="s">
        <v>8085</v>
      </c>
      <c r="E4356" s="19" t="s">
        <v>8089</v>
      </c>
    </row>
    <row r="4357" spans="1:5" x14ac:dyDescent="0.25">
      <c r="A4357" s="16">
        <v>4386</v>
      </c>
      <c r="B4357" s="19" t="s">
        <v>7606</v>
      </c>
      <c r="C4357" s="19" t="s">
        <v>8085</v>
      </c>
      <c r="D4357" s="19" t="s">
        <v>8085</v>
      </c>
      <c r="E4357" s="19" t="s">
        <v>8090</v>
      </c>
    </row>
    <row r="4358" spans="1:5" ht="24" customHeight="1" x14ac:dyDescent="0.25">
      <c r="A4358" s="16">
        <v>4387</v>
      </c>
      <c r="B4358" s="19" t="s">
        <v>7606</v>
      </c>
      <c r="C4358" s="19" t="s">
        <v>8085</v>
      </c>
      <c r="D4358" s="19" t="s">
        <v>8085</v>
      </c>
      <c r="E4358" s="19" t="s">
        <v>8091</v>
      </c>
    </row>
    <row r="4359" spans="1:5" x14ac:dyDescent="0.25">
      <c r="A4359" s="16">
        <v>4388</v>
      </c>
      <c r="B4359" s="19" t="s">
        <v>7606</v>
      </c>
      <c r="C4359" s="19" t="s">
        <v>8085</v>
      </c>
      <c r="D4359" s="19" t="s">
        <v>8085</v>
      </c>
      <c r="E4359" s="19" t="s">
        <v>8092</v>
      </c>
    </row>
    <row r="4360" spans="1:5" x14ac:dyDescent="0.25">
      <c r="A4360" s="16">
        <v>4389</v>
      </c>
      <c r="B4360" s="19" t="s">
        <v>7606</v>
      </c>
      <c r="C4360" s="19" t="s">
        <v>8085</v>
      </c>
      <c r="D4360" s="19" t="s">
        <v>8093</v>
      </c>
      <c r="E4360" s="19" t="s">
        <v>8094</v>
      </c>
    </row>
    <row r="4361" spans="1:5" x14ac:dyDescent="0.25">
      <c r="A4361" s="16">
        <v>4390</v>
      </c>
      <c r="B4361" s="19" t="s">
        <v>7606</v>
      </c>
      <c r="C4361" s="19" t="s">
        <v>8085</v>
      </c>
      <c r="D4361" s="19" t="s">
        <v>8093</v>
      </c>
      <c r="E4361" s="19" t="s">
        <v>8095</v>
      </c>
    </row>
    <row r="4362" spans="1:5" x14ac:dyDescent="0.25">
      <c r="A4362" s="16">
        <v>4391</v>
      </c>
      <c r="B4362" s="19" t="s">
        <v>7606</v>
      </c>
      <c r="C4362" s="19" t="s">
        <v>8085</v>
      </c>
      <c r="D4362" s="19" t="s">
        <v>8093</v>
      </c>
      <c r="E4362" s="19" t="s">
        <v>8096</v>
      </c>
    </row>
    <row r="4363" spans="1:5" x14ac:dyDescent="0.25">
      <c r="A4363" s="16">
        <v>4392</v>
      </c>
      <c r="B4363" s="19" t="s">
        <v>7606</v>
      </c>
      <c r="C4363" s="19" t="s">
        <v>8085</v>
      </c>
      <c r="D4363" s="19" t="s">
        <v>8093</v>
      </c>
      <c r="E4363" s="19" t="s">
        <v>8097</v>
      </c>
    </row>
    <row r="4364" spans="1:5" ht="36" customHeight="1" x14ac:dyDescent="0.25">
      <c r="A4364" s="16">
        <v>4393</v>
      </c>
      <c r="B4364" s="19" t="s">
        <v>7606</v>
      </c>
      <c r="C4364" s="19" t="s">
        <v>8085</v>
      </c>
      <c r="D4364" s="19" t="s">
        <v>8093</v>
      </c>
      <c r="E4364" s="19" t="s">
        <v>8098</v>
      </c>
    </row>
    <row r="4365" spans="1:5" x14ac:dyDescent="0.25">
      <c r="A4365" s="16">
        <v>4394</v>
      </c>
      <c r="B4365" s="19" t="s">
        <v>7606</v>
      </c>
      <c r="C4365" s="19" t="s">
        <v>8085</v>
      </c>
      <c r="D4365" s="19" t="s">
        <v>8099</v>
      </c>
      <c r="E4365" s="19" t="s">
        <v>8100</v>
      </c>
    </row>
    <row r="4366" spans="1:5" ht="24" customHeight="1" x14ac:dyDescent="0.25">
      <c r="A4366" s="16">
        <v>4395</v>
      </c>
      <c r="B4366" s="19" t="s">
        <v>7606</v>
      </c>
      <c r="C4366" s="19" t="s">
        <v>8085</v>
      </c>
      <c r="D4366" s="19" t="s">
        <v>8099</v>
      </c>
      <c r="E4366" s="19" t="s">
        <v>8101</v>
      </c>
    </row>
    <row r="4367" spans="1:5" x14ac:dyDescent="0.25">
      <c r="A4367" s="16">
        <v>4396</v>
      </c>
      <c r="B4367" s="19" t="s">
        <v>7606</v>
      </c>
      <c r="C4367" s="19" t="s">
        <v>8085</v>
      </c>
      <c r="D4367" s="19" t="s">
        <v>8099</v>
      </c>
      <c r="E4367" s="19" t="s">
        <v>8102</v>
      </c>
    </row>
    <row r="4368" spans="1:5" ht="24" customHeight="1" x14ac:dyDescent="0.25">
      <c r="A4368" s="16">
        <v>4397</v>
      </c>
      <c r="B4368" s="19" t="s">
        <v>7606</v>
      </c>
      <c r="C4368" s="19" t="s">
        <v>8085</v>
      </c>
      <c r="D4368" s="19" t="s">
        <v>8099</v>
      </c>
      <c r="E4368" s="19" t="s">
        <v>8103</v>
      </c>
    </row>
    <row r="4369" spans="1:5" ht="24" customHeight="1" x14ac:dyDescent="0.25">
      <c r="A4369" s="16">
        <v>4398</v>
      </c>
      <c r="B4369" s="19" t="s">
        <v>7606</v>
      </c>
      <c r="C4369" s="19" t="s">
        <v>8085</v>
      </c>
      <c r="D4369" s="19" t="s">
        <v>8099</v>
      </c>
      <c r="E4369" s="19" t="s">
        <v>8104</v>
      </c>
    </row>
    <row r="4370" spans="1:5" x14ac:dyDescent="0.25">
      <c r="A4370" s="16">
        <v>4399</v>
      </c>
      <c r="B4370" s="19" t="s">
        <v>7606</v>
      </c>
      <c r="C4370" s="19" t="s">
        <v>8085</v>
      </c>
      <c r="D4370" s="19" t="s">
        <v>8099</v>
      </c>
      <c r="E4370" s="19" t="s">
        <v>8105</v>
      </c>
    </row>
    <row r="4371" spans="1:5" ht="24" customHeight="1" x14ac:dyDescent="0.25">
      <c r="A4371" s="16">
        <v>4400</v>
      </c>
      <c r="B4371" s="19" t="s">
        <v>7606</v>
      </c>
      <c r="C4371" s="19" t="s">
        <v>8085</v>
      </c>
      <c r="D4371" s="19" t="s">
        <v>8099</v>
      </c>
      <c r="E4371" s="19" t="s">
        <v>8106</v>
      </c>
    </row>
    <row r="4372" spans="1:5" ht="24" customHeight="1" x14ac:dyDescent="0.25">
      <c r="A4372" s="16">
        <v>4401</v>
      </c>
      <c r="B4372" s="19" t="s">
        <v>7606</v>
      </c>
      <c r="C4372" s="19" t="s">
        <v>8085</v>
      </c>
      <c r="D4372" s="19" t="s">
        <v>8099</v>
      </c>
      <c r="E4372" s="19" t="s">
        <v>8107</v>
      </c>
    </row>
    <row r="4373" spans="1:5" ht="24" customHeight="1" x14ac:dyDescent="0.25">
      <c r="A4373" s="16">
        <v>4402</v>
      </c>
      <c r="B4373" s="19" t="s">
        <v>7606</v>
      </c>
      <c r="C4373" s="19" t="s">
        <v>8085</v>
      </c>
      <c r="D4373" s="19" t="s">
        <v>8108</v>
      </c>
      <c r="E4373" s="19" t="s">
        <v>4683</v>
      </c>
    </row>
    <row r="4374" spans="1:5" ht="24" customHeight="1" x14ac:dyDescent="0.25">
      <c r="A4374" s="16">
        <v>4403</v>
      </c>
      <c r="B4374" s="19" t="s">
        <v>7606</v>
      </c>
      <c r="C4374" s="19" t="s">
        <v>8085</v>
      </c>
      <c r="D4374" s="19" t="s">
        <v>8108</v>
      </c>
      <c r="E4374" s="19" t="s">
        <v>8109</v>
      </c>
    </row>
    <row r="4375" spans="1:5" ht="24" customHeight="1" x14ac:dyDescent="0.25">
      <c r="A4375" s="16">
        <v>4404</v>
      </c>
      <c r="B4375" s="19" t="s">
        <v>7606</v>
      </c>
      <c r="C4375" s="19" t="s">
        <v>8085</v>
      </c>
      <c r="D4375" s="19" t="s">
        <v>8108</v>
      </c>
      <c r="E4375" s="19" t="s">
        <v>8110</v>
      </c>
    </row>
    <row r="4376" spans="1:5" ht="24" customHeight="1" x14ac:dyDescent="0.25">
      <c r="A4376" s="16">
        <v>4405</v>
      </c>
      <c r="B4376" s="19" t="s">
        <v>7606</v>
      </c>
      <c r="C4376" s="19" t="s">
        <v>8085</v>
      </c>
      <c r="D4376" s="19" t="s">
        <v>8108</v>
      </c>
      <c r="E4376" s="19" t="s">
        <v>8111</v>
      </c>
    </row>
    <row r="4377" spans="1:5" ht="24" customHeight="1" x14ac:dyDescent="0.25">
      <c r="A4377" s="16">
        <v>4406</v>
      </c>
      <c r="B4377" s="19" t="s">
        <v>7606</v>
      </c>
      <c r="C4377" s="19" t="s">
        <v>8085</v>
      </c>
      <c r="D4377" s="19" t="s">
        <v>8108</v>
      </c>
      <c r="E4377" s="19" t="s">
        <v>8112</v>
      </c>
    </row>
    <row r="4378" spans="1:5" ht="24" customHeight="1" x14ac:dyDescent="0.25">
      <c r="A4378" s="16">
        <v>4407</v>
      </c>
      <c r="B4378" s="19" t="s">
        <v>7606</v>
      </c>
      <c r="C4378" s="19" t="s">
        <v>8085</v>
      </c>
      <c r="D4378" s="19" t="s">
        <v>8108</v>
      </c>
      <c r="E4378" s="19" t="s">
        <v>8113</v>
      </c>
    </row>
    <row r="4379" spans="1:5" ht="24" customHeight="1" x14ac:dyDescent="0.25">
      <c r="A4379" s="16">
        <v>4408</v>
      </c>
      <c r="B4379" s="19" t="s">
        <v>7606</v>
      </c>
      <c r="C4379" s="19" t="s">
        <v>8085</v>
      </c>
      <c r="D4379" s="19" t="s">
        <v>8108</v>
      </c>
      <c r="E4379" s="19" t="s">
        <v>8114</v>
      </c>
    </row>
    <row r="4380" spans="1:5" ht="24" customHeight="1" x14ac:dyDescent="0.25">
      <c r="A4380" s="16">
        <v>4409</v>
      </c>
      <c r="B4380" s="19" t="s">
        <v>7606</v>
      </c>
      <c r="C4380" s="19" t="s">
        <v>8085</v>
      </c>
      <c r="D4380" s="19" t="s">
        <v>8108</v>
      </c>
      <c r="E4380" s="19" t="s">
        <v>8115</v>
      </c>
    </row>
    <row r="4381" spans="1:5" ht="24" customHeight="1" x14ac:dyDescent="0.25">
      <c r="A4381" s="16">
        <v>4410</v>
      </c>
      <c r="B4381" s="19" t="s">
        <v>7606</v>
      </c>
      <c r="C4381" s="19" t="s">
        <v>8085</v>
      </c>
      <c r="D4381" s="19" t="s">
        <v>8108</v>
      </c>
      <c r="E4381" s="19" t="s">
        <v>8116</v>
      </c>
    </row>
    <row r="4382" spans="1:5" x14ac:dyDescent="0.25">
      <c r="A4382" s="16">
        <v>4411</v>
      </c>
      <c r="B4382" s="19" t="s">
        <v>7606</v>
      </c>
      <c r="C4382" s="19" t="s">
        <v>8085</v>
      </c>
      <c r="D4382" s="19" t="s">
        <v>8117</v>
      </c>
      <c r="E4382" s="19" t="s">
        <v>8118</v>
      </c>
    </row>
    <row r="4383" spans="1:5" ht="24" customHeight="1" x14ac:dyDescent="0.25">
      <c r="A4383" s="16">
        <v>4412</v>
      </c>
      <c r="B4383" s="19" t="s">
        <v>7606</v>
      </c>
      <c r="C4383" s="19" t="s">
        <v>8085</v>
      </c>
      <c r="D4383" s="19" t="s">
        <v>8117</v>
      </c>
      <c r="E4383" s="19" t="s">
        <v>8119</v>
      </c>
    </row>
    <row r="4384" spans="1:5" x14ac:dyDescent="0.25">
      <c r="A4384" s="16">
        <v>4413</v>
      </c>
      <c r="B4384" s="19" t="s">
        <v>7606</v>
      </c>
      <c r="C4384" s="19" t="s">
        <v>8085</v>
      </c>
      <c r="D4384" s="19" t="s">
        <v>8117</v>
      </c>
      <c r="E4384" s="19" t="s">
        <v>8120</v>
      </c>
    </row>
    <row r="4385" spans="1:5" ht="24" customHeight="1" x14ac:dyDescent="0.25">
      <c r="A4385" s="16">
        <v>4414</v>
      </c>
      <c r="B4385" s="19" t="s">
        <v>7606</v>
      </c>
      <c r="C4385" s="19" t="s">
        <v>8085</v>
      </c>
      <c r="D4385" s="19" t="s">
        <v>8117</v>
      </c>
      <c r="E4385" s="19" t="s">
        <v>8121</v>
      </c>
    </row>
    <row r="4386" spans="1:5" x14ac:dyDescent="0.25">
      <c r="A4386" s="16">
        <v>4415</v>
      </c>
      <c r="B4386" s="19" t="s">
        <v>7606</v>
      </c>
      <c r="C4386" s="19" t="s">
        <v>8085</v>
      </c>
      <c r="D4386" s="19" t="s">
        <v>8117</v>
      </c>
      <c r="E4386" s="19" t="s">
        <v>8122</v>
      </c>
    </row>
    <row r="4387" spans="1:5" x14ac:dyDescent="0.25">
      <c r="A4387" s="16">
        <v>4416</v>
      </c>
      <c r="B4387" s="19" t="s">
        <v>7606</v>
      </c>
      <c r="C4387" s="19" t="s">
        <v>8085</v>
      </c>
      <c r="D4387" s="19" t="s">
        <v>8117</v>
      </c>
      <c r="E4387" s="19" t="s">
        <v>8123</v>
      </c>
    </row>
    <row r="4388" spans="1:5" x14ac:dyDescent="0.25">
      <c r="A4388" s="16">
        <v>4417</v>
      </c>
      <c r="B4388" s="19" t="s">
        <v>7606</v>
      </c>
      <c r="C4388" s="19" t="s">
        <v>8085</v>
      </c>
      <c r="D4388" s="19" t="s">
        <v>8117</v>
      </c>
      <c r="E4388" s="19" t="s">
        <v>8124</v>
      </c>
    </row>
    <row r="4389" spans="1:5" ht="24" customHeight="1" x14ac:dyDescent="0.25">
      <c r="A4389" s="16">
        <v>4418</v>
      </c>
      <c r="B4389" s="19" t="s">
        <v>7606</v>
      </c>
      <c r="C4389" s="19" t="s">
        <v>8085</v>
      </c>
      <c r="D4389" s="19" t="s">
        <v>8117</v>
      </c>
      <c r="E4389" s="19" t="s">
        <v>8125</v>
      </c>
    </row>
    <row r="4390" spans="1:5" x14ac:dyDescent="0.25">
      <c r="A4390" s="16">
        <v>4419</v>
      </c>
      <c r="B4390" s="19" t="s">
        <v>7606</v>
      </c>
      <c r="C4390" s="19" t="s">
        <v>8085</v>
      </c>
      <c r="D4390" s="19" t="s">
        <v>8126</v>
      </c>
      <c r="E4390" s="19" t="s">
        <v>8127</v>
      </c>
    </row>
    <row r="4391" spans="1:5" ht="24" customHeight="1" x14ac:dyDescent="0.25">
      <c r="A4391" s="16">
        <v>4420</v>
      </c>
      <c r="B4391" s="19" t="s">
        <v>7606</v>
      </c>
      <c r="C4391" s="19" t="s">
        <v>8085</v>
      </c>
      <c r="D4391" s="19" t="s">
        <v>8126</v>
      </c>
      <c r="E4391" s="19" t="s">
        <v>8128</v>
      </c>
    </row>
    <row r="4392" spans="1:5" ht="24" customHeight="1" x14ac:dyDescent="0.25">
      <c r="A4392" s="16">
        <v>4421</v>
      </c>
      <c r="B4392" s="19" t="s">
        <v>7606</v>
      </c>
      <c r="C4392" s="19" t="s">
        <v>8085</v>
      </c>
      <c r="D4392" s="19" t="s">
        <v>8126</v>
      </c>
      <c r="E4392" s="19" t="s">
        <v>8129</v>
      </c>
    </row>
    <row r="4393" spans="1:5" x14ac:dyDescent="0.25">
      <c r="A4393" s="16">
        <v>4422</v>
      </c>
      <c r="B4393" s="19" t="s">
        <v>7606</v>
      </c>
      <c r="C4393" s="19" t="s">
        <v>8085</v>
      </c>
      <c r="D4393" s="19" t="s">
        <v>8126</v>
      </c>
      <c r="E4393" s="19" t="s">
        <v>8130</v>
      </c>
    </row>
    <row r="4394" spans="1:5" x14ac:dyDescent="0.25">
      <c r="A4394" s="16">
        <v>4423</v>
      </c>
      <c r="B4394" s="19" t="s">
        <v>7606</v>
      </c>
      <c r="C4394" s="19" t="s">
        <v>8085</v>
      </c>
      <c r="D4394" s="19" t="s">
        <v>8126</v>
      </c>
      <c r="E4394" s="19" t="s">
        <v>8131</v>
      </c>
    </row>
    <row r="4395" spans="1:5" x14ac:dyDescent="0.25">
      <c r="A4395" s="16">
        <v>4424</v>
      </c>
      <c r="B4395" s="19" t="s">
        <v>7606</v>
      </c>
      <c r="C4395" s="19" t="s">
        <v>8085</v>
      </c>
      <c r="D4395" s="19" t="s">
        <v>8126</v>
      </c>
      <c r="E4395" s="19" t="s">
        <v>8132</v>
      </c>
    </row>
    <row r="4396" spans="1:5" ht="24" customHeight="1" x14ac:dyDescent="0.25">
      <c r="A4396" s="16">
        <v>4425</v>
      </c>
      <c r="B4396" s="19" t="s">
        <v>7606</v>
      </c>
      <c r="C4396" s="19" t="s">
        <v>8085</v>
      </c>
      <c r="D4396" s="19" t="s">
        <v>8133</v>
      </c>
      <c r="E4396" s="19" t="s">
        <v>7434</v>
      </c>
    </row>
    <row r="4397" spans="1:5" ht="36" customHeight="1" x14ac:dyDescent="0.25">
      <c r="A4397" s="16">
        <v>4426</v>
      </c>
      <c r="B4397" s="19" t="s">
        <v>7606</v>
      </c>
      <c r="C4397" s="19" t="s">
        <v>8085</v>
      </c>
      <c r="D4397" s="19" t="s">
        <v>8133</v>
      </c>
      <c r="E4397" s="19" t="s">
        <v>8134</v>
      </c>
    </row>
    <row r="4398" spans="1:5" x14ac:dyDescent="0.25">
      <c r="A4398" s="16">
        <v>4427</v>
      </c>
      <c r="B4398" s="19" t="s">
        <v>7606</v>
      </c>
      <c r="C4398" s="19" t="s">
        <v>8085</v>
      </c>
      <c r="D4398" s="19" t="s">
        <v>8133</v>
      </c>
      <c r="E4398" s="19" t="s">
        <v>8135</v>
      </c>
    </row>
    <row r="4399" spans="1:5" x14ac:dyDescent="0.25">
      <c r="A4399" s="16">
        <v>4428</v>
      </c>
      <c r="B4399" s="19" t="s">
        <v>7606</v>
      </c>
      <c r="C4399" s="19" t="s">
        <v>8085</v>
      </c>
      <c r="D4399" s="19" t="s">
        <v>8133</v>
      </c>
      <c r="E4399" s="19" t="s">
        <v>8136</v>
      </c>
    </row>
    <row r="4400" spans="1:5" x14ac:dyDescent="0.25">
      <c r="A4400" s="16">
        <v>4429</v>
      </c>
      <c r="B4400" s="19" t="s">
        <v>7606</v>
      </c>
      <c r="C4400" s="19" t="s">
        <v>8085</v>
      </c>
      <c r="D4400" s="19" t="s">
        <v>8133</v>
      </c>
      <c r="E4400" s="19" t="s">
        <v>8137</v>
      </c>
    </row>
    <row r="4401" spans="1:5" ht="24" customHeight="1" x14ac:dyDescent="0.25">
      <c r="A4401" s="16">
        <v>4430</v>
      </c>
      <c r="B4401" s="19" t="s">
        <v>7606</v>
      </c>
      <c r="C4401" s="19" t="s">
        <v>8085</v>
      </c>
      <c r="D4401" s="19" t="s">
        <v>8133</v>
      </c>
      <c r="E4401" s="19" t="s">
        <v>8138</v>
      </c>
    </row>
    <row r="4402" spans="1:5" x14ac:dyDescent="0.25">
      <c r="A4402" s="16">
        <v>4431</v>
      </c>
      <c r="B4402" s="19" t="s">
        <v>7606</v>
      </c>
      <c r="C4402" s="19" t="s">
        <v>8085</v>
      </c>
      <c r="D4402" s="19" t="s">
        <v>8133</v>
      </c>
      <c r="E4402" s="19" t="s">
        <v>8139</v>
      </c>
    </row>
    <row r="4403" spans="1:5" ht="24" customHeight="1" x14ac:dyDescent="0.25">
      <c r="A4403" s="16">
        <v>4432</v>
      </c>
      <c r="B4403" s="19" t="s">
        <v>6178</v>
      </c>
      <c r="C4403" s="19" t="s">
        <v>8140</v>
      </c>
      <c r="D4403" s="19" t="s">
        <v>8140</v>
      </c>
      <c r="E4403" s="19" t="s">
        <v>8141</v>
      </c>
    </row>
    <row r="4404" spans="1:5" ht="24" customHeight="1" x14ac:dyDescent="0.25">
      <c r="A4404" s="16">
        <v>4433</v>
      </c>
      <c r="B4404" s="19" t="s">
        <v>6178</v>
      </c>
      <c r="C4404" s="19" t="s">
        <v>8140</v>
      </c>
      <c r="D4404" s="19" t="s">
        <v>8140</v>
      </c>
      <c r="E4404" s="19" t="s">
        <v>8142</v>
      </c>
    </row>
    <row r="4405" spans="1:5" ht="24" customHeight="1" x14ac:dyDescent="0.25">
      <c r="A4405" s="16">
        <v>4434</v>
      </c>
      <c r="B4405" s="19" t="s">
        <v>6178</v>
      </c>
      <c r="C4405" s="19" t="s">
        <v>8140</v>
      </c>
      <c r="D4405" s="19" t="s">
        <v>8140</v>
      </c>
      <c r="E4405" s="19" t="s">
        <v>8143</v>
      </c>
    </row>
    <row r="4406" spans="1:5" ht="24" customHeight="1" x14ac:dyDescent="0.25">
      <c r="A4406" s="16">
        <v>4435</v>
      </c>
      <c r="B4406" s="19" t="s">
        <v>6178</v>
      </c>
      <c r="C4406" s="19" t="s">
        <v>8140</v>
      </c>
      <c r="D4406" s="19" t="s">
        <v>8140</v>
      </c>
      <c r="E4406" s="19" t="s">
        <v>8144</v>
      </c>
    </row>
    <row r="4407" spans="1:5" ht="24" customHeight="1" x14ac:dyDescent="0.25">
      <c r="A4407" s="16">
        <v>4436</v>
      </c>
      <c r="B4407" s="19" t="s">
        <v>6178</v>
      </c>
      <c r="C4407" s="19" t="s">
        <v>8140</v>
      </c>
      <c r="D4407" s="19" t="s">
        <v>8140</v>
      </c>
      <c r="E4407" s="19" t="s">
        <v>8145</v>
      </c>
    </row>
    <row r="4408" spans="1:5" ht="24" customHeight="1" x14ac:dyDescent="0.25">
      <c r="A4408" s="16">
        <v>4437</v>
      </c>
      <c r="B4408" s="19" t="s">
        <v>6178</v>
      </c>
      <c r="C4408" s="19" t="s">
        <v>8140</v>
      </c>
      <c r="D4408" s="19" t="s">
        <v>8140</v>
      </c>
      <c r="E4408" s="19" t="s">
        <v>8146</v>
      </c>
    </row>
    <row r="4409" spans="1:5" ht="24" customHeight="1" x14ac:dyDescent="0.25">
      <c r="A4409" s="16">
        <v>4438</v>
      </c>
      <c r="B4409" s="19" t="s">
        <v>6178</v>
      </c>
      <c r="C4409" s="19" t="s">
        <v>8140</v>
      </c>
      <c r="D4409" s="19" t="s">
        <v>8140</v>
      </c>
      <c r="E4409" s="19" t="s">
        <v>8147</v>
      </c>
    </row>
    <row r="4410" spans="1:5" ht="24" customHeight="1" x14ac:dyDescent="0.25">
      <c r="A4410" s="16">
        <v>4439</v>
      </c>
      <c r="B4410" s="19" t="s">
        <v>6178</v>
      </c>
      <c r="C4410" s="19" t="s">
        <v>8140</v>
      </c>
      <c r="D4410" s="19" t="s">
        <v>8140</v>
      </c>
      <c r="E4410" s="19" t="s">
        <v>8148</v>
      </c>
    </row>
    <row r="4411" spans="1:5" ht="24" customHeight="1" x14ac:dyDescent="0.25">
      <c r="A4411" s="16">
        <v>4440</v>
      </c>
      <c r="B4411" s="19" t="s">
        <v>6178</v>
      </c>
      <c r="C4411" s="19" t="s">
        <v>8140</v>
      </c>
      <c r="D4411" s="19" t="s">
        <v>8140</v>
      </c>
      <c r="E4411" s="19" t="s">
        <v>8149</v>
      </c>
    </row>
    <row r="4412" spans="1:5" ht="24" customHeight="1" x14ac:dyDescent="0.25">
      <c r="A4412" s="16">
        <v>4441</v>
      </c>
      <c r="B4412" s="19" t="s">
        <v>6178</v>
      </c>
      <c r="C4412" s="19" t="s">
        <v>8140</v>
      </c>
      <c r="D4412" s="19" t="s">
        <v>8140</v>
      </c>
      <c r="E4412" s="19" t="s">
        <v>8150</v>
      </c>
    </row>
    <row r="4413" spans="1:5" ht="24" customHeight="1" x14ac:dyDescent="0.25">
      <c r="A4413" s="16">
        <v>4442</v>
      </c>
      <c r="B4413" s="19" t="s">
        <v>6178</v>
      </c>
      <c r="C4413" s="19" t="s">
        <v>8140</v>
      </c>
      <c r="D4413" s="19" t="s">
        <v>8140</v>
      </c>
      <c r="E4413" s="19" t="s">
        <v>8151</v>
      </c>
    </row>
    <row r="4414" spans="1:5" ht="24" customHeight="1" x14ac:dyDescent="0.25">
      <c r="A4414" s="16">
        <v>4443</v>
      </c>
      <c r="B4414" s="19" t="s">
        <v>6178</v>
      </c>
      <c r="C4414" s="19" t="s">
        <v>8140</v>
      </c>
      <c r="D4414" s="19" t="s">
        <v>8140</v>
      </c>
      <c r="E4414" s="19" t="s">
        <v>8152</v>
      </c>
    </row>
    <row r="4415" spans="1:5" ht="24" customHeight="1" x14ac:dyDescent="0.25">
      <c r="A4415" s="16">
        <v>4444</v>
      </c>
      <c r="B4415" s="19" t="s">
        <v>6178</v>
      </c>
      <c r="C4415" s="19" t="s">
        <v>8140</v>
      </c>
      <c r="D4415" s="19" t="s">
        <v>8140</v>
      </c>
      <c r="E4415" s="19" t="s">
        <v>8153</v>
      </c>
    </row>
    <row r="4416" spans="1:5" ht="24" customHeight="1" x14ac:dyDescent="0.25">
      <c r="A4416" s="16">
        <v>4445</v>
      </c>
      <c r="B4416" s="19" t="s">
        <v>6178</v>
      </c>
      <c r="C4416" s="19" t="s">
        <v>8140</v>
      </c>
      <c r="D4416" s="19" t="s">
        <v>8140</v>
      </c>
      <c r="E4416" s="19" t="s">
        <v>8154</v>
      </c>
    </row>
    <row r="4417" spans="1:5" ht="24" customHeight="1" x14ac:dyDescent="0.25">
      <c r="A4417" s="16">
        <v>4446</v>
      </c>
      <c r="B4417" s="19" t="s">
        <v>6178</v>
      </c>
      <c r="C4417" s="19" t="s">
        <v>8140</v>
      </c>
      <c r="D4417" s="19" t="s">
        <v>8140</v>
      </c>
      <c r="E4417" s="19" t="s">
        <v>8155</v>
      </c>
    </row>
    <row r="4418" spans="1:5" ht="24" customHeight="1" x14ac:dyDescent="0.25">
      <c r="A4418" s="16">
        <v>4447</v>
      </c>
      <c r="B4418" s="19" t="s">
        <v>6178</v>
      </c>
      <c r="C4418" s="19" t="s">
        <v>8140</v>
      </c>
      <c r="D4418" s="19" t="s">
        <v>8156</v>
      </c>
      <c r="E4418" s="19" t="s">
        <v>7035</v>
      </c>
    </row>
    <row r="4419" spans="1:5" ht="24" customHeight="1" x14ac:dyDescent="0.25">
      <c r="A4419" s="16">
        <v>4448</v>
      </c>
      <c r="B4419" s="19" t="s">
        <v>6178</v>
      </c>
      <c r="C4419" s="19" t="s">
        <v>8140</v>
      </c>
      <c r="D4419" s="19" t="s">
        <v>8156</v>
      </c>
      <c r="E4419" s="19" t="s">
        <v>8157</v>
      </c>
    </row>
    <row r="4420" spans="1:5" ht="36" customHeight="1" x14ac:dyDescent="0.25">
      <c r="A4420" s="16">
        <v>4449</v>
      </c>
      <c r="B4420" s="19" t="s">
        <v>6178</v>
      </c>
      <c r="C4420" s="19" t="s">
        <v>8140</v>
      </c>
      <c r="D4420" s="19" t="s">
        <v>8156</v>
      </c>
      <c r="E4420" s="19" t="s">
        <v>8158</v>
      </c>
    </row>
    <row r="4421" spans="1:5" ht="24" customHeight="1" x14ac:dyDescent="0.25">
      <c r="A4421" s="16">
        <v>4450</v>
      </c>
      <c r="B4421" s="19" t="s">
        <v>6178</v>
      </c>
      <c r="C4421" s="19" t="s">
        <v>8140</v>
      </c>
      <c r="D4421" s="19" t="s">
        <v>8156</v>
      </c>
      <c r="E4421" s="19" t="s">
        <v>8159</v>
      </c>
    </row>
    <row r="4422" spans="1:5" ht="24" customHeight="1" x14ac:dyDescent="0.25">
      <c r="A4422" s="16">
        <v>4451</v>
      </c>
      <c r="B4422" s="19" t="s">
        <v>6178</v>
      </c>
      <c r="C4422" s="19" t="s">
        <v>8140</v>
      </c>
      <c r="D4422" s="19" t="s">
        <v>8156</v>
      </c>
      <c r="E4422" s="19" t="s">
        <v>8160</v>
      </c>
    </row>
    <row r="4423" spans="1:5" ht="24" customHeight="1" x14ac:dyDescent="0.25">
      <c r="A4423" s="16">
        <v>4452</v>
      </c>
      <c r="B4423" s="19" t="s">
        <v>6178</v>
      </c>
      <c r="C4423" s="19" t="s">
        <v>8140</v>
      </c>
      <c r="D4423" s="19" t="s">
        <v>8156</v>
      </c>
      <c r="E4423" s="19" t="s">
        <v>8161</v>
      </c>
    </row>
    <row r="4424" spans="1:5" ht="24" customHeight="1" x14ac:dyDescent="0.25">
      <c r="A4424" s="16">
        <v>4453</v>
      </c>
      <c r="B4424" s="19" t="s">
        <v>6178</v>
      </c>
      <c r="C4424" s="19" t="s">
        <v>8140</v>
      </c>
      <c r="D4424" s="19" t="s">
        <v>8156</v>
      </c>
      <c r="E4424" s="19" t="s">
        <v>8162</v>
      </c>
    </row>
    <row r="4425" spans="1:5" ht="24" customHeight="1" x14ac:dyDescent="0.25">
      <c r="A4425" s="16">
        <v>4454</v>
      </c>
      <c r="B4425" s="19" t="s">
        <v>6178</v>
      </c>
      <c r="C4425" s="19" t="s">
        <v>8140</v>
      </c>
      <c r="D4425" s="19" t="s">
        <v>8156</v>
      </c>
      <c r="E4425" s="19" t="s">
        <v>8163</v>
      </c>
    </row>
    <row r="4426" spans="1:5" ht="24" customHeight="1" x14ac:dyDescent="0.25">
      <c r="A4426" s="16">
        <v>4455</v>
      </c>
      <c r="B4426" s="19" t="s">
        <v>6178</v>
      </c>
      <c r="C4426" s="19" t="s">
        <v>8140</v>
      </c>
      <c r="D4426" s="19" t="s">
        <v>8156</v>
      </c>
      <c r="E4426" s="19" t="s">
        <v>8164</v>
      </c>
    </row>
    <row r="4427" spans="1:5" ht="24" customHeight="1" x14ac:dyDescent="0.25">
      <c r="A4427" s="16">
        <v>4456</v>
      </c>
      <c r="B4427" s="19" t="s">
        <v>6178</v>
      </c>
      <c r="C4427" s="19" t="s">
        <v>8140</v>
      </c>
      <c r="D4427" s="19" t="s">
        <v>8156</v>
      </c>
      <c r="E4427" s="19" t="s">
        <v>8165</v>
      </c>
    </row>
    <row r="4428" spans="1:5" ht="24" customHeight="1" x14ac:dyDescent="0.25">
      <c r="A4428" s="16">
        <v>4457</v>
      </c>
      <c r="B4428" s="19" t="s">
        <v>6178</v>
      </c>
      <c r="C4428" s="19" t="s">
        <v>8140</v>
      </c>
      <c r="D4428" s="19" t="s">
        <v>8156</v>
      </c>
      <c r="E4428" s="19" t="s">
        <v>8166</v>
      </c>
    </row>
    <row r="4429" spans="1:5" ht="24" customHeight="1" x14ac:dyDescent="0.25">
      <c r="A4429" s="16">
        <v>4458</v>
      </c>
      <c r="B4429" s="19" t="s">
        <v>6178</v>
      </c>
      <c r="C4429" s="19" t="s">
        <v>8140</v>
      </c>
      <c r="D4429" s="19" t="s">
        <v>8156</v>
      </c>
      <c r="E4429" s="19" t="s">
        <v>8167</v>
      </c>
    </row>
    <row r="4430" spans="1:5" ht="24" customHeight="1" x14ac:dyDescent="0.25">
      <c r="A4430" s="16">
        <v>4459</v>
      </c>
      <c r="B4430" s="19" t="s">
        <v>6178</v>
      </c>
      <c r="C4430" s="19" t="s">
        <v>8140</v>
      </c>
      <c r="D4430" s="19" t="s">
        <v>8156</v>
      </c>
      <c r="E4430" s="19" t="s">
        <v>8168</v>
      </c>
    </row>
    <row r="4431" spans="1:5" ht="24" customHeight="1" x14ac:dyDescent="0.25">
      <c r="A4431" s="16">
        <v>4460</v>
      </c>
      <c r="B4431" s="19" t="s">
        <v>6178</v>
      </c>
      <c r="C4431" s="19" t="s">
        <v>8140</v>
      </c>
      <c r="D4431" s="19" t="s">
        <v>8169</v>
      </c>
      <c r="E4431" s="19" t="s">
        <v>8170</v>
      </c>
    </row>
    <row r="4432" spans="1:5" ht="24" customHeight="1" x14ac:dyDescent="0.25">
      <c r="A4432" s="16">
        <v>4461</v>
      </c>
      <c r="B4432" s="19" t="s">
        <v>6178</v>
      </c>
      <c r="C4432" s="19" t="s">
        <v>8140</v>
      </c>
      <c r="D4432" s="19" t="s">
        <v>8169</v>
      </c>
      <c r="E4432" s="19" t="s">
        <v>8171</v>
      </c>
    </row>
    <row r="4433" spans="1:5" ht="24" customHeight="1" x14ac:dyDescent="0.25">
      <c r="A4433" s="16">
        <v>4462</v>
      </c>
      <c r="B4433" s="19" t="s">
        <v>6178</v>
      </c>
      <c r="C4433" s="19" t="s">
        <v>8140</v>
      </c>
      <c r="D4433" s="19" t="s">
        <v>8169</v>
      </c>
      <c r="E4433" s="19" t="s">
        <v>8172</v>
      </c>
    </row>
    <row r="4434" spans="1:5" ht="24" customHeight="1" x14ac:dyDescent="0.25">
      <c r="A4434" s="16">
        <v>4463</v>
      </c>
      <c r="B4434" s="19" t="s">
        <v>6178</v>
      </c>
      <c r="C4434" s="19" t="s">
        <v>8140</v>
      </c>
      <c r="D4434" s="19" t="s">
        <v>8169</v>
      </c>
      <c r="E4434" s="19" t="s">
        <v>8173</v>
      </c>
    </row>
    <row r="4435" spans="1:5" ht="24" customHeight="1" x14ac:dyDescent="0.25">
      <c r="A4435" s="16">
        <v>4464</v>
      </c>
      <c r="B4435" s="19" t="s">
        <v>6178</v>
      </c>
      <c r="C4435" s="19" t="s">
        <v>8140</v>
      </c>
      <c r="D4435" s="19" t="s">
        <v>8169</v>
      </c>
      <c r="E4435" s="19" t="s">
        <v>8174</v>
      </c>
    </row>
    <row r="4436" spans="1:5" ht="24" customHeight="1" x14ac:dyDescent="0.25">
      <c r="A4436" s="16">
        <v>4465</v>
      </c>
      <c r="B4436" s="19" t="s">
        <v>6178</v>
      </c>
      <c r="C4436" s="19" t="s">
        <v>8140</v>
      </c>
      <c r="D4436" s="19" t="s">
        <v>8169</v>
      </c>
      <c r="E4436" s="19" t="s">
        <v>8175</v>
      </c>
    </row>
    <row r="4437" spans="1:5" ht="24" customHeight="1" x14ac:dyDescent="0.25">
      <c r="A4437" s="16">
        <v>4466</v>
      </c>
      <c r="B4437" s="19" t="s">
        <v>6178</v>
      </c>
      <c r="C4437" s="19" t="s">
        <v>8140</v>
      </c>
      <c r="D4437" s="19" t="s">
        <v>8169</v>
      </c>
      <c r="E4437" s="19" t="s">
        <v>8176</v>
      </c>
    </row>
    <row r="4438" spans="1:5" ht="24" customHeight="1" x14ac:dyDescent="0.25">
      <c r="A4438" s="16">
        <v>4467</v>
      </c>
      <c r="B4438" s="19" t="s">
        <v>6178</v>
      </c>
      <c r="C4438" s="19" t="s">
        <v>8140</v>
      </c>
      <c r="D4438" s="19" t="s">
        <v>8169</v>
      </c>
      <c r="E4438" s="19" t="s">
        <v>8177</v>
      </c>
    </row>
    <row r="4439" spans="1:5" ht="24" customHeight="1" x14ac:dyDescent="0.25">
      <c r="A4439" s="16">
        <v>4468</v>
      </c>
      <c r="B4439" s="19" t="s">
        <v>6178</v>
      </c>
      <c r="C4439" s="19" t="s">
        <v>8140</v>
      </c>
      <c r="D4439" s="19" t="s">
        <v>8169</v>
      </c>
      <c r="E4439" s="19" t="s">
        <v>8178</v>
      </c>
    </row>
    <row r="4440" spans="1:5" ht="24" customHeight="1" x14ac:dyDescent="0.25">
      <c r="A4440" s="16">
        <v>4469</v>
      </c>
      <c r="B4440" s="19" t="s">
        <v>6178</v>
      </c>
      <c r="C4440" s="19" t="s">
        <v>8140</v>
      </c>
      <c r="D4440" s="19" t="s">
        <v>8179</v>
      </c>
      <c r="E4440" s="19" t="s">
        <v>8180</v>
      </c>
    </row>
    <row r="4441" spans="1:5" ht="24" customHeight="1" x14ac:dyDescent="0.25">
      <c r="A4441" s="16">
        <v>4470</v>
      </c>
      <c r="B4441" s="19" t="s">
        <v>6178</v>
      </c>
      <c r="C4441" s="19" t="s">
        <v>8140</v>
      </c>
      <c r="D4441" s="19" t="s">
        <v>8179</v>
      </c>
      <c r="E4441" s="19" t="s">
        <v>8181</v>
      </c>
    </row>
    <row r="4442" spans="1:5" ht="24" customHeight="1" x14ac:dyDescent="0.25">
      <c r="A4442" s="16">
        <v>4471</v>
      </c>
      <c r="B4442" s="19" t="s">
        <v>6178</v>
      </c>
      <c r="C4442" s="19" t="s">
        <v>8140</v>
      </c>
      <c r="D4442" s="19" t="s">
        <v>8179</v>
      </c>
      <c r="E4442" s="19" t="s">
        <v>8182</v>
      </c>
    </row>
    <row r="4443" spans="1:5" ht="24" customHeight="1" x14ac:dyDescent="0.25">
      <c r="A4443" s="16">
        <v>4472</v>
      </c>
      <c r="B4443" s="19" t="s">
        <v>6178</v>
      </c>
      <c r="C4443" s="19" t="s">
        <v>8140</v>
      </c>
      <c r="D4443" s="19" t="s">
        <v>8179</v>
      </c>
      <c r="E4443" s="19" t="s">
        <v>8183</v>
      </c>
    </row>
    <row r="4444" spans="1:5" ht="24" customHeight="1" x14ac:dyDescent="0.25">
      <c r="A4444" s="16">
        <v>4473</v>
      </c>
      <c r="B4444" s="19" t="s">
        <v>6178</v>
      </c>
      <c r="C4444" s="19" t="s">
        <v>8140</v>
      </c>
      <c r="D4444" s="19" t="s">
        <v>8179</v>
      </c>
      <c r="E4444" s="19" t="s">
        <v>8184</v>
      </c>
    </row>
    <row r="4445" spans="1:5" ht="24" customHeight="1" x14ac:dyDescent="0.25">
      <c r="A4445" s="16">
        <v>4474</v>
      </c>
      <c r="B4445" s="19" t="s">
        <v>6178</v>
      </c>
      <c r="C4445" s="19" t="s">
        <v>8140</v>
      </c>
      <c r="D4445" s="19" t="s">
        <v>8179</v>
      </c>
      <c r="E4445" s="19" t="s">
        <v>8185</v>
      </c>
    </row>
    <row r="4446" spans="1:5" ht="24" customHeight="1" x14ac:dyDescent="0.25">
      <c r="A4446" s="16">
        <v>4475</v>
      </c>
      <c r="B4446" s="19" t="s">
        <v>6178</v>
      </c>
      <c r="C4446" s="19" t="s">
        <v>8140</v>
      </c>
      <c r="D4446" s="19" t="s">
        <v>8179</v>
      </c>
      <c r="E4446" s="19" t="s">
        <v>8186</v>
      </c>
    </row>
    <row r="4447" spans="1:5" ht="24" customHeight="1" x14ac:dyDescent="0.25">
      <c r="A4447" s="16">
        <v>4476</v>
      </c>
      <c r="B4447" s="19" t="s">
        <v>6178</v>
      </c>
      <c r="C4447" s="19" t="s">
        <v>8140</v>
      </c>
      <c r="D4447" s="19" t="s">
        <v>8179</v>
      </c>
      <c r="E4447" s="19" t="s">
        <v>8187</v>
      </c>
    </row>
    <row r="4448" spans="1:5" ht="24" customHeight="1" x14ac:dyDescent="0.25">
      <c r="A4448" s="16">
        <v>4477</v>
      </c>
      <c r="B4448" s="19" t="s">
        <v>6178</v>
      </c>
      <c r="C4448" s="19" t="s">
        <v>8140</v>
      </c>
      <c r="D4448" s="19" t="s">
        <v>8179</v>
      </c>
      <c r="E4448" s="19" t="s">
        <v>8188</v>
      </c>
    </row>
    <row r="4449" spans="1:5" ht="24" customHeight="1" x14ac:dyDescent="0.25">
      <c r="A4449" s="16">
        <v>4478</v>
      </c>
      <c r="B4449" s="19" t="s">
        <v>6178</v>
      </c>
      <c r="C4449" s="19" t="s">
        <v>8140</v>
      </c>
      <c r="D4449" s="19" t="s">
        <v>8179</v>
      </c>
      <c r="E4449" s="19" t="s">
        <v>8189</v>
      </c>
    </row>
    <row r="4450" spans="1:5" ht="24" customHeight="1" x14ac:dyDescent="0.25">
      <c r="A4450" s="16">
        <v>4479</v>
      </c>
      <c r="B4450" s="19" t="s">
        <v>6178</v>
      </c>
      <c r="C4450" s="19" t="s">
        <v>8140</v>
      </c>
      <c r="D4450" s="19" t="s">
        <v>8179</v>
      </c>
      <c r="E4450" s="19" t="s">
        <v>8190</v>
      </c>
    </row>
    <row r="4451" spans="1:5" ht="24" customHeight="1" x14ac:dyDescent="0.25">
      <c r="A4451" s="16">
        <v>4480</v>
      </c>
      <c r="B4451" s="19" t="s">
        <v>6178</v>
      </c>
      <c r="C4451" s="19" t="s">
        <v>8140</v>
      </c>
      <c r="D4451" s="19" t="s">
        <v>8179</v>
      </c>
      <c r="E4451" s="19" t="s">
        <v>8191</v>
      </c>
    </row>
    <row r="4452" spans="1:5" ht="24" customHeight="1" x14ac:dyDescent="0.25">
      <c r="A4452" s="16">
        <v>4481</v>
      </c>
      <c r="B4452" s="19" t="s">
        <v>6178</v>
      </c>
      <c r="C4452" s="19" t="s">
        <v>8140</v>
      </c>
      <c r="D4452" s="19" t="s">
        <v>8179</v>
      </c>
      <c r="E4452" s="19" t="s">
        <v>8192</v>
      </c>
    </row>
    <row r="4453" spans="1:5" ht="24" customHeight="1" x14ac:dyDescent="0.25">
      <c r="A4453" s="16">
        <v>4482</v>
      </c>
      <c r="B4453" s="19" t="s">
        <v>6178</v>
      </c>
      <c r="C4453" s="19" t="s">
        <v>8140</v>
      </c>
      <c r="D4453" s="19" t="s">
        <v>8179</v>
      </c>
      <c r="E4453" s="19" t="s">
        <v>8193</v>
      </c>
    </row>
    <row r="4454" spans="1:5" ht="24" customHeight="1" x14ac:dyDescent="0.25">
      <c r="A4454" s="16">
        <v>4483</v>
      </c>
      <c r="B4454" s="19" t="s">
        <v>6178</v>
      </c>
      <c r="C4454" s="19" t="s">
        <v>8140</v>
      </c>
      <c r="D4454" s="19" t="s">
        <v>8179</v>
      </c>
      <c r="E4454" s="19" t="s">
        <v>8194</v>
      </c>
    </row>
    <row r="4455" spans="1:5" ht="24" customHeight="1" x14ac:dyDescent="0.25">
      <c r="A4455" s="16">
        <v>4484</v>
      </c>
      <c r="B4455" s="19" t="s">
        <v>6178</v>
      </c>
      <c r="C4455" s="19" t="s">
        <v>8140</v>
      </c>
      <c r="D4455" s="19" t="s">
        <v>8179</v>
      </c>
      <c r="E4455" s="19" t="s">
        <v>8195</v>
      </c>
    </row>
    <row r="4456" spans="1:5" ht="24" customHeight="1" x14ac:dyDescent="0.25">
      <c r="A4456" s="16">
        <v>4485</v>
      </c>
      <c r="B4456" s="19" t="s">
        <v>6178</v>
      </c>
      <c r="C4456" s="19" t="s">
        <v>8140</v>
      </c>
      <c r="D4456" s="19" t="s">
        <v>8196</v>
      </c>
      <c r="E4456" s="19" t="s">
        <v>8197</v>
      </c>
    </row>
    <row r="4457" spans="1:5" ht="24" customHeight="1" x14ac:dyDescent="0.25">
      <c r="A4457" s="16">
        <v>4486</v>
      </c>
      <c r="B4457" s="19" t="s">
        <v>6178</v>
      </c>
      <c r="C4457" s="19" t="s">
        <v>8140</v>
      </c>
      <c r="D4457" s="19" t="s">
        <v>8196</v>
      </c>
      <c r="E4457" s="19" t="s">
        <v>8198</v>
      </c>
    </row>
    <row r="4458" spans="1:5" ht="24" customHeight="1" x14ac:dyDescent="0.25">
      <c r="A4458" s="16">
        <v>4487</v>
      </c>
      <c r="B4458" s="19" t="s">
        <v>6178</v>
      </c>
      <c r="C4458" s="19" t="s">
        <v>8140</v>
      </c>
      <c r="D4458" s="19" t="s">
        <v>8196</v>
      </c>
      <c r="E4458" s="19" t="s">
        <v>8199</v>
      </c>
    </row>
    <row r="4459" spans="1:5" ht="24" customHeight="1" x14ac:dyDescent="0.25">
      <c r="A4459" s="16">
        <v>4488</v>
      </c>
      <c r="B4459" s="19" t="s">
        <v>6178</v>
      </c>
      <c r="C4459" s="19" t="s">
        <v>8140</v>
      </c>
      <c r="D4459" s="19" t="s">
        <v>8196</v>
      </c>
      <c r="E4459" s="19" t="s">
        <v>8200</v>
      </c>
    </row>
    <row r="4460" spans="1:5" ht="24" customHeight="1" x14ac:dyDescent="0.25">
      <c r="A4460" s="16">
        <v>4489</v>
      </c>
      <c r="B4460" s="19" t="s">
        <v>6178</v>
      </c>
      <c r="C4460" s="19" t="s">
        <v>8140</v>
      </c>
      <c r="D4460" s="19" t="s">
        <v>8196</v>
      </c>
      <c r="E4460" s="19" t="s">
        <v>8201</v>
      </c>
    </row>
    <row r="4461" spans="1:5" ht="24" customHeight="1" x14ac:dyDescent="0.25">
      <c r="A4461" s="16">
        <v>4490</v>
      </c>
      <c r="B4461" s="19" t="s">
        <v>6178</v>
      </c>
      <c r="C4461" s="19" t="s">
        <v>8140</v>
      </c>
      <c r="D4461" s="19" t="s">
        <v>8196</v>
      </c>
      <c r="E4461" s="19" t="s">
        <v>8202</v>
      </c>
    </row>
    <row r="4462" spans="1:5" ht="36" customHeight="1" x14ac:dyDescent="0.25">
      <c r="A4462" s="16">
        <v>4491</v>
      </c>
      <c r="B4462" s="19" t="s">
        <v>6178</v>
      </c>
      <c r="C4462" s="19" t="s">
        <v>8140</v>
      </c>
      <c r="D4462" s="19" t="s">
        <v>8196</v>
      </c>
      <c r="E4462" s="19" t="s">
        <v>8203</v>
      </c>
    </row>
    <row r="4463" spans="1:5" ht="24" customHeight="1" x14ac:dyDescent="0.25">
      <c r="A4463" s="16">
        <v>4492</v>
      </c>
      <c r="B4463" s="19" t="s">
        <v>6178</v>
      </c>
      <c r="C4463" s="19" t="s">
        <v>8140</v>
      </c>
      <c r="D4463" s="19" t="s">
        <v>8196</v>
      </c>
      <c r="E4463" s="19" t="s">
        <v>8204</v>
      </c>
    </row>
    <row r="4464" spans="1:5" ht="24" customHeight="1" x14ac:dyDescent="0.25">
      <c r="A4464" s="16">
        <v>4493</v>
      </c>
      <c r="B4464" s="19" t="s">
        <v>6178</v>
      </c>
      <c r="C4464" s="19" t="s">
        <v>8140</v>
      </c>
      <c r="D4464" s="19" t="s">
        <v>8196</v>
      </c>
      <c r="E4464" s="19" t="s">
        <v>8205</v>
      </c>
    </row>
    <row r="4465" spans="1:5" ht="24" customHeight="1" x14ac:dyDescent="0.25">
      <c r="A4465" s="16">
        <v>4494</v>
      </c>
      <c r="B4465" s="19" t="s">
        <v>6178</v>
      </c>
      <c r="C4465" s="19" t="s">
        <v>8140</v>
      </c>
      <c r="D4465" s="19" t="s">
        <v>8196</v>
      </c>
      <c r="E4465" s="19" t="s">
        <v>8206</v>
      </c>
    </row>
    <row r="4466" spans="1:5" ht="24" customHeight="1" x14ac:dyDescent="0.25">
      <c r="A4466" s="16">
        <v>4495</v>
      </c>
      <c r="B4466" s="19" t="s">
        <v>6178</v>
      </c>
      <c r="C4466" s="19" t="s">
        <v>8140</v>
      </c>
      <c r="D4466" s="19" t="s">
        <v>8196</v>
      </c>
      <c r="E4466" s="19" t="s">
        <v>8207</v>
      </c>
    </row>
    <row r="4467" spans="1:5" ht="24" customHeight="1" x14ac:dyDescent="0.25">
      <c r="A4467" s="16">
        <v>4496</v>
      </c>
      <c r="B4467" s="19" t="s">
        <v>6178</v>
      </c>
      <c r="C4467" s="19" t="s">
        <v>8140</v>
      </c>
      <c r="D4467" s="19" t="s">
        <v>8196</v>
      </c>
      <c r="E4467" s="19" t="s">
        <v>8208</v>
      </c>
    </row>
    <row r="4468" spans="1:5" ht="24" customHeight="1" x14ac:dyDescent="0.25">
      <c r="A4468" s="16">
        <v>4497</v>
      </c>
      <c r="B4468" s="19" t="s">
        <v>6178</v>
      </c>
      <c r="C4468" s="19" t="s">
        <v>8140</v>
      </c>
      <c r="D4468" s="19" t="s">
        <v>8209</v>
      </c>
      <c r="E4468" s="19" t="s">
        <v>4479</v>
      </c>
    </row>
    <row r="4469" spans="1:5" ht="24" customHeight="1" x14ac:dyDescent="0.25">
      <c r="A4469" s="16">
        <v>4498</v>
      </c>
      <c r="B4469" s="19" t="s">
        <v>6178</v>
      </c>
      <c r="C4469" s="19" t="s">
        <v>8140</v>
      </c>
      <c r="D4469" s="19" t="s">
        <v>8209</v>
      </c>
      <c r="E4469" s="19" t="s">
        <v>8210</v>
      </c>
    </row>
    <row r="4470" spans="1:5" ht="24" customHeight="1" x14ac:dyDescent="0.25">
      <c r="A4470" s="16">
        <v>4499</v>
      </c>
      <c r="B4470" s="19" t="s">
        <v>6178</v>
      </c>
      <c r="C4470" s="19" t="s">
        <v>8140</v>
      </c>
      <c r="D4470" s="19" t="s">
        <v>8209</v>
      </c>
      <c r="E4470" s="19" t="s">
        <v>8211</v>
      </c>
    </row>
    <row r="4471" spans="1:5" ht="24" customHeight="1" x14ac:dyDescent="0.25">
      <c r="A4471" s="16">
        <v>4500</v>
      </c>
      <c r="B4471" s="19" t="s">
        <v>6178</v>
      </c>
      <c r="C4471" s="19" t="s">
        <v>8140</v>
      </c>
      <c r="D4471" s="19" t="s">
        <v>8209</v>
      </c>
      <c r="E4471" s="19" t="s">
        <v>8212</v>
      </c>
    </row>
    <row r="4472" spans="1:5" ht="24" customHeight="1" x14ac:dyDescent="0.25">
      <c r="A4472" s="16">
        <v>4501</v>
      </c>
      <c r="B4472" s="19" t="s">
        <v>6178</v>
      </c>
      <c r="C4472" s="19" t="s">
        <v>8140</v>
      </c>
      <c r="D4472" s="19" t="s">
        <v>8209</v>
      </c>
      <c r="E4472" s="19" t="s">
        <v>8213</v>
      </c>
    </row>
    <row r="4473" spans="1:5" ht="24" customHeight="1" x14ac:dyDescent="0.25">
      <c r="A4473" s="16">
        <v>4502</v>
      </c>
      <c r="B4473" s="19" t="s">
        <v>6178</v>
      </c>
      <c r="C4473" s="19" t="s">
        <v>8140</v>
      </c>
      <c r="D4473" s="19" t="s">
        <v>8209</v>
      </c>
      <c r="E4473" s="19" t="s">
        <v>8214</v>
      </c>
    </row>
    <row r="4474" spans="1:5" ht="24" customHeight="1" x14ac:dyDescent="0.25">
      <c r="A4474" s="16">
        <v>4503</v>
      </c>
      <c r="B4474" s="19" t="s">
        <v>6178</v>
      </c>
      <c r="C4474" s="19" t="s">
        <v>8140</v>
      </c>
      <c r="D4474" s="19" t="s">
        <v>8209</v>
      </c>
      <c r="E4474" s="19" t="s">
        <v>8215</v>
      </c>
    </row>
    <row r="4475" spans="1:5" ht="36" customHeight="1" x14ac:dyDescent="0.25">
      <c r="A4475" s="16">
        <v>4504</v>
      </c>
      <c r="B4475" s="19" t="s">
        <v>6178</v>
      </c>
      <c r="C4475" s="19" t="s">
        <v>8140</v>
      </c>
      <c r="D4475" s="19" t="s">
        <v>8209</v>
      </c>
      <c r="E4475" s="19" t="s">
        <v>8216</v>
      </c>
    </row>
    <row r="4476" spans="1:5" ht="24" customHeight="1" x14ac:dyDescent="0.25">
      <c r="A4476" s="16">
        <v>4505</v>
      </c>
      <c r="B4476" s="19" t="s">
        <v>6178</v>
      </c>
      <c r="C4476" s="19" t="s">
        <v>8140</v>
      </c>
      <c r="D4476" s="19" t="s">
        <v>8209</v>
      </c>
      <c r="E4476" s="19" t="s">
        <v>8217</v>
      </c>
    </row>
    <row r="4477" spans="1:5" ht="24" customHeight="1" x14ac:dyDescent="0.25">
      <c r="A4477" s="16">
        <v>4506</v>
      </c>
      <c r="B4477" s="19" t="s">
        <v>6178</v>
      </c>
      <c r="C4477" s="19" t="s">
        <v>8140</v>
      </c>
      <c r="D4477" s="19" t="s">
        <v>8209</v>
      </c>
      <c r="E4477" s="19" t="s">
        <v>8218</v>
      </c>
    </row>
    <row r="4478" spans="1:5" ht="36" customHeight="1" x14ac:dyDescent="0.25">
      <c r="A4478" s="16">
        <v>4507</v>
      </c>
      <c r="B4478" s="19" t="s">
        <v>6178</v>
      </c>
      <c r="C4478" s="19" t="s">
        <v>8140</v>
      </c>
      <c r="D4478" s="19" t="s">
        <v>8209</v>
      </c>
      <c r="E4478" s="19" t="s">
        <v>8219</v>
      </c>
    </row>
    <row r="4479" spans="1:5" x14ac:dyDescent="0.25">
      <c r="A4479" s="16">
        <v>4508</v>
      </c>
      <c r="B4479" s="19" t="s">
        <v>6178</v>
      </c>
      <c r="C4479" s="19" t="s">
        <v>8220</v>
      </c>
      <c r="D4479" s="19" t="s">
        <v>8220</v>
      </c>
      <c r="E4479" s="19" t="s">
        <v>8221</v>
      </c>
    </row>
    <row r="4480" spans="1:5" x14ac:dyDescent="0.25">
      <c r="A4480" s="16">
        <v>4509</v>
      </c>
      <c r="B4480" s="19" t="s">
        <v>6178</v>
      </c>
      <c r="C4480" s="19" t="s">
        <v>8220</v>
      </c>
      <c r="D4480" s="19" t="s">
        <v>8220</v>
      </c>
      <c r="E4480" s="19" t="s">
        <v>8222</v>
      </c>
    </row>
    <row r="4481" spans="1:5" x14ac:dyDescent="0.25">
      <c r="A4481" s="16">
        <v>4510</v>
      </c>
      <c r="B4481" s="19" t="s">
        <v>6178</v>
      </c>
      <c r="C4481" s="19" t="s">
        <v>8220</v>
      </c>
      <c r="D4481" s="19" t="s">
        <v>8220</v>
      </c>
      <c r="E4481" s="19" t="s">
        <v>8223</v>
      </c>
    </row>
    <row r="4482" spans="1:5" x14ac:dyDescent="0.25">
      <c r="A4482" s="16">
        <v>4511</v>
      </c>
      <c r="B4482" s="19" t="s">
        <v>6178</v>
      </c>
      <c r="C4482" s="19" t="s">
        <v>8220</v>
      </c>
      <c r="D4482" s="19" t="s">
        <v>8220</v>
      </c>
      <c r="E4482" s="19" t="s">
        <v>8224</v>
      </c>
    </row>
    <row r="4483" spans="1:5" x14ac:dyDescent="0.25">
      <c r="A4483" s="16">
        <v>4512</v>
      </c>
      <c r="B4483" s="19" t="s">
        <v>6178</v>
      </c>
      <c r="C4483" s="19" t="s">
        <v>8220</v>
      </c>
      <c r="D4483" s="19" t="s">
        <v>8220</v>
      </c>
      <c r="E4483" s="19" t="s">
        <v>8225</v>
      </c>
    </row>
    <row r="4484" spans="1:5" x14ac:dyDescent="0.25">
      <c r="A4484" s="16">
        <v>4513</v>
      </c>
      <c r="B4484" s="19" t="s">
        <v>6178</v>
      </c>
      <c r="C4484" s="19" t="s">
        <v>8220</v>
      </c>
      <c r="D4484" s="19" t="s">
        <v>8220</v>
      </c>
      <c r="E4484" s="19" t="s">
        <v>8226</v>
      </c>
    </row>
    <row r="4485" spans="1:5" x14ac:dyDescent="0.25">
      <c r="A4485" s="16">
        <v>4514</v>
      </c>
      <c r="B4485" s="19" t="s">
        <v>6178</v>
      </c>
      <c r="C4485" s="19" t="s">
        <v>8220</v>
      </c>
      <c r="D4485" s="19" t="s">
        <v>8220</v>
      </c>
      <c r="E4485" s="19" t="s">
        <v>8227</v>
      </c>
    </row>
    <row r="4486" spans="1:5" ht="24" customHeight="1" x14ac:dyDescent="0.25">
      <c r="A4486" s="16">
        <v>4515</v>
      </c>
      <c r="B4486" s="19" t="s">
        <v>6178</v>
      </c>
      <c r="C4486" s="19" t="s">
        <v>8220</v>
      </c>
      <c r="D4486" s="19" t="s">
        <v>8220</v>
      </c>
      <c r="E4486" s="19" t="s">
        <v>8228</v>
      </c>
    </row>
    <row r="4487" spans="1:5" x14ac:dyDescent="0.25">
      <c r="A4487" s="16">
        <v>4516</v>
      </c>
      <c r="B4487" s="19" t="s">
        <v>6178</v>
      </c>
      <c r="C4487" s="19" t="s">
        <v>8220</v>
      </c>
      <c r="D4487" s="19" t="s">
        <v>8220</v>
      </c>
      <c r="E4487" s="19" t="s">
        <v>8229</v>
      </c>
    </row>
    <row r="4488" spans="1:5" ht="24" customHeight="1" x14ac:dyDescent="0.25">
      <c r="A4488" s="16">
        <v>4517</v>
      </c>
      <c r="B4488" s="19" t="s">
        <v>6178</v>
      </c>
      <c r="C4488" s="19" t="s">
        <v>8220</v>
      </c>
      <c r="D4488" s="19" t="s">
        <v>8220</v>
      </c>
      <c r="E4488" s="19" t="s">
        <v>8230</v>
      </c>
    </row>
    <row r="4489" spans="1:5" x14ac:dyDescent="0.25">
      <c r="A4489" s="16">
        <v>4518</v>
      </c>
      <c r="B4489" s="19" t="s">
        <v>6178</v>
      </c>
      <c r="C4489" s="19" t="s">
        <v>8220</v>
      </c>
      <c r="D4489" s="19" t="s">
        <v>8220</v>
      </c>
      <c r="E4489" s="19" t="s">
        <v>8231</v>
      </c>
    </row>
    <row r="4490" spans="1:5" ht="24" customHeight="1" x14ac:dyDescent="0.25">
      <c r="A4490" s="16">
        <v>4519</v>
      </c>
      <c r="B4490" s="19" t="s">
        <v>6178</v>
      </c>
      <c r="C4490" s="19" t="s">
        <v>8220</v>
      </c>
      <c r="D4490" s="19" t="s">
        <v>8220</v>
      </c>
      <c r="E4490" s="19" t="s">
        <v>8232</v>
      </c>
    </row>
    <row r="4491" spans="1:5" x14ac:dyDescent="0.25">
      <c r="A4491" s="16">
        <v>4520</v>
      </c>
      <c r="B4491" s="19" t="s">
        <v>6178</v>
      </c>
      <c r="C4491" s="19" t="s">
        <v>8220</v>
      </c>
      <c r="D4491" s="19" t="s">
        <v>8220</v>
      </c>
      <c r="E4491" s="19" t="s">
        <v>8233</v>
      </c>
    </row>
    <row r="4492" spans="1:5" ht="24" customHeight="1" x14ac:dyDescent="0.25">
      <c r="A4492" s="16">
        <v>4521</v>
      </c>
      <c r="B4492" s="19" t="s">
        <v>6178</v>
      </c>
      <c r="C4492" s="19" t="s">
        <v>8220</v>
      </c>
      <c r="D4492" s="19" t="s">
        <v>8220</v>
      </c>
      <c r="E4492" s="19" t="s">
        <v>8234</v>
      </c>
    </row>
    <row r="4493" spans="1:5" x14ac:dyDescent="0.25">
      <c r="A4493" s="16">
        <v>4522</v>
      </c>
      <c r="B4493" s="19" t="s">
        <v>6178</v>
      </c>
      <c r="C4493" s="19" t="s">
        <v>8220</v>
      </c>
      <c r="D4493" s="19" t="s">
        <v>8220</v>
      </c>
      <c r="E4493" s="19" t="s">
        <v>8235</v>
      </c>
    </row>
    <row r="4494" spans="1:5" x14ac:dyDescent="0.25">
      <c r="A4494" s="16">
        <v>4523</v>
      </c>
      <c r="B4494" s="19" t="s">
        <v>6178</v>
      </c>
      <c r="C4494" s="19" t="s">
        <v>8220</v>
      </c>
      <c r="D4494" s="19" t="s">
        <v>8220</v>
      </c>
      <c r="E4494" s="19" t="s">
        <v>8236</v>
      </c>
    </row>
    <row r="4495" spans="1:5" x14ac:dyDescent="0.25">
      <c r="A4495" s="16">
        <v>4524</v>
      </c>
      <c r="B4495" s="19" t="s">
        <v>6178</v>
      </c>
      <c r="C4495" s="19" t="s">
        <v>8220</v>
      </c>
      <c r="D4495" s="19" t="s">
        <v>8220</v>
      </c>
      <c r="E4495" s="19" t="s">
        <v>8237</v>
      </c>
    </row>
    <row r="4496" spans="1:5" x14ac:dyDescent="0.25">
      <c r="A4496" s="16">
        <v>4525</v>
      </c>
      <c r="B4496" s="19" t="s">
        <v>6178</v>
      </c>
      <c r="C4496" s="19" t="s">
        <v>8220</v>
      </c>
      <c r="D4496" s="19" t="s">
        <v>6574</v>
      </c>
      <c r="E4496" s="19" t="s">
        <v>8238</v>
      </c>
    </row>
    <row r="4497" spans="1:5" ht="24" customHeight="1" x14ac:dyDescent="0.25">
      <c r="A4497" s="16">
        <v>4526</v>
      </c>
      <c r="B4497" s="19" t="s">
        <v>6178</v>
      </c>
      <c r="C4497" s="19" t="s">
        <v>8220</v>
      </c>
      <c r="D4497" s="19" t="s">
        <v>6574</v>
      </c>
      <c r="E4497" s="19" t="s">
        <v>8239</v>
      </c>
    </row>
    <row r="4498" spans="1:5" ht="24" customHeight="1" x14ac:dyDescent="0.25">
      <c r="A4498" s="16">
        <v>4527</v>
      </c>
      <c r="B4498" s="19" t="s">
        <v>6178</v>
      </c>
      <c r="C4498" s="19" t="s">
        <v>8220</v>
      </c>
      <c r="D4498" s="19" t="s">
        <v>6574</v>
      </c>
      <c r="E4498" s="19" t="s">
        <v>8240</v>
      </c>
    </row>
    <row r="4499" spans="1:5" ht="24" customHeight="1" x14ac:dyDescent="0.25">
      <c r="A4499" s="16">
        <v>4528</v>
      </c>
      <c r="B4499" s="19" t="s">
        <v>6178</v>
      </c>
      <c r="C4499" s="19" t="s">
        <v>8220</v>
      </c>
      <c r="D4499" s="19" t="s">
        <v>6574</v>
      </c>
      <c r="E4499" s="19" t="s">
        <v>8241</v>
      </c>
    </row>
    <row r="4500" spans="1:5" ht="24" customHeight="1" x14ac:dyDescent="0.25">
      <c r="A4500" s="16">
        <v>4529</v>
      </c>
      <c r="B4500" s="19" t="s">
        <v>6178</v>
      </c>
      <c r="C4500" s="19" t="s">
        <v>8220</v>
      </c>
      <c r="D4500" s="19" t="s">
        <v>6574</v>
      </c>
      <c r="E4500" s="19" t="s">
        <v>8242</v>
      </c>
    </row>
    <row r="4501" spans="1:5" ht="24" customHeight="1" x14ac:dyDescent="0.25">
      <c r="A4501" s="16">
        <v>4530</v>
      </c>
      <c r="B4501" s="19" t="s">
        <v>6178</v>
      </c>
      <c r="C4501" s="19" t="s">
        <v>8220</v>
      </c>
      <c r="D4501" s="19" t="s">
        <v>6574</v>
      </c>
      <c r="E4501" s="19" t="s">
        <v>8243</v>
      </c>
    </row>
    <row r="4502" spans="1:5" ht="24" customHeight="1" x14ac:dyDescent="0.25">
      <c r="A4502" s="16">
        <v>4531</v>
      </c>
      <c r="B4502" s="19" t="s">
        <v>6178</v>
      </c>
      <c r="C4502" s="19" t="s">
        <v>8220</v>
      </c>
      <c r="D4502" s="19" t="s">
        <v>6574</v>
      </c>
      <c r="E4502" s="19" t="s">
        <v>8244</v>
      </c>
    </row>
    <row r="4503" spans="1:5" x14ac:dyDescent="0.25">
      <c r="A4503" s="16">
        <v>4532</v>
      </c>
      <c r="B4503" s="19" t="s">
        <v>6178</v>
      </c>
      <c r="C4503" s="19" t="s">
        <v>8220</v>
      </c>
      <c r="D4503" s="19" t="s">
        <v>6574</v>
      </c>
      <c r="E4503" s="19" t="s">
        <v>8245</v>
      </c>
    </row>
    <row r="4504" spans="1:5" x14ac:dyDescent="0.25">
      <c r="A4504" s="16">
        <v>4533</v>
      </c>
      <c r="B4504" s="19" t="s">
        <v>6178</v>
      </c>
      <c r="C4504" s="19" t="s">
        <v>8220</v>
      </c>
      <c r="D4504" s="19" t="s">
        <v>6574</v>
      </c>
      <c r="E4504" s="19" t="s">
        <v>8246</v>
      </c>
    </row>
    <row r="4505" spans="1:5" ht="24" customHeight="1" x14ac:dyDescent="0.25">
      <c r="A4505" s="16">
        <v>4534</v>
      </c>
      <c r="B4505" s="19" t="s">
        <v>6178</v>
      </c>
      <c r="C4505" s="19" t="s">
        <v>8220</v>
      </c>
      <c r="D4505" s="19" t="s">
        <v>6574</v>
      </c>
      <c r="E4505" s="19" t="s">
        <v>8247</v>
      </c>
    </row>
    <row r="4506" spans="1:5" ht="24" customHeight="1" x14ac:dyDescent="0.25">
      <c r="A4506" s="16">
        <v>4535</v>
      </c>
      <c r="B4506" s="19" t="s">
        <v>6178</v>
      </c>
      <c r="C4506" s="19" t="s">
        <v>8220</v>
      </c>
      <c r="D4506" s="19" t="s">
        <v>6574</v>
      </c>
      <c r="E4506" s="19" t="s">
        <v>8248</v>
      </c>
    </row>
    <row r="4507" spans="1:5" x14ac:dyDescent="0.25">
      <c r="A4507" s="16">
        <v>4536</v>
      </c>
      <c r="B4507" s="19" t="s">
        <v>6178</v>
      </c>
      <c r="C4507" s="19" t="s">
        <v>8220</v>
      </c>
      <c r="D4507" s="19" t="s">
        <v>6574</v>
      </c>
      <c r="E4507" s="19" t="s">
        <v>8249</v>
      </c>
    </row>
    <row r="4508" spans="1:5" ht="24" customHeight="1" x14ac:dyDescent="0.25">
      <c r="A4508" s="16">
        <v>4537</v>
      </c>
      <c r="B4508" s="19" t="s">
        <v>6178</v>
      </c>
      <c r="C4508" s="19" t="s">
        <v>8220</v>
      </c>
      <c r="D4508" s="19" t="s">
        <v>6574</v>
      </c>
      <c r="E4508" s="19" t="s">
        <v>8250</v>
      </c>
    </row>
    <row r="4509" spans="1:5" x14ac:dyDescent="0.25">
      <c r="A4509" s="16">
        <v>4538</v>
      </c>
      <c r="B4509" s="19" t="s">
        <v>6178</v>
      </c>
      <c r="C4509" s="19" t="s">
        <v>8220</v>
      </c>
      <c r="D4509" s="19" t="s">
        <v>6574</v>
      </c>
      <c r="E4509" s="19" t="s">
        <v>8251</v>
      </c>
    </row>
    <row r="4510" spans="1:5" x14ac:dyDescent="0.25">
      <c r="A4510" s="16">
        <v>4539</v>
      </c>
      <c r="B4510" s="19" t="s">
        <v>6178</v>
      </c>
      <c r="C4510" s="19" t="s">
        <v>8220</v>
      </c>
      <c r="D4510" s="19" t="s">
        <v>6574</v>
      </c>
      <c r="E4510" s="19" t="s">
        <v>8252</v>
      </c>
    </row>
    <row r="4511" spans="1:5" ht="24" customHeight="1" x14ac:dyDescent="0.25">
      <c r="A4511" s="16">
        <v>4540</v>
      </c>
      <c r="B4511" s="19" t="s">
        <v>6178</v>
      </c>
      <c r="C4511" s="19" t="s">
        <v>8220</v>
      </c>
      <c r="D4511" s="19" t="s">
        <v>8253</v>
      </c>
      <c r="E4511" s="19" t="s">
        <v>8254</v>
      </c>
    </row>
    <row r="4512" spans="1:5" ht="24" customHeight="1" x14ac:dyDescent="0.25">
      <c r="A4512" s="16">
        <v>4541</v>
      </c>
      <c r="B4512" s="19" t="s">
        <v>6178</v>
      </c>
      <c r="C4512" s="19" t="s">
        <v>8220</v>
      </c>
      <c r="D4512" s="19" t="s">
        <v>8253</v>
      </c>
      <c r="E4512" s="19" t="s">
        <v>8255</v>
      </c>
    </row>
    <row r="4513" spans="1:5" x14ac:dyDescent="0.25">
      <c r="A4513" s="16">
        <v>4542</v>
      </c>
      <c r="B4513" s="19" t="s">
        <v>6178</v>
      </c>
      <c r="C4513" s="19" t="s">
        <v>8220</v>
      </c>
      <c r="D4513" s="19" t="s">
        <v>8253</v>
      </c>
      <c r="E4513" s="19" t="s">
        <v>8256</v>
      </c>
    </row>
    <row r="4514" spans="1:5" x14ac:dyDescent="0.25">
      <c r="A4514" s="16">
        <v>4543</v>
      </c>
      <c r="B4514" s="19" t="s">
        <v>6178</v>
      </c>
      <c r="C4514" s="19" t="s">
        <v>8220</v>
      </c>
      <c r="D4514" s="19" t="s">
        <v>8253</v>
      </c>
      <c r="E4514" s="19" t="s">
        <v>8257</v>
      </c>
    </row>
    <row r="4515" spans="1:5" x14ac:dyDescent="0.25">
      <c r="A4515" s="16">
        <v>4544</v>
      </c>
      <c r="B4515" s="19" t="s">
        <v>6178</v>
      </c>
      <c r="C4515" s="19" t="s">
        <v>8220</v>
      </c>
      <c r="D4515" s="19" t="s">
        <v>8253</v>
      </c>
      <c r="E4515" s="19" t="s">
        <v>8258</v>
      </c>
    </row>
    <row r="4516" spans="1:5" x14ac:dyDescent="0.25">
      <c r="A4516" s="16">
        <v>4545</v>
      </c>
      <c r="B4516" s="19" t="s">
        <v>6178</v>
      </c>
      <c r="C4516" s="19" t="s">
        <v>8220</v>
      </c>
      <c r="D4516" s="19" t="s">
        <v>8253</v>
      </c>
      <c r="E4516" s="19" t="s">
        <v>8259</v>
      </c>
    </row>
    <row r="4517" spans="1:5" ht="24" customHeight="1" x14ac:dyDescent="0.25">
      <c r="A4517" s="16">
        <v>4546</v>
      </c>
      <c r="B4517" s="19" t="s">
        <v>6178</v>
      </c>
      <c r="C4517" s="19" t="s">
        <v>8220</v>
      </c>
      <c r="D4517" s="19" t="s">
        <v>8253</v>
      </c>
      <c r="E4517" s="19" t="s">
        <v>8260</v>
      </c>
    </row>
    <row r="4518" spans="1:5" x14ac:dyDescent="0.25">
      <c r="A4518" s="16">
        <v>4547</v>
      </c>
      <c r="B4518" s="19" t="s">
        <v>6178</v>
      </c>
      <c r="C4518" s="19" t="s">
        <v>8220</v>
      </c>
      <c r="D4518" s="19" t="s">
        <v>8253</v>
      </c>
      <c r="E4518" s="19" t="s">
        <v>8261</v>
      </c>
    </row>
    <row r="4519" spans="1:5" ht="24" customHeight="1" x14ac:dyDescent="0.25">
      <c r="A4519" s="16">
        <v>4548</v>
      </c>
      <c r="B4519" s="19" t="s">
        <v>6178</v>
      </c>
      <c r="C4519" s="19" t="s">
        <v>8220</v>
      </c>
      <c r="D4519" s="19" t="s">
        <v>8253</v>
      </c>
      <c r="E4519" s="19" t="s">
        <v>8262</v>
      </c>
    </row>
    <row r="4520" spans="1:5" x14ac:dyDescent="0.25">
      <c r="A4520" s="16">
        <v>4549</v>
      </c>
      <c r="B4520" s="19" t="s">
        <v>6178</v>
      </c>
      <c r="C4520" s="19" t="s">
        <v>8220</v>
      </c>
      <c r="D4520" s="19" t="s">
        <v>8253</v>
      </c>
      <c r="E4520" s="19" t="s">
        <v>8263</v>
      </c>
    </row>
    <row r="4521" spans="1:5" ht="24" customHeight="1" x14ac:dyDescent="0.25">
      <c r="A4521" s="16">
        <v>4550</v>
      </c>
      <c r="B4521" s="19" t="s">
        <v>6178</v>
      </c>
      <c r="C4521" s="19" t="s">
        <v>8220</v>
      </c>
      <c r="D4521" s="19" t="s">
        <v>8264</v>
      </c>
      <c r="E4521" s="19" t="s">
        <v>8265</v>
      </c>
    </row>
    <row r="4522" spans="1:5" ht="24" customHeight="1" x14ac:dyDescent="0.25">
      <c r="A4522" s="16">
        <v>4551</v>
      </c>
      <c r="B4522" s="19" t="s">
        <v>6178</v>
      </c>
      <c r="C4522" s="19" t="s">
        <v>8220</v>
      </c>
      <c r="D4522" s="19" t="s">
        <v>8264</v>
      </c>
      <c r="E4522" s="19" t="s">
        <v>8266</v>
      </c>
    </row>
    <row r="4523" spans="1:5" ht="24" customHeight="1" x14ac:dyDescent="0.25">
      <c r="A4523" s="16">
        <v>4552</v>
      </c>
      <c r="B4523" s="19" t="s">
        <v>6178</v>
      </c>
      <c r="C4523" s="19" t="s">
        <v>8220</v>
      </c>
      <c r="D4523" s="19" t="s">
        <v>8264</v>
      </c>
      <c r="E4523" s="19" t="s">
        <v>8267</v>
      </c>
    </row>
    <row r="4524" spans="1:5" ht="24" customHeight="1" x14ac:dyDescent="0.25">
      <c r="A4524" s="16">
        <v>4553</v>
      </c>
      <c r="B4524" s="19" t="s">
        <v>6178</v>
      </c>
      <c r="C4524" s="19" t="s">
        <v>8220</v>
      </c>
      <c r="D4524" s="19" t="s">
        <v>8264</v>
      </c>
      <c r="E4524" s="19" t="s">
        <v>8268</v>
      </c>
    </row>
    <row r="4525" spans="1:5" ht="24" customHeight="1" x14ac:dyDescent="0.25">
      <c r="A4525" s="16">
        <v>4554</v>
      </c>
      <c r="B4525" s="19" t="s">
        <v>6178</v>
      </c>
      <c r="C4525" s="19" t="s">
        <v>8220</v>
      </c>
      <c r="D4525" s="19" t="s">
        <v>8264</v>
      </c>
      <c r="E4525" s="19" t="s">
        <v>8269</v>
      </c>
    </row>
    <row r="4526" spans="1:5" ht="24" customHeight="1" x14ac:dyDescent="0.25">
      <c r="A4526" s="16">
        <v>4555</v>
      </c>
      <c r="B4526" s="19" t="s">
        <v>6178</v>
      </c>
      <c r="C4526" s="19" t="s">
        <v>8220</v>
      </c>
      <c r="D4526" s="19" t="s">
        <v>8264</v>
      </c>
      <c r="E4526" s="19" t="s">
        <v>8270</v>
      </c>
    </row>
    <row r="4527" spans="1:5" ht="24" customHeight="1" x14ac:dyDescent="0.25">
      <c r="A4527" s="16">
        <v>4556</v>
      </c>
      <c r="B4527" s="19" t="s">
        <v>6178</v>
      </c>
      <c r="C4527" s="19" t="s">
        <v>8220</v>
      </c>
      <c r="D4527" s="19" t="s">
        <v>8264</v>
      </c>
      <c r="E4527" s="19" t="s">
        <v>8271</v>
      </c>
    </row>
    <row r="4528" spans="1:5" ht="24" customHeight="1" x14ac:dyDescent="0.25">
      <c r="A4528" s="16">
        <v>4557</v>
      </c>
      <c r="B4528" s="19" t="s">
        <v>6178</v>
      </c>
      <c r="C4528" s="19" t="s">
        <v>8220</v>
      </c>
      <c r="D4528" s="19" t="s">
        <v>8264</v>
      </c>
      <c r="E4528" s="19" t="s">
        <v>8272</v>
      </c>
    </row>
    <row r="4529" spans="1:5" ht="24" customHeight="1" x14ac:dyDescent="0.25">
      <c r="A4529" s="16">
        <v>4558</v>
      </c>
      <c r="B4529" s="19" t="s">
        <v>6178</v>
      </c>
      <c r="C4529" s="19" t="s">
        <v>8220</v>
      </c>
      <c r="D4529" s="19" t="s">
        <v>8264</v>
      </c>
      <c r="E4529" s="19" t="s">
        <v>8273</v>
      </c>
    </row>
    <row r="4530" spans="1:5" x14ac:dyDescent="0.25">
      <c r="A4530" s="16">
        <v>4559</v>
      </c>
      <c r="B4530" s="19" t="s">
        <v>6178</v>
      </c>
      <c r="C4530" s="19" t="s">
        <v>8220</v>
      </c>
      <c r="D4530" s="19" t="s">
        <v>8274</v>
      </c>
      <c r="E4530" s="19" t="s">
        <v>8275</v>
      </c>
    </row>
    <row r="4531" spans="1:5" ht="24" customHeight="1" x14ac:dyDescent="0.25">
      <c r="A4531" s="16">
        <v>4560</v>
      </c>
      <c r="B4531" s="19" t="s">
        <v>6178</v>
      </c>
      <c r="C4531" s="19" t="s">
        <v>8220</v>
      </c>
      <c r="D4531" s="19" t="s">
        <v>8274</v>
      </c>
      <c r="E4531" s="19" t="s">
        <v>8276</v>
      </c>
    </row>
    <row r="4532" spans="1:5" ht="24" customHeight="1" x14ac:dyDescent="0.25">
      <c r="A4532" s="16">
        <v>4561</v>
      </c>
      <c r="B4532" s="19" t="s">
        <v>6178</v>
      </c>
      <c r="C4532" s="19" t="s">
        <v>8220</v>
      </c>
      <c r="D4532" s="19" t="s">
        <v>8274</v>
      </c>
      <c r="E4532" s="19" t="s">
        <v>8277</v>
      </c>
    </row>
    <row r="4533" spans="1:5" ht="24" customHeight="1" x14ac:dyDescent="0.25">
      <c r="A4533" s="16">
        <v>4562</v>
      </c>
      <c r="B4533" s="19" t="s">
        <v>6178</v>
      </c>
      <c r="C4533" s="19" t="s">
        <v>8220</v>
      </c>
      <c r="D4533" s="19" t="s">
        <v>8274</v>
      </c>
      <c r="E4533" s="19" t="s">
        <v>8278</v>
      </c>
    </row>
    <row r="4534" spans="1:5" x14ac:dyDescent="0.25">
      <c r="A4534" s="16">
        <v>4563</v>
      </c>
      <c r="B4534" s="19" t="s">
        <v>6178</v>
      </c>
      <c r="C4534" s="19" t="s">
        <v>8220</v>
      </c>
      <c r="D4534" s="19" t="s">
        <v>8274</v>
      </c>
      <c r="E4534" s="19" t="s">
        <v>8279</v>
      </c>
    </row>
    <row r="4535" spans="1:5" ht="24" customHeight="1" x14ac:dyDescent="0.25">
      <c r="A4535" s="16">
        <v>4564</v>
      </c>
      <c r="B4535" s="19" t="s">
        <v>6178</v>
      </c>
      <c r="C4535" s="19" t="s">
        <v>8220</v>
      </c>
      <c r="D4535" s="19" t="s">
        <v>8274</v>
      </c>
      <c r="E4535" s="19" t="s">
        <v>8280</v>
      </c>
    </row>
    <row r="4536" spans="1:5" ht="24" customHeight="1" x14ac:dyDescent="0.25">
      <c r="A4536" s="16">
        <v>4565</v>
      </c>
      <c r="B4536" s="19" t="s">
        <v>6178</v>
      </c>
      <c r="C4536" s="19" t="s">
        <v>8220</v>
      </c>
      <c r="D4536" s="19" t="s">
        <v>8274</v>
      </c>
      <c r="E4536" s="19" t="s">
        <v>8281</v>
      </c>
    </row>
    <row r="4537" spans="1:5" ht="24" customHeight="1" x14ac:dyDescent="0.25">
      <c r="A4537" s="16">
        <v>4566</v>
      </c>
      <c r="B4537" s="19" t="s">
        <v>6178</v>
      </c>
      <c r="C4537" s="19" t="s">
        <v>8220</v>
      </c>
      <c r="D4537" s="19" t="s">
        <v>8274</v>
      </c>
      <c r="E4537" s="19" t="s">
        <v>8282</v>
      </c>
    </row>
    <row r="4538" spans="1:5" x14ac:dyDescent="0.25">
      <c r="A4538" s="16">
        <v>4567</v>
      </c>
      <c r="B4538" s="19" t="s">
        <v>6178</v>
      </c>
      <c r="C4538" s="19" t="s">
        <v>8220</v>
      </c>
      <c r="D4538" s="19" t="s">
        <v>8274</v>
      </c>
      <c r="E4538" s="19" t="s">
        <v>8283</v>
      </c>
    </row>
    <row r="4539" spans="1:5" ht="24" customHeight="1" x14ac:dyDescent="0.25">
      <c r="A4539" s="16">
        <v>4568</v>
      </c>
      <c r="B4539" s="19" t="s">
        <v>6178</v>
      </c>
      <c r="C4539" s="19" t="s">
        <v>8220</v>
      </c>
      <c r="D4539" s="19" t="s">
        <v>8274</v>
      </c>
      <c r="E4539" s="19" t="s">
        <v>8284</v>
      </c>
    </row>
    <row r="4540" spans="1:5" x14ac:dyDescent="0.25">
      <c r="A4540" s="16">
        <v>4569</v>
      </c>
      <c r="B4540" s="19" t="s">
        <v>6178</v>
      </c>
      <c r="C4540" s="19" t="s">
        <v>8220</v>
      </c>
      <c r="D4540" s="19" t="s">
        <v>8285</v>
      </c>
      <c r="E4540" s="19" t="s">
        <v>7777</v>
      </c>
    </row>
    <row r="4541" spans="1:5" x14ac:dyDescent="0.25">
      <c r="A4541" s="16">
        <v>4570</v>
      </c>
      <c r="B4541" s="19" t="s">
        <v>6178</v>
      </c>
      <c r="C4541" s="19" t="s">
        <v>8220</v>
      </c>
      <c r="D4541" s="19" t="s">
        <v>8285</v>
      </c>
      <c r="E4541" s="19" t="s">
        <v>8286</v>
      </c>
    </row>
    <row r="4542" spans="1:5" ht="24" customHeight="1" x14ac:dyDescent="0.25">
      <c r="A4542" s="16">
        <v>4571</v>
      </c>
      <c r="B4542" s="19" t="s">
        <v>6178</v>
      </c>
      <c r="C4542" s="19" t="s">
        <v>8220</v>
      </c>
      <c r="D4542" s="19" t="s">
        <v>8285</v>
      </c>
      <c r="E4542" s="19" t="s">
        <v>8287</v>
      </c>
    </row>
    <row r="4543" spans="1:5" x14ac:dyDescent="0.25">
      <c r="A4543" s="16">
        <v>4572</v>
      </c>
      <c r="B4543" s="19" t="s">
        <v>6178</v>
      </c>
      <c r="C4543" s="19" t="s">
        <v>8220</v>
      </c>
      <c r="D4543" s="19" t="s">
        <v>8285</v>
      </c>
      <c r="E4543" s="19" t="s">
        <v>8288</v>
      </c>
    </row>
    <row r="4544" spans="1:5" ht="24" customHeight="1" x14ac:dyDescent="0.25">
      <c r="A4544" s="16">
        <v>4573</v>
      </c>
      <c r="B4544" s="19" t="s">
        <v>6178</v>
      </c>
      <c r="C4544" s="19" t="s">
        <v>8220</v>
      </c>
      <c r="D4544" s="19" t="s">
        <v>8285</v>
      </c>
      <c r="E4544" s="19" t="s">
        <v>8289</v>
      </c>
    </row>
    <row r="4545" spans="1:5" x14ac:dyDescent="0.25">
      <c r="A4545" s="16">
        <v>4574</v>
      </c>
      <c r="B4545" s="19" t="s">
        <v>6178</v>
      </c>
      <c r="C4545" s="19" t="s">
        <v>8220</v>
      </c>
      <c r="D4545" s="19" t="s">
        <v>8285</v>
      </c>
      <c r="E4545" s="19" t="s">
        <v>8290</v>
      </c>
    </row>
    <row r="4546" spans="1:5" x14ac:dyDescent="0.25">
      <c r="A4546" s="16">
        <v>4575</v>
      </c>
      <c r="B4546" s="19" t="s">
        <v>6178</v>
      </c>
      <c r="C4546" s="19" t="s">
        <v>8220</v>
      </c>
      <c r="D4546" s="19" t="s">
        <v>8285</v>
      </c>
      <c r="E4546" s="19" t="s">
        <v>8291</v>
      </c>
    </row>
    <row r="4547" spans="1:5" ht="24" customHeight="1" x14ac:dyDescent="0.25">
      <c r="A4547" s="16">
        <v>4576</v>
      </c>
      <c r="B4547" s="19" t="s">
        <v>6178</v>
      </c>
      <c r="C4547" s="19" t="s">
        <v>8220</v>
      </c>
      <c r="D4547" s="19" t="s">
        <v>8285</v>
      </c>
      <c r="E4547" s="19" t="s">
        <v>8292</v>
      </c>
    </row>
    <row r="4548" spans="1:5" ht="24" customHeight="1" x14ac:dyDescent="0.25">
      <c r="A4548" s="16">
        <v>4577</v>
      </c>
      <c r="B4548" s="19" t="s">
        <v>6178</v>
      </c>
      <c r="C4548" s="19" t="s">
        <v>8293</v>
      </c>
      <c r="D4548" s="19" t="s">
        <v>8294</v>
      </c>
      <c r="E4548" s="19" t="s">
        <v>8295</v>
      </c>
    </row>
    <row r="4549" spans="1:5" x14ac:dyDescent="0.25">
      <c r="A4549" s="16">
        <v>4578</v>
      </c>
      <c r="B4549" s="19" t="s">
        <v>6178</v>
      </c>
      <c r="C4549" s="19" t="s">
        <v>8293</v>
      </c>
      <c r="D4549" s="19" t="s">
        <v>8294</v>
      </c>
      <c r="E4549" s="19" t="s">
        <v>8296</v>
      </c>
    </row>
    <row r="4550" spans="1:5" x14ac:dyDescent="0.25">
      <c r="A4550" s="16">
        <v>4579</v>
      </c>
      <c r="B4550" s="19" t="s">
        <v>6178</v>
      </c>
      <c r="C4550" s="19" t="s">
        <v>8293</v>
      </c>
      <c r="D4550" s="19" t="s">
        <v>8294</v>
      </c>
      <c r="E4550" s="19" t="s">
        <v>8297</v>
      </c>
    </row>
    <row r="4551" spans="1:5" ht="24" customHeight="1" x14ac:dyDescent="0.25">
      <c r="A4551" s="16">
        <v>4580</v>
      </c>
      <c r="B4551" s="19" t="s">
        <v>6178</v>
      </c>
      <c r="C4551" s="19" t="s">
        <v>8293</v>
      </c>
      <c r="D4551" s="19" t="s">
        <v>8294</v>
      </c>
      <c r="E4551" s="19" t="s">
        <v>8298</v>
      </c>
    </row>
    <row r="4552" spans="1:5" ht="24" customHeight="1" x14ac:dyDescent="0.25">
      <c r="A4552" s="16">
        <v>4581</v>
      </c>
      <c r="B4552" s="19" t="s">
        <v>6178</v>
      </c>
      <c r="C4552" s="19" t="s">
        <v>8293</v>
      </c>
      <c r="D4552" s="19" t="s">
        <v>8294</v>
      </c>
      <c r="E4552" s="19" t="s">
        <v>8299</v>
      </c>
    </row>
    <row r="4553" spans="1:5" x14ac:dyDescent="0.25">
      <c r="A4553" s="16">
        <v>4582</v>
      </c>
      <c r="B4553" s="19" t="s">
        <v>6178</v>
      </c>
      <c r="C4553" s="19" t="s">
        <v>8293</v>
      </c>
      <c r="D4553" s="19" t="s">
        <v>8294</v>
      </c>
      <c r="E4553" s="19" t="s">
        <v>8300</v>
      </c>
    </row>
    <row r="4554" spans="1:5" x14ac:dyDescent="0.25">
      <c r="A4554" s="16">
        <v>4583</v>
      </c>
      <c r="B4554" s="19" t="s">
        <v>6178</v>
      </c>
      <c r="C4554" s="19" t="s">
        <v>8293</v>
      </c>
      <c r="D4554" s="19" t="s">
        <v>8294</v>
      </c>
      <c r="E4554" s="19" t="s">
        <v>8301</v>
      </c>
    </row>
    <row r="4555" spans="1:5" x14ac:dyDescent="0.25">
      <c r="A4555" s="16">
        <v>4584</v>
      </c>
      <c r="B4555" s="19" t="s">
        <v>6178</v>
      </c>
      <c r="C4555" s="19" t="s">
        <v>8293</v>
      </c>
      <c r="D4555" s="19" t="s">
        <v>8294</v>
      </c>
      <c r="E4555" s="19" t="s">
        <v>8302</v>
      </c>
    </row>
    <row r="4556" spans="1:5" x14ac:dyDescent="0.25">
      <c r="A4556" s="16">
        <v>4585</v>
      </c>
      <c r="B4556" s="19" t="s">
        <v>6178</v>
      </c>
      <c r="C4556" s="19" t="s">
        <v>8293</v>
      </c>
      <c r="D4556" s="19" t="s">
        <v>8294</v>
      </c>
      <c r="E4556" s="19" t="s">
        <v>8303</v>
      </c>
    </row>
    <row r="4557" spans="1:5" ht="24" customHeight="1" x14ac:dyDescent="0.25">
      <c r="A4557" s="16">
        <v>4586</v>
      </c>
      <c r="B4557" s="19" t="s">
        <v>6178</v>
      </c>
      <c r="C4557" s="19" t="s">
        <v>8293</v>
      </c>
      <c r="D4557" s="19" t="s">
        <v>8294</v>
      </c>
      <c r="E4557" s="19" t="s">
        <v>8304</v>
      </c>
    </row>
    <row r="4558" spans="1:5" ht="24" customHeight="1" x14ac:dyDescent="0.25">
      <c r="A4558" s="16">
        <v>4587</v>
      </c>
      <c r="B4558" s="19" t="s">
        <v>6178</v>
      </c>
      <c r="C4558" s="19" t="s">
        <v>8293</v>
      </c>
      <c r="D4558" s="19" t="s">
        <v>8294</v>
      </c>
      <c r="E4558" s="19" t="s">
        <v>8305</v>
      </c>
    </row>
    <row r="4559" spans="1:5" ht="24" customHeight="1" x14ac:dyDescent="0.25">
      <c r="A4559" s="16">
        <v>4588</v>
      </c>
      <c r="B4559" s="19" t="s">
        <v>6178</v>
      </c>
      <c r="C4559" s="19" t="s">
        <v>8293</v>
      </c>
      <c r="D4559" s="19" t="s">
        <v>8294</v>
      </c>
      <c r="E4559" s="19" t="s">
        <v>8306</v>
      </c>
    </row>
    <row r="4560" spans="1:5" x14ac:dyDescent="0.25">
      <c r="A4560" s="16">
        <v>4589</v>
      </c>
      <c r="B4560" s="19" t="s">
        <v>6178</v>
      </c>
      <c r="C4560" s="19" t="s">
        <v>8293</v>
      </c>
      <c r="D4560" s="19" t="s">
        <v>8294</v>
      </c>
      <c r="E4560" s="19" t="s">
        <v>8307</v>
      </c>
    </row>
    <row r="4561" spans="1:5" x14ac:dyDescent="0.25">
      <c r="A4561" s="16">
        <v>4590</v>
      </c>
      <c r="B4561" s="19" t="s">
        <v>6178</v>
      </c>
      <c r="C4561" s="19" t="s">
        <v>8293</v>
      </c>
      <c r="D4561" s="19" t="s">
        <v>8294</v>
      </c>
      <c r="E4561" s="19" t="s">
        <v>8308</v>
      </c>
    </row>
    <row r="4562" spans="1:5" x14ac:dyDescent="0.25">
      <c r="A4562" s="16">
        <v>4591</v>
      </c>
      <c r="B4562" s="19" t="s">
        <v>6178</v>
      </c>
      <c r="C4562" s="19" t="s">
        <v>8293</v>
      </c>
      <c r="D4562" s="19" t="s">
        <v>8294</v>
      </c>
      <c r="E4562" s="19" t="s">
        <v>8309</v>
      </c>
    </row>
    <row r="4563" spans="1:5" x14ac:dyDescent="0.25">
      <c r="A4563" s="16">
        <v>4592</v>
      </c>
      <c r="B4563" s="19" t="s">
        <v>6178</v>
      </c>
      <c r="C4563" s="19" t="s">
        <v>8293</v>
      </c>
      <c r="D4563" s="19" t="s">
        <v>8294</v>
      </c>
      <c r="E4563" s="19" t="s">
        <v>8310</v>
      </c>
    </row>
    <row r="4564" spans="1:5" x14ac:dyDescent="0.25">
      <c r="A4564" s="16">
        <v>4593</v>
      </c>
      <c r="B4564" s="19" t="s">
        <v>6178</v>
      </c>
      <c r="C4564" s="19" t="s">
        <v>8293</v>
      </c>
      <c r="D4564" s="19" t="s">
        <v>8294</v>
      </c>
      <c r="E4564" s="19" t="s">
        <v>8311</v>
      </c>
    </row>
    <row r="4565" spans="1:5" x14ac:dyDescent="0.25">
      <c r="A4565" s="16">
        <v>4594</v>
      </c>
      <c r="B4565" s="19" t="s">
        <v>6178</v>
      </c>
      <c r="C4565" s="19" t="s">
        <v>8293</v>
      </c>
      <c r="D4565" s="19" t="s">
        <v>8312</v>
      </c>
      <c r="E4565" s="19" t="s">
        <v>7035</v>
      </c>
    </row>
    <row r="4566" spans="1:5" ht="24" customHeight="1" x14ac:dyDescent="0.25">
      <c r="A4566" s="16">
        <v>4595</v>
      </c>
      <c r="B4566" s="19" t="s">
        <v>6178</v>
      </c>
      <c r="C4566" s="19" t="s">
        <v>8293</v>
      </c>
      <c r="D4566" s="19" t="s">
        <v>8312</v>
      </c>
      <c r="E4566" s="19" t="s">
        <v>8313</v>
      </c>
    </row>
    <row r="4567" spans="1:5" ht="36" customHeight="1" x14ac:dyDescent="0.25">
      <c r="A4567" s="16">
        <v>4596</v>
      </c>
      <c r="B4567" s="19" t="s">
        <v>6178</v>
      </c>
      <c r="C4567" s="19" t="s">
        <v>8293</v>
      </c>
      <c r="D4567" s="19" t="s">
        <v>8312</v>
      </c>
      <c r="E4567" s="19" t="s">
        <v>8314</v>
      </c>
    </row>
    <row r="4568" spans="1:5" ht="24" customHeight="1" x14ac:dyDescent="0.25">
      <c r="A4568" s="16">
        <v>4597</v>
      </c>
      <c r="B4568" s="19" t="s">
        <v>6178</v>
      </c>
      <c r="C4568" s="19" t="s">
        <v>8293</v>
      </c>
      <c r="D4568" s="19" t="s">
        <v>8312</v>
      </c>
      <c r="E4568" s="19" t="s">
        <v>8315</v>
      </c>
    </row>
    <row r="4569" spans="1:5" ht="24" customHeight="1" x14ac:dyDescent="0.25">
      <c r="A4569" s="16">
        <v>4598</v>
      </c>
      <c r="B4569" s="19" t="s">
        <v>6178</v>
      </c>
      <c r="C4569" s="19" t="s">
        <v>8293</v>
      </c>
      <c r="D4569" s="19" t="s">
        <v>8312</v>
      </c>
      <c r="E4569" s="19" t="s">
        <v>8316</v>
      </c>
    </row>
    <row r="4570" spans="1:5" x14ac:dyDescent="0.25">
      <c r="A4570" s="16">
        <v>4599</v>
      </c>
      <c r="B4570" s="19" t="s">
        <v>6178</v>
      </c>
      <c r="C4570" s="19" t="s">
        <v>8293</v>
      </c>
      <c r="D4570" s="19" t="s">
        <v>8312</v>
      </c>
      <c r="E4570" s="19" t="s">
        <v>8317</v>
      </c>
    </row>
    <row r="4571" spans="1:5" ht="24" customHeight="1" x14ac:dyDescent="0.25">
      <c r="A4571" s="16">
        <v>4600</v>
      </c>
      <c r="B4571" s="19" t="s">
        <v>6178</v>
      </c>
      <c r="C4571" s="19" t="s">
        <v>8293</v>
      </c>
      <c r="D4571" s="19" t="s">
        <v>8312</v>
      </c>
      <c r="E4571" s="19" t="s">
        <v>8318</v>
      </c>
    </row>
    <row r="4572" spans="1:5" ht="24" customHeight="1" x14ac:dyDescent="0.25">
      <c r="A4572" s="16">
        <v>4601</v>
      </c>
      <c r="B4572" s="19" t="s">
        <v>6178</v>
      </c>
      <c r="C4572" s="19" t="s">
        <v>8293</v>
      </c>
      <c r="D4572" s="19" t="s">
        <v>8312</v>
      </c>
      <c r="E4572" s="19" t="s">
        <v>8319</v>
      </c>
    </row>
    <row r="4573" spans="1:5" x14ac:dyDescent="0.25">
      <c r="A4573" s="16">
        <v>4602</v>
      </c>
      <c r="B4573" s="19" t="s">
        <v>6178</v>
      </c>
      <c r="C4573" s="19" t="s">
        <v>8293</v>
      </c>
      <c r="D4573" s="19" t="s">
        <v>8312</v>
      </c>
      <c r="E4573" s="19" t="s">
        <v>8320</v>
      </c>
    </row>
    <row r="4574" spans="1:5" ht="36" customHeight="1" x14ac:dyDescent="0.25">
      <c r="A4574" s="16">
        <v>4603</v>
      </c>
      <c r="B4574" s="19" t="s">
        <v>6178</v>
      </c>
      <c r="C4574" s="19" t="s">
        <v>8293</v>
      </c>
      <c r="D4574" s="19" t="s">
        <v>8312</v>
      </c>
      <c r="E4574" s="19" t="s">
        <v>8321</v>
      </c>
    </row>
    <row r="4575" spans="1:5" x14ac:dyDescent="0.25">
      <c r="A4575" s="16">
        <v>4604</v>
      </c>
      <c r="B4575" s="19" t="s">
        <v>6178</v>
      </c>
      <c r="C4575" s="19" t="s">
        <v>8293</v>
      </c>
      <c r="D4575" s="19" t="s">
        <v>8312</v>
      </c>
      <c r="E4575" s="19" t="s">
        <v>8322</v>
      </c>
    </row>
    <row r="4576" spans="1:5" ht="24" customHeight="1" x14ac:dyDescent="0.25">
      <c r="A4576" s="16">
        <v>4605</v>
      </c>
      <c r="B4576" s="19" t="s">
        <v>6178</v>
      </c>
      <c r="C4576" s="19" t="s">
        <v>8293</v>
      </c>
      <c r="D4576" s="19" t="s">
        <v>8312</v>
      </c>
      <c r="E4576" s="19" t="s">
        <v>8323</v>
      </c>
    </row>
    <row r="4577" spans="1:5" x14ac:dyDescent="0.25">
      <c r="A4577" s="16">
        <v>4606</v>
      </c>
      <c r="B4577" s="19" t="s">
        <v>6178</v>
      </c>
      <c r="C4577" s="19" t="s">
        <v>8293</v>
      </c>
      <c r="D4577" s="19" t="s">
        <v>8324</v>
      </c>
      <c r="E4577" s="19" t="s">
        <v>8221</v>
      </c>
    </row>
    <row r="4578" spans="1:5" x14ac:dyDescent="0.25">
      <c r="A4578" s="16">
        <v>4607</v>
      </c>
      <c r="B4578" s="19" t="s">
        <v>6178</v>
      </c>
      <c r="C4578" s="19" t="s">
        <v>8293</v>
      </c>
      <c r="D4578" s="19" t="s">
        <v>8324</v>
      </c>
      <c r="E4578" s="19" t="s">
        <v>8325</v>
      </c>
    </row>
    <row r="4579" spans="1:5" ht="24" customHeight="1" x14ac:dyDescent="0.25">
      <c r="A4579" s="16">
        <v>4608</v>
      </c>
      <c r="B4579" s="19" t="s">
        <v>6178</v>
      </c>
      <c r="C4579" s="19" t="s">
        <v>8293</v>
      </c>
      <c r="D4579" s="19" t="s">
        <v>8324</v>
      </c>
      <c r="E4579" s="19" t="s">
        <v>8326</v>
      </c>
    </row>
    <row r="4580" spans="1:5" x14ac:dyDescent="0.25">
      <c r="A4580" s="16">
        <v>4609</v>
      </c>
      <c r="B4580" s="19" t="s">
        <v>6178</v>
      </c>
      <c r="C4580" s="19" t="s">
        <v>8293</v>
      </c>
      <c r="D4580" s="19" t="s">
        <v>8324</v>
      </c>
      <c r="E4580" s="19" t="s">
        <v>8327</v>
      </c>
    </row>
    <row r="4581" spans="1:5" x14ac:dyDescent="0.25">
      <c r="A4581" s="16">
        <v>4610</v>
      </c>
      <c r="B4581" s="19" t="s">
        <v>6178</v>
      </c>
      <c r="C4581" s="19" t="s">
        <v>8293</v>
      </c>
      <c r="D4581" s="19" t="s">
        <v>8324</v>
      </c>
      <c r="E4581" s="19" t="s">
        <v>8328</v>
      </c>
    </row>
    <row r="4582" spans="1:5" x14ac:dyDescent="0.25">
      <c r="A4582" s="16">
        <v>4611</v>
      </c>
      <c r="B4582" s="19" t="s">
        <v>6178</v>
      </c>
      <c r="C4582" s="19" t="s">
        <v>8293</v>
      </c>
      <c r="D4582" s="19" t="s">
        <v>8324</v>
      </c>
      <c r="E4582" s="19" t="s">
        <v>8329</v>
      </c>
    </row>
    <row r="4583" spans="1:5" x14ac:dyDescent="0.25">
      <c r="A4583" s="16">
        <v>4612</v>
      </c>
      <c r="B4583" s="19" t="s">
        <v>6178</v>
      </c>
      <c r="C4583" s="19" t="s">
        <v>8293</v>
      </c>
      <c r="D4583" s="19" t="s">
        <v>8324</v>
      </c>
      <c r="E4583" s="19" t="s">
        <v>8330</v>
      </c>
    </row>
    <row r="4584" spans="1:5" x14ac:dyDescent="0.25">
      <c r="A4584" s="16">
        <v>4613</v>
      </c>
      <c r="B4584" s="19" t="s">
        <v>6178</v>
      </c>
      <c r="C4584" s="19" t="s">
        <v>8293</v>
      </c>
      <c r="D4584" s="19" t="s">
        <v>8324</v>
      </c>
      <c r="E4584" s="19" t="s">
        <v>8331</v>
      </c>
    </row>
    <row r="4585" spans="1:5" ht="24" customHeight="1" x14ac:dyDescent="0.25">
      <c r="A4585" s="16">
        <v>4614</v>
      </c>
      <c r="B4585" s="19" t="s">
        <v>6178</v>
      </c>
      <c r="C4585" s="19" t="s">
        <v>8293</v>
      </c>
      <c r="D4585" s="19" t="s">
        <v>8324</v>
      </c>
      <c r="E4585" s="19" t="s">
        <v>8332</v>
      </c>
    </row>
    <row r="4586" spans="1:5" x14ac:dyDescent="0.25">
      <c r="A4586" s="16">
        <v>4615</v>
      </c>
      <c r="B4586" s="19" t="s">
        <v>6178</v>
      </c>
      <c r="C4586" s="19" t="s">
        <v>8293</v>
      </c>
      <c r="D4586" s="19" t="s">
        <v>8324</v>
      </c>
      <c r="E4586" s="19" t="s">
        <v>8333</v>
      </c>
    </row>
    <row r="4587" spans="1:5" ht="24" customHeight="1" x14ac:dyDescent="0.25">
      <c r="A4587" s="16">
        <v>4616</v>
      </c>
      <c r="B4587" s="19" t="s">
        <v>6178</v>
      </c>
      <c r="C4587" s="19" t="s">
        <v>8293</v>
      </c>
      <c r="D4587" s="19" t="s">
        <v>8324</v>
      </c>
      <c r="E4587" s="19" t="s">
        <v>8334</v>
      </c>
    </row>
    <row r="4588" spans="1:5" x14ac:dyDescent="0.25">
      <c r="A4588" s="16">
        <v>4617</v>
      </c>
      <c r="B4588" s="19" t="s">
        <v>6178</v>
      </c>
      <c r="C4588" s="19" t="s">
        <v>8293</v>
      </c>
      <c r="D4588" s="19" t="s">
        <v>8324</v>
      </c>
      <c r="E4588" s="19" t="s">
        <v>8335</v>
      </c>
    </row>
    <row r="4589" spans="1:5" x14ac:dyDescent="0.25">
      <c r="A4589" s="16">
        <v>4618</v>
      </c>
      <c r="B4589" s="19" t="s">
        <v>6178</v>
      </c>
      <c r="C4589" s="19" t="s">
        <v>8293</v>
      </c>
      <c r="D4589" s="19" t="s">
        <v>8324</v>
      </c>
      <c r="E4589" s="19" t="s">
        <v>8336</v>
      </c>
    </row>
    <row r="4590" spans="1:5" ht="24" customHeight="1" x14ac:dyDescent="0.25">
      <c r="A4590" s="16">
        <v>4619</v>
      </c>
      <c r="B4590" s="19" t="s">
        <v>6178</v>
      </c>
      <c r="C4590" s="19" t="s">
        <v>8293</v>
      </c>
      <c r="D4590" s="19" t="s">
        <v>8324</v>
      </c>
      <c r="E4590" s="19" t="s">
        <v>8337</v>
      </c>
    </row>
    <row r="4591" spans="1:5" x14ac:dyDescent="0.25">
      <c r="A4591" s="16">
        <v>4620</v>
      </c>
      <c r="B4591" s="19" t="s">
        <v>6178</v>
      </c>
      <c r="C4591" s="19" t="s">
        <v>8293</v>
      </c>
      <c r="D4591" s="19" t="s">
        <v>8324</v>
      </c>
      <c r="E4591" s="19" t="s">
        <v>8338</v>
      </c>
    </row>
    <row r="4592" spans="1:5" x14ac:dyDescent="0.25">
      <c r="A4592" s="16">
        <v>4621</v>
      </c>
      <c r="B4592" s="19" t="s">
        <v>6178</v>
      </c>
      <c r="C4592" s="19" t="s">
        <v>8293</v>
      </c>
      <c r="D4592" s="19" t="s">
        <v>8324</v>
      </c>
      <c r="E4592" s="19" t="s">
        <v>8339</v>
      </c>
    </row>
    <row r="4593" spans="1:5" x14ac:dyDescent="0.25">
      <c r="A4593" s="16">
        <v>4622</v>
      </c>
      <c r="B4593" s="19" t="s">
        <v>6178</v>
      </c>
      <c r="C4593" s="19" t="s">
        <v>8293</v>
      </c>
      <c r="D4593" s="19" t="s">
        <v>8324</v>
      </c>
      <c r="E4593" s="19" t="s">
        <v>8340</v>
      </c>
    </row>
    <row r="4594" spans="1:5" x14ac:dyDescent="0.25">
      <c r="A4594" s="16">
        <v>4623</v>
      </c>
      <c r="B4594" s="19" t="s">
        <v>6178</v>
      </c>
      <c r="C4594" s="19" t="s">
        <v>8293</v>
      </c>
      <c r="D4594" s="19" t="s">
        <v>8341</v>
      </c>
      <c r="E4594" s="19" t="s">
        <v>7392</v>
      </c>
    </row>
    <row r="4595" spans="1:5" x14ac:dyDescent="0.25">
      <c r="A4595" s="16">
        <v>4624</v>
      </c>
      <c r="B4595" s="19" t="s">
        <v>6178</v>
      </c>
      <c r="C4595" s="19" t="s">
        <v>8293</v>
      </c>
      <c r="D4595" s="19" t="s">
        <v>8341</v>
      </c>
      <c r="E4595" s="19" t="s">
        <v>8342</v>
      </c>
    </row>
    <row r="4596" spans="1:5" ht="24" customHeight="1" x14ac:dyDescent="0.25">
      <c r="A4596" s="16">
        <v>4625</v>
      </c>
      <c r="B4596" s="19" t="s">
        <v>6178</v>
      </c>
      <c r="C4596" s="19" t="s">
        <v>8293</v>
      </c>
      <c r="D4596" s="19" t="s">
        <v>8341</v>
      </c>
      <c r="E4596" s="19" t="s">
        <v>8343</v>
      </c>
    </row>
    <row r="4597" spans="1:5" x14ac:dyDescent="0.25">
      <c r="A4597" s="16">
        <v>4626</v>
      </c>
      <c r="B4597" s="19" t="s">
        <v>6178</v>
      </c>
      <c r="C4597" s="19" t="s">
        <v>8293</v>
      </c>
      <c r="D4597" s="19" t="s">
        <v>8341</v>
      </c>
      <c r="E4597" s="19" t="s">
        <v>8344</v>
      </c>
    </row>
    <row r="4598" spans="1:5" x14ac:dyDescent="0.25">
      <c r="A4598" s="16">
        <v>4627</v>
      </c>
      <c r="B4598" s="19" t="s">
        <v>6178</v>
      </c>
      <c r="C4598" s="19" t="s">
        <v>8293</v>
      </c>
      <c r="D4598" s="19" t="s">
        <v>8341</v>
      </c>
      <c r="E4598" s="19" t="s">
        <v>8345</v>
      </c>
    </row>
    <row r="4599" spans="1:5" x14ac:dyDescent="0.25">
      <c r="A4599" s="16">
        <v>4628</v>
      </c>
      <c r="B4599" s="19" t="s">
        <v>6178</v>
      </c>
      <c r="C4599" s="19" t="s">
        <v>8293</v>
      </c>
      <c r="D4599" s="19" t="s">
        <v>8341</v>
      </c>
      <c r="E4599" s="19" t="s">
        <v>8346</v>
      </c>
    </row>
    <row r="4600" spans="1:5" x14ac:dyDescent="0.25">
      <c r="A4600" s="16">
        <v>4629</v>
      </c>
      <c r="B4600" s="19" t="s">
        <v>6178</v>
      </c>
      <c r="C4600" s="19" t="s">
        <v>8293</v>
      </c>
      <c r="D4600" s="19" t="s">
        <v>8341</v>
      </c>
      <c r="E4600" s="19" t="s">
        <v>8347</v>
      </c>
    </row>
    <row r="4601" spans="1:5" ht="24" customHeight="1" x14ac:dyDescent="0.25">
      <c r="A4601" s="16">
        <v>4630</v>
      </c>
      <c r="B4601" s="19" t="s">
        <v>6178</v>
      </c>
      <c r="C4601" s="19" t="s">
        <v>8293</v>
      </c>
      <c r="D4601" s="19" t="s">
        <v>8341</v>
      </c>
      <c r="E4601" s="19" t="s">
        <v>8348</v>
      </c>
    </row>
    <row r="4602" spans="1:5" x14ac:dyDescent="0.25">
      <c r="A4602" s="16">
        <v>4631</v>
      </c>
      <c r="B4602" s="19" t="s">
        <v>6178</v>
      </c>
      <c r="C4602" s="19" t="s">
        <v>8293</v>
      </c>
      <c r="D4602" s="19" t="s">
        <v>8341</v>
      </c>
      <c r="E4602" s="19" t="s">
        <v>8349</v>
      </c>
    </row>
    <row r="4603" spans="1:5" ht="24" customHeight="1" x14ac:dyDescent="0.25">
      <c r="A4603" s="16">
        <v>4632</v>
      </c>
      <c r="B4603" s="19" t="s">
        <v>6178</v>
      </c>
      <c r="C4603" s="19" t="s">
        <v>8293</v>
      </c>
      <c r="D4603" s="19" t="s">
        <v>8341</v>
      </c>
      <c r="E4603" s="19" t="s">
        <v>8350</v>
      </c>
    </row>
    <row r="4604" spans="1:5" x14ac:dyDescent="0.25">
      <c r="A4604" s="16">
        <v>4633</v>
      </c>
      <c r="B4604" s="19" t="s">
        <v>6178</v>
      </c>
      <c r="C4604" s="19" t="s">
        <v>8293</v>
      </c>
      <c r="D4604" s="19" t="s">
        <v>8341</v>
      </c>
      <c r="E4604" s="19" t="s">
        <v>8351</v>
      </c>
    </row>
    <row r="4605" spans="1:5" ht="24" customHeight="1" x14ac:dyDescent="0.25">
      <c r="A4605" s="16">
        <v>4634</v>
      </c>
      <c r="B4605" s="19" t="s">
        <v>6178</v>
      </c>
      <c r="C4605" s="19" t="s">
        <v>8293</v>
      </c>
      <c r="D4605" s="19" t="s">
        <v>8352</v>
      </c>
      <c r="E4605" s="19" t="s">
        <v>8353</v>
      </c>
    </row>
    <row r="4606" spans="1:5" ht="24" customHeight="1" x14ac:dyDescent="0.25">
      <c r="A4606" s="16">
        <v>4635</v>
      </c>
      <c r="B4606" s="19" t="s">
        <v>6178</v>
      </c>
      <c r="C4606" s="19" t="s">
        <v>8293</v>
      </c>
      <c r="D4606" s="19" t="s">
        <v>8352</v>
      </c>
      <c r="E4606" s="19" t="s">
        <v>8354</v>
      </c>
    </row>
    <row r="4607" spans="1:5" x14ac:dyDescent="0.25">
      <c r="A4607" s="16">
        <v>4636</v>
      </c>
      <c r="B4607" s="19" t="s">
        <v>6178</v>
      </c>
      <c r="C4607" s="19" t="s">
        <v>8293</v>
      </c>
      <c r="D4607" s="19" t="s">
        <v>8352</v>
      </c>
      <c r="E4607" s="19" t="s">
        <v>8355</v>
      </c>
    </row>
    <row r="4608" spans="1:5" x14ac:dyDescent="0.25">
      <c r="A4608" s="16">
        <v>4637</v>
      </c>
      <c r="B4608" s="19" t="s">
        <v>6178</v>
      </c>
      <c r="C4608" s="19" t="s">
        <v>8293</v>
      </c>
      <c r="D4608" s="19" t="s">
        <v>8352</v>
      </c>
      <c r="E4608" s="19" t="s">
        <v>8356</v>
      </c>
    </row>
    <row r="4609" spans="1:5" x14ac:dyDescent="0.25">
      <c r="A4609" s="16">
        <v>4638</v>
      </c>
      <c r="B4609" s="19" t="s">
        <v>6178</v>
      </c>
      <c r="C4609" s="19" t="s">
        <v>8293</v>
      </c>
      <c r="D4609" s="19" t="s">
        <v>8352</v>
      </c>
      <c r="E4609" s="19" t="s">
        <v>8357</v>
      </c>
    </row>
    <row r="4610" spans="1:5" x14ac:dyDescent="0.25">
      <c r="A4610" s="16">
        <v>4639</v>
      </c>
      <c r="B4610" s="19" t="s">
        <v>6178</v>
      </c>
      <c r="C4610" s="19" t="s">
        <v>8293</v>
      </c>
      <c r="D4610" s="19" t="s">
        <v>8352</v>
      </c>
      <c r="E4610" s="19" t="s">
        <v>8358</v>
      </c>
    </row>
    <row r="4611" spans="1:5" ht="24" customHeight="1" x14ac:dyDescent="0.25">
      <c r="A4611" s="16">
        <v>4640</v>
      </c>
      <c r="B4611" s="19" t="s">
        <v>6178</v>
      </c>
      <c r="C4611" s="19" t="s">
        <v>8293</v>
      </c>
      <c r="D4611" s="19" t="s">
        <v>8352</v>
      </c>
      <c r="E4611" s="19" t="s">
        <v>8359</v>
      </c>
    </row>
    <row r="4612" spans="1:5" ht="24" customHeight="1" x14ac:dyDescent="0.25">
      <c r="A4612" s="16">
        <v>4641</v>
      </c>
      <c r="B4612" s="19" t="s">
        <v>6178</v>
      </c>
      <c r="C4612" s="19" t="s">
        <v>8293</v>
      </c>
      <c r="D4612" s="19" t="s">
        <v>8352</v>
      </c>
      <c r="E4612" s="19" t="s">
        <v>8360</v>
      </c>
    </row>
    <row r="4613" spans="1:5" x14ac:dyDescent="0.25">
      <c r="A4613" s="16">
        <v>4642</v>
      </c>
      <c r="B4613" s="19" t="s">
        <v>6178</v>
      </c>
      <c r="C4613" s="19" t="s">
        <v>8293</v>
      </c>
      <c r="D4613" s="19" t="s">
        <v>8352</v>
      </c>
      <c r="E4613" s="19" t="s">
        <v>8361</v>
      </c>
    </row>
    <row r="4614" spans="1:5" x14ac:dyDescent="0.25">
      <c r="A4614" s="16">
        <v>4643</v>
      </c>
      <c r="B4614" s="19" t="s">
        <v>6178</v>
      </c>
      <c r="C4614" s="19" t="s">
        <v>8293</v>
      </c>
      <c r="D4614" s="19" t="s">
        <v>8352</v>
      </c>
      <c r="E4614" s="19" t="s">
        <v>8362</v>
      </c>
    </row>
    <row r="4615" spans="1:5" x14ac:dyDescent="0.25">
      <c r="A4615" s="16">
        <v>4644</v>
      </c>
      <c r="B4615" s="19" t="s">
        <v>6178</v>
      </c>
      <c r="C4615" s="19" t="s">
        <v>8293</v>
      </c>
      <c r="D4615" s="19" t="s">
        <v>8352</v>
      </c>
      <c r="E4615" s="19" t="s">
        <v>8363</v>
      </c>
    </row>
    <row r="4616" spans="1:5" ht="24" customHeight="1" x14ac:dyDescent="0.25">
      <c r="A4616" s="16">
        <v>4645</v>
      </c>
      <c r="B4616" s="19" t="s">
        <v>6178</v>
      </c>
      <c r="C4616" s="19" t="s">
        <v>8293</v>
      </c>
      <c r="D4616" s="19" t="s">
        <v>8352</v>
      </c>
      <c r="E4616" s="19" t="s">
        <v>8364</v>
      </c>
    </row>
    <row r="4617" spans="1:5" x14ac:dyDescent="0.25">
      <c r="A4617" s="16">
        <v>4646</v>
      </c>
      <c r="B4617" s="19" t="s">
        <v>6178</v>
      </c>
      <c r="C4617" s="19" t="s">
        <v>8293</v>
      </c>
      <c r="D4617" s="19" t="s">
        <v>8365</v>
      </c>
      <c r="E4617" s="19" t="s">
        <v>8275</v>
      </c>
    </row>
    <row r="4618" spans="1:5" x14ac:dyDescent="0.25">
      <c r="A4618" s="16">
        <v>4647</v>
      </c>
      <c r="B4618" s="19" t="s">
        <v>6178</v>
      </c>
      <c r="C4618" s="19" t="s">
        <v>8293</v>
      </c>
      <c r="D4618" s="19" t="s">
        <v>8365</v>
      </c>
      <c r="E4618" s="19" t="s">
        <v>8366</v>
      </c>
    </row>
    <row r="4619" spans="1:5" ht="24" customHeight="1" x14ac:dyDescent="0.25">
      <c r="A4619" s="16">
        <v>4648</v>
      </c>
      <c r="B4619" s="19" t="s">
        <v>6178</v>
      </c>
      <c r="C4619" s="19" t="s">
        <v>8293</v>
      </c>
      <c r="D4619" s="19" t="s">
        <v>8365</v>
      </c>
      <c r="E4619" s="19" t="s">
        <v>8367</v>
      </c>
    </row>
    <row r="4620" spans="1:5" ht="24" customHeight="1" x14ac:dyDescent="0.25">
      <c r="A4620" s="16">
        <v>4649</v>
      </c>
      <c r="B4620" s="19" t="s">
        <v>6178</v>
      </c>
      <c r="C4620" s="19" t="s">
        <v>8293</v>
      </c>
      <c r="D4620" s="19" t="s">
        <v>8365</v>
      </c>
      <c r="E4620" s="19" t="s">
        <v>8368</v>
      </c>
    </row>
    <row r="4621" spans="1:5" ht="24" customHeight="1" x14ac:dyDescent="0.25">
      <c r="A4621" s="16">
        <v>4650</v>
      </c>
      <c r="B4621" s="19" t="s">
        <v>6178</v>
      </c>
      <c r="C4621" s="19" t="s">
        <v>8293</v>
      </c>
      <c r="D4621" s="19" t="s">
        <v>8365</v>
      </c>
      <c r="E4621" s="19" t="s">
        <v>8369</v>
      </c>
    </row>
    <row r="4622" spans="1:5" x14ac:dyDescent="0.25">
      <c r="A4622" s="16">
        <v>4651</v>
      </c>
      <c r="B4622" s="19" t="s">
        <v>6178</v>
      </c>
      <c r="C4622" s="19" t="s">
        <v>8293</v>
      </c>
      <c r="D4622" s="19" t="s">
        <v>8365</v>
      </c>
      <c r="E4622" s="19" t="s">
        <v>8370</v>
      </c>
    </row>
    <row r="4623" spans="1:5" ht="24" customHeight="1" x14ac:dyDescent="0.25">
      <c r="A4623" s="16">
        <v>4652</v>
      </c>
      <c r="B4623" s="19" t="s">
        <v>6178</v>
      </c>
      <c r="C4623" s="19" t="s">
        <v>8293</v>
      </c>
      <c r="D4623" s="19" t="s">
        <v>8365</v>
      </c>
      <c r="E4623" s="19" t="s">
        <v>8371</v>
      </c>
    </row>
    <row r="4624" spans="1:5" ht="24" customHeight="1" x14ac:dyDescent="0.25">
      <c r="A4624" s="16">
        <v>4653</v>
      </c>
      <c r="B4624" s="19" t="s">
        <v>6178</v>
      </c>
      <c r="C4624" s="19" t="s">
        <v>8293</v>
      </c>
      <c r="D4624" s="19" t="s">
        <v>8365</v>
      </c>
      <c r="E4624" s="19" t="s">
        <v>8372</v>
      </c>
    </row>
    <row r="4625" spans="1:5" ht="24" customHeight="1" x14ac:dyDescent="0.25">
      <c r="A4625" s="16">
        <v>4654</v>
      </c>
      <c r="B4625" s="19" t="s">
        <v>6178</v>
      </c>
      <c r="C4625" s="19" t="s">
        <v>8293</v>
      </c>
      <c r="D4625" s="19" t="s">
        <v>8365</v>
      </c>
      <c r="E4625" s="19" t="s">
        <v>8373</v>
      </c>
    </row>
    <row r="4626" spans="1:5" x14ac:dyDescent="0.25">
      <c r="A4626" s="16">
        <v>4655</v>
      </c>
      <c r="B4626" s="19" t="s">
        <v>6178</v>
      </c>
      <c r="C4626" s="19" t="s">
        <v>8293</v>
      </c>
      <c r="D4626" s="19" t="s">
        <v>8365</v>
      </c>
      <c r="E4626" s="19" t="s">
        <v>8374</v>
      </c>
    </row>
    <row r="4627" spans="1:5" ht="24" customHeight="1" x14ac:dyDescent="0.25">
      <c r="A4627" s="16">
        <v>4656</v>
      </c>
      <c r="B4627" s="19" t="s">
        <v>6178</v>
      </c>
      <c r="C4627" s="19" t="s">
        <v>8293</v>
      </c>
      <c r="D4627" s="19" t="s">
        <v>8365</v>
      </c>
      <c r="E4627" s="19" t="s">
        <v>8375</v>
      </c>
    </row>
    <row r="4628" spans="1:5" x14ac:dyDescent="0.25">
      <c r="A4628" s="16">
        <v>4657</v>
      </c>
      <c r="B4628" s="19" t="s">
        <v>6178</v>
      </c>
      <c r="C4628" s="19" t="s">
        <v>8376</v>
      </c>
      <c r="D4628" s="19" t="s">
        <v>8377</v>
      </c>
      <c r="E4628" s="19" t="s">
        <v>8378</v>
      </c>
    </row>
    <row r="4629" spans="1:5" ht="24" customHeight="1" x14ac:dyDescent="0.25">
      <c r="A4629" s="16">
        <v>4658</v>
      </c>
      <c r="B4629" s="19" t="s">
        <v>6178</v>
      </c>
      <c r="C4629" s="19" t="s">
        <v>8376</v>
      </c>
      <c r="D4629" s="19" t="s">
        <v>8377</v>
      </c>
      <c r="E4629" s="19" t="s">
        <v>8379</v>
      </c>
    </row>
    <row r="4630" spans="1:5" x14ac:dyDescent="0.25">
      <c r="A4630" s="16">
        <v>4659</v>
      </c>
      <c r="B4630" s="19" t="s">
        <v>6178</v>
      </c>
      <c r="C4630" s="19" t="s">
        <v>8376</v>
      </c>
      <c r="D4630" s="19" t="s">
        <v>8377</v>
      </c>
      <c r="E4630" s="19" t="s">
        <v>8380</v>
      </c>
    </row>
    <row r="4631" spans="1:5" x14ac:dyDescent="0.25">
      <c r="A4631" s="16">
        <v>4660</v>
      </c>
      <c r="B4631" s="19" t="s">
        <v>6178</v>
      </c>
      <c r="C4631" s="19" t="s">
        <v>8376</v>
      </c>
      <c r="D4631" s="19" t="s">
        <v>8377</v>
      </c>
      <c r="E4631" s="19" t="s">
        <v>8381</v>
      </c>
    </row>
    <row r="4632" spans="1:5" x14ac:dyDescent="0.25">
      <c r="A4632" s="16">
        <v>4661</v>
      </c>
      <c r="B4632" s="19" t="s">
        <v>6178</v>
      </c>
      <c r="C4632" s="19" t="s">
        <v>8376</v>
      </c>
      <c r="D4632" s="19" t="s">
        <v>8377</v>
      </c>
      <c r="E4632" s="19" t="s">
        <v>8382</v>
      </c>
    </row>
    <row r="4633" spans="1:5" x14ac:dyDescent="0.25">
      <c r="A4633" s="16">
        <v>4662</v>
      </c>
      <c r="B4633" s="19" t="s">
        <v>6178</v>
      </c>
      <c r="C4633" s="19" t="s">
        <v>8376</v>
      </c>
      <c r="D4633" s="19" t="s">
        <v>8377</v>
      </c>
      <c r="E4633" s="19" t="s">
        <v>8383</v>
      </c>
    </row>
    <row r="4634" spans="1:5" ht="24" customHeight="1" x14ac:dyDescent="0.25">
      <c r="A4634" s="16">
        <v>4663</v>
      </c>
      <c r="B4634" s="19" t="s">
        <v>6178</v>
      </c>
      <c r="C4634" s="19" t="s">
        <v>8376</v>
      </c>
      <c r="D4634" s="19" t="s">
        <v>8377</v>
      </c>
      <c r="E4634" s="19" t="s">
        <v>8384</v>
      </c>
    </row>
    <row r="4635" spans="1:5" x14ac:dyDescent="0.25">
      <c r="A4635" s="16">
        <v>4664</v>
      </c>
      <c r="B4635" s="19" t="s">
        <v>6178</v>
      </c>
      <c r="C4635" s="19" t="s">
        <v>8376</v>
      </c>
      <c r="D4635" s="19" t="s">
        <v>8377</v>
      </c>
      <c r="E4635" s="19" t="s">
        <v>8385</v>
      </c>
    </row>
    <row r="4636" spans="1:5" x14ac:dyDescent="0.25">
      <c r="A4636" s="16">
        <v>4665</v>
      </c>
      <c r="B4636" s="19" t="s">
        <v>6178</v>
      </c>
      <c r="C4636" s="19" t="s">
        <v>8376</v>
      </c>
      <c r="D4636" s="19" t="s">
        <v>8377</v>
      </c>
      <c r="E4636" s="19" t="s">
        <v>8386</v>
      </c>
    </row>
    <row r="4637" spans="1:5" x14ac:dyDescent="0.25">
      <c r="A4637" s="16">
        <v>4666</v>
      </c>
      <c r="B4637" s="19" t="s">
        <v>6178</v>
      </c>
      <c r="C4637" s="19" t="s">
        <v>8376</v>
      </c>
      <c r="D4637" s="19" t="s">
        <v>8377</v>
      </c>
      <c r="E4637" s="19" t="s">
        <v>8387</v>
      </c>
    </row>
    <row r="4638" spans="1:5" x14ac:dyDescent="0.25">
      <c r="A4638" s="16">
        <v>4667</v>
      </c>
      <c r="B4638" s="19" t="s">
        <v>6178</v>
      </c>
      <c r="C4638" s="19" t="s">
        <v>8376</v>
      </c>
      <c r="D4638" s="19" t="s">
        <v>8388</v>
      </c>
      <c r="E4638" s="19" t="s">
        <v>8389</v>
      </c>
    </row>
    <row r="4639" spans="1:5" ht="24" customHeight="1" x14ac:dyDescent="0.25">
      <c r="A4639" s="16">
        <v>4668</v>
      </c>
      <c r="B4639" s="19" t="s">
        <v>6178</v>
      </c>
      <c r="C4639" s="19" t="s">
        <v>8376</v>
      </c>
      <c r="D4639" s="19" t="s">
        <v>8388</v>
      </c>
      <c r="E4639" s="19" t="s">
        <v>8390</v>
      </c>
    </row>
    <row r="4640" spans="1:5" x14ac:dyDescent="0.25">
      <c r="A4640" s="16">
        <v>4669</v>
      </c>
      <c r="B4640" s="19" t="s">
        <v>6178</v>
      </c>
      <c r="C4640" s="19" t="s">
        <v>8376</v>
      </c>
      <c r="D4640" s="19" t="s">
        <v>8388</v>
      </c>
      <c r="E4640" s="19" t="s">
        <v>8391</v>
      </c>
    </row>
    <row r="4641" spans="1:5" ht="24" customHeight="1" x14ac:dyDescent="0.25">
      <c r="A4641" s="16">
        <v>4670</v>
      </c>
      <c r="B4641" s="19" t="s">
        <v>6178</v>
      </c>
      <c r="C4641" s="19" t="s">
        <v>8376</v>
      </c>
      <c r="D4641" s="19" t="s">
        <v>8388</v>
      </c>
      <c r="E4641" s="19" t="s">
        <v>8392</v>
      </c>
    </row>
    <row r="4642" spans="1:5" x14ac:dyDescent="0.25">
      <c r="A4642" s="16">
        <v>4671</v>
      </c>
      <c r="B4642" s="19" t="s">
        <v>6178</v>
      </c>
      <c r="C4642" s="19" t="s">
        <v>8376</v>
      </c>
      <c r="D4642" s="19" t="s">
        <v>8388</v>
      </c>
      <c r="E4642" s="19" t="s">
        <v>8393</v>
      </c>
    </row>
    <row r="4643" spans="1:5" ht="24" customHeight="1" x14ac:dyDescent="0.25">
      <c r="A4643" s="16">
        <v>4672</v>
      </c>
      <c r="B4643" s="19" t="s">
        <v>6178</v>
      </c>
      <c r="C4643" s="19" t="s">
        <v>8376</v>
      </c>
      <c r="D4643" s="19" t="s">
        <v>8388</v>
      </c>
      <c r="E4643" s="19" t="s">
        <v>8394</v>
      </c>
    </row>
    <row r="4644" spans="1:5" x14ac:dyDescent="0.25">
      <c r="A4644" s="16">
        <v>4673</v>
      </c>
      <c r="B4644" s="19" t="s">
        <v>6178</v>
      </c>
      <c r="C4644" s="19" t="s">
        <v>8376</v>
      </c>
      <c r="D4644" s="19" t="s">
        <v>8388</v>
      </c>
      <c r="E4644" s="19" t="s">
        <v>8395</v>
      </c>
    </row>
    <row r="4645" spans="1:5" x14ac:dyDescent="0.25">
      <c r="A4645" s="16">
        <v>4674</v>
      </c>
      <c r="B4645" s="19" t="s">
        <v>6178</v>
      </c>
      <c r="C4645" s="19" t="s">
        <v>8376</v>
      </c>
      <c r="D4645" s="19" t="s">
        <v>8388</v>
      </c>
      <c r="E4645" s="19" t="s">
        <v>8396</v>
      </c>
    </row>
    <row r="4646" spans="1:5" ht="24" customHeight="1" x14ac:dyDescent="0.25">
      <c r="A4646" s="16">
        <v>4675</v>
      </c>
      <c r="B4646" s="19" t="s">
        <v>6178</v>
      </c>
      <c r="C4646" s="19" t="s">
        <v>8376</v>
      </c>
      <c r="D4646" s="19" t="s">
        <v>8388</v>
      </c>
      <c r="E4646" s="19" t="s">
        <v>8397</v>
      </c>
    </row>
    <row r="4647" spans="1:5" x14ac:dyDescent="0.25">
      <c r="A4647" s="16">
        <v>4676</v>
      </c>
      <c r="B4647" s="19" t="s">
        <v>6178</v>
      </c>
      <c r="C4647" s="19" t="s">
        <v>8376</v>
      </c>
      <c r="D4647" s="19" t="s">
        <v>8388</v>
      </c>
      <c r="E4647" s="19" t="s">
        <v>8398</v>
      </c>
    </row>
    <row r="4648" spans="1:5" ht="24" customHeight="1" x14ac:dyDescent="0.25">
      <c r="A4648" s="16">
        <v>4677</v>
      </c>
      <c r="B4648" s="19" t="s">
        <v>6178</v>
      </c>
      <c r="C4648" s="19" t="s">
        <v>8376</v>
      </c>
      <c r="D4648" s="19" t="s">
        <v>8388</v>
      </c>
      <c r="E4648" s="19" t="s">
        <v>8399</v>
      </c>
    </row>
    <row r="4649" spans="1:5" x14ac:dyDescent="0.25">
      <c r="A4649" s="16">
        <v>4678</v>
      </c>
      <c r="B4649" s="19" t="s">
        <v>6178</v>
      </c>
      <c r="C4649" s="19" t="s">
        <v>8376</v>
      </c>
      <c r="D4649" s="19" t="s">
        <v>8388</v>
      </c>
      <c r="E4649" s="19" t="s">
        <v>8400</v>
      </c>
    </row>
    <row r="4650" spans="1:5" x14ac:dyDescent="0.25">
      <c r="A4650" s="16">
        <v>4679</v>
      </c>
      <c r="B4650" s="19" t="s">
        <v>6178</v>
      </c>
      <c r="C4650" s="19" t="s">
        <v>8376</v>
      </c>
      <c r="D4650" s="19" t="s">
        <v>8388</v>
      </c>
      <c r="E4650" s="19" t="s">
        <v>8401</v>
      </c>
    </row>
    <row r="4651" spans="1:5" ht="24" customHeight="1" x14ac:dyDescent="0.25">
      <c r="A4651" s="16">
        <v>4680</v>
      </c>
      <c r="B4651" s="19" t="s">
        <v>6178</v>
      </c>
      <c r="C4651" s="19" t="s">
        <v>8376</v>
      </c>
      <c r="D4651" s="19" t="s">
        <v>8388</v>
      </c>
      <c r="E4651" s="19" t="s">
        <v>8402</v>
      </c>
    </row>
    <row r="4652" spans="1:5" x14ac:dyDescent="0.25">
      <c r="A4652" s="16">
        <v>4681</v>
      </c>
      <c r="B4652" s="19" t="s">
        <v>6178</v>
      </c>
      <c r="C4652" s="19" t="s">
        <v>8376</v>
      </c>
      <c r="D4652" s="19" t="s">
        <v>8388</v>
      </c>
      <c r="E4652" s="19" t="s">
        <v>8403</v>
      </c>
    </row>
    <row r="4653" spans="1:5" x14ac:dyDescent="0.25">
      <c r="A4653" s="16">
        <v>4682</v>
      </c>
      <c r="B4653" s="19" t="s">
        <v>6178</v>
      </c>
      <c r="C4653" s="19" t="s">
        <v>8376</v>
      </c>
      <c r="D4653" s="19" t="s">
        <v>8388</v>
      </c>
      <c r="E4653" s="19" t="s">
        <v>8404</v>
      </c>
    </row>
    <row r="4654" spans="1:5" ht="24" customHeight="1" x14ac:dyDescent="0.25">
      <c r="A4654" s="16">
        <v>4683</v>
      </c>
      <c r="B4654" s="19" t="s">
        <v>6178</v>
      </c>
      <c r="C4654" s="19" t="s">
        <v>8376</v>
      </c>
      <c r="D4654" s="19" t="s">
        <v>8388</v>
      </c>
      <c r="E4654" s="19" t="s">
        <v>8405</v>
      </c>
    </row>
    <row r="4655" spans="1:5" x14ac:dyDescent="0.25">
      <c r="A4655" s="16">
        <v>4684</v>
      </c>
      <c r="B4655" s="19" t="s">
        <v>6178</v>
      </c>
      <c r="C4655" s="19" t="s">
        <v>8376</v>
      </c>
      <c r="D4655" s="19" t="s">
        <v>8388</v>
      </c>
      <c r="E4655" s="19" t="s">
        <v>8406</v>
      </c>
    </row>
    <row r="4656" spans="1:5" x14ac:dyDescent="0.25">
      <c r="A4656" s="16">
        <v>4685</v>
      </c>
      <c r="B4656" s="19" t="s">
        <v>6178</v>
      </c>
      <c r="C4656" s="19" t="s">
        <v>8376</v>
      </c>
      <c r="D4656" s="19" t="s">
        <v>8388</v>
      </c>
      <c r="E4656" s="19" t="s">
        <v>8407</v>
      </c>
    </row>
    <row r="4657" spans="1:5" x14ac:dyDescent="0.25">
      <c r="A4657" s="16">
        <v>4686</v>
      </c>
      <c r="B4657" s="19" t="s">
        <v>6178</v>
      </c>
      <c r="C4657" s="19" t="s">
        <v>8376</v>
      </c>
      <c r="D4657" s="19" t="s">
        <v>8376</v>
      </c>
      <c r="E4657" s="19" t="s">
        <v>8408</v>
      </c>
    </row>
    <row r="4658" spans="1:5" x14ac:dyDescent="0.25">
      <c r="A4658" s="16">
        <v>4687</v>
      </c>
      <c r="B4658" s="19" t="s">
        <v>6178</v>
      </c>
      <c r="C4658" s="19" t="s">
        <v>8376</v>
      </c>
      <c r="D4658" s="19" t="s">
        <v>8376</v>
      </c>
      <c r="E4658" s="19" t="s">
        <v>8409</v>
      </c>
    </row>
    <row r="4659" spans="1:5" x14ac:dyDescent="0.25">
      <c r="A4659" s="16">
        <v>4688</v>
      </c>
      <c r="B4659" s="19" t="s">
        <v>6178</v>
      </c>
      <c r="C4659" s="19" t="s">
        <v>8376</v>
      </c>
      <c r="D4659" s="19" t="s">
        <v>8376</v>
      </c>
      <c r="E4659" s="19" t="s">
        <v>8410</v>
      </c>
    </row>
    <row r="4660" spans="1:5" x14ac:dyDescent="0.25">
      <c r="A4660" s="16">
        <v>4689</v>
      </c>
      <c r="B4660" s="19" t="s">
        <v>6178</v>
      </c>
      <c r="C4660" s="19" t="s">
        <v>8376</v>
      </c>
      <c r="D4660" s="19" t="s">
        <v>8376</v>
      </c>
      <c r="E4660" s="19" t="s">
        <v>8411</v>
      </c>
    </row>
    <row r="4661" spans="1:5" x14ac:dyDescent="0.25">
      <c r="A4661" s="16">
        <v>4690</v>
      </c>
      <c r="B4661" s="19" t="s">
        <v>6178</v>
      </c>
      <c r="C4661" s="19" t="s">
        <v>8376</v>
      </c>
      <c r="D4661" s="19" t="s">
        <v>8376</v>
      </c>
      <c r="E4661" s="19" t="s">
        <v>8412</v>
      </c>
    </row>
    <row r="4662" spans="1:5" x14ac:dyDescent="0.25">
      <c r="A4662" s="16">
        <v>4691</v>
      </c>
      <c r="B4662" s="19" t="s">
        <v>6178</v>
      </c>
      <c r="C4662" s="19" t="s">
        <v>8376</v>
      </c>
      <c r="D4662" s="19" t="s">
        <v>8376</v>
      </c>
      <c r="E4662" s="19" t="s">
        <v>8413</v>
      </c>
    </row>
    <row r="4663" spans="1:5" x14ac:dyDescent="0.25">
      <c r="A4663" s="16">
        <v>4692</v>
      </c>
      <c r="B4663" s="19" t="s">
        <v>6178</v>
      </c>
      <c r="C4663" s="19" t="s">
        <v>8376</v>
      </c>
      <c r="D4663" s="19" t="s">
        <v>8376</v>
      </c>
      <c r="E4663" s="19" t="s">
        <v>8414</v>
      </c>
    </row>
    <row r="4664" spans="1:5" x14ac:dyDescent="0.25">
      <c r="A4664" s="16">
        <v>4693</v>
      </c>
      <c r="B4664" s="19" t="s">
        <v>6178</v>
      </c>
      <c r="C4664" s="19" t="s">
        <v>8376</v>
      </c>
      <c r="D4664" s="19" t="s">
        <v>8376</v>
      </c>
      <c r="E4664" s="19" t="s">
        <v>8415</v>
      </c>
    </row>
    <row r="4665" spans="1:5" x14ac:dyDescent="0.25">
      <c r="A4665" s="16">
        <v>4694</v>
      </c>
      <c r="B4665" s="19" t="s">
        <v>6178</v>
      </c>
      <c r="C4665" s="19" t="s">
        <v>8376</v>
      </c>
      <c r="D4665" s="19" t="s">
        <v>8376</v>
      </c>
      <c r="E4665" s="19" t="s">
        <v>8416</v>
      </c>
    </row>
    <row r="4666" spans="1:5" x14ac:dyDescent="0.25">
      <c r="A4666" s="16">
        <v>4695</v>
      </c>
      <c r="B4666" s="19" t="s">
        <v>6178</v>
      </c>
      <c r="C4666" s="19" t="s">
        <v>8376</v>
      </c>
      <c r="D4666" s="19" t="s">
        <v>8376</v>
      </c>
      <c r="E4666" s="19" t="s">
        <v>8417</v>
      </c>
    </row>
    <row r="4667" spans="1:5" x14ac:dyDescent="0.25">
      <c r="A4667" s="16">
        <v>4696</v>
      </c>
      <c r="B4667" s="19" t="s">
        <v>6178</v>
      </c>
      <c r="C4667" s="19" t="s">
        <v>8376</v>
      </c>
      <c r="D4667" s="19" t="s">
        <v>8376</v>
      </c>
      <c r="E4667" s="19" t="s">
        <v>8418</v>
      </c>
    </row>
    <row r="4668" spans="1:5" x14ac:dyDescent="0.25">
      <c r="A4668" s="16">
        <v>4697</v>
      </c>
      <c r="B4668" s="19" t="s">
        <v>6178</v>
      </c>
      <c r="C4668" s="19" t="s">
        <v>8376</v>
      </c>
      <c r="D4668" s="19" t="s">
        <v>8376</v>
      </c>
      <c r="E4668" s="19" t="s">
        <v>8419</v>
      </c>
    </row>
    <row r="4669" spans="1:5" x14ac:dyDescent="0.25">
      <c r="A4669" s="16">
        <v>4698</v>
      </c>
      <c r="B4669" s="19" t="s">
        <v>6178</v>
      </c>
      <c r="C4669" s="19" t="s">
        <v>8376</v>
      </c>
      <c r="D4669" s="19" t="s">
        <v>8376</v>
      </c>
      <c r="E4669" s="19" t="s">
        <v>8420</v>
      </c>
    </row>
    <row r="4670" spans="1:5" x14ac:dyDescent="0.25">
      <c r="A4670" s="16">
        <v>4699</v>
      </c>
      <c r="B4670" s="19" t="s">
        <v>6178</v>
      </c>
      <c r="C4670" s="19" t="s">
        <v>8376</v>
      </c>
      <c r="D4670" s="19" t="s">
        <v>8376</v>
      </c>
      <c r="E4670" s="19" t="s">
        <v>8421</v>
      </c>
    </row>
    <row r="4671" spans="1:5" x14ac:dyDescent="0.25">
      <c r="A4671" s="16">
        <v>4700</v>
      </c>
      <c r="B4671" s="19" t="s">
        <v>6178</v>
      </c>
      <c r="C4671" s="19" t="s">
        <v>8376</v>
      </c>
      <c r="D4671" s="19" t="s">
        <v>8376</v>
      </c>
      <c r="E4671" s="19" t="s">
        <v>8422</v>
      </c>
    </row>
    <row r="4672" spans="1:5" x14ac:dyDescent="0.25">
      <c r="A4672" s="16">
        <v>4701</v>
      </c>
      <c r="B4672" s="19" t="s">
        <v>6178</v>
      </c>
      <c r="C4672" s="19" t="s">
        <v>8376</v>
      </c>
      <c r="D4672" s="19" t="s">
        <v>8376</v>
      </c>
      <c r="E4672" s="19" t="s">
        <v>8423</v>
      </c>
    </row>
    <row r="4673" spans="1:5" x14ac:dyDescent="0.25">
      <c r="A4673" s="16">
        <v>4702</v>
      </c>
      <c r="B4673" s="19" t="s">
        <v>6178</v>
      </c>
      <c r="C4673" s="19" t="s">
        <v>8376</v>
      </c>
      <c r="D4673" s="19" t="s">
        <v>8376</v>
      </c>
      <c r="E4673" s="19" t="s">
        <v>8424</v>
      </c>
    </row>
    <row r="4674" spans="1:5" ht="36" customHeight="1" x14ac:dyDescent="0.25">
      <c r="A4674" s="16">
        <v>4703</v>
      </c>
      <c r="B4674" s="19" t="s">
        <v>6178</v>
      </c>
      <c r="C4674" s="19" t="s">
        <v>8376</v>
      </c>
      <c r="D4674" s="19" t="s">
        <v>8376</v>
      </c>
      <c r="E4674" s="19" t="s">
        <v>8425</v>
      </c>
    </row>
    <row r="4675" spans="1:5" ht="24" customHeight="1" x14ac:dyDescent="0.25">
      <c r="A4675" s="16">
        <v>4704</v>
      </c>
      <c r="B4675" s="19" t="s">
        <v>6178</v>
      </c>
      <c r="C4675" s="19" t="s">
        <v>8376</v>
      </c>
      <c r="D4675" s="19" t="s">
        <v>8376</v>
      </c>
      <c r="E4675" s="19" t="s">
        <v>8426</v>
      </c>
    </row>
    <row r="4676" spans="1:5" ht="24" customHeight="1" x14ac:dyDescent="0.25">
      <c r="A4676" s="16">
        <v>4705</v>
      </c>
      <c r="B4676" s="19" t="s">
        <v>6178</v>
      </c>
      <c r="C4676" s="19" t="s">
        <v>8376</v>
      </c>
      <c r="D4676" s="19" t="s">
        <v>8427</v>
      </c>
      <c r="E4676" s="19" t="s">
        <v>8428</v>
      </c>
    </row>
    <row r="4677" spans="1:5" x14ac:dyDescent="0.25">
      <c r="A4677" s="16">
        <v>4706</v>
      </c>
      <c r="B4677" s="19" t="s">
        <v>6178</v>
      </c>
      <c r="C4677" s="19" t="s">
        <v>8376</v>
      </c>
      <c r="D4677" s="19" t="s">
        <v>8427</v>
      </c>
      <c r="E4677" s="19" t="s">
        <v>8429</v>
      </c>
    </row>
    <row r="4678" spans="1:5" x14ac:dyDescent="0.25">
      <c r="A4678" s="16">
        <v>4707</v>
      </c>
      <c r="B4678" s="19" t="s">
        <v>6178</v>
      </c>
      <c r="C4678" s="19" t="s">
        <v>8376</v>
      </c>
      <c r="D4678" s="19" t="s">
        <v>8427</v>
      </c>
      <c r="E4678" s="19" t="s">
        <v>8430</v>
      </c>
    </row>
    <row r="4679" spans="1:5" ht="24" customHeight="1" x14ac:dyDescent="0.25">
      <c r="A4679" s="16">
        <v>4708</v>
      </c>
      <c r="B4679" s="19" t="s">
        <v>6178</v>
      </c>
      <c r="C4679" s="19" t="s">
        <v>8376</v>
      </c>
      <c r="D4679" s="19" t="s">
        <v>8427</v>
      </c>
      <c r="E4679" s="19" t="s">
        <v>8431</v>
      </c>
    </row>
    <row r="4680" spans="1:5" x14ac:dyDescent="0.25">
      <c r="A4680" s="16">
        <v>4709</v>
      </c>
      <c r="B4680" s="19" t="s">
        <v>6178</v>
      </c>
      <c r="C4680" s="19" t="s">
        <v>8376</v>
      </c>
      <c r="D4680" s="19" t="s">
        <v>8427</v>
      </c>
      <c r="E4680" s="19" t="s">
        <v>8432</v>
      </c>
    </row>
    <row r="4681" spans="1:5" x14ac:dyDescent="0.25">
      <c r="A4681" s="16">
        <v>4710</v>
      </c>
      <c r="B4681" s="19" t="s">
        <v>6178</v>
      </c>
      <c r="C4681" s="19" t="s">
        <v>8376</v>
      </c>
      <c r="D4681" s="19" t="s">
        <v>8427</v>
      </c>
      <c r="E4681" s="19" t="s">
        <v>8433</v>
      </c>
    </row>
    <row r="4682" spans="1:5" x14ac:dyDescent="0.25">
      <c r="A4682" s="16">
        <v>4711</v>
      </c>
      <c r="B4682" s="19" t="s">
        <v>6178</v>
      </c>
      <c r="C4682" s="19" t="s">
        <v>8376</v>
      </c>
      <c r="D4682" s="19" t="s">
        <v>8427</v>
      </c>
      <c r="E4682" s="19" t="s">
        <v>8434</v>
      </c>
    </row>
    <row r="4683" spans="1:5" x14ac:dyDescent="0.25">
      <c r="A4683" s="16">
        <v>4712</v>
      </c>
      <c r="B4683" s="19" t="s">
        <v>6178</v>
      </c>
      <c r="C4683" s="19" t="s">
        <v>8376</v>
      </c>
      <c r="D4683" s="19" t="s">
        <v>8427</v>
      </c>
      <c r="E4683" s="19" t="s">
        <v>8435</v>
      </c>
    </row>
    <row r="4684" spans="1:5" x14ac:dyDescent="0.25">
      <c r="A4684" s="16">
        <v>4713</v>
      </c>
      <c r="B4684" s="19" t="s">
        <v>6178</v>
      </c>
      <c r="C4684" s="19" t="s">
        <v>8376</v>
      </c>
      <c r="D4684" s="19" t="s">
        <v>8427</v>
      </c>
      <c r="E4684" s="19" t="s">
        <v>8436</v>
      </c>
    </row>
    <row r="4685" spans="1:5" x14ac:dyDescent="0.25">
      <c r="A4685" s="16">
        <v>4714</v>
      </c>
      <c r="B4685" s="19" t="s">
        <v>6178</v>
      </c>
      <c r="C4685" s="19" t="s">
        <v>8376</v>
      </c>
      <c r="D4685" s="19" t="s">
        <v>8427</v>
      </c>
      <c r="E4685" s="19" t="s">
        <v>8437</v>
      </c>
    </row>
    <row r="4686" spans="1:5" x14ac:dyDescent="0.25">
      <c r="A4686" s="16">
        <v>4715</v>
      </c>
      <c r="B4686" s="19" t="s">
        <v>6178</v>
      </c>
      <c r="C4686" s="19" t="s">
        <v>8376</v>
      </c>
      <c r="D4686" s="19" t="s">
        <v>8427</v>
      </c>
      <c r="E4686" s="19" t="s">
        <v>8438</v>
      </c>
    </row>
    <row r="4687" spans="1:5" x14ac:dyDescent="0.25">
      <c r="A4687" s="16">
        <v>4716</v>
      </c>
      <c r="B4687" s="19" t="s">
        <v>6178</v>
      </c>
      <c r="C4687" s="19" t="s">
        <v>8376</v>
      </c>
      <c r="D4687" s="19" t="s">
        <v>8427</v>
      </c>
      <c r="E4687" s="19" t="s">
        <v>8439</v>
      </c>
    </row>
    <row r="4688" spans="1:5" x14ac:dyDescent="0.25">
      <c r="A4688" s="16">
        <v>4717</v>
      </c>
      <c r="B4688" s="19" t="s">
        <v>6178</v>
      </c>
      <c r="C4688" s="19" t="s">
        <v>8376</v>
      </c>
      <c r="D4688" s="19" t="s">
        <v>8427</v>
      </c>
      <c r="E4688" s="19" t="s">
        <v>8440</v>
      </c>
    </row>
    <row r="4689" spans="1:5" x14ac:dyDescent="0.25">
      <c r="A4689" s="16">
        <v>4718</v>
      </c>
      <c r="B4689" s="19" t="s">
        <v>6178</v>
      </c>
      <c r="C4689" s="19" t="s">
        <v>8376</v>
      </c>
      <c r="D4689" s="19" t="s">
        <v>8427</v>
      </c>
      <c r="E4689" s="19" t="s">
        <v>8441</v>
      </c>
    </row>
    <row r="4690" spans="1:5" x14ac:dyDescent="0.25">
      <c r="A4690" s="16">
        <v>4719</v>
      </c>
      <c r="B4690" s="19" t="s">
        <v>6178</v>
      </c>
      <c r="C4690" s="19" t="s">
        <v>8376</v>
      </c>
      <c r="D4690" s="19" t="s">
        <v>8427</v>
      </c>
      <c r="E4690" s="19" t="s">
        <v>8442</v>
      </c>
    </row>
    <row r="4691" spans="1:5" x14ac:dyDescent="0.25">
      <c r="A4691" s="16">
        <v>4720</v>
      </c>
      <c r="B4691" s="19" t="s">
        <v>6178</v>
      </c>
      <c r="C4691" s="19" t="s">
        <v>8376</v>
      </c>
      <c r="D4691" s="19" t="s">
        <v>8427</v>
      </c>
      <c r="E4691" s="19" t="s">
        <v>8443</v>
      </c>
    </row>
    <row r="4692" spans="1:5" ht="24" customHeight="1" x14ac:dyDescent="0.25">
      <c r="A4692" s="16">
        <v>4721</v>
      </c>
      <c r="B4692" s="19" t="s">
        <v>6178</v>
      </c>
      <c r="C4692" s="19" t="s">
        <v>8376</v>
      </c>
      <c r="D4692" s="19" t="s">
        <v>8427</v>
      </c>
      <c r="E4692" s="19" t="s">
        <v>8444</v>
      </c>
    </row>
    <row r="4693" spans="1:5" ht="24" customHeight="1" x14ac:dyDescent="0.25">
      <c r="A4693" s="16">
        <v>4722</v>
      </c>
      <c r="B4693" s="19" t="s">
        <v>6178</v>
      </c>
      <c r="C4693" s="19" t="s">
        <v>8376</v>
      </c>
      <c r="D4693" s="19" t="s">
        <v>8427</v>
      </c>
      <c r="E4693" s="19" t="s">
        <v>8445</v>
      </c>
    </row>
    <row r="4694" spans="1:5" x14ac:dyDescent="0.25">
      <c r="A4694" s="16">
        <v>4723</v>
      </c>
      <c r="B4694" s="19" t="s">
        <v>6178</v>
      </c>
      <c r="C4694" s="19" t="s">
        <v>8376</v>
      </c>
      <c r="D4694" s="19" t="s">
        <v>8446</v>
      </c>
      <c r="E4694" s="19" t="s">
        <v>8447</v>
      </c>
    </row>
    <row r="4695" spans="1:5" ht="24" customHeight="1" x14ac:dyDescent="0.25">
      <c r="A4695" s="16">
        <v>4724</v>
      </c>
      <c r="B4695" s="19" t="s">
        <v>6178</v>
      </c>
      <c r="C4695" s="19" t="s">
        <v>8376</v>
      </c>
      <c r="D4695" s="19" t="s">
        <v>8446</v>
      </c>
      <c r="E4695" s="19" t="s">
        <v>8448</v>
      </c>
    </row>
    <row r="4696" spans="1:5" x14ac:dyDescent="0.25">
      <c r="A4696" s="16">
        <v>4725</v>
      </c>
      <c r="B4696" s="19" t="s">
        <v>6178</v>
      </c>
      <c r="C4696" s="19" t="s">
        <v>8376</v>
      </c>
      <c r="D4696" s="19" t="s">
        <v>8446</v>
      </c>
      <c r="E4696" s="19" t="s">
        <v>8449</v>
      </c>
    </row>
    <row r="4697" spans="1:5" x14ac:dyDescent="0.25">
      <c r="A4697" s="16">
        <v>4726</v>
      </c>
      <c r="B4697" s="19" t="s">
        <v>6178</v>
      </c>
      <c r="C4697" s="19" t="s">
        <v>8376</v>
      </c>
      <c r="D4697" s="19" t="s">
        <v>8446</v>
      </c>
      <c r="E4697" s="19" t="s">
        <v>8450</v>
      </c>
    </row>
    <row r="4698" spans="1:5" x14ac:dyDescent="0.25">
      <c r="A4698" s="16">
        <v>4727</v>
      </c>
      <c r="B4698" s="19" t="s">
        <v>6178</v>
      </c>
      <c r="C4698" s="19" t="s">
        <v>8376</v>
      </c>
      <c r="D4698" s="19" t="s">
        <v>8446</v>
      </c>
      <c r="E4698" s="19" t="s">
        <v>8451</v>
      </c>
    </row>
    <row r="4699" spans="1:5" x14ac:dyDescent="0.25">
      <c r="A4699" s="16">
        <v>4728</v>
      </c>
      <c r="B4699" s="19" t="s">
        <v>6178</v>
      </c>
      <c r="C4699" s="19" t="s">
        <v>8376</v>
      </c>
      <c r="D4699" s="19" t="s">
        <v>8446</v>
      </c>
      <c r="E4699" s="19" t="s">
        <v>8452</v>
      </c>
    </row>
    <row r="4700" spans="1:5" x14ac:dyDescent="0.25">
      <c r="A4700" s="16">
        <v>4729</v>
      </c>
      <c r="B4700" s="19" t="s">
        <v>6178</v>
      </c>
      <c r="C4700" s="19" t="s">
        <v>8376</v>
      </c>
      <c r="D4700" s="19" t="s">
        <v>8446</v>
      </c>
      <c r="E4700" s="19" t="s">
        <v>8453</v>
      </c>
    </row>
    <row r="4701" spans="1:5" x14ac:dyDescent="0.25">
      <c r="A4701" s="16">
        <v>4730</v>
      </c>
      <c r="B4701" s="19" t="s">
        <v>6178</v>
      </c>
      <c r="C4701" s="19" t="s">
        <v>8376</v>
      </c>
      <c r="D4701" s="19" t="s">
        <v>8454</v>
      </c>
      <c r="E4701" s="19" t="s">
        <v>8455</v>
      </c>
    </row>
    <row r="4702" spans="1:5" x14ac:dyDescent="0.25">
      <c r="A4702" s="16">
        <v>4731</v>
      </c>
      <c r="B4702" s="19" t="s">
        <v>6178</v>
      </c>
      <c r="C4702" s="19" t="s">
        <v>8376</v>
      </c>
      <c r="D4702" s="19" t="s">
        <v>8454</v>
      </c>
      <c r="E4702" s="19" t="s">
        <v>8456</v>
      </c>
    </row>
    <row r="4703" spans="1:5" x14ac:dyDescent="0.25">
      <c r="A4703" s="16">
        <v>4732</v>
      </c>
      <c r="B4703" s="19" t="s">
        <v>6178</v>
      </c>
      <c r="C4703" s="19" t="s">
        <v>8376</v>
      </c>
      <c r="D4703" s="19" t="s">
        <v>8454</v>
      </c>
      <c r="E4703" s="19" t="s">
        <v>8457</v>
      </c>
    </row>
    <row r="4704" spans="1:5" x14ac:dyDescent="0.25">
      <c r="A4704" s="16">
        <v>4733</v>
      </c>
      <c r="B4704" s="19" t="s">
        <v>6178</v>
      </c>
      <c r="C4704" s="19" t="s">
        <v>8376</v>
      </c>
      <c r="D4704" s="19" t="s">
        <v>8454</v>
      </c>
      <c r="E4704" s="19" t="s">
        <v>8458</v>
      </c>
    </row>
    <row r="4705" spans="1:5" x14ac:dyDescent="0.25">
      <c r="A4705" s="16">
        <v>4734</v>
      </c>
      <c r="B4705" s="19" t="s">
        <v>6178</v>
      </c>
      <c r="C4705" s="19" t="s">
        <v>8376</v>
      </c>
      <c r="D4705" s="19" t="s">
        <v>8454</v>
      </c>
      <c r="E4705" s="19" t="s">
        <v>8459</v>
      </c>
    </row>
    <row r="4706" spans="1:5" x14ac:dyDescent="0.25">
      <c r="A4706" s="16">
        <v>4735</v>
      </c>
      <c r="B4706" s="19" t="s">
        <v>6178</v>
      </c>
      <c r="C4706" s="19" t="s">
        <v>8376</v>
      </c>
      <c r="D4706" s="19" t="s">
        <v>8454</v>
      </c>
      <c r="E4706" s="19" t="s">
        <v>8460</v>
      </c>
    </row>
    <row r="4707" spans="1:5" x14ac:dyDescent="0.25">
      <c r="A4707" s="16">
        <v>4736</v>
      </c>
      <c r="B4707" s="19" t="s">
        <v>6178</v>
      </c>
      <c r="C4707" s="19" t="s">
        <v>8461</v>
      </c>
      <c r="D4707" s="19" t="s">
        <v>8462</v>
      </c>
      <c r="E4707" s="19" t="s">
        <v>8463</v>
      </c>
    </row>
    <row r="4708" spans="1:5" x14ac:dyDescent="0.25">
      <c r="A4708" s="16">
        <v>4737</v>
      </c>
      <c r="B4708" s="19" t="s">
        <v>6178</v>
      </c>
      <c r="C4708" s="19" t="s">
        <v>8461</v>
      </c>
      <c r="D4708" s="19" t="s">
        <v>8462</v>
      </c>
      <c r="E4708" s="19" t="s">
        <v>8464</v>
      </c>
    </row>
    <row r="4709" spans="1:5" x14ac:dyDescent="0.25">
      <c r="A4709" s="16">
        <v>4738</v>
      </c>
      <c r="B4709" s="19" t="s">
        <v>6178</v>
      </c>
      <c r="C4709" s="19" t="s">
        <v>8461</v>
      </c>
      <c r="D4709" s="19" t="s">
        <v>8462</v>
      </c>
      <c r="E4709" s="19" t="s">
        <v>8465</v>
      </c>
    </row>
    <row r="4710" spans="1:5" x14ac:dyDescent="0.25">
      <c r="A4710" s="16">
        <v>4739</v>
      </c>
      <c r="B4710" s="19" t="s">
        <v>6178</v>
      </c>
      <c r="C4710" s="19" t="s">
        <v>8461</v>
      </c>
      <c r="D4710" s="19" t="s">
        <v>8462</v>
      </c>
      <c r="E4710" s="19" t="s">
        <v>8466</v>
      </c>
    </row>
    <row r="4711" spans="1:5" x14ac:dyDescent="0.25">
      <c r="A4711" s="16">
        <v>4740</v>
      </c>
      <c r="B4711" s="19" t="s">
        <v>6178</v>
      </c>
      <c r="C4711" s="19" t="s">
        <v>8461</v>
      </c>
      <c r="D4711" s="19" t="s">
        <v>8462</v>
      </c>
      <c r="E4711" s="19" t="s">
        <v>8467</v>
      </c>
    </row>
    <row r="4712" spans="1:5" ht="24" customHeight="1" x14ac:dyDescent="0.25">
      <c r="A4712" s="16">
        <v>4741</v>
      </c>
      <c r="B4712" s="19" t="s">
        <v>6178</v>
      </c>
      <c r="C4712" s="19" t="s">
        <v>8461</v>
      </c>
      <c r="D4712" s="19" t="s">
        <v>8462</v>
      </c>
      <c r="E4712" s="19" t="s">
        <v>8468</v>
      </c>
    </row>
    <row r="4713" spans="1:5" x14ac:dyDescent="0.25">
      <c r="A4713" s="16">
        <v>4742</v>
      </c>
      <c r="B4713" s="19" t="s">
        <v>6178</v>
      </c>
      <c r="C4713" s="19" t="s">
        <v>8461</v>
      </c>
      <c r="D4713" s="19" t="s">
        <v>8462</v>
      </c>
      <c r="E4713" s="19" t="s">
        <v>8469</v>
      </c>
    </row>
    <row r="4714" spans="1:5" x14ac:dyDescent="0.25">
      <c r="A4714" s="16">
        <v>4743</v>
      </c>
      <c r="B4714" s="19" t="s">
        <v>6178</v>
      </c>
      <c r="C4714" s="19" t="s">
        <v>8461</v>
      </c>
      <c r="D4714" s="19" t="s">
        <v>8462</v>
      </c>
      <c r="E4714" s="19" t="s">
        <v>8470</v>
      </c>
    </row>
    <row r="4715" spans="1:5" x14ac:dyDescent="0.25">
      <c r="A4715" s="16">
        <v>4744</v>
      </c>
      <c r="B4715" s="19" t="s">
        <v>6178</v>
      </c>
      <c r="C4715" s="19" t="s">
        <v>8461</v>
      </c>
      <c r="D4715" s="19" t="s">
        <v>8461</v>
      </c>
      <c r="E4715" s="19" t="s">
        <v>7035</v>
      </c>
    </row>
    <row r="4716" spans="1:5" x14ac:dyDescent="0.25">
      <c r="A4716" s="16">
        <v>4745</v>
      </c>
      <c r="B4716" s="19" t="s">
        <v>6178</v>
      </c>
      <c r="C4716" s="19" t="s">
        <v>8461</v>
      </c>
      <c r="D4716" s="19" t="s">
        <v>8461</v>
      </c>
      <c r="E4716" s="19" t="s">
        <v>8471</v>
      </c>
    </row>
    <row r="4717" spans="1:5" x14ac:dyDescent="0.25">
      <c r="A4717" s="16">
        <v>4746</v>
      </c>
      <c r="B4717" s="19" t="s">
        <v>6178</v>
      </c>
      <c r="C4717" s="19" t="s">
        <v>8461</v>
      </c>
      <c r="D4717" s="19" t="s">
        <v>8461</v>
      </c>
      <c r="E4717" s="19" t="s">
        <v>8472</v>
      </c>
    </row>
    <row r="4718" spans="1:5" ht="24" customHeight="1" x14ac:dyDescent="0.25">
      <c r="A4718" s="16">
        <v>4747</v>
      </c>
      <c r="B4718" s="19" t="s">
        <v>6178</v>
      </c>
      <c r="C4718" s="19" t="s">
        <v>8461</v>
      </c>
      <c r="D4718" s="19" t="s">
        <v>8461</v>
      </c>
      <c r="E4718" s="19" t="s">
        <v>8473</v>
      </c>
    </row>
    <row r="4719" spans="1:5" x14ac:dyDescent="0.25">
      <c r="A4719" s="16">
        <v>4748</v>
      </c>
      <c r="B4719" s="19" t="s">
        <v>6178</v>
      </c>
      <c r="C4719" s="19" t="s">
        <v>8461</v>
      </c>
      <c r="D4719" s="19" t="s">
        <v>8461</v>
      </c>
      <c r="E4719" s="19" t="s">
        <v>8474</v>
      </c>
    </row>
    <row r="4720" spans="1:5" x14ac:dyDescent="0.25">
      <c r="A4720" s="16">
        <v>4749</v>
      </c>
      <c r="B4720" s="19" t="s">
        <v>6178</v>
      </c>
      <c r="C4720" s="19" t="s">
        <v>8461</v>
      </c>
      <c r="D4720" s="19" t="s">
        <v>8461</v>
      </c>
      <c r="E4720" s="19" t="s">
        <v>8475</v>
      </c>
    </row>
    <row r="4721" spans="1:5" x14ac:dyDescent="0.25">
      <c r="A4721" s="16">
        <v>4750</v>
      </c>
      <c r="B4721" s="19" t="s">
        <v>6178</v>
      </c>
      <c r="C4721" s="19" t="s">
        <v>8461</v>
      </c>
      <c r="D4721" s="19" t="s">
        <v>8461</v>
      </c>
      <c r="E4721" s="19" t="s">
        <v>8476</v>
      </c>
    </row>
    <row r="4722" spans="1:5" ht="24" customHeight="1" x14ac:dyDescent="0.25">
      <c r="A4722" s="16">
        <v>4751</v>
      </c>
      <c r="B4722" s="19" t="s">
        <v>6178</v>
      </c>
      <c r="C4722" s="19" t="s">
        <v>8461</v>
      </c>
      <c r="D4722" s="19" t="s">
        <v>8461</v>
      </c>
      <c r="E4722" s="19" t="s">
        <v>8477</v>
      </c>
    </row>
    <row r="4723" spans="1:5" ht="24" customHeight="1" x14ac:dyDescent="0.25">
      <c r="A4723" s="16">
        <v>4752</v>
      </c>
      <c r="B4723" s="19" t="s">
        <v>6178</v>
      </c>
      <c r="C4723" s="19" t="s">
        <v>8461</v>
      </c>
      <c r="D4723" s="19" t="s">
        <v>8461</v>
      </c>
      <c r="E4723" s="19" t="s">
        <v>8478</v>
      </c>
    </row>
    <row r="4724" spans="1:5" ht="24" customHeight="1" x14ac:dyDescent="0.25">
      <c r="A4724" s="16">
        <v>4753</v>
      </c>
      <c r="B4724" s="19" t="s">
        <v>6178</v>
      </c>
      <c r="C4724" s="19" t="s">
        <v>8461</v>
      </c>
      <c r="D4724" s="19" t="s">
        <v>8461</v>
      </c>
      <c r="E4724" s="19" t="s">
        <v>8479</v>
      </c>
    </row>
    <row r="4725" spans="1:5" x14ac:dyDescent="0.25">
      <c r="A4725" s="16">
        <v>4754</v>
      </c>
      <c r="B4725" s="19" t="s">
        <v>6178</v>
      </c>
      <c r="C4725" s="19" t="s">
        <v>8461</v>
      </c>
      <c r="D4725" s="19" t="s">
        <v>8461</v>
      </c>
      <c r="E4725" s="19" t="s">
        <v>8480</v>
      </c>
    </row>
    <row r="4726" spans="1:5" x14ac:dyDescent="0.25">
      <c r="A4726" s="16">
        <v>4755</v>
      </c>
      <c r="B4726" s="19" t="s">
        <v>6178</v>
      </c>
      <c r="C4726" s="19" t="s">
        <v>8461</v>
      </c>
      <c r="D4726" s="19" t="s">
        <v>8461</v>
      </c>
      <c r="E4726" s="19" t="s">
        <v>8481</v>
      </c>
    </row>
    <row r="4727" spans="1:5" x14ac:dyDescent="0.25">
      <c r="A4727" s="16">
        <v>4756</v>
      </c>
      <c r="B4727" s="19" t="s">
        <v>6178</v>
      </c>
      <c r="C4727" s="19" t="s">
        <v>8461</v>
      </c>
      <c r="D4727" s="19" t="s">
        <v>8461</v>
      </c>
      <c r="E4727" s="19" t="s">
        <v>8482</v>
      </c>
    </row>
    <row r="4728" spans="1:5" x14ac:dyDescent="0.25">
      <c r="A4728" s="16">
        <v>4757</v>
      </c>
      <c r="B4728" s="19" t="s">
        <v>6178</v>
      </c>
      <c r="C4728" s="19" t="s">
        <v>8461</v>
      </c>
      <c r="D4728" s="19" t="s">
        <v>8461</v>
      </c>
      <c r="E4728" s="19" t="s">
        <v>8483</v>
      </c>
    </row>
    <row r="4729" spans="1:5" x14ac:dyDescent="0.25">
      <c r="A4729" s="16">
        <v>4758</v>
      </c>
      <c r="B4729" s="19" t="s">
        <v>6178</v>
      </c>
      <c r="C4729" s="19" t="s">
        <v>8461</v>
      </c>
      <c r="D4729" s="19" t="s">
        <v>8461</v>
      </c>
      <c r="E4729" s="19" t="s">
        <v>8484</v>
      </c>
    </row>
    <row r="4730" spans="1:5" ht="24" customHeight="1" x14ac:dyDescent="0.25">
      <c r="A4730" s="16">
        <v>4759</v>
      </c>
      <c r="B4730" s="19" t="s">
        <v>6178</v>
      </c>
      <c r="C4730" s="19" t="s">
        <v>8461</v>
      </c>
      <c r="D4730" s="19" t="s">
        <v>8461</v>
      </c>
      <c r="E4730" s="19" t="s">
        <v>8485</v>
      </c>
    </row>
    <row r="4731" spans="1:5" x14ac:dyDescent="0.25">
      <c r="A4731" s="16">
        <v>4760</v>
      </c>
      <c r="B4731" s="19" t="s">
        <v>6178</v>
      </c>
      <c r="C4731" s="19" t="s">
        <v>8461</v>
      </c>
      <c r="D4731" s="19" t="s">
        <v>8461</v>
      </c>
      <c r="E4731" s="19" t="s">
        <v>8486</v>
      </c>
    </row>
    <row r="4732" spans="1:5" x14ac:dyDescent="0.25">
      <c r="A4732" s="16">
        <v>4761</v>
      </c>
      <c r="B4732" s="19" t="s">
        <v>6178</v>
      </c>
      <c r="C4732" s="19" t="s">
        <v>8461</v>
      </c>
      <c r="D4732" s="19" t="s">
        <v>8487</v>
      </c>
      <c r="E4732" s="19" t="s">
        <v>8488</v>
      </c>
    </row>
    <row r="4733" spans="1:5" x14ac:dyDescent="0.25">
      <c r="A4733" s="16">
        <v>4762</v>
      </c>
      <c r="B4733" s="19" t="s">
        <v>6178</v>
      </c>
      <c r="C4733" s="19" t="s">
        <v>8461</v>
      </c>
      <c r="D4733" s="19" t="s">
        <v>8487</v>
      </c>
      <c r="E4733" s="19" t="s">
        <v>8489</v>
      </c>
    </row>
    <row r="4734" spans="1:5" x14ac:dyDescent="0.25">
      <c r="A4734" s="16">
        <v>4763</v>
      </c>
      <c r="B4734" s="19" t="s">
        <v>6178</v>
      </c>
      <c r="C4734" s="19" t="s">
        <v>8461</v>
      </c>
      <c r="D4734" s="19" t="s">
        <v>8487</v>
      </c>
      <c r="E4734" s="19" t="s">
        <v>8490</v>
      </c>
    </row>
    <row r="4735" spans="1:5" x14ac:dyDescent="0.25">
      <c r="A4735" s="16">
        <v>4764</v>
      </c>
      <c r="B4735" s="19" t="s">
        <v>6178</v>
      </c>
      <c r="C4735" s="19" t="s">
        <v>8461</v>
      </c>
      <c r="D4735" s="19" t="s">
        <v>8487</v>
      </c>
      <c r="E4735" s="19" t="s">
        <v>8491</v>
      </c>
    </row>
    <row r="4736" spans="1:5" ht="24" customHeight="1" x14ac:dyDescent="0.25">
      <c r="A4736" s="16">
        <v>4765</v>
      </c>
      <c r="B4736" s="19" t="s">
        <v>6178</v>
      </c>
      <c r="C4736" s="19" t="s">
        <v>8461</v>
      </c>
      <c r="D4736" s="19" t="s">
        <v>8487</v>
      </c>
      <c r="E4736" s="19" t="s">
        <v>8492</v>
      </c>
    </row>
    <row r="4737" spans="1:5" x14ac:dyDescent="0.25">
      <c r="A4737" s="16">
        <v>4766</v>
      </c>
      <c r="B4737" s="19" t="s">
        <v>6178</v>
      </c>
      <c r="C4737" s="19" t="s">
        <v>8461</v>
      </c>
      <c r="D4737" s="19" t="s">
        <v>8487</v>
      </c>
      <c r="E4737" s="19" t="s">
        <v>8493</v>
      </c>
    </row>
    <row r="4738" spans="1:5" x14ac:dyDescent="0.25">
      <c r="A4738" s="16">
        <v>4767</v>
      </c>
      <c r="B4738" s="19" t="s">
        <v>6178</v>
      </c>
      <c r="C4738" s="19" t="s">
        <v>8461</v>
      </c>
      <c r="D4738" s="19" t="s">
        <v>8487</v>
      </c>
      <c r="E4738" s="19" t="s">
        <v>8494</v>
      </c>
    </row>
    <row r="4739" spans="1:5" x14ac:dyDescent="0.25">
      <c r="A4739" s="16">
        <v>4768</v>
      </c>
      <c r="B4739" s="19" t="s">
        <v>6178</v>
      </c>
      <c r="C4739" s="19" t="s">
        <v>8461</v>
      </c>
      <c r="D4739" s="19" t="s">
        <v>8487</v>
      </c>
      <c r="E4739" s="19" t="s">
        <v>8495</v>
      </c>
    </row>
    <row r="4740" spans="1:5" x14ac:dyDescent="0.25">
      <c r="A4740" s="16">
        <v>4769</v>
      </c>
      <c r="B4740" s="19" t="s">
        <v>6178</v>
      </c>
      <c r="C4740" s="19" t="s">
        <v>8461</v>
      </c>
      <c r="D4740" s="19" t="s">
        <v>8496</v>
      </c>
      <c r="E4740" s="19" t="s">
        <v>8497</v>
      </c>
    </row>
    <row r="4741" spans="1:5" x14ac:dyDescent="0.25">
      <c r="A4741" s="16">
        <v>4770</v>
      </c>
      <c r="B4741" s="19" t="s">
        <v>6178</v>
      </c>
      <c r="C4741" s="19" t="s">
        <v>8461</v>
      </c>
      <c r="D4741" s="19" t="s">
        <v>8496</v>
      </c>
      <c r="E4741" s="19" t="s">
        <v>8498</v>
      </c>
    </row>
    <row r="4742" spans="1:5" x14ac:dyDescent="0.25">
      <c r="A4742" s="16">
        <v>4771</v>
      </c>
      <c r="B4742" s="19" t="s">
        <v>6178</v>
      </c>
      <c r="C4742" s="19" t="s">
        <v>8461</v>
      </c>
      <c r="D4742" s="19" t="s">
        <v>8496</v>
      </c>
      <c r="E4742" s="19" t="s">
        <v>8499</v>
      </c>
    </row>
    <row r="4743" spans="1:5" x14ac:dyDescent="0.25">
      <c r="A4743" s="16">
        <v>4772</v>
      </c>
      <c r="B4743" s="19" t="s">
        <v>6178</v>
      </c>
      <c r="C4743" s="19" t="s">
        <v>8461</v>
      </c>
      <c r="D4743" s="19" t="s">
        <v>8496</v>
      </c>
      <c r="E4743" s="19" t="s">
        <v>8500</v>
      </c>
    </row>
    <row r="4744" spans="1:5" x14ac:dyDescent="0.25">
      <c r="A4744" s="16">
        <v>4773</v>
      </c>
      <c r="B4744" s="19" t="s">
        <v>6178</v>
      </c>
      <c r="C4744" s="19" t="s">
        <v>8461</v>
      </c>
      <c r="D4744" s="19" t="s">
        <v>8496</v>
      </c>
      <c r="E4744" s="19" t="s">
        <v>8501</v>
      </c>
    </row>
    <row r="4745" spans="1:5" x14ac:dyDescent="0.25">
      <c r="A4745" s="16">
        <v>4774</v>
      </c>
      <c r="B4745" s="19" t="s">
        <v>6178</v>
      </c>
      <c r="C4745" s="19" t="s">
        <v>8461</v>
      </c>
      <c r="D4745" s="19" t="s">
        <v>8496</v>
      </c>
      <c r="E4745" s="19" t="s">
        <v>8502</v>
      </c>
    </row>
    <row r="4746" spans="1:5" x14ac:dyDescent="0.25">
      <c r="A4746" s="16">
        <v>4775</v>
      </c>
      <c r="B4746" s="19" t="s">
        <v>6178</v>
      </c>
      <c r="C4746" s="19" t="s">
        <v>8461</v>
      </c>
      <c r="D4746" s="19" t="s">
        <v>8496</v>
      </c>
      <c r="E4746" s="19" t="s">
        <v>8503</v>
      </c>
    </row>
    <row r="4747" spans="1:5" x14ac:dyDescent="0.25">
      <c r="A4747" s="16">
        <v>4776</v>
      </c>
      <c r="B4747" s="19" t="s">
        <v>6178</v>
      </c>
      <c r="C4747" s="19" t="s">
        <v>8461</v>
      </c>
      <c r="D4747" s="19" t="s">
        <v>8496</v>
      </c>
      <c r="E4747" s="19" t="s">
        <v>8504</v>
      </c>
    </row>
    <row r="4748" spans="1:5" x14ac:dyDescent="0.25">
      <c r="A4748" s="16">
        <v>4777</v>
      </c>
      <c r="B4748" s="19" t="s">
        <v>6178</v>
      </c>
      <c r="C4748" s="19" t="s">
        <v>8461</v>
      </c>
      <c r="D4748" s="19" t="s">
        <v>8496</v>
      </c>
      <c r="E4748" s="19" t="s">
        <v>8505</v>
      </c>
    </row>
    <row r="4749" spans="1:5" x14ac:dyDescent="0.25">
      <c r="A4749" s="16">
        <v>4778</v>
      </c>
      <c r="B4749" s="19" t="s">
        <v>6178</v>
      </c>
      <c r="C4749" s="19" t="s">
        <v>8461</v>
      </c>
      <c r="D4749" s="19" t="s">
        <v>8496</v>
      </c>
      <c r="E4749" s="19" t="s">
        <v>8506</v>
      </c>
    </row>
    <row r="4750" spans="1:5" x14ac:dyDescent="0.25">
      <c r="A4750" s="16">
        <v>4779</v>
      </c>
      <c r="B4750" s="19" t="s">
        <v>6178</v>
      </c>
      <c r="C4750" s="19" t="s">
        <v>8461</v>
      </c>
      <c r="D4750" s="19" t="s">
        <v>8496</v>
      </c>
      <c r="E4750" s="19" t="s">
        <v>8507</v>
      </c>
    </row>
    <row r="4751" spans="1:5" x14ac:dyDescent="0.25">
      <c r="A4751" s="16">
        <v>4780</v>
      </c>
      <c r="B4751" s="19" t="s">
        <v>6178</v>
      </c>
      <c r="C4751" s="19" t="s">
        <v>8461</v>
      </c>
      <c r="D4751" s="19" t="s">
        <v>8496</v>
      </c>
      <c r="E4751" s="19" t="s">
        <v>8508</v>
      </c>
    </row>
    <row r="4752" spans="1:5" x14ac:dyDescent="0.25">
      <c r="A4752" s="16">
        <v>4781</v>
      </c>
      <c r="B4752" s="19" t="s">
        <v>6178</v>
      </c>
      <c r="C4752" s="19" t="s">
        <v>8461</v>
      </c>
      <c r="D4752" s="19" t="s">
        <v>8496</v>
      </c>
      <c r="E4752" s="19" t="s">
        <v>8168</v>
      </c>
    </row>
    <row r="4753" spans="1:5" x14ac:dyDescent="0.25">
      <c r="A4753" s="16">
        <v>4782</v>
      </c>
      <c r="B4753" s="19" t="s">
        <v>6178</v>
      </c>
      <c r="C4753" s="19" t="s">
        <v>8461</v>
      </c>
      <c r="D4753" s="19" t="s">
        <v>8496</v>
      </c>
      <c r="E4753" s="19" t="s">
        <v>8509</v>
      </c>
    </row>
    <row r="4754" spans="1:5" x14ac:dyDescent="0.25">
      <c r="A4754" s="16">
        <v>4783</v>
      </c>
      <c r="B4754" s="19" t="s">
        <v>6178</v>
      </c>
      <c r="C4754" s="19" t="s">
        <v>8461</v>
      </c>
      <c r="D4754" s="19" t="s">
        <v>8496</v>
      </c>
      <c r="E4754" s="19" t="s">
        <v>8510</v>
      </c>
    </row>
    <row r="4755" spans="1:5" ht="24" customHeight="1" x14ac:dyDescent="0.25">
      <c r="A4755" s="16">
        <v>4784</v>
      </c>
      <c r="B4755" s="19" t="s">
        <v>6178</v>
      </c>
      <c r="C4755" s="19" t="s">
        <v>8461</v>
      </c>
      <c r="D4755" s="19" t="s">
        <v>8496</v>
      </c>
      <c r="E4755" s="19" t="s">
        <v>8511</v>
      </c>
    </row>
    <row r="4756" spans="1:5" x14ac:dyDescent="0.25">
      <c r="A4756" s="16">
        <v>4785</v>
      </c>
      <c r="B4756" s="19" t="s">
        <v>6178</v>
      </c>
      <c r="C4756" s="19" t="s">
        <v>8461</v>
      </c>
      <c r="D4756" s="19" t="s">
        <v>8512</v>
      </c>
      <c r="E4756" s="19" t="s">
        <v>8513</v>
      </c>
    </row>
    <row r="4757" spans="1:5" x14ac:dyDescent="0.25">
      <c r="A4757" s="16">
        <v>4786</v>
      </c>
      <c r="B4757" s="19" t="s">
        <v>6178</v>
      </c>
      <c r="C4757" s="19" t="s">
        <v>8461</v>
      </c>
      <c r="D4757" s="19" t="s">
        <v>8512</v>
      </c>
      <c r="E4757" s="19" t="s">
        <v>8514</v>
      </c>
    </row>
    <row r="4758" spans="1:5" x14ac:dyDescent="0.25">
      <c r="A4758" s="16">
        <v>4787</v>
      </c>
      <c r="B4758" s="19" t="s">
        <v>6178</v>
      </c>
      <c r="C4758" s="19" t="s">
        <v>8461</v>
      </c>
      <c r="D4758" s="19" t="s">
        <v>8512</v>
      </c>
      <c r="E4758" s="19" t="s">
        <v>8515</v>
      </c>
    </row>
    <row r="4759" spans="1:5" x14ac:dyDescent="0.25">
      <c r="A4759" s="16">
        <v>4788</v>
      </c>
      <c r="B4759" s="19" t="s">
        <v>6178</v>
      </c>
      <c r="C4759" s="19" t="s">
        <v>8461</v>
      </c>
      <c r="D4759" s="19" t="s">
        <v>8512</v>
      </c>
      <c r="E4759" s="19" t="s">
        <v>8516</v>
      </c>
    </row>
    <row r="4760" spans="1:5" ht="24" customHeight="1" x14ac:dyDescent="0.25">
      <c r="A4760" s="16">
        <v>4789</v>
      </c>
      <c r="B4760" s="19" t="s">
        <v>6178</v>
      </c>
      <c r="C4760" s="19" t="s">
        <v>8461</v>
      </c>
      <c r="D4760" s="19" t="s">
        <v>8512</v>
      </c>
      <c r="E4760" s="19" t="s">
        <v>8517</v>
      </c>
    </row>
    <row r="4761" spans="1:5" x14ac:dyDescent="0.25">
      <c r="A4761" s="16">
        <v>4790</v>
      </c>
      <c r="B4761" s="19" t="s">
        <v>6178</v>
      </c>
      <c r="C4761" s="19" t="s">
        <v>8461</v>
      </c>
      <c r="D4761" s="19" t="s">
        <v>8512</v>
      </c>
      <c r="E4761" s="19" t="s">
        <v>8518</v>
      </c>
    </row>
    <row r="4762" spans="1:5" x14ac:dyDescent="0.25">
      <c r="A4762" s="16">
        <v>4791</v>
      </c>
      <c r="B4762" s="19" t="s">
        <v>6178</v>
      </c>
      <c r="C4762" s="19" t="s">
        <v>8461</v>
      </c>
      <c r="D4762" s="19" t="s">
        <v>8512</v>
      </c>
      <c r="E4762" s="19" t="s">
        <v>8519</v>
      </c>
    </row>
    <row r="4763" spans="1:5" x14ac:dyDescent="0.25">
      <c r="A4763" s="16">
        <v>4792</v>
      </c>
      <c r="B4763" s="19" t="s">
        <v>6178</v>
      </c>
      <c r="C4763" s="19" t="s">
        <v>8461</v>
      </c>
      <c r="D4763" s="19" t="s">
        <v>8512</v>
      </c>
      <c r="E4763" s="19" t="s">
        <v>8520</v>
      </c>
    </row>
    <row r="4764" spans="1:5" x14ac:dyDescent="0.25">
      <c r="A4764" s="16">
        <v>4793</v>
      </c>
      <c r="B4764" s="19" t="s">
        <v>6178</v>
      </c>
      <c r="C4764" s="19" t="s">
        <v>8461</v>
      </c>
      <c r="D4764" s="19" t="s">
        <v>8512</v>
      </c>
      <c r="E4764" s="19" t="s">
        <v>8521</v>
      </c>
    </row>
    <row r="4765" spans="1:5" x14ac:dyDescent="0.25">
      <c r="A4765" s="16">
        <v>4794</v>
      </c>
      <c r="B4765" s="19" t="s">
        <v>8522</v>
      </c>
      <c r="C4765" s="19" t="s">
        <v>8523</v>
      </c>
      <c r="D4765" s="19" t="s">
        <v>8524</v>
      </c>
      <c r="E4765" s="19" t="s">
        <v>8525</v>
      </c>
    </row>
    <row r="4766" spans="1:5" x14ac:dyDescent="0.25">
      <c r="A4766" s="16">
        <v>4795</v>
      </c>
      <c r="B4766" s="19" t="s">
        <v>8522</v>
      </c>
      <c r="C4766" s="19" t="s">
        <v>8523</v>
      </c>
      <c r="D4766" s="19" t="s">
        <v>8524</v>
      </c>
      <c r="E4766" s="19" t="s">
        <v>8526</v>
      </c>
    </row>
    <row r="4767" spans="1:5" x14ac:dyDescent="0.25">
      <c r="A4767" s="16">
        <v>4796</v>
      </c>
      <c r="B4767" s="19" t="s">
        <v>8522</v>
      </c>
      <c r="C4767" s="19" t="s">
        <v>8523</v>
      </c>
      <c r="D4767" s="19" t="s">
        <v>8524</v>
      </c>
      <c r="E4767" s="19" t="s">
        <v>8527</v>
      </c>
    </row>
    <row r="4768" spans="1:5" x14ac:dyDescent="0.25">
      <c r="A4768" s="16">
        <v>4797</v>
      </c>
      <c r="B4768" s="19" t="s">
        <v>8522</v>
      </c>
      <c r="C4768" s="19" t="s">
        <v>8523</v>
      </c>
      <c r="D4768" s="19" t="s">
        <v>8524</v>
      </c>
      <c r="E4768" s="19" t="s">
        <v>8528</v>
      </c>
    </row>
    <row r="4769" spans="1:5" ht="24" customHeight="1" x14ac:dyDescent="0.25">
      <c r="A4769" s="16">
        <v>4798</v>
      </c>
      <c r="B4769" s="19" t="s">
        <v>8522</v>
      </c>
      <c r="C4769" s="19" t="s">
        <v>8523</v>
      </c>
      <c r="D4769" s="19" t="s">
        <v>8524</v>
      </c>
      <c r="E4769" s="19" t="s">
        <v>8529</v>
      </c>
    </row>
    <row r="4770" spans="1:5" x14ac:dyDescent="0.25">
      <c r="A4770" s="16">
        <v>4799</v>
      </c>
      <c r="B4770" s="19" t="s">
        <v>8522</v>
      </c>
      <c r="C4770" s="19" t="s">
        <v>8523</v>
      </c>
      <c r="D4770" s="19" t="s">
        <v>8524</v>
      </c>
      <c r="E4770" s="19" t="s">
        <v>8530</v>
      </c>
    </row>
    <row r="4771" spans="1:5" ht="24" customHeight="1" x14ac:dyDescent="0.25">
      <c r="A4771" s="16">
        <v>4800</v>
      </c>
      <c r="B4771" s="19" t="s">
        <v>8522</v>
      </c>
      <c r="C4771" s="19" t="s">
        <v>8523</v>
      </c>
      <c r="D4771" s="19" t="s">
        <v>8531</v>
      </c>
      <c r="E4771" s="19" t="s">
        <v>8532</v>
      </c>
    </row>
    <row r="4772" spans="1:5" ht="24" customHeight="1" x14ac:dyDescent="0.25">
      <c r="A4772" s="16">
        <v>4801</v>
      </c>
      <c r="B4772" s="19" t="s">
        <v>8522</v>
      </c>
      <c r="C4772" s="19" t="s">
        <v>8523</v>
      </c>
      <c r="D4772" s="19" t="s">
        <v>8531</v>
      </c>
      <c r="E4772" s="19" t="s">
        <v>8533</v>
      </c>
    </row>
    <row r="4773" spans="1:5" ht="24" customHeight="1" x14ac:dyDescent="0.25">
      <c r="A4773" s="16">
        <v>4802</v>
      </c>
      <c r="B4773" s="19" t="s">
        <v>8522</v>
      </c>
      <c r="C4773" s="19" t="s">
        <v>8523</v>
      </c>
      <c r="D4773" s="19" t="s">
        <v>8531</v>
      </c>
      <c r="E4773" s="19" t="s">
        <v>8534</v>
      </c>
    </row>
    <row r="4774" spans="1:5" ht="24" customHeight="1" x14ac:dyDescent="0.25">
      <c r="A4774" s="16">
        <v>4803</v>
      </c>
      <c r="B4774" s="19" t="s">
        <v>8522</v>
      </c>
      <c r="C4774" s="19" t="s">
        <v>8523</v>
      </c>
      <c r="D4774" s="19" t="s">
        <v>8531</v>
      </c>
      <c r="E4774" s="19" t="s">
        <v>8535</v>
      </c>
    </row>
    <row r="4775" spans="1:5" ht="24" customHeight="1" x14ac:dyDescent="0.25">
      <c r="A4775" s="16">
        <v>4804</v>
      </c>
      <c r="B4775" s="19" t="s">
        <v>8522</v>
      </c>
      <c r="C4775" s="19" t="s">
        <v>8523</v>
      </c>
      <c r="D4775" s="19" t="s">
        <v>8531</v>
      </c>
      <c r="E4775" s="19" t="s">
        <v>8536</v>
      </c>
    </row>
    <row r="4776" spans="1:5" x14ac:dyDescent="0.25">
      <c r="A4776" s="16">
        <v>4805</v>
      </c>
      <c r="B4776" s="19" t="s">
        <v>8522</v>
      </c>
      <c r="C4776" s="19" t="s">
        <v>8523</v>
      </c>
      <c r="D4776" s="19" t="s">
        <v>6076</v>
      </c>
      <c r="E4776" s="19" t="s">
        <v>8537</v>
      </c>
    </row>
    <row r="4777" spans="1:5" x14ac:dyDescent="0.25">
      <c r="A4777" s="16">
        <v>4806</v>
      </c>
      <c r="B4777" s="19" t="s">
        <v>8522</v>
      </c>
      <c r="C4777" s="19" t="s">
        <v>8523</v>
      </c>
      <c r="D4777" s="19" t="s">
        <v>6076</v>
      </c>
      <c r="E4777" s="19" t="s">
        <v>8538</v>
      </c>
    </row>
    <row r="4778" spans="1:5" x14ac:dyDescent="0.25">
      <c r="A4778" s="16">
        <v>4807</v>
      </c>
      <c r="B4778" s="19" t="s">
        <v>8522</v>
      </c>
      <c r="C4778" s="19" t="s">
        <v>8523</v>
      </c>
      <c r="D4778" s="19" t="s">
        <v>6076</v>
      </c>
      <c r="E4778" s="19" t="s">
        <v>8539</v>
      </c>
    </row>
    <row r="4779" spans="1:5" x14ac:dyDescent="0.25">
      <c r="A4779" s="16">
        <v>4808</v>
      </c>
      <c r="B4779" s="19" t="s">
        <v>8522</v>
      </c>
      <c r="C4779" s="19" t="s">
        <v>8523</v>
      </c>
      <c r="D4779" s="19" t="s">
        <v>6076</v>
      </c>
      <c r="E4779" s="19" t="s">
        <v>8540</v>
      </c>
    </row>
    <row r="4780" spans="1:5" ht="24" customHeight="1" x14ac:dyDescent="0.25">
      <c r="A4780" s="16">
        <v>4809</v>
      </c>
      <c r="B4780" s="19" t="s">
        <v>8522</v>
      </c>
      <c r="C4780" s="19" t="s">
        <v>8523</v>
      </c>
      <c r="D4780" s="19" t="s">
        <v>6076</v>
      </c>
      <c r="E4780" s="19" t="s">
        <v>8541</v>
      </c>
    </row>
    <row r="4781" spans="1:5" x14ac:dyDescent="0.25">
      <c r="A4781" s="16">
        <v>4810</v>
      </c>
      <c r="B4781" s="19" t="s">
        <v>8522</v>
      </c>
      <c r="C4781" s="19" t="s">
        <v>8523</v>
      </c>
      <c r="D4781" s="19" t="s">
        <v>6076</v>
      </c>
      <c r="E4781" s="19" t="s">
        <v>8542</v>
      </c>
    </row>
    <row r="4782" spans="1:5" ht="24" customHeight="1" x14ac:dyDescent="0.25">
      <c r="A4782" s="16">
        <v>4811</v>
      </c>
      <c r="B4782" s="19" t="s">
        <v>8522</v>
      </c>
      <c r="C4782" s="19" t="s">
        <v>8523</v>
      </c>
      <c r="D4782" s="19" t="s">
        <v>6076</v>
      </c>
      <c r="E4782" s="19" t="s">
        <v>8543</v>
      </c>
    </row>
    <row r="4783" spans="1:5" x14ac:dyDescent="0.25">
      <c r="A4783" s="16">
        <v>4812</v>
      </c>
      <c r="B4783" s="19" t="s">
        <v>8522</v>
      </c>
      <c r="C4783" s="19" t="s">
        <v>8523</v>
      </c>
      <c r="D4783" s="19" t="s">
        <v>8544</v>
      </c>
      <c r="E4783" s="19" t="s">
        <v>8545</v>
      </c>
    </row>
    <row r="4784" spans="1:5" x14ac:dyDescent="0.25">
      <c r="A4784" s="16">
        <v>4813</v>
      </c>
      <c r="B4784" s="19" t="s">
        <v>8522</v>
      </c>
      <c r="C4784" s="19" t="s">
        <v>8523</v>
      </c>
      <c r="D4784" s="19" t="s">
        <v>8544</v>
      </c>
      <c r="E4784" s="19" t="s">
        <v>8546</v>
      </c>
    </row>
    <row r="4785" spans="1:5" x14ac:dyDescent="0.25">
      <c r="A4785" s="16">
        <v>4814</v>
      </c>
      <c r="B4785" s="19" t="s">
        <v>8522</v>
      </c>
      <c r="C4785" s="19" t="s">
        <v>8523</v>
      </c>
      <c r="D4785" s="19" t="s">
        <v>8544</v>
      </c>
      <c r="E4785" s="19" t="s">
        <v>8547</v>
      </c>
    </row>
    <row r="4786" spans="1:5" ht="24" customHeight="1" x14ac:dyDescent="0.25">
      <c r="A4786" s="16">
        <v>4815</v>
      </c>
      <c r="B4786" s="19" t="s">
        <v>8522</v>
      </c>
      <c r="C4786" s="19" t="s">
        <v>8523</v>
      </c>
      <c r="D4786" s="19" t="s">
        <v>8544</v>
      </c>
      <c r="E4786" s="19" t="s">
        <v>8548</v>
      </c>
    </row>
    <row r="4787" spans="1:5" x14ac:dyDescent="0.25">
      <c r="A4787" s="16">
        <v>4816</v>
      </c>
      <c r="B4787" s="19" t="s">
        <v>8522</v>
      </c>
      <c r="C4787" s="19" t="s">
        <v>8523</v>
      </c>
      <c r="D4787" s="19" t="s">
        <v>8544</v>
      </c>
      <c r="E4787" s="19" t="s">
        <v>8549</v>
      </c>
    </row>
    <row r="4788" spans="1:5" x14ac:dyDescent="0.25">
      <c r="A4788" s="16">
        <v>4817</v>
      </c>
      <c r="B4788" s="19" t="s">
        <v>8522</v>
      </c>
      <c r="C4788" s="19" t="s">
        <v>8523</v>
      </c>
      <c r="D4788" s="19" t="s">
        <v>8544</v>
      </c>
      <c r="E4788" s="19" t="s">
        <v>8550</v>
      </c>
    </row>
    <row r="4789" spans="1:5" x14ac:dyDescent="0.25">
      <c r="A4789" s="16">
        <v>4818</v>
      </c>
      <c r="B4789" s="19" t="s">
        <v>8522</v>
      </c>
      <c r="C4789" s="19" t="s">
        <v>8523</v>
      </c>
      <c r="D4789" s="19" t="s">
        <v>8544</v>
      </c>
      <c r="E4789" s="19" t="s">
        <v>8551</v>
      </c>
    </row>
    <row r="4790" spans="1:5" x14ac:dyDescent="0.25">
      <c r="A4790" s="16">
        <v>4819</v>
      </c>
      <c r="B4790" s="19" t="s">
        <v>8522</v>
      </c>
      <c r="C4790" s="19" t="s">
        <v>8523</v>
      </c>
      <c r="D4790" s="19" t="s">
        <v>8552</v>
      </c>
      <c r="E4790" s="19" t="s">
        <v>8553</v>
      </c>
    </row>
    <row r="4791" spans="1:5" x14ac:dyDescent="0.25">
      <c r="A4791" s="16">
        <v>4820</v>
      </c>
      <c r="B4791" s="19" t="s">
        <v>8522</v>
      </c>
      <c r="C4791" s="19" t="s">
        <v>8523</v>
      </c>
      <c r="D4791" s="19" t="s">
        <v>8552</v>
      </c>
      <c r="E4791" s="19" t="s">
        <v>8554</v>
      </c>
    </row>
    <row r="4792" spans="1:5" x14ac:dyDescent="0.25">
      <c r="A4792" s="16">
        <v>4821</v>
      </c>
      <c r="B4792" s="19" t="s">
        <v>8522</v>
      </c>
      <c r="C4792" s="19" t="s">
        <v>8523</v>
      </c>
      <c r="D4792" s="19" t="s">
        <v>8552</v>
      </c>
      <c r="E4792" s="19" t="s">
        <v>8555</v>
      </c>
    </row>
    <row r="4793" spans="1:5" x14ac:dyDescent="0.25">
      <c r="A4793" s="16">
        <v>4822</v>
      </c>
      <c r="B4793" s="19" t="s">
        <v>8522</v>
      </c>
      <c r="C4793" s="19" t="s">
        <v>8523</v>
      </c>
      <c r="D4793" s="19" t="s">
        <v>8552</v>
      </c>
      <c r="E4793" s="19" t="s">
        <v>8556</v>
      </c>
    </row>
    <row r="4794" spans="1:5" ht="24" customHeight="1" x14ac:dyDescent="0.25">
      <c r="A4794" s="16">
        <v>4823</v>
      </c>
      <c r="B4794" s="19" t="s">
        <v>8522</v>
      </c>
      <c r="C4794" s="19" t="s">
        <v>8523</v>
      </c>
      <c r="D4794" s="19" t="s">
        <v>8557</v>
      </c>
      <c r="E4794" s="19" t="s">
        <v>8558</v>
      </c>
    </row>
    <row r="4795" spans="1:5" ht="36" customHeight="1" x14ac:dyDescent="0.25">
      <c r="A4795" s="16">
        <v>4824</v>
      </c>
      <c r="B4795" s="19" t="s">
        <v>8522</v>
      </c>
      <c r="C4795" s="19" t="s">
        <v>8523</v>
      </c>
      <c r="D4795" s="19" t="s">
        <v>8557</v>
      </c>
      <c r="E4795" s="19" t="s">
        <v>8559</v>
      </c>
    </row>
    <row r="4796" spans="1:5" x14ac:dyDescent="0.25">
      <c r="A4796" s="16">
        <v>4825</v>
      </c>
      <c r="B4796" s="19" t="s">
        <v>8522</v>
      </c>
      <c r="C4796" s="19" t="s">
        <v>8523</v>
      </c>
      <c r="D4796" s="19" t="s">
        <v>8557</v>
      </c>
      <c r="E4796" s="19" t="s">
        <v>8560</v>
      </c>
    </row>
    <row r="4797" spans="1:5" x14ac:dyDescent="0.25">
      <c r="A4797" s="16">
        <v>4826</v>
      </c>
      <c r="B4797" s="19" t="s">
        <v>8522</v>
      </c>
      <c r="C4797" s="19" t="s">
        <v>8523</v>
      </c>
      <c r="D4797" s="19" t="s">
        <v>8557</v>
      </c>
      <c r="E4797" s="19" t="s">
        <v>8561</v>
      </c>
    </row>
    <row r="4798" spans="1:5" x14ac:dyDescent="0.25">
      <c r="A4798" s="16">
        <v>4827</v>
      </c>
      <c r="B4798" s="19" t="s">
        <v>8522</v>
      </c>
      <c r="C4798" s="19" t="s">
        <v>8523</v>
      </c>
      <c r="D4798" s="19" t="s">
        <v>8557</v>
      </c>
      <c r="E4798" s="19" t="s">
        <v>8562</v>
      </c>
    </row>
    <row r="4799" spans="1:5" x14ac:dyDescent="0.25">
      <c r="A4799" s="16">
        <v>4828</v>
      </c>
      <c r="B4799" s="19" t="s">
        <v>8522</v>
      </c>
      <c r="C4799" s="19" t="s">
        <v>8523</v>
      </c>
      <c r="D4799" s="19" t="s">
        <v>8557</v>
      </c>
      <c r="E4799" s="19" t="s">
        <v>8563</v>
      </c>
    </row>
    <row r="4800" spans="1:5" x14ac:dyDescent="0.25">
      <c r="A4800" s="16">
        <v>4829</v>
      </c>
      <c r="B4800" s="19" t="s">
        <v>8522</v>
      </c>
      <c r="C4800" s="19" t="s">
        <v>8523</v>
      </c>
      <c r="D4800" s="19" t="s">
        <v>8557</v>
      </c>
      <c r="E4800" s="19" t="s">
        <v>8564</v>
      </c>
    </row>
    <row r="4801" spans="1:5" ht="24" customHeight="1" x14ac:dyDescent="0.25">
      <c r="A4801" s="16">
        <v>4830</v>
      </c>
      <c r="B4801" s="19" t="s">
        <v>8522</v>
      </c>
      <c r="C4801" s="19" t="s">
        <v>8523</v>
      </c>
      <c r="D4801" s="19" t="s">
        <v>8565</v>
      </c>
      <c r="E4801" s="19" t="s">
        <v>8566</v>
      </c>
    </row>
    <row r="4802" spans="1:5" ht="24" customHeight="1" x14ac:dyDescent="0.25">
      <c r="A4802" s="16">
        <v>4831</v>
      </c>
      <c r="B4802" s="19" t="s">
        <v>8522</v>
      </c>
      <c r="C4802" s="19" t="s">
        <v>8523</v>
      </c>
      <c r="D4802" s="19" t="s">
        <v>8565</v>
      </c>
      <c r="E4802" s="19" t="s">
        <v>8567</v>
      </c>
    </row>
    <row r="4803" spans="1:5" ht="24" customHeight="1" x14ac:dyDescent="0.25">
      <c r="A4803" s="16">
        <v>4832</v>
      </c>
      <c r="B4803" s="19" t="s">
        <v>8522</v>
      </c>
      <c r="C4803" s="19" t="s">
        <v>8523</v>
      </c>
      <c r="D4803" s="19" t="s">
        <v>8565</v>
      </c>
      <c r="E4803" s="19" t="s">
        <v>8568</v>
      </c>
    </row>
    <row r="4804" spans="1:5" ht="24" customHeight="1" x14ac:dyDescent="0.25">
      <c r="A4804" s="16">
        <v>4833</v>
      </c>
      <c r="B4804" s="19" t="s">
        <v>8522</v>
      </c>
      <c r="C4804" s="19" t="s">
        <v>8523</v>
      </c>
      <c r="D4804" s="19" t="s">
        <v>8565</v>
      </c>
      <c r="E4804" s="19" t="s">
        <v>8569</v>
      </c>
    </row>
    <row r="4805" spans="1:5" ht="24" customHeight="1" x14ac:dyDescent="0.25">
      <c r="A4805" s="16">
        <v>4834</v>
      </c>
      <c r="B4805" s="19" t="s">
        <v>8522</v>
      </c>
      <c r="C4805" s="19" t="s">
        <v>8523</v>
      </c>
      <c r="D4805" s="19" t="s">
        <v>8565</v>
      </c>
      <c r="E4805" s="19" t="s">
        <v>8570</v>
      </c>
    </row>
    <row r="4806" spans="1:5" ht="36" customHeight="1" x14ac:dyDescent="0.25">
      <c r="A4806" s="16">
        <v>4835</v>
      </c>
      <c r="B4806" s="19" t="s">
        <v>8522</v>
      </c>
      <c r="C4806" s="19" t="s">
        <v>8571</v>
      </c>
      <c r="D4806" s="19" t="s">
        <v>8572</v>
      </c>
      <c r="E4806" s="19" t="s">
        <v>8573</v>
      </c>
    </row>
    <row r="4807" spans="1:5" ht="24" customHeight="1" x14ac:dyDescent="0.25">
      <c r="A4807" s="16">
        <v>4836</v>
      </c>
      <c r="B4807" s="19" t="s">
        <v>8522</v>
      </c>
      <c r="C4807" s="19" t="s">
        <v>8571</v>
      </c>
      <c r="D4807" s="19" t="s">
        <v>8572</v>
      </c>
      <c r="E4807" s="19" t="s">
        <v>8574</v>
      </c>
    </row>
    <row r="4808" spans="1:5" ht="24" customHeight="1" x14ac:dyDescent="0.25">
      <c r="A4808" s="16">
        <v>4837</v>
      </c>
      <c r="B4808" s="19" t="s">
        <v>8522</v>
      </c>
      <c r="C4808" s="19" t="s">
        <v>8571</v>
      </c>
      <c r="D4808" s="19" t="s">
        <v>8572</v>
      </c>
      <c r="E4808" s="19" t="s">
        <v>8575</v>
      </c>
    </row>
    <row r="4809" spans="1:5" ht="24" customHeight="1" x14ac:dyDescent="0.25">
      <c r="A4809" s="16">
        <v>4838</v>
      </c>
      <c r="B4809" s="19" t="s">
        <v>8522</v>
      </c>
      <c r="C4809" s="19" t="s">
        <v>8571</v>
      </c>
      <c r="D4809" s="19" t="s">
        <v>8572</v>
      </c>
      <c r="E4809" s="19" t="s">
        <v>8576</v>
      </c>
    </row>
    <row r="4810" spans="1:5" ht="24" customHeight="1" x14ac:dyDescent="0.25">
      <c r="A4810" s="16">
        <v>4839</v>
      </c>
      <c r="B4810" s="19" t="s">
        <v>8522</v>
      </c>
      <c r="C4810" s="19" t="s">
        <v>8571</v>
      </c>
      <c r="D4810" s="19" t="s">
        <v>8572</v>
      </c>
      <c r="E4810" s="19" t="s">
        <v>8577</v>
      </c>
    </row>
    <row r="4811" spans="1:5" ht="24" customHeight="1" x14ac:dyDescent="0.25">
      <c r="A4811" s="16">
        <v>4840</v>
      </c>
      <c r="B4811" s="19" t="s">
        <v>8522</v>
      </c>
      <c r="C4811" s="19" t="s">
        <v>8571</v>
      </c>
      <c r="D4811" s="19" t="s">
        <v>8578</v>
      </c>
      <c r="E4811" s="19" t="s">
        <v>8579</v>
      </c>
    </row>
    <row r="4812" spans="1:5" ht="24" customHeight="1" x14ac:dyDescent="0.25">
      <c r="A4812" s="16">
        <v>4841</v>
      </c>
      <c r="B4812" s="19" t="s">
        <v>8522</v>
      </c>
      <c r="C4812" s="19" t="s">
        <v>8571</v>
      </c>
      <c r="D4812" s="19" t="s">
        <v>8578</v>
      </c>
      <c r="E4812" s="19" t="s">
        <v>8580</v>
      </c>
    </row>
    <row r="4813" spans="1:5" ht="24" customHeight="1" x14ac:dyDescent="0.25">
      <c r="A4813" s="16">
        <v>4842</v>
      </c>
      <c r="B4813" s="19" t="s">
        <v>8522</v>
      </c>
      <c r="C4813" s="19" t="s">
        <v>8571</v>
      </c>
      <c r="D4813" s="19" t="s">
        <v>8578</v>
      </c>
      <c r="E4813" s="19" t="s">
        <v>8581</v>
      </c>
    </row>
    <row r="4814" spans="1:5" ht="36" customHeight="1" x14ac:dyDescent="0.25">
      <c r="A4814" s="16">
        <v>4843</v>
      </c>
      <c r="B4814" s="19" t="s">
        <v>8522</v>
      </c>
      <c r="C4814" s="19" t="s">
        <v>8571</v>
      </c>
      <c r="D4814" s="19" t="s">
        <v>8571</v>
      </c>
      <c r="E4814" s="19" t="s">
        <v>8582</v>
      </c>
    </row>
    <row r="4815" spans="1:5" ht="24" customHeight="1" x14ac:dyDescent="0.25">
      <c r="A4815" s="16">
        <v>4844</v>
      </c>
      <c r="B4815" s="19" t="s">
        <v>8522</v>
      </c>
      <c r="C4815" s="19" t="s">
        <v>8571</v>
      </c>
      <c r="D4815" s="19" t="s">
        <v>8571</v>
      </c>
      <c r="E4815" s="19" t="s">
        <v>8583</v>
      </c>
    </row>
    <row r="4816" spans="1:5" ht="24" customHeight="1" x14ac:dyDescent="0.25">
      <c r="A4816" s="16">
        <v>4845</v>
      </c>
      <c r="B4816" s="19" t="s">
        <v>8522</v>
      </c>
      <c r="C4816" s="19" t="s">
        <v>8571</v>
      </c>
      <c r="D4816" s="19" t="s">
        <v>8571</v>
      </c>
      <c r="E4816" s="19" t="s">
        <v>8584</v>
      </c>
    </row>
    <row r="4817" spans="1:5" ht="24" customHeight="1" x14ac:dyDescent="0.25">
      <c r="A4817" s="16">
        <v>4846</v>
      </c>
      <c r="B4817" s="19" t="s">
        <v>8522</v>
      </c>
      <c r="C4817" s="19" t="s">
        <v>8571</v>
      </c>
      <c r="D4817" s="19" t="s">
        <v>8571</v>
      </c>
      <c r="E4817" s="19" t="s">
        <v>8585</v>
      </c>
    </row>
    <row r="4818" spans="1:5" ht="24" customHeight="1" x14ac:dyDescent="0.25">
      <c r="A4818" s="16">
        <v>4847</v>
      </c>
      <c r="B4818" s="19" t="s">
        <v>8522</v>
      </c>
      <c r="C4818" s="19" t="s">
        <v>8571</v>
      </c>
      <c r="D4818" s="19" t="s">
        <v>8571</v>
      </c>
      <c r="E4818" s="19" t="s">
        <v>8586</v>
      </c>
    </row>
    <row r="4819" spans="1:5" ht="24" customHeight="1" x14ac:dyDescent="0.25">
      <c r="A4819" s="16">
        <v>4848</v>
      </c>
      <c r="B4819" s="19" t="s">
        <v>8522</v>
      </c>
      <c r="C4819" s="19" t="s">
        <v>8571</v>
      </c>
      <c r="D4819" s="19" t="s">
        <v>8571</v>
      </c>
      <c r="E4819" s="19" t="s">
        <v>5022</v>
      </c>
    </row>
    <row r="4820" spans="1:5" ht="24" customHeight="1" x14ac:dyDescent="0.25">
      <c r="A4820" s="16">
        <v>4849</v>
      </c>
      <c r="B4820" s="19" t="s">
        <v>8522</v>
      </c>
      <c r="C4820" s="19" t="s">
        <v>8571</v>
      </c>
      <c r="D4820" s="19" t="s">
        <v>8587</v>
      </c>
      <c r="E4820" s="19" t="s">
        <v>8588</v>
      </c>
    </row>
    <row r="4821" spans="1:5" ht="24" customHeight="1" x14ac:dyDescent="0.25">
      <c r="A4821" s="16">
        <v>4850</v>
      </c>
      <c r="B4821" s="19" t="s">
        <v>8522</v>
      </c>
      <c r="C4821" s="19" t="s">
        <v>8571</v>
      </c>
      <c r="D4821" s="19" t="s">
        <v>8587</v>
      </c>
      <c r="E4821" s="19" t="s">
        <v>8589</v>
      </c>
    </row>
    <row r="4822" spans="1:5" ht="24" customHeight="1" x14ac:dyDescent="0.25">
      <c r="A4822" s="16">
        <v>4851</v>
      </c>
      <c r="B4822" s="19" t="s">
        <v>8522</v>
      </c>
      <c r="C4822" s="19" t="s">
        <v>8571</v>
      </c>
      <c r="D4822" s="19" t="s">
        <v>8587</v>
      </c>
      <c r="E4822" s="19" t="s">
        <v>8590</v>
      </c>
    </row>
    <row r="4823" spans="1:5" ht="24" customHeight="1" x14ac:dyDescent="0.25">
      <c r="A4823" s="16">
        <v>4852</v>
      </c>
      <c r="B4823" s="19" t="s">
        <v>8522</v>
      </c>
      <c r="C4823" s="19" t="s">
        <v>8571</v>
      </c>
      <c r="D4823" s="19" t="s">
        <v>8587</v>
      </c>
      <c r="E4823" s="19" t="s">
        <v>8591</v>
      </c>
    </row>
    <row r="4824" spans="1:5" ht="24" customHeight="1" x14ac:dyDescent="0.25">
      <c r="A4824" s="16">
        <v>4853</v>
      </c>
      <c r="B4824" s="19" t="s">
        <v>8522</v>
      </c>
      <c r="C4824" s="19" t="s">
        <v>8571</v>
      </c>
      <c r="D4824" s="19" t="s">
        <v>8587</v>
      </c>
      <c r="E4824" s="19" t="s">
        <v>8592</v>
      </c>
    </row>
    <row r="4825" spans="1:5" ht="24" customHeight="1" x14ac:dyDescent="0.25">
      <c r="A4825" s="16">
        <v>4854</v>
      </c>
      <c r="B4825" s="19" t="s">
        <v>8522</v>
      </c>
      <c r="C4825" s="19" t="s">
        <v>8571</v>
      </c>
      <c r="D4825" s="19" t="s">
        <v>8593</v>
      </c>
      <c r="E4825" s="19" t="s">
        <v>8594</v>
      </c>
    </row>
    <row r="4826" spans="1:5" ht="24" customHeight="1" x14ac:dyDescent="0.25">
      <c r="A4826" s="16">
        <v>4855</v>
      </c>
      <c r="B4826" s="19" t="s">
        <v>8522</v>
      </c>
      <c r="C4826" s="19" t="s">
        <v>8571</v>
      </c>
      <c r="D4826" s="19" t="s">
        <v>8593</v>
      </c>
      <c r="E4826" s="19" t="s">
        <v>8595</v>
      </c>
    </row>
    <row r="4827" spans="1:5" ht="24" customHeight="1" x14ac:dyDescent="0.25">
      <c r="A4827" s="16">
        <v>4856</v>
      </c>
      <c r="B4827" s="19" t="s">
        <v>8522</v>
      </c>
      <c r="C4827" s="19" t="s">
        <v>8571</v>
      </c>
      <c r="D4827" s="19" t="s">
        <v>8593</v>
      </c>
      <c r="E4827" s="19" t="s">
        <v>8596</v>
      </c>
    </row>
    <row r="4828" spans="1:5" ht="24" customHeight="1" x14ac:dyDescent="0.25">
      <c r="A4828" s="16">
        <v>4857</v>
      </c>
      <c r="B4828" s="19" t="s">
        <v>8522</v>
      </c>
      <c r="C4828" s="19" t="s">
        <v>8571</v>
      </c>
      <c r="D4828" s="19" t="s">
        <v>8593</v>
      </c>
      <c r="E4828" s="19" t="s">
        <v>6037</v>
      </c>
    </row>
    <row r="4829" spans="1:5" ht="24" customHeight="1" x14ac:dyDescent="0.25">
      <c r="A4829" s="16">
        <v>4858</v>
      </c>
      <c r="B4829" s="19" t="s">
        <v>8522</v>
      </c>
      <c r="C4829" s="19" t="s">
        <v>8571</v>
      </c>
      <c r="D4829" s="19" t="s">
        <v>8593</v>
      </c>
      <c r="E4829" s="19" t="s">
        <v>8597</v>
      </c>
    </row>
    <row r="4830" spans="1:5" ht="24" customHeight="1" x14ac:dyDescent="0.25">
      <c r="A4830" s="16">
        <v>4859</v>
      </c>
      <c r="B4830" s="19" t="s">
        <v>8522</v>
      </c>
      <c r="C4830" s="19" t="s">
        <v>8571</v>
      </c>
      <c r="D4830" s="19" t="s">
        <v>8598</v>
      </c>
      <c r="E4830" s="19" t="s">
        <v>8599</v>
      </c>
    </row>
    <row r="4831" spans="1:5" ht="24" customHeight="1" x14ac:dyDescent="0.25">
      <c r="A4831" s="16">
        <v>4860</v>
      </c>
      <c r="B4831" s="19" t="s">
        <v>8522</v>
      </c>
      <c r="C4831" s="19" t="s">
        <v>8571</v>
      </c>
      <c r="D4831" s="19" t="s">
        <v>8598</v>
      </c>
      <c r="E4831" s="19" t="s">
        <v>8600</v>
      </c>
    </row>
    <row r="4832" spans="1:5" ht="24" customHeight="1" x14ac:dyDescent="0.25">
      <c r="A4832" s="16">
        <v>4861</v>
      </c>
      <c r="B4832" s="19" t="s">
        <v>8522</v>
      </c>
      <c r="C4832" s="19" t="s">
        <v>8571</v>
      </c>
      <c r="D4832" s="19" t="s">
        <v>8598</v>
      </c>
      <c r="E4832" s="19" t="s">
        <v>8601</v>
      </c>
    </row>
    <row r="4833" spans="1:5" ht="24" customHeight="1" x14ac:dyDescent="0.25">
      <c r="A4833" s="16">
        <v>4862</v>
      </c>
      <c r="B4833" s="19" t="s">
        <v>8522</v>
      </c>
      <c r="C4833" s="19" t="s">
        <v>8571</v>
      </c>
      <c r="D4833" s="19" t="s">
        <v>8598</v>
      </c>
      <c r="E4833" s="19" t="s">
        <v>8602</v>
      </c>
    </row>
    <row r="4834" spans="1:5" ht="36" customHeight="1" x14ac:dyDescent="0.25">
      <c r="A4834" s="16">
        <v>4863</v>
      </c>
      <c r="B4834" s="19" t="s">
        <v>8522</v>
      </c>
      <c r="C4834" s="19" t="s">
        <v>8571</v>
      </c>
      <c r="D4834" s="19" t="s">
        <v>8598</v>
      </c>
      <c r="E4834" s="19" t="s">
        <v>8603</v>
      </c>
    </row>
    <row r="4835" spans="1:5" ht="24" customHeight="1" x14ac:dyDescent="0.25">
      <c r="A4835" s="16">
        <v>4864</v>
      </c>
      <c r="B4835" s="19" t="s">
        <v>8522</v>
      </c>
      <c r="C4835" s="19" t="s">
        <v>8571</v>
      </c>
      <c r="D4835" s="19" t="s">
        <v>8598</v>
      </c>
      <c r="E4835" s="19" t="s">
        <v>8604</v>
      </c>
    </row>
    <row r="4836" spans="1:5" ht="24" customHeight="1" x14ac:dyDescent="0.25">
      <c r="A4836" s="16">
        <v>4865</v>
      </c>
      <c r="B4836" s="19" t="s">
        <v>8522</v>
      </c>
      <c r="C4836" s="19" t="s">
        <v>8571</v>
      </c>
      <c r="D4836" s="19" t="s">
        <v>8598</v>
      </c>
      <c r="E4836" s="19" t="s">
        <v>8605</v>
      </c>
    </row>
    <row r="4837" spans="1:5" ht="24" customHeight="1" x14ac:dyDescent="0.25">
      <c r="A4837" s="16">
        <v>4866</v>
      </c>
      <c r="B4837" s="19" t="s">
        <v>8522</v>
      </c>
      <c r="C4837" s="19" t="s">
        <v>8571</v>
      </c>
      <c r="D4837" s="19" t="s">
        <v>8606</v>
      </c>
      <c r="E4837" s="19" t="s">
        <v>8607</v>
      </c>
    </row>
    <row r="4838" spans="1:5" ht="24" customHeight="1" x14ac:dyDescent="0.25">
      <c r="A4838" s="16">
        <v>4867</v>
      </c>
      <c r="B4838" s="19" t="s">
        <v>8522</v>
      </c>
      <c r="C4838" s="19" t="s">
        <v>8571</v>
      </c>
      <c r="D4838" s="19" t="s">
        <v>8606</v>
      </c>
      <c r="E4838" s="19" t="s">
        <v>8608</v>
      </c>
    </row>
    <row r="4839" spans="1:5" ht="24" customHeight="1" x14ac:dyDescent="0.25">
      <c r="A4839" s="16">
        <v>4868</v>
      </c>
      <c r="B4839" s="19" t="s">
        <v>8522</v>
      </c>
      <c r="C4839" s="19" t="s">
        <v>8571</v>
      </c>
      <c r="D4839" s="19" t="s">
        <v>8606</v>
      </c>
      <c r="E4839" s="19" t="s">
        <v>8609</v>
      </c>
    </row>
    <row r="4840" spans="1:5" ht="24" customHeight="1" x14ac:dyDescent="0.25">
      <c r="A4840" s="16">
        <v>4869</v>
      </c>
      <c r="B4840" s="19" t="s">
        <v>8522</v>
      </c>
      <c r="C4840" s="19" t="s">
        <v>8571</v>
      </c>
      <c r="D4840" s="19" t="s">
        <v>8606</v>
      </c>
      <c r="E4840" s="19" t="s">
        <v>8610</v>
      </c>
    </row>
    <row r="4841" spans="1:5" ht="24" customHeight="1" x14ac:dyDescent="0.25">
      <c r="A4841" s="16">
        <v>4870</v>
      </c>
      <c r="B4841" s="19" t="s">
        <v>8522</v>
      </c>
      <c r="C4841" s="19" t="s">
        <v>8571</v>
      </c>
      <c r="D4841" s="19" t="s">
        <v>8606</v>
      </c>
      <c r="E4841" s="19" t="s">
        <v>8611</v>
      </c>
    </row>
    <row r="4842" spans="1:5" ht="24" customHeight="1" x14ac:dyDescent="0.25">
      <c r="A4842" s="16">
        <v>4871</v>
      </c>
      <c r="B4842" s="19" t="s">
        <v>8522</v>
      </c>
      <c r="C4842" s="19" t="s">
        <v>8571</v>
      </c>
      <c r="D4842" s="19" t="s">
        <v>8606</v>
      </c>
      <c r="E4842" s="19" t="s">
        <v>8612</v>
      </c>
    </row>
    <row r="4843" spans="1:5" ht="24" customHeight="1" x14ac:dyDescent="0.25">
      <c r="A4843" s="16">
        <v>4872</v>
      </c>
      <c r="B4843" s="19" t="s">
        <v>8522</v>
      </c>
      <c r="C4843" s="19" t="s">
        <v>8571</v>
      </c>
      <c r="D4843" s="19" t="s">
        <v>8613</v>
      </c>
      <c r="E4843" s="19" t="s">
        <v>4683</v>
      </c>
    </row>
    <row r="4844" spans="1:5" ht="24" customHeight="1" x14ac:dyDescent="0.25">
      <c r="A4844" s="16">
        <v>4873</v>
      </c>
      <c r="B4844" s="19" t="s">
        <v>8522</v>
      </c>
      <c r="C4844" s="19" t="s">
        <v>8571</v>
      </c>
      <c r="D4844" s="19" t="s">
        <v>8613</v>
      </c>
      <c r="E4844" s="19" t="s">
        <v>8614</v>
      </c>
    </row>
    <row r="4845" spans="1:5" ht="24" customHeight="1" x14ac:dyDescent="0.25">
      <c r="A4845" s="16">
        <v>4874</v>
      </c>
      <c r="B4845" s="19" t="s">
        <v>8522</v>
      </c>
      <c r="C4845" s="19" t="s">
        <v>8571</v>
      </c>
      <c r="D4845" s="19" t="s">
        <v>8613</v>
      </c>
      <c r="E4845" s="19" t="s">
        <v>8615</v>
      </c>
    </row>
    <row r="4846" spans="1:5" ht="24" customHeight="1" x14ac:dyDescent="0.25">
      <c r="A4846" s="16">
        <v>4875</v>
      </c>
      <c r="B4846" s="19" t="s">
        <v>8522</v>
      </c>
      <c r="C4846" s="19" t="s">
        <v>8571</v>
      </c>
      <c r="D4846" s="19" t="s">
        <v>8613</v>
      </c>
      <c r="E4846" s="19" t="s">
        <v>8616</v>
      </c>
    </row>
    <row r="4847" spans="1:5" ht="24" customHeight="1" x14ac:dyDescent="0.25">
      <c r="A4847" s="16">
        <v>4876</v>
      </c>
      <c r="B4847" s="19" t="s">
        <v>8522</v>
      </c>
      <c r="C4847" s="19" t="s">
        <v>8571</v>
      </c>
      <c r="D4847" s="19" t="s">
        <v>8617</v>
      </c>
      <c r="E4847" s="19" t="s">
        <v>8618</v>
      </c>
    </row>
    <row r="4848" spans="1:5" ht="24" customHeight="1" x14ac:dyDescent="0.25">
      <c r="A4848" s="16">
        <v>4877</v>
      </c>
      <c r="B4848" s="19" t="s">
        <v>8522</v>
      </c>
      <c r="C4848" s="19" t="s">
        <v>8571</v>
      </c>
      <c r="D4848" s="19" t="s">
        <v>8617</v>
      </c>
      <c r="E4848" s="19" t="s">
        <v>8619</v>
      </c>
    </row>
    <row r="4849" spans="1:5" ht="24" customHeight="1" x14ac:dyDescent="0.25">
      <c r="A4849" s="16">
        <v>4878</v>
      </c>
      <c r="B4849" s="19" t="s">
        <v>8522</v>
      </c>
      <c r="C4849" s="19" t="s">
        <v>8571</v>
      </c>
      <c r="D4849" s="19" t="s">
        <v>8617</v>
      </c>
      <c r="E4849" s="19" t="s">
        <v>8620</v>
      </c>
    </row>
    <row r="4850" spans="1:5" ht="24" customHeight="1" x14ac:dyDescent="0.25">
      <c r="A4850" s="16">
        <v>4879</v>
      </c>
      <c r="B4850" s="19" t="s">
        <v>8522</v>
      </c>
      <c r="C4850" s="19" t="s">
        <v>8571</v>
      </c>
      <c r="D4850" s="19" t="s">
        <v>8617</v>
      </c>
      <c r="E4850" s="19" t="s">
        <v>6030</v>
      </c>
    </row>
    <row r="4851" spans="1:5" ht="24" customHeight="1" x14ac:dyDescent="0.25">
      <c r="A4851" s="16">
        <v>4880</v>
      </c>
      <c r="B4851" s="19" t="s">
        <v>8522</v>
      </c>
      <c r="C4851" s="19" t="s">
        <v>8571</v>
      </c>
      <c r="D4851" s="19" t="s">
        <v>8617</v>
      </c>
      <c r="E4851" s="19" t="s">
        <v>6500</v>
      </c>
    </row>
    <row r="4852" spans="1:5" ht="24" customHeight="1" x14ac:dyDescent="0.25">
      <c r="A4852" s="16">
        <v>4881</v>
      </c>
      <c r="B4852" s="19" t="s">
        <v>8522</v>
      </c>
      <c r="C4852" s="19" t="s">
        <v>8571</v>
      </c>
      <c r="D4852" s="19" t="s">
        <v>8617</v>
      </c>
      <c r="E4852" s="19" t="s">
        <v>8621</v>
      </c>
    </row>
    <row r="4853" spans="1:5" ht="24" customHeight="1" x14ac:dyDescent="0.25">
      <c r="A4853" s="16">
        <v>4882</v>
      </c>
      <c r="B4853" s="19" t="s">
        <v>8522</v>
      </c>
      <c r="C4853" s="19" t="s">
        <v>8571</v>
      </c>
      <c r="D4853" s="19" t="s">
        <v>8617</v>
      </c>
      <c r="E4853" s="19" t="s">
        <v>8622</v>
      </c>
    </row>
    <row r="4854" spans="1:5" ht="24" customHeight="1" x14ac:dyDescent="0.25">
      <c r="A4854" s="16">
        <v>4883</v>
      </c>
      <c r="B4854" s="19" t="s">
        <v>8522</v>
      </c>
      <c r="C4854" s="19" t="s">
        <v>8571</v>
      </c>
      <c r="D4854" s="19" t="s">
        <v>8623</v>
      </c>
      <c r="E4854" s="19" t="s">
        <v>8624</v>
      </c>
    </row>
    <row r="4855" spans="1:5" ht="24" customHeight="1" x14ac:dyDescent="0.25">
      <c r="A4855" s="16">
        <v>4884</v>
      </c>
      <c r="B4855" s="19" t="s">
        <v>8522</v>
      </c>
      <c r="C4855" s="19" t="s">
        <v>8571</v>
      </c>
      <c r="D4855" s="19" t="s">
        <v>8623</v>
      </c>
      <c r="E4855" s="19" t="s">
        <v>8625</v>
      </c>
    </row>
    <row r="4856" spans="1:5" ht="24" customHeight="1" x14ac:dyDescent="0.25">
      <c r="A4856" s="16">
        <v>4885</v>
      </c>
      <c r="B4856" s="19" t="s">
        <v>8522</v>
      </c>
      <c r="C4856" s="19" t="s">
        <v>8571</v>
      </c>
      <c r="D4856" s="19" t="s">
        <v>8623</v>
      </c>
      <c r="E4856" s="19" t="s">
        <v>8626</v>
      </c>
    </row>
    <row r="4857" spans="1:5" ht="24" customHeight="1" x14ac:dyDescent="0.25">
      <c r="A4857" s="16">
        <v>4886</v>
      </c>
      <c r="B4857" s="19" t="s">
        <v>8522</v>
      </c>
      <c r="C4857" s="19" t="s">
        <v>8571</v>
      </c>
      <c r="D4857" s="19" t="s">
        <v>8623</v>
      </c>
      <c r="E4857" s="19" t="s">
        <v>8627</v>
      </c>
    </row>
    <row r="4858" spans="1:5" ht="24" customHeight="1" x14ac:dyDescent="0.25">
      <c r="A4858" s="16">
        <v>4887</v>
      </c>
      <c r="B4858" s="19" t="s">
        <v>8522</v>
      </c>
      <c r="C4858" s="19" t="s">
        <v>8571</v>
      </c>
      <c r="D4858" s="19" t="s">
        <v>8623</v>
      </c>
      <c r="E4858" s="19" t="s">
        <v>8628</v>
      </c>
    </row>
    <row r="4859" spans="1:5" ht="24" customHeight="1" x14ac:dyDescent="0.25">
      <c r="A4859" s="16">
        <v>4888</v>
      </c>
      <c r="B4859" s="19" t="s">
        <v>8522</v>
      </c>
      <c r="C4859" s="19" t="s">
        <v>8629</v>
      </c>
      <c r="D4859" s="19" t="s">
        <v>8630</v>
      </c>
      <c r="E4859" s="19" t="s">
        <v>8631</v>
      </c>
    </row>
    <row r="4860" spans="1:5" ht="24" customHeight="1" x14ac:dyDescent="0.25">
      <c r="A4860" s="16">
        <v>4889</v>
      </c>
      <c r="B4860" s="19" t="s">
        <v>8522</v>
      </c>
      <c r="C4860" s="19" t="s">
        <v>8629</v>
      </c>
      <c r="D4860" s="19" t="s">
        <v>8630</v>
      </c>
      <c r="E4860" s="19" t="s">
        <v>8632</v>
      </c>
    </row>
    <row r="4861" spans="1:5" ht="24" customHeight="1" x14ac:dyDescent="0.25">
      <c r="A4861" s="16">
        <v>4890</v>
      </c>
      <c r="B4861" s="19" t="s">
        <v>8522</v>
      </c>
      <c r="C4861" s="19" t="s">
        <v>8629</v>
      </c>
      <c r="D4861" s="19" t="s">
        <v>8630</v>
      </c>
      <c r="E4861" s="19" t="s">
        <v>8633</v>
      </c>
    </row>
    <row r="4862" spans="1:5" ht="24" customHeight="1" x14ac:dyDescent="0.25">
      <c r="A4862" s="16">
        <v>4891</v>
      </c>
      <c r="B4862" s="19" t="s">
        <v>8522</v>
      </c>
      <c r="C4862" s="19" t="s">
        <v>8629</v>
      </c>
      <c r="D4862" s="19" t="s">
        <v>8630</v>
      </c>
      <c r="E4862" s="19" t="s">
        <v>8634</v>
      </c>
    </row>
    <row r="4863" spans="1:5" ht="24" customHeight="1" x14ac:dyDescent="0.25">
      <c r="A4863" s="16">
        <v>4892</v>
      </c>
      <c r="B4863" s="19" t="s">
        <v>8522</v>
      </c>
      <c r="C4863" s="19" t="s">
        <v>8629</v>
      </c>
      <c r="D4863" s="19" t="s">
        <v>8635</v>
      </c>
      <c r="E4863" s="19" t="s">
        <v>6252</v>
      </c>
    </row>
    <row r="4864" spans="1:5" ht="24" customHeight="1" x14ac:dyDescent="0.25">
      <c r="A4864" s="16">
        <v>4893</v>
      </c>
      <c r="B4864" s="19" t="s">
        <v>8522</v>
      </c>
      <c r="C4864" s="19" t="s">
        <v>8629</v>
      </c>
      <c r="D4864" s="19" t="s">
        <v>8635</v>
      </c>
      <c r="E4864" s="19" t="s">
        <v>8636</v>
      </c>
    </row>
    <row r="4865" spans="1:5" ht="24" customHeight="1" x14ac:dyDescent="0.25">
      <c r="A4865" s="16">
        <v>4894</v>
      </c>
      <c r="B4865" s="19" t="s">
        <v>8522</v>
      </c>
      <c r="C4865" s="19" t="s">
        <v>8629</v>
      </c>
      <c r="D4865" s="19" t="s">
        <v>8635</v>
      </c>
      <c r="E4865" s="19" t="s">
        <v>8637</v>
      </c>
    </row>
    <row r="4866" spans="1:5" ht="24" customHeight="1" x14ac:dyDescent="0.25">
      <c r="A4866" s="16">
        <v>4895</v>
      </c>
      <c r="B4866" s="19" t="s">
        <v>8522</v>
      </c>
      <c r="C4866" s="19" t="s">
        <v>8629</v>
      </c>
      <c r="D4866" s="19" t="s">
        <v>8635</v>
      </c>
      <c r="E4866" s="19" t="s">
        <v>8638</v>
      </c>
    </row>
    <row r="4867" spans="1:5" ht="24" customHeight="1" x14ac:dyDescent="0.25">
      <c r="A4867" s="16">
        <v>4896</v>
      </c>
      <c r="B4867" s="19" t="s">
        <v>8522</v>
      </c>
      <c r="C4867" s="19" t="s">
        <v>8629</v>
      </c>
      <c r="D4867" s="19" t="s">
        <v>8635</v>
      </c>
      <c r="E4867" s="19" t="s">
        <v>8628</v>
      </c>
    </row>
    <row r="4868" spans="1:5" ht="24" customHeight="1" x14ac:dyDescent="0.25">
      <c r="A4868" s="16">
        <v>4897</v>
      </c>
      <c r="B4868" s="19" t="s">
        <v>8522</v>
      </c>
      <c r="C4868" s="19" t="s">
        <v>8629</v>
      </c>
      <c r="D4868" s="19" t="s">
        <v>8635</v>
      </c>
      <c r="E4868" s="19" t="s">
        <v>8639</v>
      </c>
    </row>
    <row r="4869" spans="1:5" ht="24" customHeight="1" x14ac:dyDescent="0.25">
      <c r="A4869" s="16">
        <v>4898</v>
      </c>
      <c r="B4869" s="19" t="s">
        <v>8522</v>
      </c>
      <c r="C4869" s="19" t="s">
        <v>8629</v>
      </c>
      <c r="D4869" s="19" t="s">
        <v>8640</v>
      </c>
      <c r="E4869" s="19" t="s">
        <v>8641</v>
      </c>
    </row>
    <row r="4870" spans="1:5" x14ac:dyDescent="0.25">
      <c r="A4870" s="16">
        <v>4899</v>
      </c>
      <c r="B4870" s="19" t="s">
        <v>8522</v>
      </c>
      <c r="C4870" s="19" t="s">
        <v>8629</v>
      </c>
      <c r="D4870" s="19" t="s">
        <v>8640</v>
      </c>
      <c r="E4870" s="19" t="s">
        <v>8642</v>
      </c>
    </row>
    <row r="4871" spans="1:5" ht="24" customHeight="1" x14ac:dyDescent="0.25">
      <c r="A4871" s="16">
        <v>4900</v>
      </c>
      <c r="B4871" s="19" t="s">
        <v>8522</v>
      </c>
      <c r="C4871" s="19" t="s">
        <v>8629</v>
      </c>
      <c r="D4871" s="19" t="s">
        <v>8640</v>
      </c>
      <c r="E4871" s="19" t="s">
        <v>8643</v>
      </c>
    </row>
    <row r="4872" spans="1:5" x14ac:dyDescent="0.25">
      <c r="A4872" s="16">
        <v>4901</v>
      </c>
      <c r="B4872" s="19" t="s">
        <v>8522</v>
      </c>
      <c r="C4872" s="19" t="s">
        <v>8629</v>
      </c>
      <c r="D4872" s="19" t="s">
        <v>8640</v>
      </c>
      <c r="E4872" s="19" t="s">
        <v>7571</v>
      </c>
    </row>
    <row r="4873" spans="1:5" x14ac:dyDescent="0.25">
      <c r="A4873" s="16">
        <v>4902</v>
      </c>
      <c r="B4873" s="19" t="s">
        <v>8522</v>
      </c>
      <c r="C4873" s="19" t="s">
        <v>8629</v>
      </c>
      <c r="D4873" s="19" t="s">
        <v>8640</v>
      </c>
      <c r="E4873" s="19" t="s">
        <v>8644</v>
      </c>
    </row>
    <row r="4874" spans="1:5" ht="36" customHeight="1" x14ac:dyDescent="0.25">
      <c r="A4874" s="16">
        <v>4903</v>
      </c>
      <c r="B4874" s="19" t="s">
        <v>8522</v>
      </c>
      <c r="C4874" s="19" t="s">
        <v>8629</v>
      </c>
      <c r="D4874" s="19" t="s">
        <v>8640</v>
      </c>
      <c r="E4874" s="19" t="s">
        <v>8645</v>
      </c>
    </row>
    <row r="4875" spans="1:5" ht="24" customHeight="1" x14ac:dyDescent="0.25">
      <c r="A4875" s="16">
        <v>4904</v>
      </c>
      <c r="B4875" s="19" t="s">
        <v>8522</v>
      </c>
      <c r="C4875" s="19" t="s">
        <v>8629</v>
      </c>
      <c r="D4875" s="19" t="s">
        <v>8640</v>
      </c>
      <c r="E4875" s="19" t="s">
        <v>8646</v>
      </c>
    </row>
    <row r="4876" spans="1:5" x14ac:dyDescent="0.25">
      <c r="A4876" s="16">
        <v>4905</v>
      </c>
      <c r="B4876" s="19" t="s">
        <v>8522</v>
      </c>
      <c r="C4876" s="19" t="s">
        <v>8629</v>
      </c>
      <c r="D4876" s="19" t="s">
        <v>8640</v>
      </c>
      <c r="E4876" s="19" t="s">
        <v>8647</v>
      </c>
    </row>
    <row r="4877" spans="1:5" ht="24" customHeight="1" x14ac:dyDescent="0.25">
      <c r="A4877" s="16">
        <v>4906</v>
      </c>
      <c r="B4877" s="19" t="s">
        <v>8522</v>
      </c>
      <c r="C4877" s="19" t="s">
        <v>8629</v>
      </c>
      <c r="D4877" s="19" t="s">
        <v>8640</v>
      </c>
      <c r="E4877" s="19" t="s">
        <v>8648</v>
      </c>
    </row>
    <row r="4878" spans="1:5" ht="24" customHeight="1" x14ac:dyDescent="0.25">
      <c r="A4878" s="16">
        <v>4907</v>
      </c>
      <c r="B4878" s="19" t="s">
        <v>8522</v>
      </c>
      <c r="C4878" s="19" t="s">
        <v>8629</v>
      </c>
      <c r="D4878" s="19" t="s">
        <v>8640</v>
      </c>
      <c r="E4878" s="19" t="s">
        <v>8649</v>
      </c>
    </row>
    <row r="4879" spans="1:5" x14ac:dyDescent="0.25">
      <c r="A4879" s="16">
        <v>4908</v>
      </c>
      <c r="B4879" s="19" t="s">
        <v>8522</v>
      </c>
      <c r="C4879" s="19" t="s">
        <v>8629</v>
      </c>
      <c r="D4879" s="19" t="s">
        <v>8640</v>
      </c>
      <c r="E4879" s="19" t="s">
        <v>8650</v>
      </c>
    </row>
    <row r="4880" spans="1:5" x14ac:dyDescent="0.25">
      <c r="A4880" s="16">
        <v>4909</v>
      </c>
      <c r="B4880" s="19" t="s">
        <v>8522</v>
      </c>
      <c r="C4880" s="19" t="s">
        <v>8629</v>
      </c>
      <c r="D4880" s="19" t="s">
        <v>8640</v>
      </c>
      <c r="E4880" s="19" t="s">
        <v>4795</v>
      </c>
    </row>
    <row r="4881" spans="1:5" ht="24" customHeight="1" x14ac:dyDescent="0.25">
      <c r="A4881" s="16">
        <v>4910</v>
      </c>
      <c r="B4881" s="19" t="s">
        <v>8522</v>
      </c>
      <c r="C4881" s="19" t="s">
        <v>8629</v>
      </c>
      <c r="D4881" s="19" t="s">
        <v>8651</v>
      </c>
      <c r="E4881" s="19" t="s">
        <v>8652</v>
      </c>
    </row>
    <row r="4882" spans="1:5" ht="24" customHeight="1" x14ac:dyDescent="0.25">
      <c r="A4882" s="16">
        <v>4911</v>
      </c>
      <c r="B4882" s="19" t="s">
        <v>8522</v>
      </c>
      <c r="C4882" s="19" t="s">
        <v>8629</v>
      </c>
      <c r="D4882" s="19" t="s">
        <v>8651</v>
      </c>
      <c r="E4882" s="19" t="s">
        <v>8653</v>
      </c>
    </row>
    <row r="4883" spans="1:5" ht="24" customHeight="1" x14ac:dyDescent="0.25">
      <c r="A4883" s="16">
        <v>4912</v>
      </c>
      <c r="B4883" s="19" t="s">
        <v>8522</v>
      </c>
      <c r="C4883" s="19" t="s">
        <v>8629</v>
      </c>
      <c r="D4883" s="19" t="s">
        <v>8651</v>
      </c>
      <c r="E4883" s="19" t="s">
        <v>8654</v>
      </c>
    </row>
    <row r="4884" spans="1:5" x14ac:dyDescent="0.25">
      <c r="A4884" s="16">
        <v>4913</v>
      </c>
      <c r="B4884" s="19" t="s">
        <v>8522</v>
      </c>
      <c r="C4884" s="19" t="s">
        <v>8629</v>
      </c>
      <c r="D4884" s="19" t="s">
        <v>8651</v>
      </c>
      <c r="E4884" s="19" t="s">
        <v>8655</v>
      </c>
    </row>
    <row r="4885" spans="1:5" ht="24" customHeight="1" x14ac:dyDescent="0.25">
      <c r="A4885" s="16">
        <v>4914</v>
      </c>
      <c r="B4885" s="19" t="s">
        <v>8522</v>
      </c>
      <c r="C4885" s="19" t="s">
        <v>8629</v>
      </c>
      <c r="D4885" s="19" t="s">
        <v>8651</v>
      </c>
      <c r="E4885" s="19" t="s">
        <v>8656</v>
      </c>
    </row>
    <row r="4886" spans="1:5" x14ac:dyDescent="0.25">
      <c r="A4886" s="16">
        <v>4915</v>
      </c>
      <c r="B4886" s="19" t="s">
        <v>8522</v>
      </c>
      <c r="C4886" s="19" t="s">
        <v>8629</v>
      </c>
      <c r="D4886" s="19" t="s">
        <v>8651</v>
      </c>
      <c r="E4886" s="19" t="s">
        <v>8657</v>
      </c>
    </row>
    <row r="4887" spans="1:5" x14ac:dyDescent="0.25">
      <c r="A4887" s="16">
        <v>4916</v>
      </c>
      <c r="B4887" s="19" t="s">
        <v>8522</v>
      </c>
      <c r="C4887" s="19" t="s">
        <v>8629</v>
      </c>
      <c r="D4887" s="19" t="s">
        <v>8651</v>
      </c>
      <c r="E4887" s="19" t="s">
        <v>8658</v>
      </c>
    </row>
    <row r="4888" spans="1:5" x14ac:dyDescent="0.25">
      <c r="A4888" s="16">
        <v>4917</v>
      </c>
      <c r="B4888" s="19" t="s">
        <v>8522</v>
      </c>
      <c r="C4888" s="19" t="s">
        <v>8629</v>
      </c>
      <c r="D4888" s="19" t="s">
        <v>8651</v>
      </c>
      <c r="E4888" s="19" t="s">
        <v>8659</v>
      </c>
    </row>
    <row r="4889" spans="1:5" x14ac:dyDescent="0.25">
      <c r="A4889" s="16">
        <v>4918</v>
      </c>
      <c r="B4889" s="19" t="s">
        <v>8522</v>
      </c>
      <c r="C4889" s="19" t="s">
        <v>8629</v>
      </c>
      <c r="D4889" s="19" t="s">
        <v>8651</v>
      </c>
      <c r="E4889" s="19" t="s">
        <v>8660</v>
      </c>
    </row>
    <row r="4890" spans="1:5" x14ac:dyDescent="0.25">
      <c r="A4890" s="16">
        <v>4919</v>
      </c>
      <c r="B4890" s="19" t="s">
        <v>8522</v>
      </c>
      <c r="C4890" s="19" t="s">
        <v>8629</v>
      </c>
      <c r="D4890" s="19" t="s">
        <v>8651</v>
      </c>
      <c r="E4890" s="19" t="s">
        <v>8661</v>
      </c>
    </row>
    <row r="4891" spans="1:5" x14ac:dyDescent="0.25">
      <c r="A4891" s="16">
        <v>4920</v>
      </c>
      <c r="B4891" s="19" t="s">
        <v>8522</v>
      </c>
      <c r="C4891" s="19" t="s">
        <v>8629</v>
      </c>
      <c r="D4891" s="19" t="s">
        <v>8651</v>
      </c>
      <c r="E4891" s="19" t="s">
        <v>8662</v>
      </c>
    </row>
    <row r="4892" spans="1:5" ht="24" customHeight="1" x14ac:dyDescent="0.25">
      <c r="A4892" s="16">
        <v>4921</v>
      </c>
      <c r="B4892" s="19" t="s">
        <v>8522</v>
      </c>
      <c r="C4892" s="19" t="s">
        <v>8629</v>
      </c>
      <c r="D4892" s="19" t="s">
        <v>8651</v>
      </c>
      <c r="E4892" s="19" t="s">
        <v>8663</v>
      </c>
    </row>
    <row r="4893" spans="1:5" ht="24" customHeight="1" x14ac:dyDescent="0.25">
      <c r="A4893" s="16">
        <v>4922</v>
      </c>
      <c r="B4893" s="19" t="s">
        <v>8522</v>
      </c>
      <c r="C4893" s="19" t="s">
        <v>8629</v>
      </c>
      <c r="D4893" s="19" t="s">
        <v>8664</v>
      </c>
      <c r="E4893" s="19" t="s">
        <v>8665</v>
      </c>
    </row>
    <row r="4894" spans="1:5" ht="24" customHeight="1" x14ac:dyDescent="0.25">
      <c r="A4894" s="16">
        <v>4923</v>
      </c>
      <c r="B4894" s="19" t="s">
        <v>8522</v>
      </c>
      <c r="C4894" s="19" t="s">
        <v>8629</v>
      </c>
      <c r="D4894" s="19" t="s">
        <v>8664</v>
      </c>
      <c r="E4894" s="19" t="s">
        <v>8666</v>
      </c>
    </row>
    <row r="4895" spans="1:5" ht="24" customHeight="1" x14ac:dyDescent="0.25">
      <c r="A4895" s="16">
        <v>4924</v>
      </c>
      <c r="B4895" s="19" t="s">
        <v>8522</v>
      </c>
      <c r="C4895" s="19" t="s">
        <v>8629</v>
      </c>
      <c r="D4895" s="19" t="s">
        <v>8664</v>
      </c>
      <c r="E4895" s="19" t="s">
        <v>8667</v>
      </c>
    </row>
    <row r="4896" spans="1:5" ht="24" customHeight="1" x14ac:dyDescent="0.25">
      <c r="A4896" s="16">
        <v>4925</v>
      </c>
      <c r="B4896" s="19" t="s">
        <v>8522</v>
      </c>
      <c r="C4896" s="19" t="s">
        <v>8629</v>
      </c>
      <c r="D4896" s="19" t="s">
        <v>8668</v>
      </c>
      <c r="E4896" s="19" t="s">
        <v>8669</v>
      </c>
    </row>
    <row r="4897" spans="1:5" x14ac:dyDescent="0.25">
      <c r="A4897" s="16">
        <v>4926</v>
      </c>
      <c r="B4897" s="19" t="s">
        <v>8522</v>
      </c>
      <c r="C4897" s="19" t="s">
        <v>8629</v>
      </c>
      <c r="D4897" s="19" t="s">
        <v>8668</v>
      </c>
      <c r="E4897" s="19" t="s">
        <v>6180</v>
      </c>
    </row>
    <row r="4898" spans="1:5" x14ac:dyDescent="0.25">
      <c r="A4898" s="16">
        <v>4927</v>
      </c>
      <c r="B4898" s="19" t="s">
        <v>8522</v>
      </c>
      <c r="C4898" s="19" t="s">
        <v>8629</v>
      </c>
      <c r="D4898" s="19" t="s">
        <v>8668</v>
      </c>
      <c r="E4898" s="19" t="s">
        <v>8670</v>
      </c>
    </row>
    <row r="4899" spans="1:5" x14ac:dyDescent="0.25">
      <c r="A4899" s="16">
        <v>4928</v>
      </c>
      <c r="B4899" s="19" t="s">
        <v>8522</v>
      </c>
      <c r="C4899" s="19" t="s">
        <v>8629</v>
      </c>
      <c r="D4899" s="19" t="s">
        <v>8668</v>
      </c>
      <c r="E4899" s="19" t="s">
        <v>8671</v>
      </c>
    </row>
    <row r="4900" spans="1:5" x14ac:dyDescent="0.25">
      <c r="A4900" s="16">
        <v>4929</v>
      </c>
      <c r="B4900" s="19" t="s">
        <v>8522</v>
      </c>
      <c r="C4900" s="19" t="s">
        <v>8629</v>
      </c>
      <c r="D4900" s="19" t="s">
        <v>8672</v>
      </c>
      <c r="E4900" s="19" t="s">
        <v>8673</v>
      </c>
    </row>
    <row r="4901" spans="1:5" x14ac:dyDescent="0.25">
      <c r="A4901" s="16">
        <v>4930</v>
      </c>
      <c r="B4901" s="19" t="s">
        <v>8522</v>
      </c>
      <c r="C4901" s="19" t="s">
        <v>8629</v>
      </c>
      <c r="D4901" s="19" t="s">
        <v>8672</v>
      </c>
      <c r="E4901" s="19" t="s">
        <v>8674</v>
      </c>
    </row>
    <row r="4902" spans="1:5" x14ac:dyDescent="0.25">
      <c r="A4902" s="16">
        <v>4931</v>
      </c>
      <c r="B4902" s="19" t="s">
        <v>8522</v>
      </c>
      <c r="C4902" s="19" t="s">
        <v>8629</v>
      </c>
      <c r="D4902" s="19" t="s">
        <v>8672</v>
      </c>
      <c r="E4902" s="19" t="s">
        <v>8675</v>
      </c>
    </row>
    <row r="4903" spans="1:5" x14ac:dyDescent="0.25">
      <c r="A4903" s="16">
        <v>4932</v>
      </c>
      <c r="B4903" s="19" t="s">
        <v>8522</v>
      </c>
      <c r="C4903" s="19" t="s">
        <v>8629</v>
      </c>
      <c r="D4903" s="19" t="s">
        <v>8672</v>
      </c>
      <c r="E4903" s="19" t="s">
        <v>8676</v>
      </c>
    </row>
    <row r="4904" spans="1:5" ht="24" customHeight="1" x14ac:dyDescent="0.25">
      <c r="A4904" s="16">
        <v>4933</v>
      </c>
      <c r="B4904" s="19" t="s">
        <v>8522</v>
      </c>
      <c r="C4904" s="19" t="s">
        <v>8629</v>
      </c>
      <c r="D4904" s="19" t="s">
        <v>8672</v>
      </c>
      <c r="E4904" s="19" t="s">
        <v>8677</v>
      </c>
    </row>
    <row r="4905" spans="1:5" x14ac:dyDescent="0.25">
      <c r="A4905" s="16">
        <v>4934</v>
      </c>
      <c r="B4905" s="19" t="s">
        <v>8522</v>
      </c>
      <c r="C4905" s="19" t="s">
        <v>8629</v>
      </c>
      <c r="D4905" s="19" t="s">
        <v>8672</v>
      </c>
      <c r="E4905" s="19" t="s">
        <v>8678</v>
      </c>
    </row>
    <row r="4906" spans="1:5" x14ac:dyDescent="0.25">
      <c r="A4906" s="16">
        <v>4935</v>
      </c>
      <c r="B4906" s="19" t="s">
        <v>8522</v>
      </c>
      <c r="C4906" s="19" t="s">
        <v>8629</v>
      </c>
      <c r="D4906" s="19" t="s">
        <v>8679</v>
      </c>
      <c r="E4906" s="19" t="s">
        <v>8680</v>
      </c>
    </row>
    <row r="4907" spans="1:5" x14ac:dyDescent="0.25">
      <c r="A4907" s="16">
        <v>4936</v>
      </c>
      <c r="B4907" s="19" t="s">
        <v>8522</v>
      </c>
      <c r="C4907" s="19" t="s">
        <v>8629</v>
      </c>
      <c r="D4907" s="19" t="s">
        <v>8679</v>
      </c>
      <c r="E4907" s="19" t="s">
        <v>8681</v>
      </c>
    </row>
    <row r="4908" spans="1:5" x14ac:dyDescent="0.25">
      <c r="A4908" s="16">
        <v>4937</v>
      </c>
      <c r="B4908" s="19" t="s">
        <v>8522</v>
      </c>
      <c r="C4908" s="19" t="s">
        <v>8629</v>
      </c>
      <c r="D4908" s="19" t="s">
        <v>8679</v>
      </c>
      <c r="E4908" s="19" t="s">
        <v>8682</v>
      </c>
    </row>
    <row r="4909" spans="1:5" ht="24" customHeight="1" x14ac:dyDescent="0.25">
      <c r="A4909" s="16">
        <v>4938</v>
      </c>
      <c r="B4909" s="19" t="s">
        <v>8522</v>
      </c>
      <c r="C4909" s="19" t="s">
        <v>8629</v>
      </c>
      <c r="D4909" s="19" t="s">
        <v>8679</v>
      </c>
      <c r="E4909" s="19" t="s">
        <v>8683</v>
      </c>
    </row>
    <row r="4910" spans="1:5" x14ac:dyDescent="0.25">
      <c r="A4910" s="16">
        <v>4939</v>
      </c>
      <c r="B4910" s="19" t="s">
        <v>8522</v>
      </c>
      <c r="C4910" s="19" t="s">
        <v>8629</v>
      </c>
      <c r="D4910" s="19" t="s">
        <v>8679</v>
      </c>
      <c r="E4910" s="19" t="s">
        <v>8684</v>
      </c>
    </row>
    <row r="4911" spans="1:5" x14ac:dyDescent="0.25">
      <c r="A4911" s="16">
        <v>4940</v>
      </c>
      <c r="B4911" s="19" t="s">
        <v>8522</v>
      </c>
      <c r="C4911" s="19" t="s">
        <v>8629</v>
      </c>
      <c r="D4911" s="19" t="s">
        <v>8679</v>
      </c>
      <c r="E4911" s="19" t="s">
        <v>8685</v>
      </c>
    </row>
    <row r="4912" spans="1:5" x14ac:dyDescent="0.25">
      <c r="A4912" s="16">
        <v>4941</v>
      </c>
      <c r="B4912" s="19" t="s">
        <v>8522</v>
      </c>
      <c r="C4912" s="19" t="s">
        <v>8629</v>
      </c>
      <c r="D4912" s="19" t="s">
        <v>8686</v>
      </c>
      <c r="E4912" s="19" t="s">
        <v>8687</v>
      </c>
    </row>
    <row r="4913" spans="1:5" ht="24" customHeight="1" x14ac:dyDescent="0.25">
      <c r="A4913" s="16">
        <v>4942</v>
      </c>
      <c r="B4913" s="19" t="s">
        <v>8522</v>
      </c>
      <c r="C4913" s="19" t="s">
        <v>8629</v>
      </c>
      <c r="D4913" s="19" t="s">
        <v>8686</v>
      </c>
      <c r="E4913" s="19" t="s">
        <v>8688</v>
      </c>
    </row>
    <row r="4914" spans="1:5" ht="24" customHeight="1" x14ac:dyDescent="0.25">
      <c r="A4914" s="16">
        <v>4943</v>
      </c>
      <c r="B4914" s="19" t="s">
        <v>8522</v>
      </c>
      <c r="C4914" s="19" t="s">
        <v>8629</v>
      </c>
      <c r="D4914" s="19" t="s">
        <v>8686</v>
      </c>
      <c r="E4914" s="19" t="s">
        <v>8689</v>
      </c>
    </row>
    <row r="4915" spans="1:5" ht="36" customHeight="1" x14ac:dyDescent="0.25">
      <c r="A4915" s="16">
        <v>4944</v>
      </c>
      <c r="B4915" s="19" t="s">
        <v>8522</v>
      </c>
      <c r="C4915" s="19" t="s">
        <v>8629</v>
      </c>
      <c r="D4915" s="19" t="s">
        <v>8690</v>
      </c>
      <c r="E4915" s="19" t="s">
        <v>8691</v>
      </c>
    </row>
    <row r="4916" spans="1:5" x14ac:dyDescent="0.25">
      <c r="A4916" s="16">
        <v>4945</v>
      </c>
      <c r="B4916" s="19" t="s">
        <v>8522</v>
      </c>
      <c r="C4916" s="19" t="s">
        <v>8629</v>
      </c>
      <c r="D4916" s="19" t="s">
        <v>8690</v>
      </c>
      <c r="E4916" s="19" t="s">
        <v>8692</v>
      </c>
    </row>
    <row r="4917" spans="1:5" ht="36" customHeight="1" x14ac:dyDescent="0.25">
      <c r="A4917" s="16">
        <v>4946</v>
      </c>
      <c r="B4917" s="19" t="s">
        <v>8522</v>
      </c>
      <c r="C4917" s="19" t="s">
        <v>8629</v>
      </c>
      <c r="D4917" s="19" t="s">
        <v>8690</v>
      </c>
      <c r="E4917" s="19" t="s">
        <v>8693</v>
      </c>
    </row>
    <row r="4918" spans="1:5" x14ac:dyDescent="0.25">
      <c r="A4918" s="16">
        <v>4947</v>
      </c>
      <c r="B4918" s="19" t="s">
        <v>8522</v>
      </c>
      <c r="C4918" s="19" t="s">
        <v>8629</v>
      </c>
      <c r="D4918" s="19" t="s">
        <v>8690</v>
      </c>
      <c r="E4918" s="19" t="s">
        <v>8694</v>
      </c>
    </row>
    <row r="4919" spans="1:5" x14ac:dyDescent="0.25">
      <c r="A4919" s="16">
        <v>4948</v>
      </c>
      <c r="B4919" s="19" t="s">
        <v>8522</v>
      </c>
      <c r="C4919" s="19" t="s">
        <v>8629</v>
      </c>
      <c r="D4919" s="19" t="s">
        <v>8690</v>
      </c>
      <c r="E4919" s="19" t="s">
        <v>8695</v>
      </c>
    </row>
    <row r="4920" spans="1:5" x14ac:dyDescent="0.25">
      <c r="A4920" s="16">
        <v>4949</v>
      </c>
      <c r="B4920" s="19" t="s">
        <v>8522</v>
      </c>
      <c r="C4920" s="19" t="s">
        <v>8629</v>
      </c>
      <c r="D4920" s="19" t="s">
        <v>8690</v>
      </c>
      <c r="E4920" s="19" t="s">
        <v>8696</v>
      </c>
    </row>
    <row r="4921" spans="1:5" x14ac:dyDescent="0.25">
      <c r="A4921" s="16">
        <v>4950</v>
      </c>
      <c r="B4921" s="19" t="s">
        <v>8522</v>
      </c>
      <c r="C4921" s="19" t="s">
        <v>8629</v>
      </c>
      <c r="D4921" s="19" t="s">
        <v>8690</v>
      </c>
      <c r="E4921" s="19" t="s">
        <v>8697</v>
      </c>
    </row>
    <row r="4922" spans="1:5" x14ac:dyDescent="0.25">
      <c r="A4922" s="16">
        <v>4951</v>
      </c>
      <c r="B4922" s="19" t="s">
        <v>8522</v>
      </c>
      <c r="C4922" s="19" t="s">
        <v>8629</v>
      </c>
      <c r="D4922" s="19" t="s">
        <v>8690</v>
      </c>
      <c r="E4922" s="19" t="s">
        <v>8698</v>
      </c>
    </row>
    <row r="4923" spans="1:5" x14ac:dyDescent="0.25">
      <c r="A4923" s="16">
        <v>4952</v>
      </c>
      <c r="B4923" s="19" t="s">
        <v>8522</v>
      </c>
      <c r="C4923" s="19" t="s">
        <v>8629</v>
      </c>
      <c r="D4923" s="19" t="s">
        <v>8690</v>
      </c>
      <c r="E4923" s="19" t="s">
        <v>8699</v>
      </c>
    </row>
    <row r="4924" spans="1:5" ht="24" customHeight="1" x14ac:dyDescent="0.25">
      <c r="A4924" s="16">
        <v>4953</v>
      </c>
      <c r="B4924" s="19" t="s">
        <v>8522</v>
      </c>
      <c r="C4924" s="19" t="s">
        <v>8629</v>
      </c>
      <c r="D4924" s="19" t="s">
        <v>8690</v>
      </c>
      <c r="E4924" s="19" t="s">
        <v>8700</v>
      </c>
    </row>
    <row r="4925" spans="1:5" x14ac:dyDescent="0.25">
      <c r="A4925" s="16">
        <v>4954</v>
      </c>
      <c r="B4925" s="19" t="s">
        <v>8522</v>
      </c>
      <c r="C4925" s="19" t="s">
        <v>8701</v>
      </c>
      <c r="D4925" s="19" t="s">
        <v>8702</v>
      </c>
      <c r="E4925" s="19" t="s">
        <v>8703</v>
      </c>
    </row>
    <row r="4926" spans="1:5" ht="24" customHeight="1" x14ac:dyDescent="0.25">
      <c r="A4926" s="16">
        <v>4955</v>
      </c>
      <c r="B4926" s="19" t="s">
        <v>8522</v>
      </c>
      <c r="C4926" s="19" t="s">
        <v>8701</v>
      </c>
      <c r="D4926" s="19" t="s">
        <v>8702</v>
      </c>
      <c r="E4926" s="19" t="s">
        <v>8704</v>
      </c>
    </row>
    <row r="4927" spans="1:5" x14ac:dyDescent="0.25">
      <c r="A4927" s="16">
        <v>4956</v>
      </c>
      <c r="B4927" s="19" t="s">
        <v>8522</v>
      </c>
      <c r="C4927" s="19" t="s">
        <v>8701</v>
      </c>
      <c r="D4927" s="19" t="s">
        <v>8702</v>
      </c>
      <c r="E4927" s="19" t="s">
        <v>8705</v>
      </c>
    </row>
    <row r="4928" spans="1:5" x14ac:dyDescent="0.25">
      <c r="A4928" s="16">
        <v>4957</v>
      </c>
      <c r="B4928" s="19" t="s">
        <v>8522</v>
      </c>
      <c r="C4928" s="19" t="s">
        <v>8701</v>
      </c>
      <c r="D4928" s="19" t="s">
        <v>8702</v>
      </c>
      <c r="E4928" s="19" t="s">
        <v>8706</v>
      </c>
    </row>
    <row r="4929" spans="1:5" x14ac:dyDescent="0.25">
      <c r="A4929" s="16">
        <v>4958</v>
      </c>
      <c r="B4929" s="19" t="s">
        <v>8522</v>
      </c>
      <c r="C4929" s="19" t="s">
        <v>8701</v>
      </c>
      <c r="D4929" s="19" t="s">
        <v>8702</v>
      </c>
      <c r="E4929" s="19" t="s">
        <v>8707</v>
      </c>
    </row>
    <row r="4930" spans="1:5" x14ac:dyDescent="0.25">
      <c r="A4930" s="16">
        <v>4959</v>
      </c>
      <c r="B4930" s="19" t="s">
        <v>8522</v>
      </c>
      <c r="C4930" s="19" t="s">
        <v>8701</v>
      </c>
      <c r="D4930" s="19" t="s">
        <v>8702</v>
      </c>
      <c r="E4930" s="19" t="s">
        <v>8708</v>
      </c>
    </row>
    <row r="4931" spans="1:5" x14ac:dyDescent="0.25">
      <c r="A4931" s="16">
        <v>4960</v>
      </c>
      <c r="B4931" s="19" t="s">
        <v>8522</v>
      </c>
      <c r="C4931" s="19" t="s">
        <v>8701</v>
      </c>
      <c r="D4931" s="19" t="s">
        <v>8709</v>
      </c>
      <c r="E4931" s="19" t="s">
        <v>8710</v>
      </c>
    </row>
    <row r="4932" spans="1:5" x14ac:dyDescent="0.25">
      <c r="A4932" s="16">
        <v>4961</v>
      </c>
      <c r="B4932" s="19" t="s">
        <v>8522</v>
      </c>
      <c r="C4932" s="19" t="s">
        <v>8701</v>
      </c>
      <c r="D4932" s="19" t="s">
        <v>8709</v>
      </c>
      <c r="E4932" s="19" t="s">
        <v>8711</v>
      </c>
    </row>
    <row r="4933" spans="1:5" x14ac:dyDescent="0.25">
      <c r="A4933" s="16">
        <v>4962</v>
      </c>
      <c r="B4933" s="19" t="s">
        <v>8522</v>
      </c>
      <c r="C4933" s="19" t="s">
        <v>8701</v>
      </c>
      <c r="D4933" s="19" t="s">
        <v>8709</v>
      </c>
      <c r="E4933" s="19" t="s">
        <v>8712</v>
      </c>
    </row>
    <row r="4934" spans="1:5" x14ac:dyDescent="0.25">
      <c r="A4934" s="16">
        <v>4963</v>
      </c>
      <c r="B4934" s="19" t="s">
        <v>8522</v>
      </c>
      <c r="C4934" s="19" t="s">
        <v>8701</v>
      </c>
      <c r="D4934" s="19" t="s">
        <v>8709</v>
      </c>
      <c r="E4934" s="19" t="s">
        <v>8713</v>
      </c>
    </row>
    <row r="4935" spans="1:5" x14ac:dyDescent="0.25">
      <c r="A4935" s="16">
        <v>4964</v>
      </c>
      <c r="B4935" s="19" t="s">
        <v>8522</v>
      </c>
      <c r="C4935" s="19" t="s">
        <v>8701</v>
      </c>
      <c r="D4935" s="19" t="s">
        <v>8709</v>
      </c>
      <c r="E4935" s="19" t="s">
        <v>8714</v>
      </c>
    </row>
    <row r="4936" spans="1:5" ht="36" customHeight="1" x14ac:dyDescent="0.25">
      <c r="A4936" s="16">
        <v>4965</v>
      </c>
      <c r="B4936" s="19" t="s">
        <v>8522</v>
      </c>
      <c r="C4936" s="19" t="s">
        <v>8701</v>
      </c>
      <c r="D4936" s="19" t="s">
        <v>8709</v>
      </c>
      <c r="E4936" s="19" t="s">
        <v>8715</v>
      </c>
    </row>
    <row r="4937" spans="1:5" x14ac:dyDescent="0.25">
      <c r="A4937" s="16">
        <v>4966</v>
      </c>
      <c r="B4937" s="19" t="s">
        <v>8522</v>
      </c>
      <c r="C4937" s="19" t="s">
        <v>8701</v>
      </c>
      <c r="D4937" s="19" t="s">
        <v>8709</v>
      </c>
      <c r="E4937" s="19" t="s">
        <v>8716</v>
      </c>
    </row>
    <row r="4938" spans="1:5" x14ac:dyDescent="0.25">
      <c r="A4938" s="16">
        <v>4967</v>
      </c>
      <c r="B4938" s="19" t="s">
        <v>8522</v>
      </c>
      <c r="C4938" s="19" t="s">
        <v>8701</v>
      </c>
      <c r="D4938" s="19" t="s">
        <v>8709</v>
      </c>
      <c r="E4938" s="19" t="s">
        <v>8717</v>
      </c>
    </row>
    <row r="4939" spans="1:5" x14ac:dyDescent="0.25">
      <c r="A4939" s="16">
        <v>4968</v>
      </c>
      <c r="B4939" s="19" t="s">
        <v>8522</v>
      </c>
      <c r="C4939" s="19" t="s">
        <v>8701</v>
      </c>
      <c r="D4939" s="19" t="s">
        <v>8709</v>
      </c>
      <c r="E4939" s="19" t="s">
        <v>8718</v>
      </c>
    </row>
    <row r="4940" spans="1:5" ht="24" customHeight="1" x14ac:dyDescent="0.25">
      <c r="A4940" s="16">
        <v>4969</v>
      </c>
      <c r="B4940" s="19" t="s">
        <v>8522</v>
      </c>
      <c r="C4940" s="19" t="s">
        <v>8701</v>
      </c>
      <c r="D4940" s="19" t="s">
        <v>8709</v>
      </c>
      <c r="E4940" s="19" t="s">
        <v>8719</v>
      </c>
    </row>
    <row r="4941" spans="1:5" ht="36" customHeight="1" x14ac:dyDescent="0.25">
      <c r="A4941" s="16">
        <v>4970</v>
      </c>
      <c r="B4941" s="19" t="s">
        <v>8522</v>
      </c>
      <c r="C4941" s="19" t="s">
        <v>8701</v>
      </c>
      <c r="D4941" s="19" t="s">
        <v>8720</v>
      </c>
      <c r="E4941" s="19" t="s">
        <v>8721</v>
      </c>
    </row>
    <row r="4942" spans="1:5" x14ac:dyDescent="0.25">
      <c r="A4942" s="16">
        <v>4971</v>
      </c>
      <c r="B4942" s="19" t="s">
        <v>8522</v>
      </c>
      <c r="C4942" s="19" t="s">
        <v>8701</v>
      </c>
      <c r="D4942" s="19" t="s">
        <v>8720</v>
      </c>
      <c r="E4942" s="19" t="s">
        <v>8722</v>
      </c>
    </row>
    <row r="4943" spans="1:5" ht="24" customHeight="1" x14ac:dyDescent="0.25">
      <c r="A4943" s="16">
        <v>4972</v>
      </c>
      <c r="B4943" s="19" t="s">
        <v>8522</v>
      </c>
      <c r="C4943" s="19" t="s">
        <v>8701</v>
      </c>
      <c r="D4943" s="19" t="s">
        <v>8720</v>
      </c>
      <c r="E4943" s="19" t="s">
        <v>8723</v>
      </c>
    </row>
    <row r="4944" spans="1:5" x14ac:dyDescent="0.25">
      <c r="A4944" s="16">
        <v>4973</v>
      </c>
      <c r="B4944" s="19" t="s">
        <v>8522</v>
      </c>
      <c r="C4944" s="19" t="s">
        <v>8701</v>
      </c>
      <c r="D4944" s="19" t="s">
        <v>8720</v>
      </c>
      <c r="E4944" s="19" t="s">
        <v>8724</v>
      </c>
    </row>
    <row r="4945" spans="1:5" x14ac:dyDescent="0.25">
      <c r="A4945" s="16">
        <v>4974</v>
      </c>
      <c r="B4945" s="19" t="s">
        <v>8522</v>
      </c>
      <c r="C4945" s="19" t="s">
        <v>8701</v>
      </c>
      <c r="D4945" s="19" t="s">
        <v>8720</v>
      </c>
      <c r="E4945" s="19" t="s">
        <v>8725</v>
      </c>
    </row>
    <row r="4946" spans="1:5" x14ac:dyDescent="0.25">
      <c r="A4946" s="16">
        <v>4975</v>
      </c>
      <c r="B4946" s="19" t="s">
        <v>8522</v>
      </c>
      <c r="C4946" s="19" t="s">
        <v>8701</v>
      </c>
      <c r="D4946" s="19" t="s">
        <v>8720</v>
      </c>
      <c r="E4946" s="19" t="s">
        <v>8726</v>
      </c>
    </row>
    <row r="4947" spans="1:5" x14ac:dyDescent="0.25">
      <c r="A4947" s="16">
        <v>4976</v>
      </c>
      <c r="B4947" s="19" t="s">
        <v>8522</v>
      </c>
      <c r="C4947" s="19" t="s">
        <v>8701</v>
      </c>
      <c r="D4947" s="19" t="s">
        <v>8720</v>
      </c>
      <c r="E4947" s="19" t="s">
        <v>8727</v>
      </c>
    </row>
    <row r="4948" spans="1:5" x14ac:dyDescent="0.25">
      <c r="A4948" s="16">
        <v>4977</v>
      </c>
      <c r="B4948" s="19" t="s">
        <v>8522</v>
      </c>
      <c r="C4948" s="19" t="s">
        <v>8701</v>
      </c>
      <c r="D4948" s="19" t="s">
        <v>8720</v>
      </c>
      <c r="E4948" s="19" t="s">
        <v>8728</v>
      </c>
    </row>
    <row r="4949" spans="1:5" x14ac:dyDescent="0.25">
      <c r="A4949" s="16">
        <v>4978</v>
      </c>
      <c r="B4949" s="19" t="s">
        <v>8522</v>
      </c>
      <c r="C4949" s="19" t="s">
        <v>8701</v>
      </c>
      <c r="D4949" s="19" t="s">
        <v>8720</v>
      </c>
      <c r="E4949" s="19" t="s">
        <v>8729</v>
      </c>
    </row>
    <row r="4950" spans="1:5" ht="24" customHeight="1" x14ac:dyDescent="0.25">
      <c r="A4950" s="16">
        <v>4979</v>
      </c>
      <c r="B4950" s="19" t="s">
        <v>8522</v>
      </c>
      <c r="C4950" s="19" t="s">
        <v>8701</v>
      </c>
      <c r="D4950" s="19" t="s">
        <v>8701</v>
      </c>
      <c r="E4950" s="19" t="s">
        <v>8730</v>
      </c>
    </row>
    <row r="4951" spans="1:5" ht="24" customHeight="1" x14ac:dyDescent="0.25">
      <c r="A4951" s="16">
        <v>4980</v>
      </c>
      <c r="B4951" s="19" t="s">
        <v>8522</v>
      </c>
      <c r="C4951" s="19" t="s">
        <v>8701</v>
      </c>
      <c r="D4951" s="19" t="s">
        <v>8701</v>
      </c>
      <c r="E4951" s="19" t="s">
        <v>8731</v>
      </c>
    </row>
    <row r="4952" spans="1:5" x14ac:dyDescent="0.25">
      <c r="A4952" s="16">
        <v>4981</v>
      </c>
      <c r="B4952" s="19" t="s">
        <v>8522</v>
      </c>
      <c r="C4952" s="19" t="s">
        <v>8701</v>
      </c>
      <c r="D4952" s="19" t="s">
        <v>8701</v>
      </c>
      <c r="E4952" s="19" t="s">
        <v>8732</v>
      </c>
    </row>
    <row r="4953" spans="1:5" ht="24" customHeight="1" x14ac:dyDescent="0.25">
      <c r="A4953" s="16">
        <v>4982</v>
      </c>
      <c r="B4953" s="19" t="s">
        <v>8522</v>
      </c>
      <c r="C4953" s="19" t="s">
        <v>8701</v>
      </c>
      <c r="D4953" s="19" t="s">
        <v>8701</v>
      </c>
      <c r="E4953" s="19" t="s">
        <v>8733</v>
      </c>
    </row>
    <row r="4954" spans="1:5" x14ac:dyDescent="0.25">
      <c r="A4954" s="16">
        <v>4983</v>
      </c>
      <c r="B4954" s="19" t="s">
        <v>8522</v>
      </c>
      <c r="C4954" s="19" t="s">
        <v>8701</v>
      </c>
      <c r="D4954" s="19" t="s">
        <v>8701</v>
      </c>
      <c r="E4954" s="19" t="s">
        <v>8734</v>
      </c>
    </row>
    <row r="4955" spans="1:5" ht="24" customHeight="1" x14ac:dyDescent="0.25">
      <c r="A4955" s="16">
        <v>4984</v>
      </c>
      <c r="B4955" s="19" t="s">
        <v>8522</v>
      </c>
      <c r="C4955" s="19" t="s">
        <v>8701</v>
      </c>
      <c r="D4955" s="19" t="s">
        <v>8701</v>
      </c>
      <c r="E4955" s="19" t="s">
        <v>8735</v>
      </c>
    </row>
    <row r="4956" spans="1:5" x14ac:dyDescent="0.25">
      <c r="A4956" s="16">
        <v>4985</v>
      </c>
      <c r="B4956" s="19" t="s">
        <v>8522</v>
      </c>
      <c r="C4956" s="19" t="s">
        <v>8701</v>
      </c>
      <c r="D4956" s="19" t="s">
        <v>8701</v>
      </c>
      <c r="E4956" s="19" t="s">
        <v>8736</v>
      </c>
    </row>
    <row r="4957" spans="1:5" x14ac:dyDescent="0.25">
      <c r="A4957" s="16">
        <v>4986</v>
      </c>
      <c r="B4957" s="19" t="s">
        <v>8522</v>
      </c>
      <c r="C4957" s="19" t="s">
        <v>8701</v>
      </c>
      <c r="D4957" s="19" t="s">
        <v>8701</v>
      </c>
      <c r="E4957" s="19" t="s">
        <v>8737</v>
      </c>
    </row>
    <row r="4958" spans="1:5" x14ac:dyDescent="0.25">
      <c r="A4958" s="16">
        <v>4987</v>
      </c>
      <c r="B4958" s="19" t="s">
        <v>8522</v>
      </c>
      <c r="C4958" s="19" t="s">
        <v>8701</v>
      </c>
      <c r="D4958" s="19" t="s">
        <v>8701</v>
      </c>
      <c r="E4958" s="19" t="s">
        <v>8738</v>
      </c>
    </row>
    <row r="4959" spans="1:5" x14ac:dyDescent="0.25">
      <c r="A4959" s="16">
        <v>4988</v>
      </c>
      <c r="B4959" s="19" t="s">
        <v>8522</v>
      </c>
      <c r="C4959" s="19" t="s">
        <v>8701</v>
      </c>
      <c r="D4959" s="19" t="s">
        <v>8701</v>
      </c>
      <c r="E4959" s="19" t="s">
        <v>8739</v>
      </c>
    </row>
    <row r="4960" spans="1:5" x14ac:dyDescent="0.25">
      <c r="A4960" s="16">
        <v>4989</v>
      </c>
      <c r="B4960" s="19" t="s">
        <v>8522</v>
      </c>
      <c r="C4960" s="19" t="s">
        <v>8701</v>
      </c>
      <c r="D4960" s="19" t="s">
        <v>8701</v>
      </c>
      <c r="E4960" s="19" t="s">
        <v>8740</v>
      </c>
    </row>
    <row r="4961" spans="1:5" x14ac:dyDescent="0.25">
      <c r="A4961" s="16">
        <v>4990</v>
      </c>
      <c r="B4961" s="19" t="s">
        <v>8522</v>
      </c>
      <c r="C4961" s="19" t="s">
        <v>8701</v>
      </c>
      <c r="D4961" s="19" t="s">
        <v>8701</v>
      </c>
      <c r="E4961" s="19" t="s">
        <v>8741</v>
      </c>
    </row>
    <row r="4962" spans="1:5" x14ac:dyDescent="0.25">
      <c r="A4962" s="16">
        <v>4991</v>
      </c>
      <c r="B4962" s="19" t="s">
        <v>8522</v>
      </c>
      <c r="C4962" s="19" t="s">
        <v>8701</v>
      </c>
      <c r="D4962" s="19" t="s">
        <v>8701</v>
      </c>
      <c r="E4962" s="19" t="s">
        <v>8742</v>
      </c>
    </row>
    <row r="4963" spans="1:5" x14ac:dyDescent="0.25">
      <c r="A4963" s="16">
        <v>4992</v>
      </c>
      <c r="B4963" s="19" t="s">
        <v>8522</v>
      </c>
      <c r="C4963" s="19" t="s">
        <v>8701</v>
      </c>
      <c r="D4963" s="19" t="s">
        <v>8701</v>
      </c>
      <c r="E4963" s="19" t="s">
        <v>8743</v>
      </c>
    </row>
    <row r="4964" spans="1:5" x14ac:dyDescent="0.25">
      <c r="A4964" s="16">
        <v>4993</v>
      </c>
      <c r="B4964" s="19" t="s">
        <v>8522</v>
      </c>
      <c r="C4964" s="19" t="s">
        <v>8701</v>
      </c>
      <c r="D4964" s="19" t="s">
        <v>8701</v>
      </c>
      <c r="E4964" s="19" t="s">
        <v>8744</v>
      </c>
    </row>
    <row r="4965" spans="1:5" x14ac:dyDescent="0.25">
      <c r="A4965" s="16">
        <v>4994</v>
      </c>
      <c r="B4965" s="19" t="s">
        <v>8522</v>
      </c>
      <c r="C4965" s="19" t="s">
        <v>8701</v>
      </c>
      <c r="D4965" s="19" t="s">
        <v>8745</v>
      </c>
      <c r="E4965" s="19" t="s">
        <v>8746</v>
      </c>
    </row>
    <row r="4966" spans="1:5" x14ac:dyDescent="0.25">
      <c r="A4966" s="16">
        <v>4995</v>
      </c>
      <c r="B4966" s="19" t="s">
        <v>8522</v>
      </c>
      <c r="C4966" s="19" t="s">
        <v>8701</v>
      </c>
      <c r="D4966" s="19" t="s">
        <v>8745</v>
      </c>
      <c r="E4966" s="19" t="s">
        <v>8747</v>
      </c>
    </row>
    <row r="4967" spans="1:5" x14ac:dyDescent="0.25">
      <c r="A4967" s="16">
        <v>4996</v>
      </c>
      <c r="B4967" s="19" t="s">
        <v>8522</v>
      </c>
      <c r="C4967" s="19" t="s">
        <v>8701</v>
      </c>
      <c r="D4967" s="19" t="s">
        <v>8745</v>
      </c>
      <c r="E4967" s="19" t="s">
        <v>8748</v>
      </c>
    </row>
    <row r="4968" spans="1:5" x14ac:dyDescent="0.25">
      <c r="A4968" s="16">
        <v>4997</v>
      </c>
      <c r="B4968" s="19" t="s">
        <v>8522</v>
      </c>
      <c r="C4968" s="19" t="s">
        <v>8701</v>
      </c>
      <c r="D4968" s="19" t="s">
        <v>8745</v>
      </c>
      <c r="E4968" s="19" t="s">
        <v>8749</v>
      </c>
    </row>
    <row r="4969" spans="1:5" x14ac:dyDescent="0.25">
      <c r="A4969" s="16">
        <v>4998</v>
      </c>
      <c r="B4969" s="19" t="s">
        <v>8522</v>
      </c>
      <c r="C4969" s="19" t="s">
        <v>8701</v>
      </c>
      <c r="D4969" s="19" t="s">
        <v>8745</v>
      </c>
      <c r="E4969" s="19" t="s">
        <v>8750</v>
      </c>
    </row>
    <row r="4970" spans="1:5" x14ac:dyDescent="0.25">
      <c r="A4970" s="16">
        <v>4999</v>
      </c>
      <c r="B4970" s="19" t="s">
        <v>8522</v>
      </c>
      <c r="C4970" s="19" t="s">
        <v>8701</v>
      </c>
      <c r="D4970" s="19" t="s">
        <v>8745</v>
      </c>
      <c r="E4970" s="19" t="s">
        <v>8751</v>
      </c>
    </row>
    <row r="4971" spans="1:5" x14ac:dyDescent="0.25">
      <c r="A4971" s="16">
        <v>5000</v>
      </c>
      <c r="B4971" s="19" t="s">
        <v>8522</v>
      </c>
      <c r="C4971" s="19" t="s">
        <v>8701</v>
      </c>
      <c r="D4971" s="19" t="s">
        <v>8752</v>
      </c>
      <c r="E4971" s="19" t="s">
        <v>8753</v>
      </c>
    </row>
    <row r="4972" spans="1:5" x14ac:dyDescent="0.25">
      <c r="A4972" s="16">
        <v>5001</v>
      </c>
      <c r="B4972" s="19" t="s">
        <v>8522</v>
      </c>
      <c r="C4972" s="19" t="s">
        <v>8701</v>
      </c>
      <c r="D4972" s="19" t="s">
        <v>8752</v>
      </c>
      <c r="E4972" s="19" t="s">
        <v>8754</v>
      </c>
    </row>
    <row r="4973" spans="1:5" x14ac:dyDescent="0.25">
      <c r="A4973" s="16">
        <v>5002</v>
      </c>
      <c r="B4973" s="19" t="s">
        <v>8522</v>
      </c>
      <c r="C4973" s="19" t="s">
        <v>8701</v>
      </c>
      <c r="D4973" s="19" t="s">
        <v>8752</v>
      </c>
      <c r="E4973" s="19" t="s">
        <v>8755</v>
      </c>
    </row>
    <row r="4974" spans="1:5" x14ac:dyDescent="0.25">
      <c r="A4974" s="16">
        <v>5003</v>
      </c>
      <c r="B4974" s="19" t="s">
        <v>8522</v>
      </c>
      <c r="C4974" s="19" t="s">
        <v>8701</v>
      </c>
      <c r="D4974" s="19" t="s">
        <v>8752</v>
      </c>
      <c r="E4974" s="19" t="s">
        <v>8756</v>
      </c>
    </row>
    <row r="4975" spans="1:5" x14ac:dyDescent="0.25">
      <c r="A4975" s="16">
        <v>5004</v>
      </c>
      <c r="B4975" s="19" t="s">
        <v>8522</v>
      </c>
      <c r="C4975" s="19" t="s">
        <v>8701</v>
      </c>
      <c r="D4975" s="19" t="s">
        <v>8752</v>
      </c>
      <c r="E4975" s="19" t="s">
        <v>8757</v>
      </c>
    </row>
    <row r="4976" spans="1:5" x14ac:dyDescent="0.25">
      <c r="A4976" s="16">
        <v>5005</v>
      </c>
      <c r="B4976" s="19" t="s">
        <v>8522</v>
      </c>
      <c r="C4976" s="19" t="s">
        <v>8701</v>
      </c>
      <c r="D4976" s="19" t="s">
        <v>8752</v>
      </c>
      <c r="E4976" s="19" t="s">
        <v>8758</v>
      </c>
    </row>
    <row r="4977" spans="1:5" x14ac:dyDescent="0.25">
      <c r="A4977" s="16">
        <v>5006</v>
      </c>
      <c r="B4977" s="19" t="s">
        <v>8522</v>
      </c>
      <c r="C4977" s="19" t="s">
        <v>8701</v>
      </c>
      <c r="D4977" s="19" t="s">
        <v>8759</v>
      </c>
      <c r="E4977" s="19" t="s">
        <v>8760</v>
      </c>
    </row>
    <row r="4978" spans="1:5" x14ac:dyDescent="0.25">
      <c r="A4978" s="16">
        <v>5007</v>
      </c>
      <c r="B4978" s="19" t="s">
        <v>8522</v>
      </c>
      <c r="C4978" s="19" t="s">
        <v>8701</v>
      </c>
      <c r="D4978" s="19" t="s">
        <v>8759</v>
      </c>
      <c r="E4978" s="19" t="s">
        <v>8761</v>
      </c>
    </row>
    <row r="4979" spans="1:5" x14ac:dyDescent="0.25">
      <c r="A4979" s="16">
        <v>5008</v>
      </c>
      <c r="B4979" s="19" t="s">
        <v>8522</v>
      </c>
      <c r="C4979" s="19" t="s">
        <v>8701</v>
      </c>
      <c r="D4979" s="19" t="s">
        <v>8759</v>
      </c>
      <c r="E4979" s="19" t="s">
        <v>8762</v>
      </c>
    </row>
    <row r="4980" spans="1:5" x14ac:dyDescent="0.25">
      <c r="A4980" s="16">
        <v>5009</v>
      </c>
      <c r="B4980" s="19" t="s">
        <v>8522</v>
      </c>
      <c r="C4980" s="19" t="s">
        <v>8701</v>
      </c>
      <c r="D4980" s="19" t="s">
        <v>8759</v>
      </c>
      <c r="E4980" s="19" t="s">
        <v>8763</v>
      </c>
    </row>
    <row r="4981" spans="1:5" x14ac:dyDescent="0.25">
      <c r="A4981" s="16">
        <v>5010</v>
      </c>
      <c r="B4981" s="19" t="s">
        <v>8522</v>
      </c>
      <c r="C4981" s="19" t="s">
        <v>8701</v>
      </c>
      <c r="D4981" s="19" t="s">
        <v>8759</v>
      </c>
      <c r="E4981" s="19" t="s">
        <v>8764</v>
      </c>
    </row>
    <row r="4982" spans="1:5" x14ac:dyDescent="0.25">
      <c r="A4982" s="16">
        <v>5011</v>
      </c>
      <c r="B4982" s="19" t="s">
        <v>8522</v>
      </c>
      <c r="C4982" s="19" t="s">
        <v>8701</v>
      </c>
      <c r="D4982" s="19" t="s">
        <v>8759</v>
      </c>
      <c r="E4982" s="19" t="s">
        <v>8765</v>
      </c>
    </row>
    <row r="4983" spans="1:5" ht="24" customHeight="1" x14ac:dyDescent="0.25">
      <c r="A4983" s="16">
        <v>5012</v>
      </c>
      <c r="B4983" s="19" t="s">
        <v>8522</v>
      </c>
      <c r="C4983" s="19" t="s">
        <v>8701</v>
      </c>
      <c r="D4983" s="19" t="s">
        <v>8766</v>
      </c>
      <c r="E4983" s="19" t="s">
        <v>8767</v>
      </c>
    </row>
    <row r="4984" spans="1:5" ht="24" customHeight="1" x14ac:dyDescent="0.25">
      <c r="A4984" s="16">
        <v>5013</v>
      </c>
      <c r="B4984" s="19" t="s">
        <v>8522</v>
      </c>
      <c r="C4984" s="19" t="s">
        <v>8701</v>
      </c>
      <c r="D4984" s="19" t="s">
        <v>8766</v>
      </c>
      <c r="E4984" s="19" t="s">
        <v>8768</v>
      </c>
    </row>
    <row r="4985" spans="1:5" x14ac:dyDescent="0.25">
      <c r="A4985" s="16">
        <v>5014</v>
      </c>
      <c r="B4985" s="19" t="s">
        <v>8522</v>
      </c>
      <c r="C4985" s="19" t="s">
        <v>8701</v>
      </c>
      <c r="D4985" s="19" t="s">
        <v>8766</v>
      </c>
      <c r="E4985" s="19" t="s">
        <v>8769</v>
      </c>
    </row>
    <row r="4986" spans="1:5" ht="24" customHeight="1" x14ac:dyDescent="0.25">
      <c r="A4986" s="16">
        <v>5015</v>
      </c>
      <c r="B4986" s="19" t="s">
        <v>8522</v>
      </c>
      <c r="C4986" s="19" t="s">
        <v>8701</v>
      </c>
      <c r="D4986" s="19" t="s">
        <v>8766</v>
      </c>
      <c r="E4986" s="19" t="s">
        <v>8770</v>
      </c>
    </row>
    <row r="4987" spans="1:5" ht="24" customHeight="1" x14ac:dyDescent="0.25">
      <c r="A4987" s="16">
        <v>5016</v>
      </c>
      <c r="B4987" s="19" t="s">
        <v>8522</v>
      </c>
      <c r="C4987" s="19" t="s">
        <v>8701</v>
      </c>
      <c r="D4987" s="19" t="s">
        <v>8766</v>
      </c>
      <c r="E4987" s="19" t="s">
        <v>8771</v>
      </c>
    </row>
    <row r="4988" spans="1:5" x14ac:dyDescent="0.25">
      <c r="A4988" s="16">
        <v>5017</v>
      </c>
      <c r="B4988" s="19" t="s">
        <v>8522</v>
      </c>
      <c r="C4988" s="19" t="s">
        <v>8701</v>
      </c>
      <c r="D4988" s="19" t="s">
        <v>8766</v>
      </c>
      <c r="E4988" s="19" t="s">
        <v>8772</v>
      </c>
    </row>
    <row r="4989" spans="1:5" ht="24" customHeight="1" x14ac:dyDescent="0.25">
      <c r="A4989" s="16">
        <v>5018</v>
      </c>
      <c r="B4989" s="19" t="s">
        <v>8522</v>
      </c>
      <c r="C4989" s="19" t="s">
        <v>8701</v>
      </c>
      <c r="D4989" s="19" t="s">
        <v>8773</v>
      </c>
      <c r="E4989" s="19" t="s">
        <v>8774</v>
      </c>
    </row>
    <row r="4990" spans="1:5" ht="24" customHeight="1" x14ac:dyDescent="0.25">
      <c r="A4990" s="16">
        <v>5019</v>
      </c>
      <c r="B4990" s="19" t="s">
        <v>8522</v>
      </c>
      <c r="C4990" s="19" t="s">
        <v>8701</v>
      </c>
      <c r="D4990" s="19" t="s">
        <v>8773</v>
      </c>
      <c r="E4990" s="19" t="s">
        <v>8775</v>
      </c>
    </row>
    <row r="4991" spans="1:5" ht="24" customHeight="1" x14ac:dyDescent="0.25">
      <c r="A4991" s="16">
        <v>5020</v>
      </c>
      <c r="B4991" s="19" t="s">
        <v>8522</v>
      </c>
      <c r="C4991" s="19" t="s">
        <v>8701</v>
      </c>
      <c r="D4991" s="19" t="s">
        <v>8773</v>
      </c>
      <c r="E4991" s="19" t="s">
        <v>8776</v>
      </c>
    </row>
    <row r="4992" spans="1:5" ht="24" customHeight="1" x14ac:dyDescent="0.25">
      <c r="A4992" s="16">
        <v>5021</v>
      </c>
      <c r="B4992" s="19" t="s">
        <v>8522</v>
      </c>
      <c r="C4992" s="19" t="s">
        <v>8701</v>
      </c>
      <c r="D4992" s="19" t="s">
        <v>8773</v>
      </c>
      <c r="E4992" s="19" t="s">
        <v>8777</v>
      </c>
    </row>
    <row r="4993" spans="1:5" ht="24" customHeight="1" x14ac:dyDescent="0.25">
      <c r="A4993" s="16">
        <v>5022</v>
      </c>
      <c r="B4993" s="19" t="s">
        <v>8522</v>
      </c>
      <c r="C4993" s="19" t="s">
        <v>8701</v>
      </c>
      <c r="D4993" s="19" t="s">
        <v>8773</v>
      </c>
      <c r="E4993" s="19" t="s">
        <v>8778</v>
      </c>
    </row>
    <row r="4994" spans="1:5" ht="24" customHeight="1" x14ac:dyDescent="0.25">
      <c r="A4994" s="16">
        <v>5023</v>
      </c>
      <c r="B4994" s="19" t="s">
        <v>8522</v>
      </c>
      <c r="C4994" s="19" t="s">
        <v>8701</v>
      </c>
      <c r="D4994" s="19" t="s">
        <v>8773</v>
      </c>
      <c r="E4994" s="19" t="s">
        <v>8779</v>
      </c>
    </row>
    <row r="4995" spans="1:5" ht="24" customHeight="1" x14ac:dyDescent="0.25">
      <c r="A4995" s="16">
        <v>5024</v>
      </c>
      <c r="B4995" s="19" t="s">
        <v>8522</v>
      </c>
      <c r="C4995" s="19" t="s">
        <v>8701</v>
      </c>
      <c r="D4995" s="19" t="s">
        <v>8773</v>
      </c>
      <c r="E4995" s="19" t="s">
        <v>8780</v>
      </c>
    </row>
    <row r="4996" spans="1:5" ht="24" customHeight="1" x14ac:dyDescent="0.25">
      <c r="A4996" s="16">
        <v>5025</v>
      </c>
      <c r="B4996" s="19" t="s">
        <v>8522</v>
      </c>
      <c r="C4996" s="19" t="s">
        <v>8701</v>
      </c>
      <c r="D4996" s="19" t="s">
        <v>8773</v>
      </c>
      <c r="E4996" s="19" t="s">
        <v>8781</v>
      </c>
    </row>
    <row r="4997" spans="1:5" ht="24" customHeight="1" x14ac:dyDescent="0.25">
      <c r="A4997" s="16">
        <v>5026</v>
      </c>
      <c r="B4997" s="19" t="s">
        <v>8522</v>
      </c>
      <c r="C4997" s="19" t="s">
        <v>8701</v>
      </c>
      <c r="D4997" s="19" t="s">
        <v>8773</v>
      </c>
      <c r="E4997" s="19" t="s">
        <v>8782</v>
      </c>
    </row>
    <row r="4998" spans="1:5" ht="24" customHeight="1" x14ac:dyDescent="0.25">
      <c r="A4998" s="16">
        <v>5027</v>
      </c>
      <c r="B4998" s="19" t="s">
        <v>8522</v>
      </c>
      <c r="C4998" s="19" t="s">
        <v>8701</v>
      </c>
      <c r="D4998" s="19" t="s">
        <v>8783</v>
      </c>
      <c r="E4998" s="19" t="s">
        <v>6252</v>
      </c>
    </row>
    <row r="4999" spans="1:5" ht="24" customHeight="1" x14ac:dyDescent="0.25">
      <c r="A4999" s="16">
        <v>5028</v>
      </c>
      <c r="B4999" s="19" t="s">
        <v>8522</v>
      </c>
      <c r="C4999" s="19" t="s">
        <v>8701</v>
      </c>
      <c r="D4999" s="19" t="s">
        <v>8783</v>
      </c>
      <c r="E4999" s="19" t="s">
        <v>5940</v>
      </c>
    </row>
    <row r="5000" spans="1:5" ht="24" customHeight="1" x14ac:dyDescent="0.25">
      <c r="A5000" s="16">
        <v>5029</v>
      </c>
      <c r="B5000" s="19" t="s">
        <v>8522</v>
      </c>
      <c r="C5000" s="19" t="s">
        <v>8701</v>
      </c>
      <c r="D5000" s="19" t="s">
        <v>8783</v>
      </c>
      <c r="E5000" s="19" t="s">
        <v>8784</v>
      </c>
    </row>
    <row r="5001" spans="1:5" ht="24" customHeight="1" x14ac:dyDescent="0.25">
      <c r="A5001" s="16">
        <v>5030</v>
      </c>
      <c r="B5001" s="19" t="s">
        <v>8522</v>
      </c>
      <c r="C5001" s="19" t="s">
        <v>8701</v>
      </c>
      <c r="D5001" s="19" t="s">
        <v>8783</v>
      </c>
      <c r="E5001" s="19" t="s">
        <v>8785</v>
      </c>
    </row>
    <row r="5002" spans="1:5" ht="24" customHeight="1" x14ac:dyDescent="0.25">
      <c r="A5002" s="16">
        <v>5031</v>
      </c>
      <c r="B5002" s="19" t="s">
        <v>8522</v>
      </c>
      <c r="C5002" s="19" t="s">
        <v>8701</v>
      </c>
      <c r="D5002" s="19" t="s">
        <v>8783</v>
      </c>
      <c r="E5002" s="19" t="s">
        <v>8786</v>
      </c>
    </row>
    <row r="5003" spans="1:5" ht="24" customHeight="1" x14ac:dyDescent="0.25">
      <c r="A5003" s="16">
        <v>5032</v>
      </c>
      <c r="B5003" s="19" t="s">
        <v>8522</v>
      </c>
      <c r="C5003" s="19" t="s">
        <v>8701</v>
      </c>
      <c r="D5003" s="19" t="s">
        <v>8783</v>
      </c>
      <c r="E5003" s="19" t="s">
        <v>8787</v>
      </c>
    </row>
    <row r="5004" spans="1:5" ht="24" customHeight="1" x14ac:dyDescent="0.25">
      <c r="A5004" s="16">
        <v>5033</v>
      </c>
      <c r="B5004" s="19" t="s">
        <v>8522</v>
      </c>
      <c r="C5004" s="19" t="s">
        <v>8701</v>
      </c>
      <c r="D5004" s="19" t="s">
        <v>8783</v>
      </c>
      <c r="E5004" s="19" t="s">
        <v>8788</v>
      </c>
    </row>
    <row r="5005" spans="1:5" ht="24" customHeight="1" x14ac:dyDescent="0.25">
      <c r="A5005" s="16">
        <v>5034</v>
      </c>
      <c r="B5005" s="19" t="s">
        <v>8522</v>
      </c>
      <c r="C5005" s="19" t="s">
        <v>8701</v>
      </c>
      <c r="D5005" s="19" t="s">
        <v>8783</v>
      </c>
      <c r="E5005" s="19" t="s">
        <v>8789</v>
      </c>
    </row>
    <row r="5006" spans="1:5" ht="24" customHeight="1" x14ac:dyDescent="0.25">
      <c r="A5006" s="16">
        <v>5035</v>
      </c>
      <c r="B5006" s="19" t="s">
        <v>8522</v>
      </c>
      <c r="C5006" s="19" t="s">
        <v>8701</v>
      </c>
      <c r="D5006" s="19" t="s">
        <v>8783</v>
      </c>
      <c r="E5006" s="19" t="s">
        <v>8790</v>
      </c>
    </row>
    <row r="5007" spans="1:5" x14ac:dyDescent="0.25">
      <c r="A5007" s="16">
        <v>5036</v>
      </c>
      <c r="B5007" s="19" t="s">
        <v>8522</v>
      </c>
      <c r="C5007" s="19" t="s">
        <v>8701</v>
      </c>
      <c r="D5007" s="19" t="s">
        <v>8791</v>
      </c>
      <c r="E5007" s="19" t="s">
        <v>8792</v>
      </c>
    </row>
    <row r="5008" spans="1:5" x14ac:dyDescent="0.25">
      <c r="A5008" s="16">
        <v>5037</v>
      </c>
      <c r="B5008" s="19" t="s">
        <v>8522</v>
      </c>
      <c r="C5008" s="19" t="s">
        <v>8701</v>
      </c>
      <c r="D5008" s="19" t="s">
        <v>8791</v>
      </c>
      <c r="E5008" s="19" t="s">
        <v>8793</v>
      </c>
    </row>
    <row r="5009" spans="1:5" x14ac:dyDescent="0.25">
      <c r="A5009" s="16">
        <v>5038</v>
      </c>
      <c r="B5009" s="19" t="s">
        <v>8522</v>
      </c>
      <c r="C5009" s="19" t="s">
        <v>8701</v>
      </c>
      <c r="D5009" s="19" t="s">
        <v>8791</v>
      </c>
      <c r="E5009" s="19" t="s">
        <v>8794</v>
      </c>
    </row>
    <row r="5010" spans="1:5" ht="36" customHeight="1" x14ac:dyDescent="0.25">
      <c r="A5010" s="16">
        <v>5039</v>
      </c>
      <c r="B5010" s="19" t="s">
        <v>8522</v>
      </c>
      <c r="C5010" s="19" t="s">
        <v>8701</v>
      </c>
      <c r="D5010" s="19" t="s">
        <v>8791</v>
      </c>
      <c r="E5010" s="19" t="s">
        <v>8795</v>
      </c>
    </row>
    <row r="5011" spans="1:5" x14ac:dyDescent="0.25">
      <c r="A5011" s="16">
        <v>5040</v>
      </c>
      <c r="B5011" s="19" t="s">
        <v>8522</v>
      </c>
      <c r="C5011" s="19" t="s">
        <v>8701</v>
      </c>
      <c r="D5011" s="19" t="s">
        <v>8791</v>
      </c>
      <c r="E5011" s="19" t="s">
        <v>8796</v>
      </c>
    </row>
    <row r="5012" spans="1:5" x14ac:dyDescent="0.25">
      <c r="A5012" s="16">
        <v>5041</v>
      </c>
      <c r="B5012" s="19" t="s">
        <v>8522</v>
      </c>
      <c r="C5012" s="19" t="s">
        <v>8701</v>
      </c>
      <c r="D5012" s="19" t="s">
        <v>8791</v>
      </c>
      <c r="E5012" s="19" t="s">
        <v>8797</v>
      </c>
    </row>
    <row r="5013" spans="1:5" x14ac:dyDescent="0.25">
      <c r="A5013" s="16">
        <v>5042</v>
      </c>
      <c r="B5013" s="19" t="s">
        <v>8522</v>
      </c>
      <c r="C5013" s="19" t="s">
        <v>8701</v>
      </c>
      <c r="D5013" s="19" t="s">
        <v>8791</v>
      </c>
      <c r="E5013" s="19" t="s">
        <v>8798</v>
      </c>
    </row>
    <row r="5014" spans="1:5" ht="24" customHeight="1" x14ac:dyDescent="0.25">
      <c r="A5014" s="16">
        <v>5043</v>
      </c>
      <c r="B5014" s="19" t="s">
        <v>8522</v>
      </c>
      <c r="C5014" s="19" t="s">
        <v>8701</v>
      </c>
      <c r="D5014" s="19" t="s">
        <v>8791</v>
      </c>
      <c r="E5014" s="19" t="s">
        <v>8799</v>
      </c>
    </row>
    <row r="5015" spans="1:5" x14ac:dyDescent="0.25">
      <c r="A5015" s="16">
        <v>5044</v>
      </c>
      <c r="B5015" s="19" t="s">
        <v>8522</v>
      </c>
      <c r="C5015" s="19" t="s">
        <v>8701</v>
      </c>
      <c r="D5015" s="19" t="s">
        <v>8800</v>
      </c>
      <c r="E5015" s="19" t="s">
        <v>8801</v>
      </c>
    </row>
    <row r="5016" spans="1:5" x14ac:dyDescent="0.25">
      <c r="A5016" s="16">
        <v>5045</v>
      </c>
      <c r="B5016" s="19" t="s">
        <v>8522</v>
      </c>
      <c r="C5016" s="19" t="s">
        <v>8701</v>
      </c>
      <c r="D5016" s="19" t="s">
        <v>8800</v>
      </c>
      <c r="E5016" s="19" t="s">
        <v>8802</v>
      </c>
    </row>
    <row r="5017" spans="1:5" ht="24" customHeight="1" x14ac:dyDescent="0.25">
      <c r="A5017" s="16">
        <v>5046</v>
      </c>
      <c r="B5017" s="19" t="s">
        <v>8522</v>
      </c>
      <c r="C5017" s="19" t="s">
        <v>8701</v>
      </c>
      <c r="D5017" s="19" t="s">
        <v>8800</v>
      </c>
      <c r="E5017" s="19" t="s">
        <v>8803</v>
      </c>
    </row>
    <row r="5018" spans="1:5" x14ac:dyDescent="0.25">
      <c r="A5018" s="16">
        <v>5047</v>
      </c>
      <c r="B5018" s="19" t="s">
        <v>8522</v>
      </c>
      <c r="C5018" s="19" t="s">
        <v>8701</v>
      </c>
      <c r="D5018" s="19" t="s">
        <v>8800</v>
      </c>
      <c r="E5018" s="19" t="s">
        <v>8804</v>
      </c>
    </row>
    <row r="5019" spans="1:5" x14ac:dyDescent="0.25">
      <c r="A5019" s="16">
        <v>5048</v>
      </c>
      <c r="B5019" s="19" t="s">
        <v>8522</v>
      </c>
      <c r="C5019" s="19" t="s">
        <v>8701</v>
      </c>
      <c r="D5019" s="19" t="s">
        <v>8800</v>
      </c>
      <c r="E5019" s="19" t="s">
        <v>8597</v>
      </c>
    </row>
    <row r="5020" spans="1:5" ht="24" customHeight="1" x14ac:dyDescent="0.25">
      <c r="A5020" s="16">
        <v>5049</v>
      </c>
      <c r="B5020" s="19" t="s">
        <v>8522</v>
      </c>
      <c r="C5020" s="19" t="s">
        <v>8805</v>
      </c>
      <c r="D5020" s="19" t="s">
        <v>8806</v>
      </c>
      <c r="E5020" s="19" t="s">
        <v>8807</v>
      </c>
    </row>
    <row r="5021" spans="1:5" x14ac:dyDescent="0.25">
      <c r="A5021" s="16">
        <v>5050</v>
      </c>
      <c r="B5021" s="19" t="s">
        <v>8522</v>
      </c>
      <c r="C5021" s="19" t="s">
        <v>8805</v>
      </c>
      <c r="D5021" s="19" t="s">
        <v>8806</v>
      </c>
      <c r="E5021" s="19" t="s">
        <v>8808</v>
      </c>
    </row>
    <row r="5022" spans="1:5" x14ac:dyDescent="0.25">
      <c r="A5022" s="16">
        <v>5051</v>
      </c>
      <c r="B5022" s="19" t="s">
        <v>8522</v>
      </c>
      <c r="C5022" s="19" t="s">
        <v>8805</v>
      </c>
      <c r="D5022" s="19" t="s">
        <v>8806</v>
      </c>
      <c r="E5022" s="19" t="s">
        <v>8809</v>
      </c>
    </row>
    <row r="5023" spans="1:5" x14ac:dyDescent="0.25">
      <c r="A5023" s="16">
        <v>5052</v>
      </c>
      <c r="B5023" s="19" t="s">
        <v>8522</v>
      </c>
      <c r="C5023" s="19" t="s">
        <v>8805</v>
      </c>
      <c r="D5023" s="19" t="s">
        <v>8806</v>
      </c>
      <c r="E5023" s="19" t="s">
        <v>8810</v>
      </c>
    </row>
    <row r="5024" spans="1:5" x14ac:dyDescent="0.25">
      <c r="A5024" s="16">
        <v>5053</v>
      </c>
      <c r="B5024" s="19" t="s">
        <v>8522</v>
      </c>
      <c r="C5024" s="19" t="s">
        <v>8805</v>
      </c>
      <c r="D5024" s="19" t="s">
        <v>8811</v>
      </c>
      <c r="E5024" s="19" t="s">
        <v>8812</v>
      </c>
    </row>
    <row r="5025" spans="1:5" x14ac:dyDescent="0.25">
      <c r="A5025" s="16">
        <v>5054</v>
      </c>
      <c r="B5025" s="19" t="s">
        <v>8522</v>
      </c>
      <c r="C5025" s="19" t="s">
        <v>8805</v>
      </c>
      <c r="D5025" s="19" t="s">
        <v>8811</v>
      </c>
      <c r="E5025" s="19" t="s">
        <v>8600</v>
      </c>
    </row>
    <row r="5026" spans="1:5" ht="24" customHeight="1" x14ac:dyDescent="0.25">
      <c r="A5026" s="16">
        <v>5055</v>
      </c>
      <c r="B5026" s="19" t="s">
        <v>8522</v>
      </c>
      <c r="C5026" s="19" t="s">
        <v>8805</v>
      </c>
      <c r="D5026" s="19" t="s">
        <v>8811</v>
      </c>
      <c r="E5026" s="19" t="s">
        <v>8813</v>
      </c>
    </row>
    <row r="5027" spans="1:5" x14ac:dyDescent="0.25">
      <c r="A5027" s="16">
        <v>5056</v>
      </c>
      <c r="B5027" s="19" t="s">
        <v>8522</v>
      </c>
      <c r="C5027" s="19" t="s">
        <v>8805</v>
      </c>
      <c r="D5027" s="19" t="s">
        <v>8811</v>
      </c>
      <c r="E5027" s="19" t="s">
        <v>8814</v>
      </c>
    </row>
    <row r="5028" spans="1:5" x14ac:dyDescent="0.25">
      <c r="A5028" s="16">
        <v>5057</v>
      </c>
      <c r="B5028" s="19" t="s">
        <v>8522</v>
      </c>
      <c r="C5028" s="19" t="s">
        <v>8805</v>
      </c>
      <c r="D5028" s="19" t="s">
        <v>8811</v>
      </c>
      <c r="E5028" s="19" t="s">
        <v>8628</v>
      </c>
    </row>
    <row r="5029" spans="1:5" ht="36" customHeight="1" x14ac:dyDescent="0.25">
      <c r="A5029" s="16">
        <v>5058</v>
      </c>
      <c r="B5029" s="19" t="s">
        <v>8522</v>
      </c>
      <c r="C5029" s="19" t="s">
        <v>8805</v>
      </c>
      <c r="D5029" s="19" t="s">
        <v>8815</v>
      </c>
      <c r="E5029" s="19" t="s">
        <v>8816</v>
      </c>
    </row>
    <row r="5030" spans="1:5" ht="24" customHeight="1" x14ac:dyDescent="0.25">
      <c r="A5030" s="16">
        <v>5059</v>
      </c>
      <c r="B5030" s="19" t="s">
        <v>8522</v>
      </c>
      <c r="C5030" s="19" t="s">
        <v>8805</v>
      </c>
      <c r="D5030" s="19" t="s">
        <v>8815</v>
      </c>
      <c r="E5030" s="19" t="s">
        <v>8817</v>
      </c>
    </row>
    <row r="5031" spans="1:5" ht="24" customHeight="1" x14ac:dyDescent="0.25">
      <c r="A5031" s="16">
        <v>5060</v>
      </c>
      <c r="B5031" s="19" t="s">
        <v>8522</v>
      </c>
      <c r="C5031" s="19" t="s">
        <v>8805</v>
      </c>
      <c r="D5031" s="19" t="s">
        <v>8815</v>
      </c>
      <c r="E5031" s="19" t="s">
        <v>8818</v>
      </c>
    </row>
    <row r="5032" spans="1:5" ht="24" customHeight="1" x14ac:dyDescent="0.25">
      <c r="A5032" s="16">
        <v>5061</v>
      </c>
      <c r="B5032" s="19" t="s">
        <v>8522</v>
      </c>
      <c r="C5032" s="19" t="s">
        <v>8805</v>
      </c>
      <c r="D5032" s="19" t="s">
        <v>8815</v>
      </c>
      <c r="E5032" s="19" t="s">
        <v>8819</v>
      </c>
    </row>
    <row r="5033" spans="1:5" ht="24" customHeight="1" x14ac:dyDescent="0.25">
      <c r="A5033" s="16">
        <v>5062</v>
      </c>
      <c r="B5033" s="19" t="s">
        <v>8522</v>
      </c>
      <c r="C5033" s="19" t="s">
        <v>8805</v>
      </c>
      <c r="D5033" s="19" t="s">
        <v>8815</v>
      </c>
      <c r="E5033" s="19" t="s">
        <v>8820</v>
      </c>
    </row>
    <row r="5034" spans="1:5" ht="24" customHeight="1" x14ac:dyDescent="0.25">
      <c r="A5034" s="16">
        <v>5063</v>
      </c>
      <c r="B5034" s="19" t="s">
        <v>8522</v>
      </c>
      <c r="C5034" s="19" t="s">
        <v>8805</v>
      </c>
      <c r="D5034" s="19" t="s">
        <v>8815</v>
      </c>
      <c r="E5034" s="19" t="s">
        <v>8821</v>
      </c>
    </row>
    <row r="5035" spans="1:5" ht="24" customHeight="1" x14ac:dyDescent="0.25">
      <c r="A5035" s="16">
        <v>5064</v>
      </c>
      <c r="B5035" s="19" t="s">
        <v>8522</v>
      </c>
      <c r="C5035" s="19" t="s">
        <v>8805</v>
      </c>
      <c r="D5035" s="19" t="s">
        <v>8815</v>
      </c>
      <c r="E5035" s="19" t="s">
        <v>8822</v>
      </c>
    </row>
    <row r="5036" spans="1:5" x14ac:dyDescent="0.25">
      <c r="A5036" s="16">
        <v>5065</v>
      </c>
      <c r="B5036" s="19" t="s">
        <v>8522</v>
      </c>
      <c r="C5036" s="19" t="s">
        <v>8805</v>
      </c>
      <c r="D5036" s="19" t="s">
        <v>8823</v>
      </c>
      <c r="E5036" s="19" t="s">
        <v>4354</v>
      </c>
    </row>
    <row r="5037" spans="1:5" x14ac:dyDescent="0.25">
      <c r="A5037" s="16">
        <v>5066</v>
      </c>
      <c r="B5037" s="19" t="s">
        <v>8522</v>
      </c>
      <c r="C5037" s="19" t="s">
        <v>8805</v>
      </c>
      <c r="D5037" s="19" t="s">
        <v>8823</v>
      </c>
      <c r="E5037" s="19" t="s">
        <v>8808</v>
      </c>
    </row>
    <row r="5038" spans="1:5" x14ac:dyDescent="0.25">
      <c r="A5038" s="16">
        <v>5067</v>
      </c>
      <c r="B5038" s="19" t="s">
        <v>8522</v>
      </c>
      <c r="C5038" s="19" t="s">
        <v>8805</v>
      </c>
      <c r="D5038" s="19" t="s">
        <v>8823</v>
      </c>
      <c r="E5038" s="19" t="s">
        <v>8824</v>
      </c>
    </row>
    <row r="5039" spans="1:5" x14ac:dyDescent="0.25">
      <c r="A5039" s="16">
        <v>5068</v>
      </c>
      <c r="B5039" s="19" t="s">
        <v>8522</v>
      </c>
      <c r="C5039" s="19" t="s">
        <v>8805</v>
      </c>
      <c r="D5039" s="19" t="s">
        <v>8823</v>
      </c>
      <c r="E5039" s="19" t="s">
        <v>8825</v>
      </c>
    </row>
    <row r="5040" spans="1:5" ht="24" customHeight="1" x14ac:dyDescent="0.25">
      <c r="A5040" s="16">
        <v>5069</v>
      </c>
      <c r="B5040" s="19" t="s">
        <v>8522</v>
      </c>
      <c r="C5040" s="19" t="s">
        <v>8805</v>
      </c>
      <c r="D5040" s="19" t="s">
        <v>8826</v>
      </c>
      <c r="E5040" s="19" t="s">
        <v>8827</v>
      </c>
    </row>
    <row r="5041" spans="1:5" ht="24" customHeight="1" x14ac:dyDescent="0.25">
      <c r="A5041" s="16">
        <v>5070</v>
      </c>
      <c r="B5041" s="19" t="s">
        <v>8522</v>
      </c>
      <c r="C5041" s="19" t="s">
        <v>8805</v>
      </c>
      <c r="D5041" s="19" t="s">
        <v>8826</v>
      </c>
      <c r="E5041" s="19" t="s">
        <v>8828</v>
      </c>
    </row>
    <row r="5042" spans="1:5" ht="24" customHeight="1" x14ac:dyDescent="0.25">
      <c r="A5042" s="16">
        <v>5071</v>
      </c>
      <c r="B5042" s="19" t="s">
        <v>8522</v>
      </c>
      <c r="C5042" s="19" t="s">
        <v>8805</v>
      </c>
      <c r="D5042" s="19" t="s">
        <v>8826</v>
      </c>
      <c r="E5042" s="19" t="s">
        <v>8829</v>
      </c>
    </row>
    <row r="5043" spans="1:5" ht="36" customHeight="1" x14ac:dyDescent="0.25">
      <c r="A5043" s="16">
        <v>5072</v>
      </c>
      <c r="B5043" s="19" t="s">
        <v>8522</v>
      </c>
      <c r="C5043" s="19" t="s">
        <v>8805</v>
      </c>
      <c r="D5043" s="19" t="s">
        <v>8826</v>
      </c>
      <c r="E5043" s="19" t="s">
        <v>8830</v>
      </c>
    </row>
    <row r="5044" spans="1:5" ht="24" customHeight="1" x14ac:dyDescent="0.25">
      <c r="A5044" s="16">
        <v>5073</v>
      </c>
      <c r="B5044" s="19" t="s">
        <v>8522</v>
      </c>
      <c r="C5044" s="19" t="s">
        <v>8805</v>
      </c>
      <c r="D5044" s="19" t="s">
        <v>8826</v>
      </c>
      <c r="E5044" s="19" t="s">
        <v>8831</v>
      </c>
    </row>
    <row r="5045" spans="1:5" ht="24" customHeight="1" x14ac:dyDescent="0.25">
      <c r="A5045" s="16">
        <v>5074</v>
      </c>
      <c r="B5045" s="19" t="s">
        <v>8522</v>
      </c>
      <c r="C5045" s="19" t="s">
        <v>8805</v>
      </c>
      <c r="D5045" s="19" t="s">
        <v>8826</v>
      </c>
      <c r="E5045" s="19" t="s">
        <v>8832</v>
      </c>
    </row>
    <row r="5046" spans="1:5" x14ac:dyDescent="0.25">
      <c r="A5046" s="16">
        <v>5075</v>
      </c>
      <c r="B5046" s="19" t="s">
        <v>8522</v>
      </c>
      <c r="C5046" s="19" t="s">
        <v>8805</v>
      </c>
      <c r="D5046" s="19" t="s">
        <v>8833</v>
      </c>
      <c r="E5046" s="19" t="s">
        <v>8834</v>
      </c>
    </row>
    <row r="5047" spans="1:5" x14ac:dyDescent="0.25">
      <c r="A5047" s="16">
        <v>5076</v>
      </c>
      <c r="B5047" s="19" t="s">
        <v>8522</v>
      </c>
      <c r="C5047" s="19" t="s">
        <v>8805</v>
      </c>
      <c r="D5047" s="19" t="s">
        <v>8833</v>
      </c>
      <c r="E5047" s="19" t="s">
        <v>8835</v>
      </c>
    </row>
    <row r="5048" spans="1:5" x14ac:dyDescent="0.25">
      <c r="A5048" s="16">
        <v>5077</v>
      </c>
      <c r="B5048" s="19" t="s">
        <v>8522</v>
      </c>
      <c r="C5048" s="19" t="s">
        <v>8805</v>
      </c>
      <c r="D5048" s="19" t="s">
        <v>8833</v>
      </c>
      <c r="E5048" s="19" t="s">
        <v>8836</v>
      </c>
    </row>
    <row r="5049" spans="1:5" x14ac:dyDescent="0.25">
      <c r="A5049" s="16">
        <v>5078</v>
      </c>
      <c r="B5049" s="19" t="s">
        <v>8522</v>
      </c>
      <c r="C5049" s="19" t="s">
        <v>8805</v>
      </c>
      <c r="D5049" s="19" t="s">
        <v>8833</v>
      </c>
      <c r="E5049" s="19" t="s">
        <v>8837</v>
      </c>
    </row>
    <row r="5050" spans="1:5" x14ac:dyDescent="0.25">
      <c r="A5050" s="16">
        <v>5079</v>
      </c>
      <c r="B5050" s="19" t="s">
        <v>8522</v>
      </c>
      <c r="C5050" s="19" t="s">
        <v>8805</v>
      </c>
      <c r="D5050" s="19" t="s">
        <v>8833</v>
      </c>
      <c r="E5050" s="19" t="s">
        <v>8838</v>
      </c>
    </row>
    <row r="5051" spans="1:5" x14ac:dyDescent="0.25">
      <c r="A5051" s="16">
        <v>5080</v>
      </c>
      <c r="B5051" s="19" t="s">
        <v>8522</v>
      </c>
      <c r="C5051" s="19" t="s">
        <v>8805</v>
      </c>
      <c r="D5051" s="19" t="s">
        <v>8833</v>
      </c>
      <c r="E5051" s="19" t="s">
        <v>8839</v>
      </c>
    </row>
    <row r="5052" spans="1:5" x14ac:dyDescent="0.25">
      <c r="A5052" s="16">
        <v>5081</v>
      </c>
      <c r="B5052" s="19" t="s">
        <v>8522</v>
      </c>
      <c r="C5052" s="19" t="s">
        <v>8805</v>
      </c>
      <c r="D5052" s="19" t="s">
        <v>8840</v>
      </c>
      <c r="E5052" s="19" t="s">
        <v>8841</v>
      </c>
    </row>
    <row r="5053" spans="1:5" x14ac:dyDescent="0.25">
      <c r="A5053" s="16">
        <v>5082</v>
      </c>
      <c r="B5053" s="19" t="s">
        <v>8522</v>
      </c>
      <c r="C5053" s="19" t="s">
        <v>8805</v>
      </c>
      <c r="D5053" s="19" t="s">
        <v>8840</v>
      </c>
      <c r="E5053" s="19" t="s">
        <v>8828</v>
      </c>
    </row>
    <row r="5054" spans="1:5" ht="24" customHeight="1" x14ac:dyDescent="0.25">
      <c r="A5054" s="16">
        <v>5083</v>
      </c>
      <c r="B5054" s="19" t="s">
        <v>8522</v>
      </c>
      <c r="C5054" s="19" t="s">
        <v>8805</v>
      </c>
      <c r="D5054" s="19" t="s">
        <v>8840</v>
      </c>
      <c r="E5054" s="19" t="s">
        <v>8842</v>
      </c>
    </row>
    <row r="5055" spans="1:5" x14ac:dyDescent="0.25">
      <c r="A5055" s="16">
        <v>5084</v>
      </c>
      <c r="B5055" s="19" t="s">
        <v>8522</v>
      </c>
      <c r="C5055" s="19" t="s">
        <v>8805</v>
      </c>
      <c r="D5055" s="19" t="s">
        <v>8840</v>
      </c>
      <c r="E5055" s="19" t="s">
        <v>8843</v>
      </c>
    </row>
    <row r="5056" spans="1:5" ht="24" customHeight="1" x14ac:dyDescent="0.25">
      <c r="A5056" s="16">
        <v>5085</v>
      </c>
      <c r="B5056" s="19" t="s">
        <v>8522</v>
      </c>
      <c r="C5056" s="19" t="s">
        <v>8805</v>
      </c>
      <c r="D5056" s="19" t="s">
        <v>8844</v>
      </c>
      <c r="E5056" s="19" t="s">
        <v>8845</v>
      </c>
    </row>
    <row r="5057" spans="1:5" x14ac:dyDescent="0.25">
      <c r="A5057" s="16">
        <v>5086</v>
      </c>
      <c r="B5057" s="19" t="s">
        <v>8522</v>
      </c>
      <c r="C5057" s="19" t="s">
        <v>8805</v>
      </c>
      <c r="D5057" s="19" t="s">
        <v>8844</v>
      </c>
      <c r="E5057" s="19" t="s">
        <v>8608</v>
      </c>
    </row>
    <row r="5058" spans="1:5" ht="24" customHeight="1" x14ac:dyDescent="0.25">
      <c r="A5058" s="16">
        <v>5087</v>
      </c>
      <c r="B5058" s="19" t="s">
        <v>8522</v>
      </c>
      <c r="C5058" s="19" t="s">
        <v>8805</v>
      </c>
      <c r="D5058" s="19" t="s">
        <v>8844</v>
      </c>
      <c r="E5058" s="19" t="s">
        <v>8846</v>
      </c>
    </row>
    <row r="5059" spans="1:5" x14ac:dyDescent="0.25">
      <c r="A5059" s="16">
        <v>5088</v>
      </c>
      <c r="B5059" s="19" t="s">
        <v>8522</v>
      </c>
      <c r="C5059" s="19" t="s">
        <v>8805</v>
      </c>
      <c r="D5059" s="19" t="s">
        <v>8844</v>
      </c>
      <c r="E5059" s="19" t="s">
        <v>8847</v>
      </c>
    </row>
    <row r="5060" spans="1:5" x14ac:dyDescent="0.25">
      <c r="A5060" s="16">
        <v>5089</v>
      </c>
      <c r="B5060" s="19" t="s">
        <v>8522</v>
      </c>
      <c r="C5060" s="19" t="s">
        <v>8848</v>
      </c>
      <c r="D5060" s="19" t="s">
        <v>8849</v>
      </c>
      <c r="E5060" s="19" t="s">
        <v>4766</v>
      </c>
    </row>
    <row r="5061" spans="1:5" ht="24" customHeight="1" x14ac:dyDescent="0.25">
      <c r="A5061" s="16">
        <v>5090</v>
      </c>
      <c r="B5061" s="19" t="s">
        <v>8522</v>
      </c>
      <c r="C5061" s="19" t="s">
        <v>8848</v>
      </c>
      <c r="D5061" s="19" t="s">
        <v>8849</v>
      </c>
      <c r="E5061" s="19" t="s">
        <v>8850</v>
      </c>
    </row>
    <row r="5062" spans="1:5" ht="24" customHeight="1" x14ac:dyDescent="0.25">
      <c r="A5062" s="16">
        <v>5091</v>
      </c>
      <c r="B5062" s="19" t="s">
        <v>8522</v>
      </c>
      <c r="C5062" s="19" t="s">
        <v>8848</v>
      </c>
      <c r="D5062" s="19" t="s">
        <v>8849</v>
      </c>
      <c r="E5062" s="19" t="s">
        <v>8851</v>
      </c>
    </row>
    <row r="5063" spans="1:5" x14ac:dyDescent="0.25">
      <c r="A5063" s="16">
        <v>5092</v>
      </c>
      <c r="B5063" s="19" t="s">
        <v>8522</v>
      </c>
      <c r="C5063" s="19" t="s">
        <v>8848</v>
      </c>
      <c r="D5063" s="19" t="s">
        <v>8849</v>
      </c>
      <c r="E5063" s="19" t="s">
        <v>8852</v>
      </c>
    </row>
    <row r="5064" spans="1:5" x14ac:dyDescent="0.25">
      <c r="A5064" s="16">
        <v>5093</v>
      </c>
      <c r="B5064" s="19" t="s">
        <v>8522</v>
      </c>
      <c r="C5064" s="19" t="s">
        <v>8848</v>
      </c>
      <c r="D5064" s="19" t="s">
        <v>8849</v>
      </c>
      <c r="E5064" s="19" t="s">
        <v>8853</v>
      </c>
    </row>
    <row r="5065" spans="1:5" x14ac:dyDescent="0.25">
      <c r="A5065" s="16">
        <v>5094</v>
      </c>
      <c r="B5065" s="19" t="s">
        <v>8522</v>
      </c>
      <c r="C5065" s="19" t="s">
        <v>8848</v>
      </c>
      <c r="D5065" s="19" t="s">
        <v>8849</v>
      </c>
      <c r="E5065" s="19" t="s">
        <v>8854</v>
      </c>
    </row>
    <row r="5066" spans="1:5" x14ac:dyDescent="0.25">
      <c r="A5066" s="16">
        <v>5095</v>
      </c>
      <c r="B5066" s="19" t="s">
        <v>8522</v>
      </c>
      <c r="C5066" s="19" t="s">
        <v>8848</v>
      </c>
      <c r="D5066" s="19" t="s">
        <v>8849</v>
      </c>
      <c r="E5066" s="19" t="s">
        <v>8855</v>
      </c>
    </row>
    <row r="5067" spans="1:5" x14ac:dyDescent="0.25">
      <c r="A5067" s="16">
        <v>5096</v>
      </c>
      <c r="B5067" s="19" t="s">
        <v>8522</v>
      </c>
      <c r="C5067" s="19" t="s">
        <v>8848</v>
      </c>
      <c r="D5067" s="19" t="s">
        <v>8849</v>
      </c>
      <c r="E5067" s="19" t="s">
        <v>8856</v>
      </c>
    </row>
    <row r="5068" spans="1:5" x14ac:dyDescent="0.25">
      <c r="A5068" s="16">
        <v>5097</v>
      </c>
      <c r="B5068" s="19" t="s">
        <v>8522</v>
      </c>
      <c r="C5068" s="19" t="s">
        <v>8848</v>
      </c>
      <c r="D5068" s="19" t="s">
        <v>8849</v>
      </c>
      <c r="E5068" s="19" t="s">
        <v>8857</v>
      </c>
    </row>
    <row r="5069" spans="1:5" x14ac:dyDescent="0.25">
      <c r="A5069" s="16">
        <v>5098</v>
      </c>
      <c r="B5069" s="19" t="s">
        <v>8522</v>
      </c>
      <c r="C5069" s="19" t="s">
        <v>8848</v>
      </c>
      <c r="D5069" s="19" t="s">
        <v>8849</v>
      </c>
      <c r="E5069" s="19" t="s">
        <v>8858</v>
      </c>
    </row>
    <row r="5070" spans="1:5" x14ac:dyDescent="0.25">
      <c r="A5070" s="16">
        <v>5099</v>
      </c>
      <c r="B5070" s="19" t="s">
        <v>8522</v>
      </c>
      <c r="C5070" s="19" t="s">
        <v>8848</v>
      </c>
      <c r="D5070" s="19" t="s">
        <v>8849</v>
      </c>
      <c r="E5070" s="19" t="s">
        <v>8859</v>
      </c>
    </row>
    <row r="5071" spans="1:5" x14ac:dyDescent="0.25">
      <c r="A5071" s="16">
        <v>5100</v>
      </c>
      <c r="B5071" s="19" t="s">
        <v>8522</v>
      </c>
      <c r="C5071" s="19" t="s">
        <v>8848</v>
      </c>
      <c r="D5071" s="19" t="s">
        <v>8848</v>
      </c>
      <c r="E5071" s="19" t="s">
        <v>8860</v>
      </c>
    </row>
    <row r="5072" spans="1:5" x14ac:dyDescent="0.25">
      <c r="A5072" s="16">
        <v>5101</v>
      </c>
      <c r="B5072" s="19" t="s">
        <v>8522</v>
      </c>
      <c r="C5072" s="19" t="s">
        <v>8848</v>
      </c>
      <c r="D5072" s="19" t="s">
        <v>8848</v>
      </c>
      <c r="E5072" s="19" t="s">
        <v>8861</v>
      </c>
    </row>
    <row r="5073" spans="1:5" ht="24" customHeight="1" x14ac:dyDescent="0.25">
      <c r="A5073" s="16">
        <v>5102</v>
      </c>
      <c r="B5073" s="19" t="s">
        <v>8522</v>
      </c>
      <c r="C5073" s="19" t="s">
        <v>8848</v>
      </c>
      <c r="D5073" s="19" t="s">
        <v>8848</v>
      </c>
      <c r="E5073" s="19" t="s">
        <v>8862</v>
      </c>
    </row>
    <row r="5074" spans="1:5" ht="24" customHeight="1" x14ac:dyDescent="0.25">
      <c r="A5074" s="16">
        <v>5103</v>
      </c>
      <c r="B5074" s="19" t="s">
        <v>8522</v>
      </c>
      <c r="C5074" s="19" t="s">
        <v>8848</v>
      </c>
      <c r="D5074" s="19" t="s">
        <v>8848</v>
      </c>
      <c r="E5074" s="19" t="s">
        <v>8863</v>
      </c>
    </row>
    <row r="5075" spans="1:5" ht="24" customHeight="1" x14ac:dyDescent="0.25">
      <c r="A5075" s="16">
        <v>5104</v>
      </c>
      <c r="B5075" s="19" t="s">
        <v>8522</v>
      </c>
      <c r="C5075" s="19" t="s">
        <v>8848</v>
      </c>
      <c r="D5075" s="19" t="s">
        <v>8848</v>
      </c>
      <c r="E5075" s="19" t="s">
        <v>8864</v>
      </c>
    </row>
    <row r="5076" spans="1:5" x14ac:dyDescent="0.25">
      <c r="A5076" s="16">
        <v>5105</v>
      </c>
      <c r="B5076" s="19" t="s">
        <v>8522</v>
      </c>
      <c r="C5076" s="19" t="s">
        <v>8848</v>
      </c>
      <c r="D5076" s="19" t="s">
        <v>8848</v>
      </c>
      <c r="E5076" s="19" t="s">
        <v>8865</v>
      </c>
    </row>
    <row r="5077" spans="1:5" x14ac:dyDescent="0.25">
      <c r="A5077" s="16">
        <v>5106</v>
      </c>
      <c r="B5077" s="19" t="s">
        <v>8522</v>
      </c>
      <c r="C5077" s="19" t="s">
        <v>8848</v>
      </c>
      <c r="D5077" s="19" t="s">
        <v>8848</v>
      </c>
      <c r="E5077" s="19" t="s">
        <v>8866</v>
      </c>
    </row>
    <row r="5078" spans="1:5" x14ac:dyDescent="0.25">
      <c r="A5078" s="16">
        <v>5107</v>
      </c>
      <c r="B5078" s="19" t="s">
        <v>8522</v>
      </c>
      <c r="C5078" s="19" t="s">
        <v>8848</v>
      </c>
      <c r="D5078" s="19" t="s">
        <v>8848</v>
      </c>
      <c r="E5078" s="19" t="s">
        <v>8867</v>
      </c>
    </row>
    <row r="5079" spans="1:5" ht="24" customHeight="1" x14ac:dyDescent="0.25">
      <c r="A5079" s="16">
        <v>5108</v>
      </c>
      <c r="B5079" s="19" t="s">
        <v>8522</v>
      </c>
      <c r="C5079" s="19" t="s">
        <v>8848</v>
      </c>
      <c r="D5079" s="19" t="s">
        <v>8848</v>
      </c>
      <c r="E5079" s="19" t="s">
        <v>8868</v>
      </c>
    </row>
    <row r="5080" spans="1:5" ht="36" customHeight="1" x14ac:dyDescent="0.25">
      <c r="A5080" s="16">
        <v>5109</v>
      </c>
      <c r="B5080" s="19" t="s">
        <v>8522</v>
      </c>
      <c r="C5080" s="19" t="s">
        <v>8848</v>
      </c>
      <c r="D5080" s="19" t="s">
        <v>8848</v>
      </c>
      <c r="E5080" s="19" t="s">
        <v>8869</v>
      </c>
    </row>
    <row r="5081" spans="1:5" ht="24" customHeight="1" x14ac:dyDescent="0.25">
      <c r="A5081" s="16">
        <v>5110</v>
      </c>
      <c r="B5081" s="19" t="s">
        <v>8522</v>
      </c>
      <c r="C5081" s="19" t="s">
        <v>8848</v>
      </c>
      <c r="D5081" s="19" t="s">
        <v>8848</v>
      </c>
      <c r="E5081" s="19" t="s">
        <v>8870</v>
      </c>
    </row>
    <row r="5082" spans="1:5" ht="24" customHeight="1" x14ac:dyDescent="0.25">
      <c r="A5082" s="16">
        <v>5111</v>
      </c>
      <c r="B5082" s="19" t="s">
        <v>8522</v>
      </c>
      <c r="C5082" s="19" t="s">
        <v>8848</v>
      </c>
      <c r="D5082" s="19" t="s">
        <v>8848</v>
      </c>
      <c r="E5082" s="19" t="s">
        <v>8871</v>
      </c>
    </row>
    <row r="5083" spans="1:5" x14ac:dyDescent="0.25">
      <c r="A5083" s="16">
        <v>5112</v>
      </c>
      <c r="B5083" s="19" t="s">
        <v>8522</v>
      </c>
      <c r="C5083" s="19" t="s">
        <v>8848</v>
      </c>
      <c r="D5083" s="19" t="s">
        <v>8872</v>
      </c>
      <c r="E5083" s="19" t="s">
        <v>6252</v>
      </c>
    </row>
    <row r="5084" spans="1:5" x14ac:dyDescent="0.25">
      <c r="A5084" s="16">
        <v>5113</v>
      </c>
      <c r="B5084" s="19" t="s">
        <v>8522</v>
      </c>
      <c r="C5084" s="19" t="s">
        <v>8848</v>
      </c>
      <c r="D5084" s="19" t="s">
        <v>8872</v>
      </c>
      <c r="E5084" s="19" t="s">
        <v>8873</v>
      </c>
    </row>
    <row r="5085" spans="1:5" x14ac:dyDescent="0.25">
      <c r="A5085" s="16">
        <v>5114</v>
      </c>
      <c r="B5085" s="19" t="s">
        <v>8522</v>
      </c>
      <c r="C5085" s="19" t="s">
        <v>8848</v>
      </c>
      <c r="D5085" s="19" t="s">
        <v>8872</v>
      </c>
      <c r="E5085" s="19" t="s">
        <v>8874</v>
      </c>
    </row>
    <row r="5086" spans="1:5" x14ac:dyDescent="0.25">
      <c r="A5086" s="16">
        <v>5115</v>
      </c>
      <c r="B5086" s="19" t="s">
        <v>8522</v>
      </c>
      <c r="C5086" s="19" t="s">
        <v>8848</v>
      </c>
      <c r="D5086" s="19" t="s">
        <v>8872</v>
      </c>
      <c r="E5086" s="19" t="s">
        <v>8875</v>
      </c>
    </row>
    <row r="5087" spans="1:5" x14ac:dyDescent="0.25">
      <c r="A5087" s="16">
        <v>5116</v>
      </c>
      <c r="B5087" s="19" t="s">
        <v>8522</v>
      </c>
      <c r="C5087" s="19" t="s">
        <v>8848</v>
      </c>
      <c r="D5087" s="19" t="s">
        <v>8872</v>
      </c>
      <c r="E5087" s="19" t="s">
        <v>8876</v>
      </c>
    </row>
    <row r="5088" spans="1:5" x14ac:dyDescent="0.25">
      <c r="A5088" s="16">
        <v>5117</v>
      </c>
      <c r="B5088" s="19" t="s">
        <v>8522</v>
      </c>
      <c r="C5088" s="19" t="s">
        <v>8848</v>
      </c>
      <c r="D5088" s="19" t="s">
        <v>8872</v>
      </c>
      <c r="E5088" s="19" t="s">
        <v>8877</v>
      </c>
    </row>
    <row r="5089" spans="1:5" x14ac:dyDescent="0.25">
      <c r="A5089" s="16">
        <v>5118</v>
      </c>
      <c r="B5089" s="19" t="s">
        <v>8522</v>
      </c>
      <c r="C5089" s="19" t="s">
        <v>8848</v>
      </c>
      <c r="D5089" s="19" t="s">
        <v>8872</v>
      </c>
      <c r="E5089" s="19" t="s">
        <v>8878</v>
      </c>
    </row>
    <row r="5090" spans="1:5" ht="24" customHeight="1" x14ac:dyDescent="0.25">
      <c r="A5090" s="16">
        <v>5119</v>
      </c>
      <c r="B5090" s="19" t="s">
        <v>8522</v>
      </c>
      <c r="C5090" s="19" t="s">
        <v>8848</v>
      </c>
      <c r="D5090" s="19" t="s">
        <v>8872</v>
      </c>
      <c r="E5090" s="19" t="s">
        <v>8879</v>
      </c>
    </row>
    <row r="5091" spans="1:5" ht="24" customHeight="1" x14ac:dyDescent="0.25">
      <c r="A5091" s="16">
        <v>5120</v>
      </c>
      <c r="B5091" s="19" t="s">
        <v>8522</v>
      </c>
      <c r="C5091" s="19" t="s">
        <v>8848</v>
      </c>
      <c r="D5091" s="19" t="s">
        <v>8872</v>
      </c>
      <c r="E5091" s="19" t="s">
        <v>8880</v>
      </c>
    </row>
    <row r="5092" spans="1:5" x14ac:dyDescent="0.25">
      <c r="A5092" s="16">
        <v>5121</v>
      </c>
      <c r="B5092" s="19" t="s">
        <v>8522</v>
      </c>
      <c r="C5092" s="19" t="s">
        <v>8848</v>
      </c>
      <c r="D5092" s="19" t="s">
        <v>8872</v>
      </c>
      <c r="E5092" s="19" t="s">
        <v>8881</v>
      </c>
    </row>
    <row r="5093" spans="1:5" x14ac:dyDescent="0.25">
      <c r="A5093" s="16">
        <v>5122</v>
      </c>
      <c r="B5093" s="19" t="s">
        <v>8522</v>
      </c>
      <c r="C5093" s="19" t="s">
        <v>8848</v>
      </c>
      <c r="D5093" s="19" t="s">
        <v>8882</v>
      </c>
      <c r="E5093" s="19" t="s">
        <v>8883</v>
      </c>
    </row>
    <row r="5094" spans="1:5" x14ac:dyDescent="0.25">
      <c r="A5094" s="16">
        <v>5123</v>
      </c>
      <c r="B5094" s="19" t="s">
        <v>8522</v>
      </c>
      <c r="C5094" s="19" t="s">
        <v>8848</v>
      </c>
      <c r="D5094" s="19" t="s">
        <v>8882</v>
      </c>
      <c r="E5094" s="19" t="s">
        <v>8884</v>
      </c>
    </row>
    <row r="5095" spans="1:5" x14ac:dyDescent="0.25">
      <c r="A5095" s="16">
        <v>5124</v>
      </c>
      <c r="B5095" s="19" t="s">
        <v>8522</v>
      </c>
      <c r="C5095" s="19" t="s">
        <v>8848</v>
      </c>
      <c r="D5095" s="19" t="s">
        <v>8882</v>
      </c>
      <c r="E5095" s="19" t="s">
        <v>8885</v>
      </c>
    </row>
    <row r="5096" spans="1:5" x14ac:dyDescent="0.25">
      <c r="A5096" s="16">
        <v>5125</v>
      </c>
      <c r="B5096" s="19" t="s">
        <v>8522</v>
      </c>
      <c r="C5096" s="19" t="s">
        <v>8848</v>
      </c>
      <c r="D5096" s="19" t="s">
        <v>8882</v>
      </c>
      <c r="E5096" s="19" t="s">
        <v>8886</v>
      </c>
    </row>
    <row r="5097" spans="1:5" ht="24" customHeight="1" x14ac:dyDescent="0.25">
      <c r="A5097" s="16">
        <v>5126</v>
      </c>
      <c r="B5097" s="19" t="s">
        <v>8522</v>
      </c>
      <c r="C5097" s="19" t="s">
        <v>8848</v>
      </c>
      <c r="D5097" s="19" t="s">
        <v>8882</v>
      </c>
      <c r="E5097" s="19" t="s">
        <v>8887</v>
      </c>
    </row>
    <row r="5098" spans="1:5" ht="24" customHeight="1" x14ac:dyDescent="0.25">
      <c r="A5098" s="16">
        <v>5127</v>
      </c>
      <c r="B5098" s="19" t="s">
        <v>8522</v>
      </c>
      <c r="C5098" s="19" t="s">
        <v>8848</v>
      </c>
      <c r="D5098" s="19" t="s">
        <v>8882</v>
      </c>
      <c r="E5098" s="19" t="s">
        <v>8888</v>
      </c>
    </row>
    <row r="5099" spans="1:5" ht="36" customHeight="1" x14ac:dyDescent="0.25">
      <c r="A5099" s="16">
        <v>5128</v>
      </c>
      <c r="B5099" s="19" t="s">
        <v>8522</v>
      </c>
      <c r="C5099" s="19" t="s">
        <v>8848</v>
      </c>
      <c r="D5099" s="19" t="s">
        <v>8882</v>
      </c>
      <c r="E5099" s="19" t="s">
        <v>8889</v>
      </c>
    </row>
    <row r="5100" spans="1:5" ht="24" customHeight="1" x14ac:dyDescent="0.25">
      <c r="A5100" s="16">
        <v>5129</v>
      </c>
      <c r="B5100" s="19" t="s">
        <v>8522</v>
      </c>
      <c r="C5100" s="19" t="s">
        <v>8890</v>
      </c>
      <c r="D5100" s="19" t="s">
        <v>8891</v>
      </c>
      <c r="E5100" s="19" t="s">
        <v>8892</v>
      </c>
    </row>
    <row r="5101" spans="1:5" ht="24" customHeight="1" x14ac:dyDescent="0.25">
      <c r="A5101" s="16">
        <v>5130</v>
      </c>
      <c r="B5101" s="19" t="s">
        <v>8522</v>
      </c>
      <c r="C5101" s="19" t="s">
        <v>8890</v>
      </c>
      <c r="D5101" s="19" t="s">
        <v>8891</v>
      </c>
      <c r="E5101" s="19" t="s">
        <v>8893</v>
      </c>
    </row>
    <row r="5102" spans="1:5" ht="24" customHeight="1" x14ac:dyDescent="0.25">
      <c r="A5102" s="16">
        <v>5131</v>
      </c>
      <c r="B5102" s="19" t="s">
        <v>8522</v>
      </c>
      <c r="C5102" s="19" t="s">
        <v>8890</v>
      </c>
      <c r="D5102" s="19" t="s">
        <v>8891</v>
      </c>
      <c r="E5102" s="19" t="s">
        <v>8894</v>
      </c>
    </row>
    <row r="5103" spans="1:5" ht="24" customHeight="1" x14ac:dyDescent="0.25">
      <c r="A5103" s="16">
        <v>5132</v>
      </c>
      <c r="B5103" s="19" t="s">
        <v>8522</v>
      </c>
      <c r="C5103" s="19" t="s">
        <v>8890</v>
      </c>
      <c r="D5103" s="19" t="s">
        <v>8891</v>
      </c>
      <c r="E5103" s="19" t="s">
        <v>8895</v>
      </c>
    </row>
    <row r="5104" spans="1:5" ht="24" customHeight="1" x14ac:dyDescent="0.25">
      <c r="A5104" s="16">
        <v>5133</v>
      </c>
      <c r="B5104" s="19" t="s">
        <v>8522</v>
      </c>
      <c r="C5104" s="19" t="s">
        <v>8890</v>
      </c>
      <c r="D5104" s="19" t="s">
        <v>8891</v>
      </c>
      <c r="E5104" s="19" t="s">
        <v>8896</v>
      </c>
    </row>
    <row r="5105" spans="1:5" ht="24" customHeight="1" x14ac:dyDescent="0.25">
      <c r="A5105" s="16">
        <v>5134</v>
      </c>
      <c r="B5105" s="19" t="s">
        <v>8522</v>
      </c>
      <c r="C5105" s="19" t="s">
        <v>8890</v>
      </c>
      <c r="D5105" s="19" t="s">
        <v>8891</v>
      </c>
      <c r="E5105" s="19" t="s">
        <v>8897</v>
      </c>
    </row>
    <row r="5106" spans="1:5" ht="24" customHeight="1" x14ac:dyDescent="0.25">
      <c r="A5106" s="16">
        <v>5135</v>
      </c>
      <c r="B5106" s="19" t="s">
        <v>8522</v>
      </c>
      <c r="C5106" s="19" t="s">
        <v>8890</v>
      </c>
      <c r="D5106" s="19" t="s">
        <v>8898</v>
      </c>
      <c r="E5106" s="19" t="s">
        <v>8899</v>
      </c>
    </row>
    <row r="5107" spans="1:5" ht="24" customHeight="1" x14ac:dyDescent="0.25">
      <c r="A5107" s="16">
        <v>5136</v>
      </c>
      <c r="B5107" s="19" t="s">
        <v>8522</v>
      </c>
      <c r="C5107" s="19" t="s">
        <v>8890</v>
      </c>
      <c r="D5107" s="19" t="s">
        <v>8898</v>
      </c>
      <c r="E5107" s="19" t="s">
        <v>8900</v>
      </c>
    </row>
    <row r="5108" spans="1:5" ht="24" customHeight="1" x14ac:dyDescent="0.25">
      <c r="A5108" s="16">
        <v>5137</v>
      </c>
      <c r="B5108" s="19" t="s">
        <v>8522</v>
      </c>
      <c r="C5108" s="19" t="s">
        <v>8890</v>
      </c>
      <c r="D5108" s="19" t="s">
        <v>8898</v>
      </c>
      <c r="E5108" s="19" t="s">
        <v>8901</v>
      </c>
    </row>
    <row r="5109" spans="1:5" ht="24" customHeight="1" x14ac:dyDescent="0.25">
      <c r="A5109" s="16">
        <v>5138</v>
      </c>
      <c r="B5109" s="19" t="s">
        <v>8522</v>
      </c>
      <c r="C5109" s="19" t="s">
        <v>8890</v>
      </c>
      <c r="D5109" s="19" t="s">
        <v>8898</v>
      </c>
      <c r="E5109" s="19" t="s">
        <v>8902</v>
      </c>
    </row>
    <row r="5110" spans="1:5" ht="24" customHeight="1" x14ac:dyDescent="0.25">
      <c r="A5110" s="16">
        <v>5139</v>
      </c>
      <c r="B5110" s="19" t="s">
        <v>8522</v>
      </c>
      <c r="C5110" s="19" t="s">
        <v>8890</v>
      </c>
      <c r="D5110" s="19" t="s">
        <v>8898</v>
      </c>
      <c r="E5110" s="19" t="s">
        <v>8903</v>
      </c>
    </row>
    <row r="5111" spans="1:5" ht="24" customHeight="1" x14ac:dyDescent="0.25">
      <c r="A5111" s="16">
        <v>5140</v>
      </c>
      <c r="B5111" s="19" t="s">
        <v>8522</v>
      </c>
      <c r="C5111" s="19" t="s">
        <v>8890</v>
      </c>
      <c r="D5111" s="19" t="s">
        <v>8898</v>
      </c>
      <c r="E5111" s="19" t="s">
        <v>8904</v>
      </c>
    </row>
    <row r="5112" spans="1:5" ht="24" customHeight="1" x14ac:dyDescent="0.25">
      <c r="A5112" s="16">
        <v>5141</v>
      </c>
      <c r="B5112" s="19" t="s">
        <v>8522</v>
      </c>
      <c r="C5112" s="19" t="s">
        <v>8890</v>
      </c>
      <c r="D5112" s="19" t="s">
        <v>8898</v>
      </c>
      <c r="E5112" s="19" t="s">
        <v>8905</v>
      </c>
    </row>
    <row r="5113" spans="1:5" ht="24" customHeight="1" x14ac:dyDescent="0.25">
      <c r="A5113" s="16">
        <v>5142</v>
      </c>
      <c r="B5113" s="19" t="s">
        <v>8522</v>
      </c>
      <c r="C5113" s="19" t="s">
        <v>8890</v>
      </c>
      <c r="D5113" s="19" t="s">
        <v>8898</v>
      </c>
      <c r="E5113" s="19" t="s">
        <v>8906</v>
      </c>
    </row>
    <row r="5114" spans="1:5" ht="24" customHeight="1" x14ac:dyDescent="0.25">
      <c r="A5114" s="16">
        <v>5143</v>
      </c>
      <c r="B5114" s="19" t="s">
        <v>8522</v>
      </c>
      <c r="C5114" s="19" t="s">
        <v>8890</v>
      </c>
      <c r="D5114" s="19" t="s">
        <v>8898</v>
      </c>
      <c r="E5114" s="19" t="s">
        <v>8907</v>
      </c>
    </row>
    <row r="5115" spans="1:5" ht="24" customHeight="1" x14ac:dyDescent="0.25">
      <c r="A5115" s="16">
        <v>5144</v>
      </c>
      <c r="B5115" s="19" t="s">
        <v>8522</v>
      </c>
      <c r="C5115" s="19" t="s">
        <v>8890</v>
      </c>
      <c r="D5115" s="19" t="s">
        <v>8908</v>
      </c>
      <c r="E5115" s="19" t="s">
        <v>8909</v>
      </c>
    </row>
    <row r="5116" spans="1:5" ht="24" customHeight="1" x14ac:dyDescent="0.25">
      <c r="A5116" s="16">
        <v>5145</v>
      </c>
      <c r="B5116" s="19" t="s">
        <v>8522</v>
      </c>
      <c r="C5116" s="19" t="s">
        <v>8890</v>
      </c>
      <c r="D5116" s="19" t="s">
        <v>8908</v>
      </c>
      <c r="E5116" s="19" t="s">
        <v>8910</v>
      </c>
    </row>
    <row r="5117" spans="1:5" ht="24" customHeight="1" x14ac:dyDescent="0.25">
      <c r="A5117" s="16">
        <v>5146</v>
      </c>
      <c r="B5117" s="19" t="s">
        <v>8522</v>
      </c>
      <c r="C5117" s="19" t="s">
        <v>8890</v>
      </c>
      <c r="D5117" s="19" t="s">
        <v>8908</v>
      </c>
      <c r="E5117" s="19" t="s">
        <v>8911</v>
      </c>
    </row>
    <row r="5118" spans="1:5" ht="24" customHeight="1" x14ac:dyDescent="0.25">
      <c r="A5118" s="16">
        <v>5147</v>
      </c>
      <c r="B5118" s="19" t="s">
        <v>8522</v>
      </c>
      <c r="C5118" s="19" t="s">
        <v>8890</v>
      </c>
      <c r="D5118" s="19" t="s">
        <v>8908</v>
      </c>
      <c r="E5118" s="19" t="s">
        <v>8912</v>
      </c>
    </row>
    <row r="5119" spans="1:5" ht="24" customHeight="1" x14ac:dyDescent="0.25">
      <c r="A5119" s="16">
        <v>5148</v>
      </c>
      <c r="B5119" s="19" t="s">
        <v>8522</v>
      </c>
      <c r="C5119" s="19" t="s">
        <v>8890</v>
      </c>
      <c r="D5119" s="19" t="s">
        <v>8908</v>
      </c>
      <c r="E5119" s="19" t="s">
        <v>8913</v>
      </c>
    </row>
    <row r="5120" spans="1:5" ht="24" customHeight="1" x14ac:dyDescent="0.25">
      <c r="A5120" s="16">
        <v>5149</v>
      </c>
      <c r="B5120" s="19" t="s">
        <v>8522</v>
      </c>
      <c r="C5120" s="19" t="s">
        <v>8890</v>
      </c>
      <c r="D5120" s="19" t="s">
        <v>8914</v>
      </c>
      <c r="E5120" s="19" t="s">
        <v>8915</v>
      </c>
    </row>
    <row r="5121" spans="1:5" ht="24" customHeight="1" x14ac:dyDescent="0.25">
      <c r="A5121" s="16">
        <v>5150</v>
      </c>
      <c r="B5121" s="19" t="s">
        <v>8522</v>
      </c>
      <c r="C5121" s="19" t="s">
        <v>8890</v>
      </c>
      <c r="D5121" s="19" t="s">
        <v>8914</v>
      </c>
      <c r="E5121" s="19" t="s">
        <v>8916</v>
      </c>
    </row>
    <row r="5122" spans="1:5" ht="24" customHeight="1" x14ac:dyDescent="0.25">
      <c r="A5122" s="16">
        <v>5151</v>
      </c>
      <c r="B5122" s="19" t="s">
        <v>8522</v>
      </c>
      <c r="C5122" s="19" t="s">
        <v>8890</v>
      </c>
      <c r="D5122" s="19" t="s">
        <v>8914</v>
      </c>
      <c r="E5122" s="19" t="s">
        <v>8917</v>
      </c>
    </row>
    <row r="5123" spans="1:5" ht="24" customHeight="1" x14ac:dyDescent="0.25">
      <c r="A5123" s="16">
        <v>5152</v>
      </c>
      <c r="B5123" s="19" t="s">
        <v>8522</v>
      </c>
      <c r="C5123" s="19" t="s">
        <v>8890</v>
      </c>
      <c r="D5123" s="19" t="s">
        <v>8914</v>
      </c>
      <c r="E5123" s="19" t="s">
        <v>8918</v>
      </c>
    </row>
    <row r="5124" spans="1:5" ht="24" customHeight="1" x14ac:dyDescent="0.25">
      <c r="A5124" s="16">
        <v>5153</v>
      </c>
      <c r="B5124" s="19" t="s">
        <v>8522</v>
      </c>
      <c r="C5124" s="19" t="s">
        <v>8890</v>
      </c>
      <c r="D5124" s="19" t="s">
        <v>8914</v>
      </c>
      <c r="E5124" s="19" t="s">
        <v>8919</v>
      </c>
    </row>
    <row r="5125" spans="1:5" ht="24" customHeight="1" x14ac:dyDescent="0.25">
      <c r="A5125" s="16">
        <v>5154</v>
      </c>
      <c r="B5125" s="19" t="s">
        <v>8522</v>
      </c>
      <c r="C5125" s="19" t="s">
        <v>8890</v>
      </c>
      <c r="D5125" s="19" t="s">
        <v>8914</v>
      </c>
      <c r="E5125" s="19" t="s">
        <v>8920</v>
      </c>
    </row>
    <row r="5126" spans="1:5" ht="24" customHeight="1" x14ac:dyDescent="0.25">
      <c r="A5126" s="16">
        <v>5155</v>
      </c>
      <c r="B5126" s="19" t="s">
        <v>8522</v>
      </c>
      <c r="C5126" s="19" t="s">
        <v>8890</v>
      </c>
      <c r="D5126" s="19" t="s">
        <v>8914</v>
      </c>
      <c r="E5126" s="19" t="s">
        <v>8921</v>
      </c>
    </row>
    <row r="5127" spans="1:5" ht="24" customHeight="1" x14ac:dyDescent="0.25">
      <c r="A5127" s="16">
        <v>5156</v>
      </c>
      <c r="B5127" s="19" t="s">
        <v>8522</v>
      </c>
      <c r="C5127" s="19" t="s">
        <v>8890</v>
      </c>
      <c r="D5127" s="19" t="s">
        <v>8922</v>
      </c>
      <c r="E5127" s="19" t="s">
        <v>8923</v>
      </c>
    </row>
    <row r="5128" spans="1:5" ht="24" customHeight="1" x14ac:dyDescent="0.25">
      <c r="A5128" s="16">
        <v>5157</v>
      </c>
      <c r="B5128" s="19" t="s">
        <v>8522</v>
      </c>
      <c r="C5128" s="19" t="s">
        <v>8890</v>
      </c>
      <c r="D5128" s="19" t="s">
        <v>8922</v>
      </c>
      <c r="E5128" s="19" t="s">
        <v>8924</v>
      </c>
    </row>
    <row r="5129" spans="1:5" ht="24" customHeight="1" x14ac:dyDescent="0.25">
      <c r="A5129" s="16">
        <v>5158</v>
      </c>
      <c r="B5129" s="19" t="s">
        <v>8522</v>
      </c>
      <c r="C5129" s="19" t="s">
        <v>8890</v>
      </c>
      <c r="D5129" s="19" t="s">
        <v>8922</v>
      </c>
      <c r="E5129" s="19" t="s">
        <v>8925</v>
      </c>
    </row>
    <row r="5130" spans="1:5" ht="24" customHeight="1" x14ac:dyDescent="0.25">
      <c r="A5130" s="16">
        <v>5159</v>
      </c>
      <c r="B5130" s="19" t="s">
        <v>8522</v>
      </c>
      <c r="C5130" s="19" t="s">
        <v>8890</v>
      </c>
      <c r="D5130" s="19" t="s">
        <v>8922</v>
      </c>
      <c r="E5130" s="19" t="s">
        <v>8926</v>
      </c>
    </row>
    <row r="5131" spans="1:5" ht="24" customHeight="1" x14ac:dyDescent="0.25">
      <c r="A5131" s="16">
        <v>5160</v>
      </c>
      <c r="B5131" s="19" t="s">
        <v>8522</v>
      </c>
      <c r="C5131" s="19" t="s">
        <v>8890</v>
      </c>
      <c r="D5131" s="19" t="s">
        <v>8922</v>
      </c>
      <c r="E5131" s="19" t="s">
        <v>8927</v>
      </c>
    </row>
    <row r="5132" spans="1:5" ht="24" customHeight="1" x14ac:dyDescent="0.25">
      <c r="A5132" s="16">
        <v>5161</v>
      </c>
      <c r="B5132" s="19" t="s">
        <v>8522</v>
      </c>
      <c r="C5132" s="19" t="s">
        <v>8890</v>
      </c>
      <c r="D5132" s="19" t="s">
        <v>8922</v>
      </c>
      <c r="E5132" s="19" t="s">
        <v>8928</v>
      </c>
    </row>
    <row r="5133" spans="1:5" ht="24" customHeight="1" x14ac:dyDescent="0.25">
      <c r="A5133" s="16">
        <v>5162</v>
      </c>
      <c r="B5133" s="19" t="s">
        <v>8522</v>
      </c>
      <c r="C5133" s="19" t="s">
        <v>8890</v>
      </c>
      <c r="D5133" s="19" t="s">
        <v>8922</v>
      </c>
      <c r="E5133" s="19" t="s">
        <v>8929</v>
      </c>
    </row>
    <row r="5134" spans="1:5" ht="24" customHeight="1" x14ac:dyDescent="0.25">
      <c r="A5134" s="16">
        <v>5163</v>
      </c>
      <c r="B5134" s="19" t="s">
        <v>8522</v>
      </c>
      <c r="C5134" s="19" t="s">
        <v>8890</v>
      </c>
      <c r="D5134" s="19" t="s">
        <v>8922</v>
      </c>
      <c r="E5134" s="19" t="s">
        <v>8930</v>
      </c>
    </row>
    <row r="5135" spans="1:5" ht="24" customHeight="1" x14ac:dyDescent="0.25">
      <c r="A5135" s="16">
        <v>5164</v>
      </c>
      <c r="B5135" s="19" t="s">
        <v>8522</v>
      </c>
      <c r="C5135" s="19" t="s">
        <v>8890</v>
      </c>
      <c r="D5135" s="19" t="s">
        <v>8890</v>
      </c>
      <c r="E5135" s="19" t="s">
        <v>8931</v>
      </c>
    </row>
    <row r="5136" spans="1:5" ht="24" customHeight="1" x14ac:dyDescent="0.25">
      <c r="A5136" s="16">
        <v>5165</v>
      </c>
      <c r="B5136" s="19" t="s">
        <v>8522</v>
      </c>
      <c r="C5136" s="19" t="s">
        <v>8890</v>
      </c>
      <c r="D5136" s="19" t="s">
        <v>8890</v>
      </c>
      <c r="E5136" s="19" t="s">
        <v>8932</v>
      </c>
    </row>
    <row r="5137" spans="1:5" ht="24" customHeight="1" x14ac:dyDescent="0.25">
      <c r="A5137" s="16">
        <v>5166</v>
      </c>
      <c r="B5137" s="19" t="s">
        <v>8522</v>
      </c>
      <c r="C5137" s="19" t="s">
        <v>8890</v>
      </c>
      <c r="D5137" s="19" t="s">
        <v>8890</v>
      </c>
      <c r="E5137" s="19" t="s">
        <v>8933</v>
      </c>
    </row>
    <row r="5138" spans="1:5" ht="24" customHeight="1" x14ac:dyDescent="0.25">
      <c r="A5138" s="16">
        <v>5167</v>
      </c>
      <c r="B5138" s="19" t="s">
        <v>8522</v>
      </c>
      <c r="C5138" s="19" t="s">
        <v>8890</v>
      </c>
      <c r="D5138" s="19" t="s">
        <v>8890</v>
      </c>
      <c r="E5138" s="19" t="s">
        <v>8934</v>
      </c>
    </row>
    <row r="5139" spans="1:5" ht="24" customHeight="1" x14ac:dyDescent="0.25">
      <c r="A5139" s="16">
        <v>5168</v>
      </c>
      <c r="B5139" s="19" t="s">
        <v>8522</v>
      </c>
      <c r="C5139" s="19" t="s">
        <v>8890</v>
      </c>
      <c r="D5139" s="19" t="s">
        <v>8890</v>
      </c>
      <c r="E5139" s="19" t="s">
        <v>8935</v>
      </c>
    </row>
    <row r="5140" spans="1:5" ht="24" customHeight="1" x14ac:dyDescent="0.25">
      <c r="A5140" s="16">
        <v>5169</v>
      </c>
      <c r="B5140" s="19" t="s">
        <v>8522</v>
      </c>
      <c r="C5140" s="19" t="s">
        <v>8890</v>
      </c>
      <c r="D5140" s="19" t="s">
        <v>8890</v>
      </c>
      <c r="E5140" s="19" t="s">
        <v>8936</v>
      </c>
    </row>
    <row r="5141" spans="1:5" ht="24" customHeight="1" x14ac:dyDescent="0.25">
      <c r="A5141" s="16">
        <v>5170</v>
      </c>
      <c r="B5141" s="19" t="s">
        <v>8522</v>
      </c>
      <c r="C5141" s="19" t="s">
        <v>8890</v>
      </c>
      <c r="D5141" s="19" t="s">
        <v>8890</v>
      </c>
      <c r="E5141" s="19" t="s">
        <v>8937</v>
      </c>
    </row>
    <row r="5142" spans="1:5" ht="24" customHeight="1" x14ac:dyDescent="0.25">
      <c r="A5142" s="16">
        <v>5171</v>
      </c>
      <c r="B5142" s="19" t="s">
        <v>8522</v>
      </c>
      <c r="C5142" s="19" t="s">
        <v>8890</v>
      </c>
      <c r="D5142" s="19" t="s">
        <v>8890</v>
      </c>
      <c r="E5142" s="19" t="s">
        <v>8938</v>
      </c>
    </row>
    <row r="5143" spans="1:5" x14ac:dyDescent="0.25">
      <c r="A5143" s="16">
        <v>5172</v>
      </c>
      <c r="B5143" s="19" t="s">
        <v>8522</v>
      </c>
      <c r="C5143" s="19" t="s">
        <v>8939</v>
      </c>
      <c r="D5143" s="19" t="s">
        <v>8940</v>
      </c>
      <c r="E5143" s="19" t="s">
        <v>8941</v>
      </c>
    </row>
    <row r="5144" spans="1:5" ht="36" customHeight="1" x14ac:dyDescent="0.25">
      <c r="A5144" s="16">
        <v>5173</v>
      </c>
      <c r="B5144" s="19" t="s">
        <v>8522</v>
      </c>
      <c r="C5144" s="19" t="s">
        <v>8939</v>
      </c>
      <c r="D5144" s="19" t="s">
        <v>8940</v>
      </c>
      <c r="E5144" s="19" t="s">
        <v>8942</v>
      </c>
    </row>
    <row r="5145" spans="1:5" x14ac:dyDescent="0.25">
      <c r="A5145" s="16">
        <v>5174</v>
      </c>
      <c r="B5145" s="19" t="s">
        <v>8522</v>
      </c>
      <c r="C5145" s="19" t="s">
        <v>8939</v>
      </c>
      <c r="D5145" s="19" t="s">
        <v>8940</v>
      </c>
      <c r="E5145" s="19" t="s">
        <v>8943</v>
      </c>
    </row>
    <row r="5146" spans="1:5" x14ac:dyDescent="0.25">
      <c r="A5146" s="16">
        <v>5175</v>
      </c>
      <c r="B5146" s="19" t="s">
        <v>8522</v>
      </c>
      <c r="C5146" s="19" t="s">
        <v>8939</v>
      </c>
      <c r="D5146" s="19" t="s">
        <v>8940</v>
      </c>
      <c r="E5146" s="19" t="s">
        <v>8944</v>
      </c>
    </row>
    <row r="5147" spans="1:5" x14ac:dyDescent="0.25">
      <c r="A5147" s="16">
        <v>5176</v>
      </c>
      <c r="B5147" s="19" t="s">
        <v>8522</v>
      </c>
      <c r="C5147" s="19" t="s">
        <v>8939</v>
      </c>
      <c r="D5147" s="19" t="s">
        <v>8940</v>
      </c>
      <c r="E5147" s="19" t="s">
        <v>8945</v>
      </c>
    </row>
    <row r="5148" spans="1:5" x14ac:dyDescent="0.25">
      <c r="A5148" s="16">
        <v>5177</v>
      </c>
      <c r="B5148" s="19" t="s">
        <v>8522</v>
      </c>
      <c r="C5148" s="19" t="s">
        <v>8939</v>
      </c>
      <c r="D5148" s="19" t="s">
        <v>8940</v>
      </c>
      <c r="E5148" s="19" t="s">
        <v>8946</v>
      </c>
    </row>
    <row r="5149" spans="1:5" x14ac:dyDescent="0.25">
      <c r="A5149" s="16">
        <v>5178</v>
      </c>
      <c r="B5149" s="19" t="s">
        <v>8522</v>
      </c>
      <c r="C5149" s="19" t="s">
        <v>8939</v>
      </c>
      <c r="D5149" s="19" t="s">
        <v>8940</v>
      </c>
      <c r="E5149" s="19" t="s">
        <v>8947</v>
      </c>
    </row>
    <row r="5150" spans="1:5" x14ac:dyDescent="0.25">
      <c r="A5150" s="16">
        <v>5179</v>
      </c>
      <c r="B5150" s="19" t="s">
        <v>8522</v>
      </c>
      <c r="C5150" s="19" t="s">
        <v>8939</v>
      </c>
      <c r="D5150" s="19" t="s">
        <v>8948</v>
      </c>
      <c r="E5150" s="19" t="s">
        <v>8949</v>
      </c>
    </row>
    <row r="5151" spans="1:5" x14ac:dyDescent="0.25">
      <c r="A5151" s="16">
        <v>5180</v>
      </c>
      <c r="B5151" s="19" t="s">
        <v>8522</v>
      </c>
      <c r="C5151" s="19" t="s">
        <v>8939</v>
      </c>
      <c r="D5151" s="19" t="s">
        <v>8948</v>
      </c>
      <c r="E5151" s="19" t="s">
        <v>8950</v>
      </c>
    </row>
    <row r="5152" spans="1:5" x14ac:dyDescent="0.25">
      <c r="A5152" s="16">
        <v>5181</v>
      </c>
      <c r="B5152" s="19" t="s">
        <v>8522</v>
      </c>
      <c r="C5152" s="19" t="s">
        <v>8939</v>
      </c>
      <c r="D5152" s="19" t="s">
        <v>8948</v>
      </c>
      <c r="E5152" s="19" t="s">
        <v>8951</v>
      </c>
    </row>
    <row r="5153" spans="1:5" x14ac:dyDescent="0.25">
      <c r="A5153" s="16">
        <v>5182</v>
      </c>
      <c r="B5153" s="19" t="s">
        <v>8522</v>
      </c>
      <c r="C5153" s="19" t="s">
        <v>8939</v>
      </c>
      <c r="D5153" s="19" t="s">
        <v>8948</v>
      </c>
      <c r="E5153" s="19" t="s">
        <v>8952</v>
      </c>
    </row>
    <row r="5154" spans="1:5" x14ac:dyDescent="0.25">
      <c r="A5154" s="16">
        <v>5183</v>
      </c>
      <c r="B5154" s="19" t="s">
        <v>8522</v>
      </c>
      <c r="C5154" s="19" t="s">
        <v>8939</v>
      </c>
      <c r="D5154" s="19" t="s">
        <v>8948</v>
      </c>
      <c r="E5154" s="19" t="s">
        <v>8953</v>
      </c>
    </row>
    <row r="5155" spans="1:5" x14ac:dyDescent="0.25">
      <c r="A5155" s="16">
        <v>5184</v>
      </c>
      <c r="B5155" s="19" t="s">
        <v>8522</v>
      </c>
      <c r="C5155" s="19" t="s">
        <v>8939</v>
      </c>
      <c r="D5155" s="19" t="s">
        <v>8948</v>
      </c>
      <c r="E5155" s="19" t="s">
        <v>8639</v>
      </c>
    </row>
    <row r="5156" spans="1:5" x14ac:dyDescent="0.25">
      <c r="A5156" s="16">
        <v>5185</v>
      </c>
      <c r="B5156" s="19" t="s">
        <v>8522</v>
      </c>
      <c r="C5156" s="19" t="s">
        <v>8939</v>
      </c>
      <c r="D5156" s="19" t="s">
        <v>8954</v>
      </c>
      <c r="E5156" s="19" t="s">
        <v>6252</v>
      </c>
    </row>
    <row r="5157" spans="1:5" x14ac:dyDescent="0.25">
      <c r="A5157" s="16">
        <v>5186</v>
      </c>
      <c r="B5157" s="19" t="s">
        <v>8522</v>
      </c>
      <c r="C5157" s="19" t="s">
        <v>8939</v>
      </c>
      <c r="D5157" s="19" t="s">
        <v>8954</v>
      </c>
      <c r="E5157" s="19" t="s">
        <v>8955</v>
      </c>
    </row>
    <row r="5158" spans="1:5" x14ac:dyDescent="0.25">
      <c r="A5158" s="16">
        <v>5187</v>
      </c>
      <c r="B5158" s="19" t="s">
        <v>8522</v>
      </c>
      <c r="C5158" s="19" t="s">
        <v>8939</v>
      </c>
      <c r="D5158" s="19" t="s">
        <v>8954</v>
      </c>
      <c r="E5158" s="19" t="s">
        <v>8956</v>
      </c>
    </row>
    <row r="5159" spans="1:5" x14ac:dyDescent="0.25">
      <c r="A5159" s="16">
        <v>5188</v>
      </c>
      <c r="B5159" s="19" t="s">
        <v>8522</v>
      </c>
      <c r="C5159" s="19" t="s">
        <v>8939</v>
      </c>
      <c r="D5159" s="19" t="s">
        <v>8954</v>
      </c>
      <c r="E5159" s="19" t="s">
        <v>8957</v>
      </c>
    </row>
    <row r="5160" spans="1:5" x14ac:dyDescent="0.25">
      <c r="A5160" s="16">
        <v>5189</v>
      </c>
      <c r="B5160" s="19" t="s">
        <v>8522</v>
      </c>
      <c r="C5160" s="19" t="s">
        <v>8939</v>
      </c>
      <c r="D5160" s="19" t="s">
        <v>8954</v>
      </c>
      <c r="E5160" s="19" t="s">
        <v>8958</v>
      </c>
    </row>
    <row r="5161" spans="1:5" x14ac:dyDescent="0.25">
      <c r="A5161" s="16">
        <v>5190</v>
      </c>
      <c r="B5161" s="19" t="s">
        <v>8522</v>
      </c>
      <c r="C5161" s="19" t="s">
        <v>8939</v>
      </c>
      <c r="D5161" s="19" t="s">
        <v>8954</v>
      </c>
      <c r="E5161" s="19" t="s">
        <v>8959</v>
      </c>
    </row>
    <row r="5162" spans="1:5" ht="36" customHeight="1" x14ac:dyDescent="0.25">
      <c r="A5162" s="16">
        <v>5191</v>
      </c>
      <c r="B5162" s="19" t="s">
        <v>8522</v>
      </c>
      <c r="C5162" s="19" t="s">
        <v>8939</v>
      </c>
      <c r="D5162" s="19" t="s">
        <v>8960</v>
      </c>
      <c r="E5162" s="19" t="s">
        <v>8961</v>
      </c>
    </row>
    <row r="5163" spans="1:5" x14ac:dyDescent="0.25">
      <c r="A5163" s="16">
        <v>5192</v>
      </c>
      <c r="B5163" s="19" t="s">
        <v>8522</v>
      </c>
      <c r="C5163" s="19" t="s">
        <v>8939</v>
      </c>
      <c r="D5163" s="19" t="s">
        <v>8960</v>
      </c>
      <c r="E5163" s="19" t="s">
        <v>8962</v>
      </c>
    </row>
    <row r="5164" spans="1:5" x14ac:dyDescent="0.25">
      <c r="A5164" s="16">
        <v>5193</v>
      </c>
      <c r="B5164" s="19" t="s">
        <v>8522</v>
      </c>
      <c r="C5164" s="19" t="s">
        <v>8939</v>
      </c>
      <c r="D5164" s="19" t="s">
        <v>8960</v>
      </c>
      <c r="E5164" s="19" t="s">
        <v>8963</v>
      </c>
    </row>
    <row r="5165" spans="1:5" x14ac:dyDescent="0.25">
      <c r="A5165" s="16">
        <v>5194</v>
      </c>
      <c r="B5165" s="19" t="s">
        <v>8522</v>
      </c>
      <c r="C5165" s="19" t="s">
        <v>8939</v>
      </c>
      <c r="D5165" s="19" t="s">
        <v>8960</v>
      </c>
      <c r="E5165" s="19" t="s">
        <v>8964</v>
      </c>
    </row>
    <row r="5166" spans="1:5" ht="24" customHeight="1" x14ac:dyDescent="0.25">
      <c r="A5166" s="16">
        <v>5195</v>
      </c>
      <c r="B5166" s="19" t="s">
        <v>8522</v>
      </c>
      <c r="C5166" s="19" t="s">
        <v>8939</v>
      </c>
      <c r="D5166" s="19" t="s">
        <v>8960</v>
      </c>
      <c r="E5166" s="19" t="s">
        <v>8965</v>
      </c>
    </row>
    <row r="5167" spans="1:5" x14ac:dyDescent="0.25">
      <c r="A5167" s="16">
        <v>5196</v>
      </c>
      <c r="B5167" s="19" t="s">
        <v>8522</v>
      </c>
      <c r="C5167" s="19" t="s">
        <v>8939</v>
      </c>
      <c r="D5167" s="19" t="s">
        <v>8960</v>
      </c>
      <c r="E5167" s="19" t="s">
        <v>8966</v>
      </c>
    </row>
    <row r="5168" spans="1:5" x14ac:dyDescent="0.25">
      <c r="A5168" s="16">
        <v>5197</v>
      </c>
      <c r="B5168" s="19" t="s">
        <v>8522</v>
      </c>
      <c r="C5168" s="19" t="s">
        <v>8939</v>
      </c>
      <c r="D5168" s="19" t="s">
        <v>8960</v>
      </c>
      <c r="E5168" s="19" t="s">
        <v>8967</v>
      </c>
    </row>
    <row r="5169" spans="1:5" x14ac:dyDescent="0.25">
      <c r="A5169" s="16">
        <v>5198</v>
      </c>
      <c r="B5169" s="19" t="s">
        <v>8522</v>
      </c>
      <c r="C5169" s="19" t="s">
        <v>8939</v>
      </c>
      <c r="D5169" s="19" t="s">
        <v>8960</v>
      </c>
      <c r="E5169" s="19" t="s">
        <v>8968</v>
      </c>
    </row>
    <row r="5170" spans="1:5" x14ac:dyDescent="0.25">
      <c r="A5170" s="16">
        <v>5199</v>
      </c>
      <c r="B5170" s="19" t="s">
        <v>8522</v>
      </c>
      <c r="C5170" s="19" t="s">
        <v>8939</v>
      </c>
      <c r="D5170" s="19" t="s">
        <v>8969</v>
      </c>
      <c r="E5170" s="19" t="s">
        <v>8970</v>
      </c>
    </row>
    <row r="5171" spans="1:5" ht="24" customHeight="1" x14ac:dyDescent="0.25">
      <c r="A5171" s="16">
        <v>5200</v>
      </c>
      <c r="B5171" s="19" t="s">
        <v>8522</v>
      </c>
      <c r="C5171" s="19" t="s">
        <v>8939</v>
      </c>
      <c r="D5171" s="19" t="s">
        <v>8969</v>
      </c>
      <c r="E5171" s="19" t="s">
        <v>8971</v>
      </c>
    </row>
    <row r="5172" spans="1:5" x14ac:dyDescent="0.25">
      <c r="A5172" s="16">
        <v>5201</v>
      </c>
      <c r="B5172" s="19" t="s">
        <v>8522</v>
      </c>
      <c r="C5172" s="19" t="s">
        <v>8939</v>
      </c>
      <c r="D5172" s="19" t="s">
        <v>8969</v>
      </c>
      <c r="E5172" s="19" t="s">
        <v>8972</v>
      </c>
    </row>
    <row r="5173" spans="1:5" x14ac:dyDescent="0.25">
      <c r="A5173" s="16">
        <v>5202</v>
      </c>
      <c r="B5173" s="19" t="s">
        <v>8522</v>
      </c>
      <c r="C5173" s="19" t="s">
        <v>8939</v>
      </c>
      <c r="D5173" s="19" t="s">
        <v>8969</v>
      </c>
      <c r="E5173" s="19" t="s">
        <v>8973</v>
      </c>
    </row>
    <row r="5174" spans="1:5" x14ac:dyDescent="0.25">
      <c r="A5174" s="16">
        <v>5203</v>
      </c>
      <c r="B5174" s="19" t="s">
        <v>8522</v>
      </c>
      <c r="C5174" s="19" t="s">
        <v>8939</v>
      </c>
      <c r="D5174" s="19" t="s">
        <v>8969</v>
      </c>
      <c r="E5174" s="19" t="s">
        <v>8974</v>
      </c>
    </row>
    <row r="5175" spans="1:5" x14ac:dyDescent="0.25">
      <c r="A5175" s="16">
        <v>5204</v>
      </c>
      <c r="B5175" s="19" t="s">
        <v>8522</v>
      </c>
      <c r="C5175" s="19" t="s">
        <v>8939</v>
      </c>
      <c r="D5175" s="19" t="s">
        <v>8969</v>
      </c>
      <c r="E5175" s="19" t="s">
        <v>5873</v>
      </c>
    </row>
    <row r="5176" spans="1:5" x14ac:dyDescent="0.25">
      <c r="A5176" s="16">
        <v>5205</v>
      </c>
      <c r="B5176" s="19" t="s">
        <v>8522</v>
      </c>
      <c r="C5176" s="19" t="s">
        <v>8939</v>
      </c>
      <c r="D5176" s="19" t="s">
        <v>8969</v>
      </c>
      <c r="E5176" s="19" t="s">
        <v>8975</v>
      </c>
    </row>
    <row r="5177" spans="1:5" x14ac:dyDescent="0.25">
      <c r="A5177" s="16">
        <v>5206</v>
      </c>
      <c r="B5177" s="19" t="s">
        <v>8522</v>
      </c>
      <c r="C5177" s="19" t="s">
        <v>8939</v>
      </c>
      <c r="D5177" s="19" t="s">
        <v>8969</v>
      </c>
      <c r="E5177" s="19" t="s">
        <v>8976</v>
      </c>
    </row>
    <row r="5178" spans="1:5" x14ac:dyDescent="0.25">
      <c r="A5178" s="16">
        <v>5207</v>
      </c>
      <c r="B5178" s="19" t="s">
        <v>8522</v>
      </c>
      <c r="C5178" s="19" t="s">
        <v>8939</v>
      </c>
      <c r="D5178" s="19" t="s">
        <v>8969</v>
      </c>
      <c r="E5178" s="19" t="s">
        <v>8977</v>
      </c>
    </row>
    <row r="5179" spans="1:5" ht="24" customHeight="1" x14ac:dyDescent="0.25">
      <c r="A5179" s="16">
        <v>5208</v>
      </c>
      <c r="B5179" s="19" t="s">
        <v>8522</v>
      </c>
      <c r="C5179" s="19" t="s">
        <v>8939</v>
      </c>
      <c r="D5179" s="19" t="s">
        <v>8969</v>
      </c>
      <c r="E5179" s="19" t="s">
        <v>8978</v>
      </c>
    </row>
    <row r="5180" spans="1:5" x14ac:dyDescent="0.25">
      <c r="A5180" s="16">
        <v>5209</v>
      </c>
      <c r="B5180" s="19" t="s">
        <v>8522</v>
      </c>
      <c r="C5180" s="19" t="s">
        <v>8939</v>
      </c>
      <c r="D5180" s="19" t="s">
        <v>8939</v>
      </c>
      <c r="E5180" s="19" t="s">
        <v>4683</v>
      </c>
    </row>
    <row r="5181" spans="1:5" ht="24" customHeight="1" x14ac:dyDescent="0.25">
      <c r="A5181" s="16">
        <v>5210</v>
      </c>
      <c r="B5181" s="19" t="s">
        <v>8522</v>
      </c>
      <c r="C5181" s="19" t="s">
        <v>8939</v>
      </c>
      <c r="D5181" s="19" t="s">
        <v>8939</v>
      </c>
      <c r="E5181" s="19" t="s">
        <v>8979</v>
      </c>
    </row>
    <row r="5182" spans="1:5" x14ac:dyDescent="0.25">
      <c r="A5182" s="16">
        <v>5211</v>
      </c>
      <c r="B5182" s="19" t="s">
        <v>8522</v>
      </c>
      <c r="C5182" s="19" t="s">
        <v>8939</v>
      </c>
      <c r="D5182" s="19" t="s">
        <v>8939</v>
      </c>
      <c r="E5182" s="19" t="s">
        <v>8980</v>
      </c>
    </row>
    <row r="5183" spans="1:5" x14ac:dyDescent="0.25">
      <c r="A5183" s="16">
        <v>5212</v>
      </c>
      <c r="B5183" s="19" t="s">
        <v>8522</v>
      </c>
      <c r="C5183" s="19" t="s">
        <v>8939</v>
      </c>
      <c r="D5183" s="19" t="s">
        <v>8939</v>
      </c>
      <c r="E5183" s="19" t="s">
        <v>8981</v>
      </c>
    </row>
    <row r="5184" spans="1:5" x14ac:dyDescent="0.25">
      <c r="A5184" s="16">
        <v>5213</v>
      </c>
      <c r="B5184" s="19" t="s">
        <v>8522</v>
      </c>
      <c r="C5184" s="19" t="s">
        <v>8939</v>
      </c>
      <c r="D5184" s="19" t="s">
        <v>8939</v>
      </c>
      <c r="E5184" s="19" t="s">
        <v>8982</v>
      </c>
    </row>
    <row r="5185" spans="1:5" x14ac:dyDescent="0.25">
      <c r="A5185" s="16">
        <v>5214</v>
      </c>
      <c r="B5185" s="19" t="s">
        <v>8522</v>
      </c>
      <c r="C5185" s="19" t="s">
        <v>8939</v>
      </c>
      <c r="D5185" s="19" t="s">
        <v>8939</v>
      </c>
      <c r="E5185" s="19" t="s">
        <v>8983</v>
      </c>
    </row>
    <row r="5186" spans="1:5" x14ac:dyDescent="0.25">
      <c r="A5186" s="16">
        <v>5215</v>
      </c>
      <c r="B5186" s="19" t="s">
        <v>8522</v>
      </c>
      <c r="C5186" s="19" t="s">
        <v>8939</v>
      </c>
      <c r="D5186" s="19" t="s">
        <v>8939</v>
      </c>
      <c r="E5186" s="19" t="s">
        <v>8984</v>
      </c>
    </row>
    <row r="5187" spans="1:5" x14ac:dyDescent="0.25">
      <c r="A5187" s="16">
        <v>5216</v>
      </c>
      <c r="B5187" s="19" t="s">
        <v>8522</v>
      </c>
      <c r="C5187" s="19" t="s">
        <v>8939</v>
      </c>
      <c r="D5187" s="19" t="s">
        <v>8939</v>
      </c>
      <c r="E5187" s="19" t="s">
        <v>8985</v>
      </c>
    </row>
    <row r="5188" spans="1:5" x14ac:dyDescent="0.25">
      <c r="A5188" s="16">
        <v>5217</v>
      </c>
      <c r="B5188" s="19" t="s">
        <v>8522</v>
      </c>
      <c r="C5188" s="19" t="s">
        <v>8939</v>
      </c>
      <c r="D5188" s="19" t="s">
        <v>8939</v>
      </c>
      <c r="E5188" s="19" t="s">
        <v>8986</v>
      </c>
    </row>
    <row r="5189" spans="1:5" x14ac:dyDescent="0.25">
      <c r="A5189" s="16">
        <v>5218</v>
      </c>
      <c r="B5189" s="19" t="s">
        <v>8522</v>
      </c>
      <c r="C5189" s="19" t="s">
        <v>8939</v>
      </c>
      <c r="D5189" s="19" t="s">
        <v>8939</v>
      </c>
      <c r="E5189" s="19" t="s">
        <v>8987</v>
      </c>
    </row>
    <row r="5190" spans="1:5" ht="24" customHeight="1" x14ac:dyDescent="0.25">
      <c r="A5190" s="16">
        <v>5219</v>
      </c>
      <c r="B5190" s="19" t="s">
        <v>8522</v>
      </c>
      <c r="C5190" s="19" t="s">
        <v>8939</v>
      </c>
      <c r="D5190" s="19" t="s">
        <v>8939</v>
      </c>
      <c r="E5190" s="19" t="s">
        <v>8988</v>
      </c>
    </row>
    <row r="5191" spans="1:5" x14ac:dyDescent="0.25">
      <c r="A5191" s="16">
        <v>5220</v>
      </c>
      <c r="B5191" s="19" t="s">
        <v>8522</v>
      </c>
      <c r="C5191" s="19" t="s">
        <v>8939</v>
      </c>
      <c r="D5191" s="19" t="s">
        <v>8939</v>
      </c>
      <c r="E5191" s="19" t="s">
        <v>8989</v>
      </c>
    </row>
    <row r="5192" spans="1:5" x14ac:dyDescent="0.25">
      <c r="A5192" s="16">
        <v>5221</v>
      </c>
      <c r="B5192" s="19" t="s">
        <v>8522</v>
      </c>
      <c r="C5192" s="19" t="s">
        <v>8939</v>
      </c>
      <c r="D5192" s="19" t="s">
        <v>8939</v>
      </c>
      <c r="E5192" s="19" t="s">
        <v>8990</v>
      </c>
    </row>
    <row r="5193" spans="1:5" x14ac:dyDescent="0.25">
      <c r="A5193" s="16">
        <v>5222</v>
      </c>
      <c r="B5193" s="19" t="s">
        <v>8522</v>
      </c>
      <c r="C5193" s="19" t="s">
        <v>8939</v>
      </c>
      <c r="D5193" s="19" t="s">
        <v>8939</v>
      </c>
      <c r="E5193" s="19" t="s">
        <v>8991</v>
      </c>
    </row>
    <row r="5194" spans="1:5" ht="24" customHeight="1" x14ac:dyDescent="0.25">
      <c r="A5194" s="16">
        <v>5223</v>
      </c>
      <c r="B5194" s="19" t="s">
        <v>8522</v>
      </c>
      <c r="C5194" s="19" t="s">
        <v>8939</v>
      </c>
      <c r="D5194" s="19" t="s">
        <v>8939</v>
      </c>
      <c r="E5194" s="19" t="s">
        <v>8992</v>
      </c>
    </row>
    <row r="5195" spans="1:5" x14ac:dyDescent="0.25">
      <c r="A5195" s="16">
        <v>5224</v>
      </c>
      <c r="B5195" s="19" t="s">
        <v>8522</v>
      </c>
      <c r="C5195" s="19" t="s">
        <v>8939</v>
      </c>
      <c r="D5195" s="19" t="s">
        <v>8993</v>
      </c>
      <c r="E5195" s="19" t="s">
        <v>8994</v>
      </c>
    </row>
    <row r="5196" spans="1:5" x14ac:dyDescent="0.25">
      <c r="A5196" s="16">
        <v>5225</v>
      </c>
      <c r="B5196" s="19" t="s">
        <v>8522</v>
      </c>
      <c r="C5196" s="19" t="s">
        <v>8939</v>
      </c>
      <c r="D5196" s="19" t="s">
        <v>8993</v>
      </c>
      <c r="E5196" s="19" t="s">
        <v>8995</v>
      </c>
    </row>
    <row r="5197" spans="1:5" ht="24" customHeight="1" x14ac:dyDescent="0.25">
      <c r="A5197" s="16">
        <v>5226</v>
      </c>
      <c r="B5197" s="19" t="s">
        <v>8522</v>
      </c>
      <c r="C5197" s="19" t="s">
        <v>8939</v>
      </c>
      <c r="D5197" s="19" t="s">
        <v>8993</v>
      </c>
      <c r="E5197" s="19" t="s">
        <v>4342</v>
      </c>
    </row>
    <row r="5198" spans="1:5" ht="24" customHeight="1" x14ac:dyDescent="0.25">
      <c r="A5198" s="16">
        <v>5227</v>
      </c>
      <c r="B5198" s="19" t="s">
        <v>8522</v>
      </c>
      <c r="C5198" s="19" t="s">
        <v>8939</v>
      </c>
      <c r="D5198" s="19" t="s">
        <v>8993</v>
      </c>
      <c r="E5198" s="19" t="s">
        <v>8996</v>
      </c>
    </row>
    <row r="5199" spans="1:5" x14ac:dyDescent="0.25">
      <c r="A5199" s="16">
        <v>5228</v>
      </c>
      <c r="B5199" s="19" t="s">
        <v>8522</v>
      </c>
      <c r="C5199" s="19" t="s">
        <v>8939</v>
      </c>
      <c r="D5199" s="19" t="s">
        <v>8993</v>
      </c>
      <c r="E5199" s="19" t="s">
        <v>8997</v>
      </c>
    </row>
    <row r="5200" spans="1:5" x14ac:dyDescent="0.25">
      <c r="A5200" s="16">
        <v>5229</v>
      </c>
      <c r="B5200" s="19" t="s">
        <v>8522</v>
      </c>
      <c r="C5200" s="19" t="s">
        <v>8939</v>
      </c>
      <c r="D5200" s="19" t="s">
        <v>8993</v>
      </c>
      <c r="E5200" s="19" t="s">
        <v>8998</v>
      </c>
    </row>
    <row r="5201" spans="1:5" x14ac:dyDescent="0.25">
      <c r="A5201" s="16">
        <v>5230</v>
      </c>
      <c r="B5201" s="19" t="s">
        <v>8522</v>
      </c>
      <c r="C5201" s="19" t="s">
        <v>8939</v>
      </c>
      <c r="D5201" s="19" t="s">
        <v>8993</v>
      </c>
      <c r="E5201" s="19" t="s">
        <v>8999</v>
      </c>
    </row>
    <row r="5202" spans="1:5" x14ac:dyDescent="0.25">
      <c r="A5202" s="16">
        <v>5231</v>
      </c>
      <c r="B5202" s="19" t="s">
        <v>8522</v>
      </c>
      <c r="C5202" s="19" t="s">
        <v>8939</v>
      </c>
      <c r="D5202" s="19" t="s">
        <v>8993</v>
      </c>
      <c r="E5202" s="19" t="s">
        <v>9000</v>
      </c>
    </row>
    <row r="5203" spans="1:5" x14ac:dyDescent="0.25">
      <c r="A5203" s="16">
        <v>5232</v>
      </c>
      <c r="B5203" s="19" t="s">
        <v>8522</v>
      </c>
      <c r="C5203" s="19" t="s">
        <v>8939</v>
      </c>
      <c r="D5203" s="19" t="s">
        <v>8993</v>
      </c>
      <c r="E5203" s="19" t="s">
        <v>9001</v>
      </c>
    </row>
    <row r="5204" spans="1:5" x14ac:dyDescent="0.25">
      <c r="A5204" s="16">
        <v>5233</v>
      </c>
      <c r="B5204" s="19" t="s">
        <v>8522</v>
      </c>
      <c r="C5204" s="19" t="s">
        <v>8939</v>
      </c>
      <c r="D5204" s="19" t="s">
        <v>8993</v>
      </c>
      <c r="E5204" s="19" t="s">
        <v>9002</v>
      </c>
    </row>
    <row r="5205" spans="1:5" x14ac:dyDescent="0.25">
      <c r="A5205" s="16">
        <v>5234</v>
      </c>
      <c r="B5205" s="19" t="s">
        <v>8522</v>
      </c>
      <c r="C5205" s="19" t="s">
        <v>8939</v>
      </c>
      <c r="D5205" s="19" t="s">
        <v>8993</v>
      </c>
      <c r="E5205" s="19" t="s">
        <v>9003</v>
      </c>
    </row>
    <row r="5206" spans="1:5" x14ac:dyDescent="0.25">
      <c r="A5206" s="16">
        <v>5235</v>
      </c>
      <c r="B5206" s="19" t="s">
        <v>8522</v>
      </c>
      <c r="C5206" s="19" t="s">
        <v>8939</v>
      </c>
      <c r="D5206" s="19" t="s">
        <v>8993</v>
      </c>
      <c r="E5206" s="19" t="s">
        <v>9004</v>
      </c>
    </row>
    <row r="5207" spans="1:5" x14ac:dyDescent="0.25">
      <c r="A5207" s="16">
        <v>5236</v>
      </c>
      <c r="B5207" s="19" t="s">
        <v>8522</v>
      </c>
      <c r="C5207" s="19" t="s">
        <v>8939</v>
      </c>
      <c r="D5207" s="19" t="s">
        <v>9005</v>
      </c>
      <c r="E5207" s="19" t="s">
        <v>9006</v>
      </c>
    </row>
    <row r="5208" spans="1:5" x14ac:dyDescent="0.25">
      <c r="A5208" s="16">
        <v>5237</v>
      </c>
      <c r="B5208" s="19" t="s">
        <v>8522</v>
      </c>
      <c r="C5208" s="19" t="s">
        <v>8939</v>
      </c>
      <c r="D5208" s="19" t="s">
        <v>9005</v>
      </c>
      <c r="E5208" s="19" t="s">
        <v>9007</v>
      </c>
    </row>
    <row r="5209" spans="1:5" x14ac:dyDescent="0.25">
      <c r="A5209" s="16">
        <v>5238</v>
      </c>
      <c r="B5209" s="19" t="s">
        <v>8522</v>
      </c>
      <c r="C5209" s="19" t="s">
        <v>8939</v>
      </c>
      <c r="D5209" s="19" t="s">
        <v>9005</v>
      </c>
      <c r="E5209" s="19" t="s">
        <v>5073</v>
      </c>
    </row>
    <row r="5210" spans="1:5" x14ac:dyDescent="0.25">
      <c r="A5210" s="16">
        <v>5239</v>
      </c>
      <c r="B5210" s="19" t="s">
        <v>8522</v>
      </c>
      <c r="C5210" s="19" t="s">
        <v>8939</v>
      </c>
      <c r="D5210" s="19" t="s">
        <v>9005</v>
      </c>
      <c r="E5210" s="19" t="s">
        <v>9008</v>
      </c>
    </row>
    <row r="5211" spans="1:5" x14ac:dyDescent="0.25">
      <c r="A5211" s="16">
        <v>5240</v>
      </c>
      <c r="B5211" s="19" t="s">
        <v>8522</v>
      </c>
      <c r="C5211" s="19" t="s">
        <v>8939</v>
      </c>
      <c r="D5211" s="19" t="s">
        <v>9005</v>
      </c>
      <c r="E5211" s="19" t="s">
        <v>9009</v>
      </c>
    </row>
    <row r="5212" spans="1:5" ht="24" customHeight="1" x14ac:dyDescent="0.25">
      <c r="A5212" s="16">
        <v>5241</v>
      </c>
      <c r="B5212" s="19" t="s">
        <v>8522</v>
      </c>
      <c r="C5212" s="19" t="s">
        <v>9010</v>
      </c>
      <c r="D5212" s="19" t="s">
        <v>9011</v>
      </c>
      <c r="E5212" s="19" t="s">
        <v>9012</v>
      </c>
    </row>
    <row r="5213" spans="1:5" ht="24" customHeight="1" x14ac:dyDescent="0.25">
      <c r="A5213" s="16">
        <v>5242</v>
      </c>
      <c r="B5213" s="19" t="s">
        <v>8522</v>
      </c>
      <c r="C5213" s="19" t="s">
        <v>9010</v>
      </c>
      <c r="D5213" s="19" t="s">
        <v>9011</v>
      </c>
      <c r="E5213" s="19" t="s">
        <v>9013</v>
      </c>
    </row>
    <row r="5214" spans="1:5" ht="24" customHeight="1" x14ac:dyDescent="0.25">
      <c r="A5214" s="16">
        <v>5243</v>
      </c>
      <c r="B5214" s="19" t="s">
        <v>8522</v>
      </c>
      <c r="C5214" s="19" t="s">
        <v>9010</v>
      </c>
      <c r="D5214" s="19" t="s">
        <v>9011</v>
      </c>
      <c r="E5214" s="19" t="s">
        <v>9014</v>
      </c>
    </row>
    <row r="5215" spans="1:5" ht="24" customHeight="1" x14ac:dyDescent="0.25">
      <c r="A5215" s="16">
        <v>5244</v>
      </c>
      <c r="B5215" s="19" t="s">
        <v>8522</v>
      </c>
      <c r="C5215" s="19" t="s">
        <v>9010</v>
      </c>
      <c r="D5215" s="19" t="s">
        <v>9011</v>
      </c>
      <c r="E5215" s="19" t="s">
        <v>9015</v>
      </c>
    </row>
    <row r="5216" spans="1:5" ht="24" customHeight="1" x14ac:dyDescent="0.25">
      <c r="A5216" s="16">
        <v>5245</v>
      </c>
      <c r="B5216" s="19" t="s">
        <v>8522</v>
      </c>
      <c r="C5216" s="19" t="s">
        <v>9010</v>
      </c>
      <c r="D5216" s="19" t="s">
        <v>9011</v>
      </c>
      <c r="E5216" s="19" t="s">
        <v>9016</v>
      </c>
    </row>
    <row r="5217" spans="1:5" ht="24" customHeight="1" x14ac:dyDescent="0.25">
      <c r="A5217" s="16">
        <v>5246</v>
      </c>
      <c r="B5217" s="19" t="s">
        <v>8522</v>
      </c>
      <c r="C5217" s="19" t="s">
        <v>9010</v>
      </c>
      <c r="D5217" s="19" t="s">
        <v>9011</v>
      </c>
      <c r="E5217" s="19" t="s">
        <v>9017</v>
      </c>
    </row>
    <row r="5218" spans="1:5" ht="24" customHeight="1" x14ac:dyDescent="0.25">
      <c r="A5218" s="16">
        <v>5247</v>
      </c>
      <c r="B5218" s="19" t="s">
        <v>8522</v>
      </c>
      <c r="C5218" s="19" t="s">
        <v>9010</v>
      </c>
      <c r="D5218" s="19" t="s">
        <v>9011</v>
      </c>
      <c r="E5218" s="19" t="s">
        <v>9018</v>
      </c>
    </row>
    <row r="5219" spans="1:5" ht="24" customHeight="1" x14ac:dyDescent="0.25">
      <c r="A5219" s="16">
        <v>5248</v>
      </c>
      <c r="B5219" s="19" t="s">
        <v>8522</v>
      </c>
      <c r="C5219" s="19" t="s">
        <v>9010</v>
      </c>
      <c r="D5219" s="19" t="s">
        <v>9011</v>
      </c>
      <c r="E5219" s="19" t="s">
        <v>5864</v>
      </c>
    </row>
    <row r="5220" spans="1:5" ht="24" customHeight="1" x14ac:dyDescent="0.25">
      <c r="A5220" s="16">
        <v>5249</v>
      </c>
      <c r="B5220" s="19" t="s">
        <v>8522</v>
      </c>
      <c r="C5220" s="19" t="s">
        <v>9010</v>
      </c>
      <c r="D5220" s="19" t="s">
        <v>9011</v>
      </c>
      <c r="E5220" s="19" t="s">
        <v>9019</v>
      </c>
    </row>
    <row r="5221" spans="1:5" ht="24" customHeight="1" x14ac:dyDescent="0.25">
      <c r="A5221" s="16">
        <v>5250</v>
      </c>
      <c r="B5221" s="19" t="s">
        <v>8522</v>
      </c>
      <c r="C5221" s="19" t="s">
        <v>9010</v>
      </c>
      <c r="D5221" s="19" t="s">
        <v>9011</v>
      </c>
      <c r="E5221" s="19" t="s">
        <v>9020</v>
      </c>
    </row>
    <row r="5222" spans="1:5" ht="24" customHeight="1" x14ac:dyDescent="0.25">
      <c r="A5222" s="16">
        <v>5251</v>
      </c>
      <c r="B5222" s="19" t="s">
        <v>8522</v>
      </c>
      <c r="C5222" s="19" t="s">
        <v>9010</v>
      </c>
      <c r="D5222" s="19" t="s">
        <v>9021</v>
      </c>
      <c r="E5222" s="19" t="s">
        <v>9022</v>
      </c>
    </row>
    <row r="5223" spans="1:5" ht="24" customHeight="1" x14ac:dyDescent="0.25">
      <c r="A5223" s="16">
        <v>5252</v>
      </c>
      <c r="B5223" s="19" t="s">
        <v>8522</v>
      </c>
      <c r="C5223" s="19" t="s">
        <v>9010</v>
      </c>
      <c r="D5223" s="19" t="s">
        <v>9021</v>
      </c>
      <c r="E5223" s="19" t="s">
        <v>9023</v>
      </c>
    </row>
    <row r="5224" spans="1:5" ht="24" customHeight="1" x14ac:dyDescent="0.25">
      <c r="A5224" s="16">
        <v>5253</v>
      </c>
      <c r="B5224" s="19" t="s">
        <v>8522</v>
      </c>
      <c r="C5224" s="19" t="s">
        <v>9010</v>
      </c>
      <c r="D5224" s="19" t="s">
        <v>9021</v>
      </c>
      <c r="E5224" s="19" t="s">
        <v>9024</v>
      </c>
    </row>
    <row r="5225" spans="1:5" ht="24" customHeight="1" x14ac:dyDescent="0.25">
      <c r="A5225" s="16">
        <v>5254</v>
      </c>
      <c r="B5225" s="19" t="s">
        <v>8522</v>
      </c>
      <c r="C5225" s="19" t="s">
        <v>9010</v>
      </c>
      <c r="D5225" s="19" t="s">
        <v>9021</v>
      </c>
      <c r="E5225" s="19" t="s">
        <v>9025</v>
      </c>
    </row>
    <row r="5226" spans="1:5" ht="24" customHeight="1" x14ac:dyDescent="0.25">
      <c r="A5226" s="16">
        <v>5255</v>
      </c>
      <c r="B5226" s="19" t="s">
        <v>8522</v>
      </c>
      <c r="C5226" s="19" t="s">
        <v>9010</v>
      </c>
      <c r="D5226" s="19" t="s">
        <v>9021</v>
      </c>
      <c r="E5226" s="19" t="s">
        <v>9026</v>
      </c>
    </row>
    <row r="5227" spans="1:5" ht="24" customHeight="1" x14ac:dyDescent="0.25">
      <c r="A5227" s="16">
        <v>5256</v>
      </c>
      <c r="B5227" s="19" t="s">
        <v>8522</v>
      </c>
      <c r="C5227" s="19" t="s">
        <v>9010</v>
      </c>
      <c r="D5227" s="19" t="s">
        <v>9021</v>
      </c>
      <c r="E5227" s="19" t="s">
        <v>9027</v>
      </c>
    </row>
    <row r="5228" spans="1:5" ht="24" customHeight="1" x14ac:dyDescent="0.25">
      <c r="A5228" s="16">
        <v>5257</v>
      </c>
      <c r="B5228" s="19" t="s">
        <v>8522</v>
      </c>
      <c r="C5228" s="19" t="s">
        <v>9010</v>
      </c>
      <c r="D5228" s="19" t="s">
        <v>9021</v>
      </c>
      <c r="E5228" s="19" t="s">
        <v>9028</v>
      </c>
    </row>
    <row r="5229" spans="1:5" ht="24" customHeight="1" x14ac:dyDescent="0.25">
      <c r="A5229" s="16">
        <v>5258</v>
      </c>
      <c r="B5229" s="19" t="s">
        <v>8522</v>
      </c>
      <c r="C5229" s="19" t="s">
        <v>9010</v>
      </c>
      <c r="D5229" s="19" t="s">
        <v>9029</v>
      </c>
      <c r="E5229" s="19" t="s">
        <v>9030</v>
      </c>
    </row>
    <row r="5230" spans="1:5" ht="24" customHeight="1" x14ac:dyDescent="0.25">
      <c r="A5230" s="16">
        <v>5259</v>
      </c>
      <c r="B5230" s="19" t="s">
        <v>8522</v>
      </c>
      <c r="C5230" s="19" t="s">
        <v>9010</v>
      </c>
      <c r="D5230" s="19" t="s">
        <v>9029</v>
      </c>
      <c r="E5230" s="19" t="s">
        <v>8614</v>
      </c>
    </row>
    <row r="5231" spans="1:5" ht="24" customHeight="1" x14ac:dyDescent="0.25">
      <c r="A5231" s="16">
        <v>5260</v>
      </c>
      <c r="B5231" s="19" t="s">
        <v>8522</v>
      </c>
      <c r="C5231" s="19" t="s">
        <v>9010</v>
      </c>
      <c r="D5231" s="19" t="s">
        <v>9029</v>
      </c>
      <c r="E5231" s="19" t="s">
        <v>4645</v>
      </c>
    </row>
    <row r="5232" spans="1:5" ht="36" customHeight="1" x14ac:dyDescent="0.25">
      <c r="A5232" s="16">
        <v>5261</v>
      </c>
      <c r="B5232" s="19" t="s">
        <v>8522</v>
      </c>
      <c r="C5232" s="19" t="s">
        <v>9010</v>
      </c>
      <c r="D5232" s="19" t="s">
        <v>9029</v>
      </c>
      <c r="E5232" s="19" t="s">
        <v>9031</v>
      </c>
    </row>
    <row r="5233" spans="1:5" ht="24" customHeight="1" x14ac:dyDescent="0.25">
      <c r="A5233" s="16">
        <v>5262</v>
      </c>
      <c r="B5233" s="19" t="s">
        <v>8522</v>
      </c>
      <c r="C5233" s="19" t="s">
        <v>9010</v>
      </c>
      <c r="D5233" s="19" t="s">
        <v>9029</v>
      </c>
      <c r="E5233" s="19" t="s">
        <v>9032</v>
      </c>
    </row>
    <row r="5234" spans="1:5" ht="24" customHeight="1" x14ac:dyDescent="0.25">
      <c r="A5234" s="16">
        <v>5263</v>
      </c>
      <c r="B5234" s="19" t="s">
        <v>8522</v>
      </c>
      <c r="C5234" s="19" t="s">
        <v>9010</v>
      </c>
      <c r="D5234" s="19" t="s">
        <v>9029</v>
      </c>
      <c r="E5234" s="19" t="s">
        <v>7722</v>
      </c>
    </row>
    <row r="5235" spans="1:5" ht="24" customHeight="1" x14ac:dyDescent="0.25">
      <c r="A5235" s="16">
        <v>5264</v>
      </c>
      <c r="B5235" s="19" t="s">
        <v>8522</v>
      </c>
      <c r="C5235" s="19" t="s">
        <v>9010</v>
      </c>
      <c r="D5235" s="19" t="s">
        <v>9029</v>
      </c>
      <c r="E5235" s="19" t="s">
        <v>9033</v>
      </c>
    </row>
    <row r="5236" spans="1:5" ht="24" customHeight="1" x14ac:dyDescent="0.25">
      <c r="A5236" s="16">
        <v>5265</v>
      </c>
      <c r="B5236" s="19" t="s">
        <v>8522</v>
      </c>
      <c r="C5236" s="19" t="s">
        <v>9010</v>
      </c>
      <c r="D5236" s="19" t="s">
        <v>9034</v>
      </c>
      <c r="E5236" s="19" t="s">
        <v>9035</v>
      </c>
    </row>
    <row r="5237" spans="1:5" ht="24" customHeight="1" x14ac:dyDescent="0.25">
      <c r="A5237" s="16">
        <v>5266</v>
      </c>
      <c r="B5237" s="19" t="s">
        <v>8522</v>
      </c>
      <c r="C5237" s="19" t="s">
        <v>9010</v>
      </c>
      <c r="D5237" s="19" t="s">
        <v>9034</v>
      </c>
      <c r="E5237" s="19" t="s">
        <v>9036</v>
      </c>
    </row>
    <row r="5238" spans="1:5" ht="24" customHeight="1" x14ac:dyDescent="0.25">
      <c r="A5238" s="16">
        <v>5267</v>
      </c>
      <c r="B5238" s="19" t="s">
        <v>8522</v>
      </c>
      <c r="C5238" s="19" t="s">
        <v>9010</v>
      </c>
      <c r="D5238" s="19" t="s">
        <v>9034</v>
      </c>
      <c r="E5238" s="19" t="s">
        <v>9037</v>
      </c>
    </row>
    <row r="5239" spans="1:5" ht="24" customHeight="1" x14ac:dyDescent="0.25">
      <c r="A5239" s="16">
        <v>5268</v>
      </c>
      <c r="B5239" s="19" t="s">
        <v>8522</v>
      </c>
      <c r="C5239" s="19" t="s">
        <v>9010</v>
      </c>
      <c r="D5239" s="19" t="s">
        <v>9034</v>
      </c>
      <c r="E5239" s="19" t="s">
        <v>9038</v>
      </c>
    </row>
    <row r="5240" spans="1:5" ht="24" customHeight="1" x14ac:dyDescent="0.25">
      <c r="A5240" s="16">
        <v>5269</v>
      </c>
      <c r="B5240" s="19" t="s">
        <v>8522</v>
      </c>
      <c r="C5240" s="19" t="s">
        <v>9010</v>
      </c>
      <c r="D5240" s="19" t="s">
        <v>9034</v>
      </c>
      <c r="E5240" s="19" t="s">
        <v>9039</v>
      </c>
    </row>
    <row r="5241" spans="1:5" ht="24" customHeight="1" x14ac:dyDescent="0.25">
      <c r="A5241" s="16">
        <v>5270</v>
      </c>
      <c r="B5241" s="19" t="s">
        <v>8522</v>
      </c>
      <c r="C5241" s="19" t="s">
        <v>9010</v>
      </c>
      <c r="D5241" s="19" t="s">
        <v>9034</v>
      </c>
      <c r="E5241" s="19" t="s">
        <v>9040</v>
      </c>
    </row>
    <row r="5242" spans="1:5" ht="24" customHeight="1" x14ac:dyDescent="0.25">
      <c r="A5242" s="16">
        <v>5271</v>
      </c>
      <c r="B5242" s="19" t="s">
        <v>8522</v>
      </c>
      <c r="C5242" s="19" t="s">
        <v>9010</v>
      </c>
      <c r="D5242" s="19" t="s">
        <v>9041</v>
      </c>
      <c r="E5242" s="19" t="s">
        <v>8834</v>
      </c>
    </row>
    <row r="5243" spans="1:5" ht="24" customHeight="1" x14ac:dyDescent="0.25">
      <c r="A5243" s="16">
        <v>5272</v>
      </c>
      <c r="B5243" s="19" t="s">
        <v>8522</v>
      </c>
      <c r="C5243" s="19" t="s">
        <v>9010</v>
      </c>
      <c r="D5243" s="19" t="s">
        <v>9041</v>
      </c>
      <c r="E5243" s="19" t="s">
        <v>9042</v>
      </c>
    </row>
    <row r="5244" spans="1:5" ht="24" customHeight="1" x14ac:dyDescent="0.25">
      <c r="A5244" s="16">
        <v>5273</v>
      </c>
      <c r="B5244" s="19" t="s">
        <v>8522</v>
      </c>
      <c r="C5244" s="19" t="s">
        <v>9010</v>
      </c>
      <c r="D5244" s="19" t="s">
        <v>9041</v>
      </c>
      <c r="E5244" s="19" t="s">
        <v>9043</v>
      </c>
    </row>
    <row r="5245" spans="1:5" ht="24" customHeight="1" x14ac:dyDescent="0.25">
      <c r="A5245" s="16">
        <v>5274</v>
      </c>
      <c r="B5245" s="19" t="s">
        <v>8522</v>
      </c>
      <c r="C5245" s="19" t="s">
        <v>9010</v>
      </c>
      <c r="D5245" s="19" t="s">
        <v>9041</v>
      </c>
      <c r="E5245" s="19" t="s">
        <v>4686</v>
      </c>
    </row>
    <row r="5246" spans="1:5" ht="24" customHeight="1" x14ac:dyDescent="0.25">
      <c r="A5246" s="16">
        <v>5275</v>
      </c>
      <c r="B5246" s="19" t="s">
        <v>8522</v>
      </c>
      <c r="C5246" s="19" t="s">
        <v>9010</v>
      </c>
      <c r="D5246" s="19" t="s">
        <v>9041</v>
      </c>
      <c r="E5246" s="19" t="s">
        <v>9044</v>
      </c>
    </row>
    <row r="5247" spans="1:5" ht="24" customHeight="1" x14ac:dyDescent="0.25">
      <c r="A5247" s="16">
        <v>5276</v>
      </c>
      <c r="B5247" s="19" t="s">
        <v>8522</v>
      </c>
      <c r="C5247" s="19" t="s">
        <v>9010</v>
      </c>
      <c r="D5247" s="19" t="s">
        <v>9041</v>
      </c>
      <c r="E5247" s="19" t="s">
        <v>9045</v>
      </c>
    </row>
    <row r="5248" spans="1:5" ht="24" customHeight="1" x14ac:dyDescent="0.25">
      <c r="A5248" s="16">
        <v>5277</v>
      </c>
      <c r="B5248" s="19" t="s">
        <v>8522</v>
      </c>
      <c r="C5248" s="19" t="s">
        <v>9010</v>
      </c>
      <c r="D5248" s="19" t="s">
        <v>9041</v>
      </c>
      <c r="E5248" s="19" t="s">
        <v>9046</v>
      </c>
    </row>
    <row r="5249" spans="1:5" ht="24" customHeight="1" x14ac:dyDescent="0.25">
      <c r="A5249" s="16">
        <v>5278</v>
      </c>
      <c r="B5249" s="19" t="s">
        <v>8522</v>
      </c>
      <c r="C5249" s="19" t="s">
        <v>9010</v>
      </c>
      <c r="D5249" s="19" t="s">
        <v>9041</v>
      </c>
      <c r="E5249" s="19" t="s">
        <v>9047</v>
      </c>
    </row>
    <row r="5250" spans="1:5" ht="24" customHeight="1" x14ac:dyDescent="0.25">
      <c r="A5250" s="16">
        <v>5279</v>
      </c>
      <c r="B5250" s="19" t="s">
        <v>8522</v>
      </c>
      <c r="C5250" s="19" t="s">
        <v>9010</v>
      </c>
      <c r="D5250" s="19" t="s">
        <v>9048</v>
      </c>
      <c r="E5250" s="19" t="s">
        <v>9049</v>
      </c>
    </row>
    <row r="5251" spans="1:5" ht="24" customHeight="1" x14ac:dyDescent="0.25">
      <c r="A5251" s="16">
        <v>5280</v>
      </c>
      <c r="B5251" s="19" t="s">
        <v>8522</v>
      </c>
      <c r="C5251" s="19" t="s">
        <v>9010</v>
      </c>
      <c r="D5251" s="19" t="s">
        <v>9048</v>
      </c>
      <c r="E5251" s="19" t="s">
        <v>9050</v>
      </c>
    </row>
    <row r="5252" spans="1:5" ht="24" customHeight="1" x14ac:dyDescent="0.25">
      <c r="A5252" s="16">
        <v>5281</v>
      </c>
      <c r="B5252" s="19" t="s">
        <v>8522</v>
      </c>
      <c r="C5252" s="19" t="s">
        <v>9010</v>
      </c>
      <c r="D5252" s="19" t="s">
        <v>9048</v>
      </c>
      <c r="E5252" s="19" t="s">
        <v>9051</v>
      </c>
    </row>
    <row r="5253" spans="1:5" ht="24" customHeight="1" x14ac:dyDescent="0.25">
      <c r="A5253" s="16">
        <v>5282</v>
      </c>
      <c r="B5253" s="19" t="s">
        <v>8522</v>
      </c>
      <c r="C5253" s="19" t="s">
        <v>9010</v>
      </c>
      <c r="D5253" s="19" t="s">
        <v>9048</v>
      </c>
      <c r="E5253" s="19" t="s">
        <v>9052</v>
      </c>
    </row>
    <row r="5254" spans="1:5" ht="24" customHeight="1" x14ac:dyDescent="0.25">
      <c r="A5254" s="16">
        <v>5283</v>
      </c>
      <c r="B5254" s="19" t="s">
        <v>8522</v>
      </c>
      <c r="C5254" s="19" t="s">
        <v>9010</v>
      </c>
      <c r="D5254" s="19" t="s">
        <v>9048</v>
      </c>
      <c r="E5254" s="19" t="s">
        <v>9053</v>
      </c>
    </row>
    <row r="5255" spans="1:5" ht="24" customHeight="1" x14ac:dyDescent="0.25">
      <c r="A5255" s="16">
        <v>5284</v>
      </c>
      <c r="B5255" s="19" t="s">
        <v>8522</v>
      </c>
      <c r="C5255" s="19" t="s">
        <v>9010</v>
      </c>
      <c r="D5255" s="19" t="s">
        <v>9048</v>
      </c>
      <c r="E5255" s="19" t="s">
        <v>9054</v>
      </c>
    </row>
    <row r="5256" spans="1:5" ht="24" customHeight="1" x14ac:dyDescent="0.25">
      <c r="A5256" s="16">
        <v>5285</v>
      </c>
      <c r="B5256" s="19" t="s">
        <v>8522</v>
      </c>
      <c r="C5256" s="19" t="s">
        <v>9010</v>
      </c>
      <c r="D5256" s="19" t="s">
        <v>9048</v>
      </c>
      <c r="E5256" s="19" t="s">
        <v>9055</v>
      </c>
    </row>
    <row r="5257" spans="1:5" ht="24" customHeight="1" x14ac:dyDescent="0.25">
      <c r="A5257" s="16">
        <v>5286</v>
      </c>
      <c r="B5257" s="19" t="s">
        <v>8522</v>
      </c>
      <c r="C5257" s="19" t="s">
        <v>9010</v>
      </c>
      <c r="D5257" s="19" t="s">
        <v>9048</v>
      </c>
      <c r="E5257" s="19" t="s">
        <v>9056</v>
      </c>
    </row>
    <row r="5258" spans="1:5" ht="24" customHeight="1" x14ac:dyDescent="0.25">
      <c r="A5258" s="16">
        <v>5287</v>
      </c>
      <c r="B5258" s="19" t="s">
        <v>8522</v>
      </c>
      <c r="C5258" s="19" t="s">
        <v>9010</v>
      </c>
      <c r="D5258" s="19" t="s">
        <v>9048</v>
      </c>
      <c r="E5258" s="19" t="s">
        <v>9057</v>
      </c>
    </row>
    <row r="5259" spans="1:5" ht="24" customHeight="1" x14ac:dyDescent="0.25">
      <c r="A5259" s="16">
        <v>5288</v>
      </c>
      <c r="B5259" s="19" t="s">
        <v>8522</v>
      </c>
      <c r="C5259" s="19" t="s">
        <v>9010</v>
      </c>
      <c r="D5259" s="19" t="s">
        <v>9048</v>
      </c>
      <c r="E5259" s="19" t="s">
        <v>9058</v>
      </c>
    </row>
    <row r="5260" spans="1:5" ht="24" customHeight="1" x14ac:dyDescent="0.25">
      <c r="A5260" s="16">
        <v>5289</v>
      </c>
      <c r="B5260" s="19" t="s">
        <v>8522</v>
      </c>
      <c r="C5260" s="19" t="s">
        <v>9010</v>
      </c>
      <c r="D5260" s="19" t="s">
        <v>9059</v>
      </c>
      <c r="E5260" s="19" t="s">
        <v>9060</v>
      </c>
    </row>
    <row r="5261" spans="1:5" ht="24" customHeight="1" x14ac:dyDescent="0.25">
      <c r="A5261" s="16">
        <v>5290</v>
      </c>
      <c r="B5261" s="19" t="s">
        <v>8522</v>
      </c>
      <c r="C5261" s="19" t="s">
        <v>9010</v>
      </c>
      <c r="D5261" s="19" t="s">
        <v>9059</v>
      </c>
      <c r="E5261" s="19" t="s">
        <v>9061</v>
      </c>
    </row>
    <row r="5262" spans="1:5" ht="24" customHeight="1" x14ac:dyDescent="0.25">
      <c r="A5262" s="16">
        <v>5291</v>
      </c>
      <c r="B5262" s="19" t="s">
        <v>8522</v>
      </c>
      <c r="C5262" s="19" t="s">
        <v>9010</v>
      </c>
      <c r="D5262" s="19" t="s">
        <v>9059</v>
      </c>
      <c r="E5262" s="19" t="s">
        <v>9062</v>
      </c>
    </row>
    <row r="5263" spans="1:5" ht="24" customHeight="1" x14ac:dyDescent="0.25">
      <c r="A5263" s="16">
        <v>5292</v>
      </c>
      <c r="B5263" s="19" t="s">
        <v>8522</v>
      </c>
      <c r="C5263" s="19" t="s">
        <v>9010</v>
      </c>
      <c r="D5263" s="19" t="s">
        <v>9059</v>
      </c>
      <c r="E5263" s="19" t="s">
        <v>9063</v>
      </c>
    </row>
    <row r="5264" spans="1:5" ht="24" customHeight="1" x14ac:dyDescent="0.25">
      <c r="A5264" s="16">
        <v>5293</v>
      </c>
      <c r="B5264" s="19" t="s">
        <v>8522</v>
      </c>
      <c r="C5264" s="19" t="s">
        <v>9010</v>
      </c>
      <c r="D5264" s="19" t="s">
        <v>9059</v>
      </c>
      <c r="E5264" s="19" t="s">
        <v>9064</v>
      </c>
    </row>
    <row r="5265" spans="1:5" ht="24" customHeight="1" x14ac:dyDescent="0.25">
      <c r="A5265" s="16">
        <v>5294</v>
      </c>
      <c r="B5265" s="19" t="s">
        <v>8522</v>
      </c>
      <c r="C5265" s="19" t="s">
        <v>9010</v>
      </c>
      <c r="D5265" s="19" t="s">
        <v>9065</v>
      </c>
      <c r="E5265" s="19" t="s">
        <v>9066</v>
      </c>
    </row>
    <row r="5266" spans="1:5" ht="36" customHeight="1" x14ac:dyDescent="0.25">
      <c r="A5266" s="16">
        <v>5295</v>
      </c>
      <c r="B5266" s="19" t="s">
        <v>8522</v>
      </c>
      <c r="C5266" s="19" t="s">
        <v>9010</v>
      </c>
      <c r="D5266" s="19" t="s">
        <v>9065</v>
      </c>
      <c r="E5266" s="19" t="s">
        <v>9067</v>
      </c>
    </row>
    <row r="5267" spans="1:5" ht="24" customHeight="1" x14ac:dyDescent="0.25">
      <c r="A5267" s="16">
        <v>5296</v>
      </c>
      <c r="B5267" s="19" t="s">
        <v>8522</v>
      </c>
      <c r="C5267" s="19" t="s">
        <v>9010</v>
      </c>
      <c r="D5267" s="19" t="s">
        <v>9065</v>
      </c>
      <c r="E5267" s="19" t="s">
        <v>9068</v>
      </c>
    </row>
    <row r="5268" spans="1:5" ht="36" customHeight="1" x14ac:dyDescent="0.25">
      <c r="A5268" s="16">
        <v>5297</v>
      </c>
      <c r="B5268" s="19" t="s">
        <v>8522</v>
      </c>
      <c r="C5268" s="19" t="s">
        <v>9010</v>
      </c>
      <c r="D5268" s="19" t="s">
        <v>9065</v>
      </c>
      <c r="E5268" s="19" t="s">
        <v>9069</v>
      </c>
    </row>
    <row r="5269" spans="1:5" ht="24" customHeight="1" x14ac:dyDescent="0.25">
      <c r="A5269" s="16">
        <v>5298</v>
      </c>
      <c r="B5269" s="19" t="s">
        <v>8522</v>
      </c>
      <c r="C5269" s="19" t="s">
        <v>9010</v>
      </c>
      <c r="D5269" s="19" t="s">
        <v>9065</v>
      </c>
      <c r="E5269" s="19" t="s">
        <v>9070</v>
      </c>
    </row>
    <row r="5270" spans="1:5" ht="24" customHeight="1" x14ac:dyDescent="0.25">
      <c r="A5270" s="16">
        <v>5299</v>
      </c>
      <c r="B5270" s="19" t="s">
        <v>8522</v>
      </c>
      <c r="C5270" s="19" t="s">
        <v>9010</v>
      </c>
      <c r="D5270" s="19" t="s">
        <v>9065</v>
      </c>
      <c r="E5270" s="19" t="s">
        <v>9071</v>
      </c>
    </row>
    <row r="5271" spans="1:5" ht="24" customHeight="1" x14ac:dyDescent="0.25">
      <c r="A5271" s="16">
        <v>5300</v>
      </c>
      <c r="B5271" s="19" t="s">
        <v>8522</v>
      </c>
      <c r="C5271" s="19" t="s">
        <v>9010</v>
      </c>
      <c r="D5271" s="19" t="s">
        <v>9065</v>
      </c>
      <c r="E5271" s="19" t="s">
        <v>9072</v>
      </c>
    </row>
    <row r="5272" spans="1:5" ht="24" customHeight="1" x14ac:dyDescent="0.25">
      <c r="A5272" s="16">
        <v>5301</v>
      </c>
      <c r="B5272" s="19" t="s">
        <v>8522</v>
      </c>
      <c r="C5272" s="19" t="s">
        <v>9010</v>
      </c>
      <c r="D5272" s="19" t="s">
        <v>9073</v>
      </c>
      <c r="E5272" s="19" t="s">
        <v>9074</v>
      </c>
    </row>
    <row r="5273" spans="1:5" ht="24" customHeight="1" x14ac:dyDescent="0.25">
      <c r="A5273" s="16">
        <v>5302</v>
      </c>
      <c r="B5273" s="19" t="s">
        <v>8522</v>
      </c>
      <c r="C5273" s="19" t="s">
        <v>9010</v>
      </c>
      <c r="D5273" s="19" t="s">
        <v>9073</v>
      </c>
      <c r="E5273" s="19" t="s">
        <v>9075</v>
      </c>
    </row>
    <row r="5274" spans="1:5" ht="24" customHeight="1" x14ac:dyDescent="0.25">
      <c r="A5274" s="16">
        <v>5303</v>
      </c>
      <c r="B5274" s="19" t="s">
        <v>8522</v>
      </c>
      <c r="C5274" s="19" t="s">
        <v>9010</v>
      </c>
      <c r="D5274" s="19" t="s">
        <v>9073</v>
      </c>
      <c r="E5274" s="19" t="s">
        <v>9076</v>
      </c>
    </row>
    <row r="5275" spans="1:5" ht="24" customHeight="1" x14ac:dyDescent="0.25">
      <c r="A5275" s="16">
        <v>5304</v>
      </c>
      <c r="B5275" s="19" t="s">
        <v>8522</v>
      </c>
      <c r="C5275" s="19" t="s">
        <v>9010</v>
      </c>
      <c r="D5275" s="19" t="s">
        <v>9073</v>
      </c>
      <c r="E5275" s="19" t="s">
        <v>9077</v>
      </c>
    </row>
    <row r="5276" spans="1:5" ht="24" customHeight="1" x14ac:dyDescent="0.25">
      <c r="A5276" s="16">
        <v>5305</v>
      </c>
      <c r="B5276" s="19" t="s">
        <v>8522</v>
      </c>
      <c r="C5276" s="19" t="s">
        <v>9010</v>
      </c>
      <c r="D5276" s="19" t="s">
        <v>9073</v>
      </c>
      <c r="E5276" s="19" t="s">
        <v>9078</v>
      </c>
    </row>
    <row r="5277" spans="1:5" ht="24" customHeight="1" x14ac:dyDescent="0.25">
      <c r="A5277" s="16">
        <v>5306</v>
      </c>
      <c r="B5277" s="19" t="s">
        <v>8522</v>
      </c>
      <c r="C5277" s="19" t="s">
        <v>9010</v>
      </c>
      <c r="D5277" s="19" t="s">
        <v>9073</v>
      </c>
      <c r="E5277" s="19" t="s">
        <v>9079</v>
      </c>
    </row>
    <row r="5278" spans="1:5" ht="24" customHeight="1" x14ac:dyDescent="0.25">
      <c r="A5278" s="16">
        <v>5307</v>
      </c>
      <c r="B5278" s="19" t="s">
        <v>8522</v>
      </c>
      <c r="C5278" s="19" t="s">
        <v>9010</v>
      </c>
      <c r="D5278" s="19" t="s">
        <v>9073</v>
      </c>
      <c r="E5278" s="19" t="s">
        <v>9080</v>
      </c>
    </row>
    <row r="5279" spans="1:5" ht="24" customHeight="1" x14ac:dyDescent="0.25">
      <c r="A5279" s="16">
        <v>5308</v>
      </c>
      <c r="B5279" s="19" t="s">
        <v>8522</v>
      </c>
      <c r="C5279" s="19" t="s">
        <v>9010</v>
      </c>
      <c r="D5279" s="19" t="s">
        <v>9010</v>
      </c>
      <c r="E5279" s="19" t="s">
        <v>9081</v>
      </c>
    </row>
    <row r="5280" spans="1:5" ht="24" customHeight="1" x14ac:dyDescent="0.25">
      <c r="A5280" s="16">
        <v>5309</v>
      </c>
      <c r="B5280" s="19" t="s">
        <v>8522</v>
      </c>
      <c r="C5280" s="19" t="s">
        <v>9010</v>
      </c>
      <c r="D5280" s="19" t="s">
        <v>9010</v>
      </c>
      <c r="E5280" s="19" t="s">
        <v>9082</v>
      </c>
    </row>
    <row r="5281" spans="1:5" ht="24" customHeight="1" x14ac:dyDescent="0.25">
      <c r="A5281" s="16">
        <v>5310</v>
      </c>
      <c r="B5281" s="19" t="s">
        <v>8522</v>
      </c>
      <c r="C5281" s="19" t="s">
        <v>9010</v>
      </c>
      <c r="D5281" s="19" t="s">
        <v>9010</v>
      </c>
      <c r="E5281" s="19" t="s">
        <v>9083</v>
      </c>
    </row>
    <row r="5282" spans="1:5" ht="24" customHeight="1" x14ac:dyDescent="0.25">
      <c r="A5282" s="16">
        <v>5311</v>
      </c>
      <c r="B5282" s="19" t="s">
        <v>8522</v>
      </c>
      <c r="C5282" s="19" t="s">
        <v>9010</v>
      </c>
      <c r="D5282" s="19" t="s">
        <v>9010</v>
      </c>
      <c r="E5282" s="19" t="s">
        <v>9084</v>
      </c>
    </row>
    <row r="5283" spans="1:5" ht="24" customHeight="1" x14ac:dyDescent="0.25">
      <c r="A5283" s="16">
        <v>5312</v>
      </c>
      <c r="B5283" s="19" t="s">
        <v>8522</v>
      </c>
      <c r="C5283" s="19" t="s">
        <v>9010</v>
      </c>
      <c r="D5283" s="19" t="s">
        <v>9010</v>
      </c>
      <c r="E5283" s="19" t="s">
        <v>9085</v>
      </c>
    </row>
    <row r="5284" spans="1:5" ht="24" customHeight="1" x14ac:dyDescent="0.25">
      <c r="A5284" s="16">
        <v>5313</v>
      </c>
      <c r="B5284" s="19" t="s">
        <v>8522</v>
      </c>
      <c r="C5284" s="19" t="s">
        <v>9010</v>
      </c>
      <c r="D5284" s="19" t="s">
        <v>9010</v>
      </c>
      <c r="E5284" s="19" t="s">
        <v>9086</v>
      </c>
    </row>
    <row r="5285" spans="1:5" ht="24" customHeight="1" x14ac:dyDescent="0.25">
      <c r="A5285" s="16">
        <v>5314</v>
      </c>
      <c r="B5285" s="19" t="s">
        <v>8522</v>
      </c>
      <c r="C5285" s="19" t="s">
        <v>9010</v>
      </c>
      <c r="D5285" s="19" t="s">
        <v>9010</v>
      </c>
      <c r="E5285" s="19" t="s">
        <v>9087</v>
      </c>
    </row>
    <row r="5286" spans="1:5" ht="24" customHeight="1" x14ac:dyDescent="0.25">
      <c r="A5286" s="16">
        <v>5315</v>
      </c>
      <c r="B5286" s="19" t="s">
        <v>8522</v>
      </c>
      <c r="C5286" s="19" t="s">
        <v>9010</v>
      </c>
      <c r="D5286" s="19" t="s">
        <v>9088</v>
      </c>
      <c r="E5286" s="19" t="s">
        <v>9089</v>
      </c>
    </row>
    <row r="5287" spans="1:5" ht="24" customHeight="1" x14ac:dyDescent="0.25">
      <c r="A5287" s="16">
        <v>5316</v>
      </c>
      <c r="B5287" s="19" t="s">
        <v>8522</v>
      </c>
      <c r="C5287" s="19" t="s">
        <v>9010</v>
      </c>
      <c r="D5287" s="19" t="s">
        <v>9088</v>
      </c>
      <c r="E5287" s="19" t="s">
        <v>9090</v>
      </c>
    </row>
    <row r="5288" spans="1:5" ht="24" customHeight="1" x14ac:dyDescent="0.25">
      <c r="A5288" s="16">
        <v>5317</v>
      </c>
      <c r="B5288" s="19" t="s">
        <v>8522</v>
      </c>
      <c r="C5288" s="19" t="s">
        <v>9010</v>
      </c>
      <c r="D5288" s="19" t="s">
        <v>9088</v>
      </c>
      <c r="E5288" s="19" t="s">
        <v>9091</v>
      </c>
    </row>
    <row r="5289" spans="1:5" ht="24" customHeight="1" x14ac:dyDescent="0.25">
      <c r="A5289" s="16">
        <v>5318</v>
      </c>
      <c r="B5289" s="19" t="s">
        <v>8522</v>
      </c>
      <c r="C5289" s="19" t="s">
        <v>9010</v>
      </c>
      <c r="D5289" s="19" t="s">
        <v>9088</v>
      </c>
      <c r="E5289" s="19" t="s">
        <v>9092</v>
      </c>
    </row>
    <row r="5290" spans="1:5" ht="24" customHeight="1" x14ac:dyDescent="0.25">
      <c r="A5290" s="16">
        <v>5319</v>
      </c>
      <c r="B5290" s="19" t="s">
        <v>8522</v>
      </c>
      <c r="C5290" s="19" t="s">
        <v>9010</v>
      </c>
      <c r="D5290" s="19" t="s">
        <v>9088</v>
      </c>
      <c r="E5290" s="19" t="s">
        <v>9093</v>
      </c>
    </row>
    <row r="5291" spans="1:5" ht="24" customHeight="1" x14ac:dyDescent="0.25">
      <c r="A5291" s="16">
        <v>5320</v>
      </c>
      <c r="B5291" s="19" t="s">
        <v>8522</v>
      </c>
      <c r="C5291" s="19" t="s">
        <v>9010</v>
      </c>
      <c r="D5291" s="19" t="s">
        <v>9088</v>
      </c>
      <c r="E5291" s="19" t="s">
        <v>9094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112D"/>
  </sheetPr>
  <dimension ref="A1:S227"/>
  <sheetViews>
    <sheetView zoomScaleNormal="100" workbookViewId="0">
      <pane ySplit="1" topLeftCell="A2" activePane="bottomLeft" state="frozen"/>
      <selection pane="bottomLeft" activeCell="B2" sqref="B2"/>
    </sheetView>
  </sheetViews>
  <sheetFormatPr baseColWidth="10" defaultColWidth="8.7109375" defaultRowHeight="15" x14ac:dyDescent="0.25"/>
  <cols>
    <col min="1" max="1" width="22" customWidth="1"/>
    <col min="2" max="2" width="45.5703125" bestFit="1" customWidth="1"/>
    <col min="3" max="3" width="25" bestFit="1" customWidth="1"/>
    <col min="4" max="4" width="19.85546875" bestFit="1" customWidth="1"/>
    <col min="5" max="16" width="22" customWidth="1"/>
    <col min="17" max="17" width="31.5703125" bestFit="1" customWidth="1"/>
  </cols>
  <sheetData>
    <row r="1" spans="1:19" ht="15" customHeight="1" x14ac:dyDescent="0.25">
      <c r="A1" s="5" t="s">
        <v>9095</v>
      </c>
      <c r="B1" s="5" t="s">
        <v>9096</v>
      </c>
      <c r="C1" s="5" t="s">
        <v>9097</v>
      </c>
      <c r="D1" s="5" t="s">
        <v>9098</v>
      </c>
      <c r="E1" s="5" t="s">
        <v>9099</v>
      </c>
      <c r="F1" s="5" t="s">
        <v>9100</v>
      </c>
      <c r="G1" s="5" t="s">
        <v>9101</v>
      </c>
      <c r="H1" s="5" t="s">
        <v>9102</v>
      </c>
      <c r="I1" s="5" t="s">
        <v>9103</v>
      </c>
      <c r="J1" s="5" t="s">
        <v>9104</v>
      </c>
      <c r="K1" s="5" t="s">
        <v>9105</v>
      </c>
      <c r="L1" s="5" t="s">
        <v>9106</v>
      </c>
      <c r="M1" s="5" t="s">
        <v>9107</v>
      </c>
      <c r="N1" s="5" t="s">
        <v>9108</v>
      </c>
      <c r="O1" s="5" t="s">
        <v>67</v>
      </c>
      <c r="P1" s="5" t="s">
        <v>9109</v>
      </c>
      <c r="Q1" s="5" t="s">
        <v>9110</v>
      </c>
      <c r="R1" t="s">
        <v>9111</v>
      </c>
      <c r="S1" t="s">
        <v>9112</v>
      </c>
    </row>
    <row r="2" spans="1:19" ht="15" customHeight="1" x14ac:dyDescent="0.25">
      <c r="A2" s="51" t="s">
        <v>118</v>
      </c>
      <c r="B2" s="51" t="s">
        <v>9515</v>
      </c>
      <c r="C2" s="6" t="s">
        <v>338</v>
      </c>
      <c r="D2" s="6" t="s">
        <v>159</v>
      </c>
      <c r="E2" s="6" t="s">
        <v>9113</v>
      </c>
      <c r="F2" s="6" t="s">
        <v>9114</v>
      </c>
      <c r="G2" s="6" t="s">
        <v>964</v>
      </c>
      <c r="H2" s="6" t="s">
        <v>965</v>
      </c>
      <c r="I2" s="6" t="s">
        <v>9115</v>
      </c>
      <c r="J2" s="6" t="s">
        <v>144</v>
      </c>
      <c r="K2" s="6" t="s">
        <v>9116</v>
      </c>
      <c r="L2" s="6" t="s">
        <v>126</v>
      </c>
      <c r="M2" s="50">
        <v>2011</v>
      </c>
      <c r="N2" s="6" t="s">
        <v>9117</v>
      </c>
      <c r="O2" s="6" t="s">
        <v>1022</v>
      </c>
      <c r="P2" s="6" t="s">
        <v>166</v>
      </c>
      <c r="Q2" t="s">
        <v>9118</v>
      </c>
      <c r="R2" t="s">
        <v>625</v>
      </c>
      <c r="S2" t="s">
        <v>159</v>
      </c>
    </row>
    <row r="3" spans="1:19" ht="15" customHeight="1" x14ac:dyDescent="0.25">
      <c r="A3" s="51" t="s">
        <v>118</v>
      </c>
      <c r="B3" s="51" t="s">
        <v>9516</v>
      </c>
      <c r="C3" s="7" t="s">
        <v>9119</v>
      </c>
      <c r="D3" s="7" t="s">
        <v>150</v>
      </c>
      <c r="E3" s="7" t="s">
        <v>9120</v>
      </c>
      <c r="F3" s="7" t="s">
        <v>9121</v>
      </c>
      <c r="G3" s="7" t="s">
        <v>861</v>
      </c>
      <c r="H3" s="7" t="s">
        <v>1035</v>
      </c>
      <c r="I3" s="7" t="s">
        <v>9122</v>
      </c>
      <c r="J3" s="7" t="s">
        <v>1167</v>
      </c>
      <c r="K3" s="7" t="s">
        <v>9123</v>
      </c>
      <c r="L3" s="7" t="s">
        <v>9124</v>
      </c>
      <c r="M3" s="50">
        <v>2012</v>
      </c>
      <c r="N3" s="7" t="s">
        <v>9125</v>
      </c>
      <c r="O3" s="7" t="s">
        <v>863</v>
      </c>
      <c r="P3" s="7" t="s">
        <v>1163</v>
      </c>
      <c r="Q3" t="s">
        <v>9126</v>
      </c>
      <c r="R3" t="s">
        <v>1335</v>
      </c>
      <c r="S3" t="s">
        <v>127</v>
      </c>
    </row>
    <row r="4" spans="1:19" ht="15" customHeight="1" x14ac:dyDescent="0.25">
      <c r="A4" s="51" t="s">
        <v>118</v>
      </c>
      <c r="B4" s="51" t="s">
        <v>9517</v>
      </c>
      <c r="C4" s="6" t="s">
        <v>278</v>
      </c>
      <c r="D4" s="6" t="s">
        <v>9127</v>
      </c>
      <c r="E4" s="6" t="s">
        <v>9128</v>
      </c>
      <c r="F4" s="6" t="s">
        <v>9129</v>
      </c>
      <c r="G4" s="6" t="s">
        <v>560</v>
      </c>
      <c r="H4" s="6" t="s">
        <v>1046</v>
      </c>
      <c r="I4" s="6" t="s">
        <v>9130</v>
      </c>
      <c r="J4" s="6" t="s">
        <v>185</v>
      </c>
      <c r="K4" s="6" t="s">
        <v>9131</v>
      </c>
      <c r="L4" s="6" t="s">
        <v>1335</v>
      </c>
      <c r="M4" s="50">
        <v>2013</v>
      </c>
      <c r="N4" s="6" t="s">
        <v>9132</v>
      </c>
      <c r="O4" s="6" t="s">
        <v>989</v>
      </c>
      <c r="P4" s="6" t="s">
        <v>400</v>
      </c>
      <c r="Q4" t="s">
        <v>9133</v>
      </c>
      <c r="R4" t="s">
        <v>180</v>
      </c>
      <c r="S4" t="s">
        <v>201</v>
      </c>
    </row>
    <row r="5" spans="1:19" ht="15" customHeight="1" x14ac:dyDescent="0.25">
      <c r="A5" s="51" t="s">
        <v>118</v>
      </c>
      <c r="B5" s="51" t="s">
        <v>9518</v>
      </c>
      <c r="C5" s="7" t="s">
        <v>306</v>
      </c>
      <c r="D5" s="7" t="s">
        <v>9134</v>
      </c>
      <c r="E5" s="7" t="s">
        <v>9135</v>
      </c>
      <c r="F5" s="7" t="s">
        <v>9136</v>
      </c>
      <c r="G5" s="8"/>
      <c r="H5" s="7" t="s">
        <v>862</v>
      </c>
      <c r="I5" s="7" t="s">
        <v>9137</v>
      </c>
      <c r="J5" s="7" t="s">
        <v>399</v>
      </c>
      <c r="K5" s="7" t="s">
        <v>9138</v>
      </c>
      <c r="L5" s="7" t="s">
        <v>171</v>
      </c>
      <c r="M5" s="50">
        <v>2014</v>
      </c>
      <c r="N5" s="7" t="s">
        <v>9139</v>
      </c>
      <c r="O5" s="7" t="s">
        <v>901</v>
      </c>
      <c r="P5" s="7" t="s">
        <v>224</v>
      </c>
      <c r="Q5" t="s">
        <v>9140</v>
      </c>
      <c r="R5" t="s">
        <v>170</v>
      </c>
    </row>
    <row r="6" spans="1:19" ht="15" customHeight="1" x14ac:dyDescent="0.25">
      <c r="A6" s="51" t="s">
        <v>118</v>
      </c>
      <c r="B6" s="51" t="s">
        <v>9519</v>
      </c>
      <c r="C6" s="6" t="s">
        <v>9141</v>
      </c>
      <c r="D6" s="6" t="s">
        <v>1325</v>
      </c>
      <c r="E6" s="6" t="s">
        <v>9142</v>
      </c>
      <c r="F6" s="6" t="s">
        <v>9143</v>
      </c>
      <c r="G6" s="8"/>
      <c r="H6" s="6" t="s">
        <v>900</v>
      </c>
      <c r="I6" s="6" t="s">
        <v>9144</v>
      </c>
      <c r="J6" s="6" t="s">
        <v>645</v>
      </c>
      <c r="K6" s="6" t="s">
        <v>9145</v>
      </c>
      <c r="L6" s="6" t="s">
        <v>235</v>
      </c>
      <c r="M6" s="50">
        <v>2015</v>
      </c>
      <c r="O6" s="6" t="s">
        <v>9146</v>
      </c>
      <c r="P6" s="6" t="s">
        <v>9147</v>
      </c>
      <c r="Q6" t="s">
        <v>9148</v>
      </c>
      <c r="R6" t="s">
        <v>284</v>
      </c>
    </row>
    <row r="7" spans="1:19" ht="15" customHeight="1" x14ac:dyDescent="0.25">
      <c r="A7" s="51" t="s">
        <v>118</v>
      </c>
      <c r="B7" s="51" t="s">
        <v>9520</v>
      </c>
      <c r="C7" s="7" t="s">
        <v>1356</v>
      </c>
      <c r="D7" s="7" t="s">
        <v>9149</v>
      </c>
      <c r="E7" s="7" t="s">
        <v>9150</v>
      </c>
      <c r="F7" s="7" t="s">
        <v>9151</v>
      </c>
      <c r="H7" s="7" t="s">
        <v>561</v>
      </c>
      <c r="I7" s="7" t="s">
        <v>9152</v>
      </c>
      <c r="J7" s="7" t="s">
        <v>828</v>
      </c>
      <c r="K7" s="7" t="s">
        <v>9153</v>
      </c>
      <c r="L7" s="7" t="s">
        <v>9154</v>
      </c>
      <c r="M7" s="50">
        <v>2016</v>
      </c>
      <c r="O7" s="7" t="s">
        <v>562</v>
      </c>
      <c r="P7" s="7" t="s">
        <v>1168</v>
      </c>
      <c r="Q7" t="s">
        <v>9155</v>
      </c>
      <c r="R7" t="s">
        <v>1048</v>
      </c>
    </row>
    <row r="8" spans="1:19" ht="15" customHeight="1" x14ac:dyDescent="0.25">
      <c r="A8" s="51" t="s">
        <v>118</v>
      </c>
      <c r="B8" s="51" t="s">
        <v>9521</v>
      </c>
      <c r="C8" s="6" t="s">
        <v>690</v>
      </c>
      <c r="D8" s="6" t="s">
        <v>1252</v>
      </c>
      <c r="E8" s="6" t="s">
        <v>9156</v>
      </c>
      <c r="F8" s="6" t="s">
        <v>9157</v>
      </c>
      <c r="H8" s="6" t="s">
        <v>1012</v>
      </c>
      <c r="J8" s="6" t="s">
        <v>2134</v>
      </c>
      <c r="K8" s="6" t="s">
        <v>9158</v>
      </c>
      <c r="M8" s="50">
        <v>2017</v>
      </c>
      <c r="O8" s="6" t="s">
        <v>1173</v>
      </c>
      <c r="P8" s="6" t="s">
        <v>534</v>
      </c>
      <c r="Q8" t="s">
        <v>9159</v>
      </c>
      <c r="R8" t="s">
        <v>785</v>
      </c>
    </row>
    <row r="9" spans="1:19" ht="15" customHeight="1" x14ac:dyDescent="0.25">
      <c r="A9" s="51" t="s">
        <v>118</v>
      </c>
      <c r="B9" s="51" t="s">
        <v>9522</v>
      </c>
      <c r="C9" s="7" t="s">
        <v>9160</v>
      </c>
      <c r="D9" s="7" t="s">
        <v>9161</v>
      </c>
      <c r="E9" s="7" t="s">
        <v>1044</v>
      </c>
      <c r="H9" s="8"/>
      <c r="J9" s="7" t="s">
        <v>165</v>
      </c>
      <c r="K9" s="7" t="s">
        <v>9162</v>
      </c>
      <c r="M9" s="50">
        <v>2018</v>
      </c>
      <c r="O9" s="7" t="s">
        <v>3235</v>
      </c>
      <c r="P9" s="7" t="s">
        <v>362</v>
      </c>
      <c r="Q9" t="s">
        <v>9163</v>
      </c>
      <c r="R9" t="s">
        <v>1877</v>
      </c>
    </row>
    <row r="10" spans="1:19" ht="15" customHeight="1" x14ac:dyDescent="0.25">
      <c r="A10" s="51" t="s">
        <v>118</v>
      </c>
      <c r="B10" s="51" t="s">
        <v>9523</v>
      </c>
      <c r="C10" s="6" t="s">
        <v>739</v>
      </c>
      <c r="D10" s="6" t="s">
        <v>9164</v>
      </c>
      <c r="J10" s="6" t="s">
        <v>302</v>
      </c>
      <c r="K10" s="6" t="s">
        <v>9165</v>
      </c>
      <c r="M10" s="50">
        <v>2019</v>
      </c>
      <c r="O10" s="6" t="s">
        <v>971</v>
      </c>
      <c r="P10" s="6" t="s">
        <v>2135</v>
      </c>
      <c r="Q10" t="s">
        <v>9166</v>
      </c>
      <c r="R10" t="s">
        <v>317</v>
      </c>
    </row>
    <row r="11" spans="1:19" ht="15" customHeight="1" x14ac:dyDescent="0.25">
      <c r="A11" s="51" t="s">
        <v>118</v>
      </c>
      <c r="B11" s="51" t="s">
        <v>9524</v>
      </c>
      <c r="C11" s="7" t="s">
        <v>169</v>
      </c>
      <c r="J11" s="7" t="s">
        <v>409</v>
      </c>
      <c r="K11" s="7" t="s">
        <v>9167</v>
      </c>
      <c r="M11" s="50">
        <v>2020</v>
      </c>
      <c r="O11" s="7" t="s">
        <v>9168</v>
      </c>
      <c r="P11" s="7" t="s">
        <v>9169</v>
      </c>
      <c r="Q11" t="s">
        <v>9170</v>
      </c>
      <c r="R11" t="s">
        <v>126</v>
      </c>
    </row>
    <row r="12" spans="1:19" ht="15" customHeight="1" x14ac:dyDescent="0.25">
      <c r="A12" s="51" t="s">
        <v>118</v>
      </c>
      <c r="B12" s="51" t="s">
        <v>9738</v>
      </c>
      <c r="C12" s="6" t="s">
        <v>124</v>
      </c>
      <c r="J12" s="6" t="s">
        <v>1240</v>
      </c>
      <c r="K12" s="6" t="s">
        <v>9171</v>
      </c>
      <c r="M12" s="50">
        <v>2021</v>
      </c>
      <c r="O12" s="6" t="s">
        <v>939</v>
      </c>
      <c r="P12" s="6" t="s">
        <v>2328</v>
      </c>
      <c r="Q12" t="s">
        <v>9172</v>
      </c>
      <c r="R12" t="s">
        <v>235</v>
      </c>
    </row>
    <row r="13" spans="1:19" ht="15" customHeight="1" x14ac:dyDescent="0.25">
      <c r="A13" s="51" t="s">
        <v>190</v>
      </c>
      <c r="B13" s="51" t="s">
        <v>9525</v>
      </c>
      <c r="C13" s="7" t="s">
        <v>179</v>
      </c>
      <c r="J13" s="7" t="s">
        <v>1157</v>
      </c>
      <c r="K13" s="7" t="s">
        <v>9173</v>
      </c>
      <c r="M13" s="50">
        <v>2022</v>
      </c>
      <c r="O13" s="7" t="s">
        <v>9174</v>
      </c>
      <c r="P13" s="7" t="s">
        <v>9175</v>
      </c>
      <c r="Q13" t="s">
        <v>9176</v>
      </c>
    </row>
    <row r="14" spans="1:19" ht="15" customHeight="1" x14ac:dyDescent="0.25">
      <c r="A14" s="51" t="s">
        <v>190</v>
      </c>
      <c r="B14" s="51" t="s">
        <v>9526</v>
      </c>
      <c r="C14" s="6" t="s">
        <v>2799</v>
      </c>
      <c r="K14" s="6" t="s">
        <v>9177</v>
      </c>
      <c r="M14" s="50">
        <v>2023</v>
      </c>
      <c r="O14" s="6" t="s">
        <v>9178</v>
      </c>
      <c r="P14" s="6" t="s">
        <v>9179</v>
      </c>
      <c r="Q14" t="s">
        <v>9180</v>
      </c>
    </row>
    <row r="15" spans="1:19" ht="15" customHeight="1" x14ac:dyDescent="0.25">
      <c r="A15" s="51" t="s">
        <v>190</v>
      </c>
      <c r="B15" s="51" t="s">
        <v>9527</v>
      </c>
      <c r="C15" s="7" t="s">
        <v>582</v>
      </c>
      <c r="K15" s="7" t="s">
        <v>9181</v>
      </c>
      <c r="M15" s="50">
        <v>2024</v>
      </c>
      <c r="O15" s="7" t="s">
        <v>9182</v>
      </c>
      <c r="P15" s="7" t="s">
        <v>9183</v>
      </c>
      <c r="Q15" t="s">
        <v>9184</v>
      </c>
    </row>
    <row r="16" spans="1:19" ht="15" customHeight="1" x14ac:dyDescent="0.25">
      <c r="A16" s="51" t="s">
        <v>190</v>
      </c>
      <c r="B16" s="51" t="s">
        <v>9528</v>
      </c>
      <c r="C16" s="6" t="s">
        <v>138</v>
      </c>
      <c r="K16" s="6" t="s">
        <v>9185</v>
      </c>
      <c r="M16" s="50">
        <v>2025</v>
      </c>
      <c r="O16" s="6" t="s">
        <v>9186</v>
      </c>
      <c r="P16" s="6" t="s">
        <v>9187</v>
      </c>
      <c r="Q16" t="s">
        <v>9188</v>
      </c>
    </row>
    <row r="17" spans="1:17" ht="15" customHeight="1" x14ac:dyDescent="0.25">
      <c r="A17" s="51" t="s">
        <v>190</v>
      </c>
      <c r="B17" s="51" t="s">
        <v>9529</v>
      </c>
      <c r="C17" s="6" t="s">
        <v>9189</v>
      </c>
      <c r="K17" s="6" t="s">
        <v>9190</v>
      </c>
      <c r="M17" s="50">
        <v>2026</v>
      </c>
      <c r="O17" s="6" t="s">
        <v>1047</v>
      </c>
      <c r="P17" s="6" t="s">
        <v>1652</v>
      </c>
      <c r="Q17" t="s">
        <v>9191</v>
      </c>
    </row>
    <row r="18" spans="1:17" ht="15" customHeight="1" x14ac:dyDescent="0.25">
      <c r="A18" s="51" t="s">
        <v>190</v>
      </c>
      <c r="B18" s="51" t="s">
        <v>9530</v>
      </c>
      <c r="C18" s="7" t="s">
        <v>9192</v>
      </c>
      <c r="K18" s="7" t="s">
        <v>9193</v>
      </c>
      <c r="M18" s="50">
        <v>2027</v>
      </c>
      <c r="P18" s="7" t="s">
        <v>9194</v>
      </c>
      <c r="Q18" t="s">
        <v>9195</v>
      </c>
    </row>
    <row r="19" spans="1:17" ht="15" customHeight="1" x14ac:dyDescent="0.25">
      <c r="A19" s="51" t="s">
        <v>190</v>
      </c>
      <c r="B19" s="51" t="s">
        <v>9531</v>
      </c>
      <c r="C19" s="6" t="s">
        <v>9196</v>
      </c>
      <c r="M19" s="50">
        <v>2028</v>
      </c>
      <c r="P19" s="6" t="s">
        <v>453</v>
      </c>
      <c r="Q19" t="s">
        <v>9197</v>
      </c>
    </row>
    <row r="20" spans="1:17" ht="15" customHeight="1" x14ac:dyDescent="0.25">
      <c r="A20" s="51" t="s">
        <v>190</v>
      </c>
      <c r="B20" s="51" t="s">
        <v>9532</v>
      </c>
      <c r="C20" s="7" t="s">
        <v>9198</v>
      </c>
      <c r="M20" s="50">
        <v>2029</v>
      </c>
      <c r="P20" s="7" t="s">
        <v>1241</v>
      </c>
      <c r="Q20" t="s">
        <v>9199</v>
      </c>
    </row>
    <row r="21" spans="1:17" ht="15" customHeight="1" x14ac:dyDescent="0.25">
      <c r="A21" s="51" t="s">
        <v>190</v>
      </c>
      <c r="B21" s="51" t="s">
        <v>9533</v>
      </c>
      <c r="C21" s="6" t="s">
        <v>9200</v>
      </c>
      <c r="M21" s="50">
        <v>2030</v>
      </c>
      <c r="P21" s="6" t="s">
        <v>9201</v>
      </c>
      <c r="Q21" t="s">
        <v>9202</v>
      </c>
    </row>
    <row r="22" spans="1:17" ht="15" customHeight="1" x14ac:dyDescent="0.25">
      <c r="A22" s="51" t="s">
        <v>190</v>
      </c>
      <c r="B22" s="51" t="s">
        <v>9534</v>
      </c>
      <c r="C22" s="7" t="s">
        <v>9203</v>
      </c>
      <c r="M22" s="50">
        <v>2031</v>
      </c>
      <c r="P22" s="7" t="s">
        <v>410</v>
      </c>
      <c r="Q22" t="s">
        <v>9204</v>
      </c>
    </row>
    <row r="23" spans="1:17" ht="15" customHeight="1" x14ac:dyDescent="0.25">
      <c r="A23" s="51" t="s">
        <v>190</v>
      </c>
      <c r="B23" s="51" t="s">
        <v>9535</v>
      </c>
      <c r="C23" s="6" t="s">
        <v>2315</v>
      </c>
      <c r="M23" s="50">
        <v>2032</v>
      </c>
      <c r="P23" s="6" t="s">
        <v>9205</v>
      </c>
      <c r="Q23" t="s">
        <v>9206</v>
      </c>
    </row>
    <row r="24" spans="1:17" ht="15" customHeight="1" x14ac:dyDescent="0.25">
      <c r="A24" s="51" t="s">
        <v>190</v>
      </c>
      <c r="B24" s="51" t="s">
        <v>9536</v>
      </c>
      <c r="C24" s="7" t="s">
        <v>9207</v>
      </c>
      <c r="M24" s="50">
        <v>2033</v>
      </c>
      <c r="P24" s="7" t="s">
        <v>698</v>
      </c>
      <c r="Q24" t="s">
        <v>9208</v>
      </c>
    </row>
    <row r="25" spans="1:17" ht="15" customHeight="1" x14ac:dyDescent="0.25">
      <c r="A25" s="51" t="s">
        <v>190</v>
      </c>
      <c r="B25" s="51" t="s">
        <v>9537</v>
      </c>
      <c r="C25" s="6" t="s">
        <v>9209</v>
      </c>
      <c r="M25" s="50">
        <v>2034</v>
      </c>
      <c r="P25" s="6" t="s">
        <v>9210</v>
      </c>
      <c r="Q25" t="s">
        <v>9211</v>
      </c>
    </row>
    <row r="26" spans="1:17" ht="15" customHeight="1" x14ac:dyDescent="0.25">
      <c r="A26" s="51" t="s">
        <v>205</v>
      </c>
      <c r="B26" s="51" t="s">
        <v>9538</v>
      </c>
      <c r="C26" s="7" t="s">
        <v>241</v>
      </c>
      <c r="M26" s="50">
        <v>2035</v>
      </c>
      <c r="P26" s="7" t="s">
        <v>9212</v>
      </c>
      <c r="Q26" t="s">
        <v>9213</v>
      </c>
    </row>
    <row r="27" spans="1:17" ht="15" customHeight="1" x14ac:dyDescent="0.25">
      <c r="A27" s="51" t="s">
        <v>205</v>
      </c>
      <c r="B27" s="51" t="s">
        <v>9539</v>
      </c>
      <c r="C27" s="6" t="s">
        <v>2097</v>
      </c>
      <c r="M27" s="50">
        <v>2036</v>
      </c>
      <c r="P27" s="6" t="s">
        <v>9214</v>
      </c>
      <c r="Q27" t="s">
        <v>9215</v>
      </c>
    </row>
    <row r="28" spans="1:17" ht="15" customHeight="1" x14ac:dyDescent="0.25">
      <c r="A28" s="51" t="s">
        <v>205</v>
      </c>
      <c r="B28" s="51" t="s">
        <v>9540</v>
      </c>
      <c r="C28" s="7" t="s">
        <v>158</v>
      </c>
      <c r="M28" s="13"/>
      <c r="P28" s="7" t="s">
        <v>9216</v>
      </c>
      <c r="Q28" t="s">
        <v>9217</v>
      </c>
    </row>
    <row r="29" spans="1:17" ht="15" customHeight="1" x14ac:dyDescent="0.25">
      <c r="A29" s="51" t="s">
        <v>205</v>
      </c>
      <c r="B29" s="51" t="s">
        <v>9541</v>
      </c>
      <c r="C29" s="6" t="s">
        <v>2175</v>
      </c>
      <c r="M29" s="12"/>
      <c r="P29" s="6" t="s">
        <v>9218</v>
      </c>
      <c r="Q29" t="s">
        <v>9219</v>
      </c>
    </row>
    <row r="30" spans="1:17" ht="15" customHeight="1" x14ac:dyDescent="0.25">
      <c r="A30" s="51" t="s">
        <v>205</v>
      </c>
      <c r="B30" s="51" t="s">
        <v>9542</v>
      </c>
      <c r="C30" s="7" t="s">
        <v>298</v>
      </c>
      <c r="M30" s="13"/>
      <c r="P30" s="7" t="s">
        <v>9220</v>
      </c>
      <c r="Q30" t="s">
        <v>9221</v>
      </c>
    </row>
    <row r="31" spans="1:17" ht="15" customHeight="1" x14ac:dyDescent="0.25">
      <c r="A31" s="51" t="s">
        <v>205</v>
      </c>
      <c r="B31" s="51" t="s">
        <v>9543</v>
      </c>
      <c r="C31" s="6" t="s">
        <v>9222</v>
      </c>
      <c r="M31" s="12"/>
      <c r="P31" s="6" t="s">
        <v>9223</v>
      </c>
      <c r="Q31" t="s">
        <v>9224</v>
      </c>
    </row>
    <row r="32" spans="1:17" ht="15" customHeight="1" x14ac:dyDescent="0.25">
      <c r="A32" s="51" t="s">
        <v>205</v>
      </c>
      <c r="B32" s="51" t="s">
        <v>9544</v>
      </c>
      <c r="C32" s="7" t="s">
        <v>9225</v>
      </c>
      <c r="M32" s="13"/>
      <c r="P32" s="7" t="s">
        <v>9226</v>
      </c>
      <c r="Q32" t="s">
        <v>9227</v>
      </c>
    </row>
    <row r="33" spans="1:17" ht="15" customHeight="1" x14ac:dyDescent="0.25">
      <c r="A33" s="51" t="s">
        <v>205</v>
      </c>
      <c r="B33" s="51" t="s">
        <v>9545</v>
      </c>
      <c r="C33" s="6" t="s">
        <v>9228</v>
      </c>
      <c r="M33" s="12"/>
      <c r="P33" s="6" t="s">
        <v>9229</v>
      </c>
      <c r="Q33" t="s">
        <v>9230</v>
      </c>
    </row>
    <row r="34" spans="1:17" ht="15" customHeight="1" x14ac:dyDescent="0.25">
      <c r="A34" s="51" t="s">
        <v>205</v>
      </c>
      <c r="B34" s="51" t="s">
        <v>9546</v>
      </c>
      <c r="C34" s="7" t="s">
        <v>9231</v>
      </c>
      <c r="P34" s="7" t="s">
        <v>9232</v>
      </c>
    </row>
    <row r="35" spans="1:17" ht="15" customHeight="1" x14ac:dyDescent="0.25">
      <c r="A35" s="51" t="s">
        <v>205</v>
      </c>
      <c r="B35" s="51" t="s">
        <v>9547</v>
      </c>
      <c r="C35" s="6" t="s">
        <v>9233</v>
      </c>
      <c r="P35" s="6" t="s">
        <v>9234</v>
      </c>
    </row>
    <row r="36" spans="1:17" ht="15" customHeight="1" x14ac:dyDescent="0.25">
      <c r="A36" s="51" t="s">
        <v>205</v>
      </c>
      <c r="B36" s="51" t="s">
        <v>9548</v>
      </c>
      <c r="C36" s="7" t="s">
        <v>1044</v>
      </c>
      <c r="P36" s="7" t="s">
        <v>9235</v>
      </c>
    </row>
    <row r="37" spans="1:17" ht="15" customHeight="1" x14ac:dyDescent="0.25">
      <c r="A37" s="51" t="s">
        <v>205</v>
      </c>
      <c r="B37" s="51" t="s">
        <v>9549</v>
      </c>
      <c r="C37" s="6" t="s">
        <v>9236</v>
      </c>
      <c r="P37" s="6" t="s">
        <v>1158</v>
      </c>
    </row>
    <row r="38" spans="1:17" ht="15" customHeight="1" x14ac:dyDescent="0.25">
      <c r="A38" s="51" t="s">
        <v>873</v>
      </c>
      <c r="B38" s="51" t="s">
        <v>9550</v>
      </c>
      <c r="C38" s="7" t="s">
        <v>2200</v>
      </c>
      <c r="P38" s="7" t="s">
        <v>9237</v>
      </c>
    </row>
    <row r="39" spans="1:17" ht="15" customHeight="1" x14ac:dyDescent="0.25">
      <c r="A39" s="51" t="s">
        <v>873</v>
      </c>
      <c r="B39" s="51" t="s">
        <v>9551</v>
      </c>
      <c r="C39" s="6" t="s">
        <v>9238</v>
      </c>
      <c r="P39" s="6" t="s">
        <v>829</v>
      </c>
    </row>
    <row r="40" spans="1:17" ht="15" customHeight="1" x14ac:dyDescent="0.25">
      <c r="A40" s="51" t="s">
        <v>873</v>
      </c>
      <c r="B40" s="51" t="s">
        <v>9552</v>
      </c>
      <c r="C40" s="7" t="s">
        <v>9239</v>
      </c>
      <c r="P40" s="7" t="s">
        <v>9240</v>
      </c>
    </row>
    <row r="41" spans="1:17" ht="15" customHeight="1" x14ac:dyDescent="0.25">
      <c r="A41" s="51" t="s">
        <v>873</v>
      </c>
      <c r="B41" s="51" t="s">
        <v>9553</v>
      </c>
      <c r="C41" s="6" t="s">
        <v>149</v>
      </c>
      <c r="P41" s="6" t="s">
        <v>2991</v>
      </c>
    </row>
    <row r="42" spans="1:17" ht="15" customHeight="1" x14ac:dyDescent="0.25">
      <c r="A42" s="51" t="s">
        <v>873</v>
      </c>
      <c r="B42" s="51" t="s">
        <v>9554</v>
      </c>
      <c r="C42" s="7" t="s">
        <v>325</v>
      </c>
      <c r="P42" s="7" t="s">
        <v>9241</v>
      </c>
    </row>
    <row r="43" spans="1:17" ht="15" customHeight="1" x14ac:dyDescent="0.25">
      <c r="A43" s="51" t="s">
        <v>873</v>
      </c>
      <c r="B43" s="51" t="s">
        <v>9555</v>
      </c>
      <c r="C43" s="6" t="s">
        <v>1011</v>
      </c>
      <c r="P43" s="6" t="s">
        <v>303</v>
      </c>
    </row>
    <row r="44" spans="1:17" ht="15" customHeight="1" x14ac:dyDescent="0.25">
      <c r="A44" s="51" t="s">
        <v>873</v>
      </c>
      <c r="B44" s="51" t="s">
        <v>9556</v>
      </c>
      <c r="C44" s="7" t="s">
        <v>9242</v>
      </c>
      <c r="P44" s="7" t="s">
        <v>9243</v>
      </c>
    </row>
    <row r="45" spans="1:17" ht="15" customHeight="1" x14ac:dyDescent="0.25">
      <c r="A45" s="51" t="s">
        <v>873</v>
      </c>
      <c r="B45" s="51" t="s">
        <v>9557</v>
      </c>
      <c r="C45" s="6" t="s">
        <v>575</v>
      </c>
      <c r="P45" s="6" t="s">
        <v>1593</v>
      </c>
    </row>
    <row r="46" spans="1:17" ht="15" customHeight="1" x14ac:dyDescent="0.25">
      <c r="A46" s="51" t="s">
        <v>873</v>
      </c>
      <c r="B46" s="51" t="s">
        <v>9558</v>
      </c>
      <c r="C46" s="7" t="s">
        <v>1021</v>
      </c>
      <c r="P46" s="7" t="s">
        <v>2104</v>
      </c>
    </row>
    <row r="47" spans="1:17" ht="15" customHeight="1" x14ac:dyDescent="0.25">
      <c r="A47" s="51" t="s">
        <v>873</v>
      </c>
      <c r="B47" s="51" t="s">
        <v>9559</v>
      </c>
      <c r="C47" s="6" t="s">
        <v>9244</v>
      </c>
      <c r="P47" s="6" t="s">
        <v>9245</v>
      </c>
    </row>
    <row r="48" spans="1:17" ht="15" customHeight="1" x14ac:dyDescent="0.25">
      <c r="A48" s="51" t="s">
        <v>873</v>
      </c>
      <c r="B48" s="51" t="s">
        <v>9560</v>
      </c>
      <c r="C48" s="7" t="s">
        <v>9193</v>
      </c>
      <c r="P48" s="7" t="s">
        <v>9246</v>
      </c>
    </row>
    <row r="49" spans="1:16" ht="15" customHeight="1" x14ac:dyDescent="0.25">
      <c r="A49" s="51" t="s">
        <v>282</v>
      </c>
      <c r="B49" s="51" t="s">
        <v>9561</v>
      </c>
      <c r="P49" s="6" t="s">
        <v>9247</v>
      </c>
    </row>
    <row r="50" spans="1:16" ht="15" customHeight="1" x14ac:dyDescent="0.25">
      <c r="A50" s="51" t="s">
        <v>282</v>
      </c>
      <c r="B50" s="51" t="s">
        <v>9562</v>
      </c>
      <c r="P50" s="7" t="s">
        <v>1152</v>
      </c>
    </row>
    <row r="51" spans="1:16" ht="15" customHeight="1" x14ac:dyDescent="0.25">
      <c r="A51" s="51" t="s">
        <v>282</v>
      </c>
      <c r="B51" s="51" t="s">
        <v>9563</v>
      </c>
      <c r="P51" s="6" t="s">
        <v>9248</v>
      </c>
    </row>
    <row r="52" spans="1:16" ht="15" customHeight="1" x14ac:dyDescent="0.25">
      <c r="A52" s="51" t="s">
        <v>282</v>
      </c>
      <c r="B52" s="51" t="s">
        <v>9564</v>
      </c>
      <c r="P52" s="7" t="s">
        <v>9249</v>
      </c>
    </row>
    <row r="53" spans="1:16" ht="15" customHeight="1" x14ac:dyDescent="0.25">
      <c r="A53" s="51" t="s">
        <v>282</v>
      </c>
      <c r="B53" s="51" t="s">
        <v>9565</v>
      </c>
      <c r="P53" s="6" t="s">
        <v>1928</v>
      </c>
    </row>
    <row r="54" spans="1:16" ht="15" customHeight="1" x14ac:dyDescent="0.25">
      <c r="A54" s="51" t="s">
        <v>282</v>
      </c>
      <c r="B54" s="51" t="s">
        <v>9566</v>
      </c>
      <c r="P54" s="7" t="s">
        <v>9250</v>
      </c>
    </row>
    <row r="55" spans="1:16" ht="15" customHeight="1" x14ac:dyDescent="0.25">
      <c r="A55" s="51" t="s">
        <v>282</v>
      </c>
      <c r="B55" s="51" t="s">
        <v>9567</v>
      </c>
      <c r="P55" s="6" t="s">
        <v>9251</v>
      </c>
    </row>
    <row r="56" spans="1:16" ht="15" customHeight="1" x14ac:dyDescent="0.25">
      <c r="A56" s="51" t="s">
        <v>282</v>
      </c>
      <c r="B56" s="51" t="s">
        <v>9568</v>
      </c>
      <c r="P56" s="7" t="s">
        <v>9252</v>
      </c>
    </row>
    <row r="57" spans="1:16" ht="15" customHeight="1" x14ac:dyDescent="0.25">
      <c r="A57" s="51" t="s">
        <v>282</v>
      </c>
      <c r="B57" s="51" t="s">
        <v>9569</v>
      </c>
      <c r="P57" s="6" t="s">
        <v>9193</v>
      </c>
    </row>
    <row r="58" spans="1:16" ht="15" customHeight="1" x14ac:dyDescent="0.25">
      <c r="A58" s="51" t="s">
        <v>1469</v>
      </c>
      <c r="B58" s="51" t="s">
        <v>9570</v>
      </c>
    </row>
    <row r="59" spans="1:16" ht="15" customHeight="1" x14ac:dyDescent="0.25">
      <c r="A59" s="51" t="s">
        <v>1469</v>
      </c>
      <c r="B59" s="51" t="s">
        <v>9571</v>
      </c>
    </row>
    <row r="60" spans="1:16" ht="15" customHeight="1" x14ac:dyDescent="0.25">
      <c r="A60" s="51" t="s">
        <v>1469</v>
      </c>
      <c r="B60" s="51" t="s">
        <v>9572</v>
      </c>
    </row>
    <row r="61" spans="1:16" ht="15" customHeight="1" x14ac:dyDescent="0.25">
      <c r="A61" s="51" t="s">
        <v>1469</v>
      </c>
      <c r="B61" s="51" t="s">
        <v>9573</v>
      </c>
    </row>
    <row r="62" spans="1:16" ht="15" customHeight="1" x14ac:dyDescent="0.25">
      <c r="A62" s="51" t="s">
        <v>1469</v>
      </c>
      <c r="B62" s="51" t="s">
        <v>9574</v>
      </c>
    </row>
    <row r="63" spans="1:16" ht="15" customHeight="1" x14ac:dyDescent="0.25">
      <c r="A63" s="51" t="s">
        <v>1469</v>
      </c>
      <c r="B63" s="51" t="s">
        <v>9575</v>
      </c>
    </row>
    <row r="64" spans="1:16" ht="15" customHeight="1" x14ac:dyDescent="0.25">
      <c r="A64" s="51" t="s">
        <v>1469</v>
      </c>
      <c r="B64" s="51" t="s">
        <v>9576</v>
      </c>
    </row>
    <row r="65" spans="1:2" ht="15" customHeight="1" x14ac:dyDescent="0.25">
      <c r="A65" s="51" t="s">
        <v>1469</v>
      </c>
      <c r="B65" s="51" t="s">
        <v>9577</v>
      </c>
    </row>
    <row r="66" spans="1:2" ht="15" customHeight="1" x14ac:dyDescent="0.25">
      <c r="A66" s="51" t="s">
        <v>1469</v>
      </c>
      <c r="B66" s="51" t="s">
        <v>9578</v>
      </c>
    </row>
    <row r="67" spans="1:2" ht="15" customHeight="1" x14ac:dyDescent="0.25">
      <c r="A67" s="51" t="s">
        <v>1039</v>
      </c>
      <c r="B67" s="51" t="s">
        <v>9579</v>
      </c>
    </row>
    <row r="68" spans="1:2" ht="15" customHeight="1" x14ac:dyDescent="0.25">
      <c r="A68" s="51" t="s">
        <v>1039</v>
      </c>
      <c r="B68" s="51" t="s">
        <v>9580</v>
      </c>
    </row>
    <row r="69" spans="1:2" ht="15" customHeight="1" x14ac:dyDescent="0.25">
      <c r="A69" s="51" t="s">
        <v>1039</v>
      </c>
      <c r="B69" s="51" t="s">
        <v>180</v>
      </c>
    </row>
    <row r="70" spans="1:2" ht="15" customHeight="1" x14ac:dyDescent="0.25">
      <c r="A70" s="51" t="s">
        <v>1039</v>
      </c>
      <c r="B70" s="51" t="s">
        <v>9581</v>
      </c>
    </row>
    <row r="71" spans="1:2" ht="15" customHeight="1" x14ac:dyDescent="0.25">
      <c r="A71" s="51" t="s">
        <v>1039</v>
      </c>
      <c r="B71" s="51" t="s">
        <v>9582</v>
      </c>
    </row>
    <row r="72" spans="1:2" ht="15" customHeight="1" x14ac:dyDescent="0.25">
      <c r="A72" s="51" t="s">
        <v>1039</v>
      </c>
      <c r="B72" s="51" t="s">
        <v>9583</v>
      </c>
    </row>
    <row r="73" spans="1:2" ht="15" customHeight="1" x14ac:dyDescent="0.25">
      <c r="A73" s="51" t="s">
        <v>1039</v>
      </c>
      <c r="B73" s="51" t="s">
        <v>9584</v>
      </c>
    </row>
    <row r="74" spans="1:2" ht="15" customHeight="1" x14ac:dyDescent="0.25">
      <c r="A74" s="51" t="s">
        <v>1039</v>
      </c>
      <c r="B74" s="51" t="s">
        <v>9585</v>
      </c>
    </row>
    <row r="75" spans="1:2" ht="15" customHeight="1" x14ac:dyDescent="0.25">
      <c r="A75" s="51" t="s">
        <v>263</v>
      </c>
      <c r="B75" s="51" t="s">
        <v>9586</v>
      </c>
    </row>
    <row r="76" spans="1:2" ht="15" customHeight="1" x14ac:dyDescent="0.25">
      <c r="A76" s="51" t="s">
        <v>263</v>
      </c>
      <c r="B76" s="51" t="s">
        <v>9587</v>
      </c>
    </row>
    <row r="77" spans="1:2" ht="15" customHeight="1" x14ac:dyDescent="0.25">
      <c r="A77" s="51" t="s">
        <v>263</v>
      </c>
      <c r="B77" s="51" t="s">
        <v>9588</v>
      </c>
    </row>
    <row r="78" spans="1:2" ht="15" customHeight="1" x14ac:dyDescent="0.25">
      <c r="A78" s="51" t="s">
        <v>263</v>
      </c>
      <c r="B78" s="51" t="s">
        <v>9589</v>
      </c>
    </row>
    <row r="79" spans="1:2" ht="15" customHeight="1" x14ac:dyDescent="0.25">
      <c r="A79" s="51" t="s">
        <v>263</v>
      </c>
      <c r="B79" s="51" t="s">
        <v>9590</v>
      </c>
    </row>
    <row r="80" spans="1:2" ht="15" customHeight="1" x14ac:dyDescent="0.25">
      <c r="A80" s="51" t="s">
        <v>263</v>
      </c>
      <c r="B80" s="51" t="s">
        <v>9591</v>
      </c>
    </row>
    <row r="81" spans="1:2" ht="15" customHeight="1" x14ac:dyDescent="0.25">
      <c r="A81" s="51" t="s">
        <v>263</v>
      </c>
      <c r="B81" s="51" t="s">
        <v>9592</v>
      </c>
    </row>
    <row r="82" spans="1:2" ht="15" customHeight="1" x14ac:dyDescent="0.25">
      <c r="A82" s="51" t="s">
        <v>263</v>
      </c>
      <c r="B82" s="51" t="s">
        <v>9593</v>
      </c>
    </row>
    <row r="83" spans="1:2" ht="15" customHeight="1" x14ac:dyDescent="0.25">
      <c r="A83" s="51" t="s">
        <v>263</v>
      </c>
      <c r="B83" s="51" t="s">
        <v>9594</v>
      </c>
    </row>
    <row r="84" spans="1:2" ht="15" customHeight="1" x14ac:dyDescent="0.25">
      <c r="A84" s="51" t="s">
        <v>263</v>
      </c>
      <c r="B84" s="51" t="s">
        <v>9595</v>
      </c>
    </row>
    <row r="85" spans="1:2" ht="15" customHeight="1" x14ac:dyDescent="0.25">
      <c r="A85" s="51" t="s">
        <v>1923</v>
      </c>
      <c r="B85" s="51" t="s">
        <v>9596</v>
      </c>
    </row>
    <row r="86" spans="1:2" ht="15" customHeight="1" x14ac:dyDescent="0.25">
      <c r="A86" s="51" t="s">
        <v>1923</v>
      </c>
      <c r="B86" s="51" t="s">
        <v>9597</v>
      </c>
    </row>
    <row r="87" spans="1:2" ht="15" customHeight="1" x14ac:dyDescent="0.25">
      <c r="A87" s="51" t="s">
        <v>1923</v>
      </c>
      <c r="B87" s="51" t="s">
        <v>9598</v>
      </c>
    </row>
    <row r="88" spans="1:2" ht="15" customHeight="1" x14ac:dyDescent="0.25">
      <c r="A88" s="51" t="s">
        <v>1923</v>
      </c>
      <c r="B88" s="51" t="s">
        <v>9599</v>
      </c>
    </row>
    <row r="89" spans="1:2" ht="15" customHeight="1" x14ac:dyDescent="0.25">
      <c r="A89" s="51" t="s">
        <v>1923</v>
      </c>
      <c r="B89" s="51" t="s">
        <v>9600</v>
      </c>
    </row>
    <row r="90" spans="1:2" ht="15" customHeight="1" x14ac:dyDescent="0.25">
      <c r="A90" s="51" t="s">
        <v>1923</v>
      </c>
      <c r="B90" s="51" t="s">
        <v>9601</v>
      </c>
    </row>
    <row r="91" spans="1:2" ht="15" customHeight="1" x14ac:dyDescent="0.25">
      <c r="A91" s="51" t="s">
        <v>1923</v>
      </c>
      <c r="B91" s="51" t="s">
        <v>9602</v>
      </c>
    </row>
    <row r="92" spans="1:2" ht="15" customHeight="1" x14ac:dyDescent="0.25">
      <c r="A92" s="51" t="s">
        <v>1923</v>
      </c>
      <c r="B92" s="51" t="s">
        <v>9603</v>
      </c>
    </row>
    <row r="93" spans="1:2" ht="15" customHeight="1" x14ac:dyDescent="0.25">
      <c r="A93" s="51" t="s">
        <v>1923</v>
      </c>
      <c r="B93" s="51" t="s">
        <v>9604</v>
      </c>
    </row>
    <row r="94" spans="1:2" ht="15" customHeight="1" x14ac:dyDescent="0.25">
      <c r="A94" s="51" t="s">
        <v>1923</v>
      </c>
      <c r="B94" s="51" t="s">
        <v>9605</v>
      </c>
    </row>
    <row r="95" spans="1:2" ht="15" customHeight="1" x14ac:dyDescent="0.25">
      <c r="A95" s="51" t="s">
        <v>315</v>
      </c>
      <c r="B95" s="51" t="s">
        <v>9606</v>
      </c>
    </row>
    <row r="96" spans="1:2" ht="15" customHeight="1" x14ac:dyDescent="0.25">
      <c r="A96" s="51" t="s">
        <v>315</v>
      </c>
      <c r="B96" s="51" t="s">
        <v>9607</v>
      </c>
    </row>
    <row r="97" spans="1:2" ht="15" customHeight="1" x14ac:dyDescent="0.25">
      <c r="A97" s="51" t="s">
        <v>315</v>
      </c>
      <c r="B97" s="51" t="s">
        <v>9608</v>
      </c>
    </row>
    <row r="98" spans="1:2" ht="15" customHeight="1" x14ac:dyDescent="0.25">
      <c r="A98" s="51" t="s">
        <v>315</v>
      </c>
      <c r="B98" s="51" t="s">
        <v>9609</v>
      </c>
    </row>
    <row r="99" spans="1:2" ht="15" customHeight="1" x14ac:dyDescent="0.25">
      <c r="A99" s="51" t="s">
        <v>315</v>
      </c>
      <c r="B99" s="51" t="s">
        <v>9610</v>
      </c>
    </row>
    <row r="100" spans="1:2" ht="15" customHeight="1" x14ac:dyDescent="0.25">
      <c r="A100" s="51" t="s">
        <v>315</v>
      </c>
      <c r="B100" s="51" t="s">
        <v>9611</v>
      </c>
    </row>
    <row r="101" spans="1:2" ht="15" customHeight="1" x14ac:dyDescent="0.25">
      <c r="A101" s="51" t="s">
        <v>315</v>
      </c>
      <c r="B101" s="51" t="s">
        <v>9612</v>
      </c>
    </row>
    <row r="102" spans="1:2" ht="15" customHeight="1" x14ac:dyDescent="0.25">
      <c r="A102" s="51" t="s">
        <v>315</v>
      </c>
      <c r="B102" s="51" t="s">
        <v>9613</v>
      </c>
    </row>
    <row r="103" spans="1:2" ht="15" customHeight="1" x14ac:dyDescent="0.25">
      <c r="A103" s="51" t="s">
        <v>315</v>
      </c>
      <c r="B103" s="51" t="s">
        <v>9614</v>
      </c>
    </row>
    <row r="104" spans="1:2" ht="15" customHeight="1" x14ac:dyDescent="0.25">
      <c r="A104" s="51" t="s">
        <v>315</v>
      </c>
      <c r="B104" s="51" t="s">
        <v>9615</v>
      </c>
    </row>
    <row r="105" spans="1:2" ht="15" customHeight="1" x14ac:dyDescent="0.25">
      <c r="A105" s="51" t="s">
        <v>315</v>
      </c>
      <c r="B105" s="51" t="s">
        <v>9616</v>
      </c>
    </row>
    <row r="106" spans="1:2" ht="15" customHeight="1" x14ac:dyDescent="0.25">
      <c r="A106" s="51" t="s">
        <v>315</v>
      </c>
      <c r="B106" s="51" t="s">
        <v>9617</v>
      </c>
    </row>
    <row r="107" spans="1:2" ht="15" customHeight="1" x14ac:dyDescent="0.25">
      <c r="A107" s="51" t="s">
        <v>1880</v>
      </c>
      <c r="B107" s="51" t="s">
        <v>9618</v>
      </c>
    </row>
    <row r="108" spans="1:2" ht="15" customHeight="1" x14ac:dyDescent="0.25">
      <c r="A108" s="51" t="s">
        <v>1880</v>
      </c>
      <c r="B108" s="51" t="s">
        <v>9619</v>
      </c>
    </row>
    <row r="109" spans="1:2" ht="15" customHeight="1" x14ac:dyDescent="0.25">
      <c r="A109" s="51" t="s">
        <v>1880</v>
      </c>
      <c r="B109" s="51" t="s">
        <v>9620</v>
      </c>
    </row>
    <row r="110" spans="1:2" ht="15" customHeight="1" x14ac:dyDescent="0.25">
      <c r="A110" s="51" t="s">
        <v>1880</v>
      </c>
      <c r="B110" s="51" t="s">
        <v>9621</v>
      </c>
    </row>
    <row r="111" spans="1:2" ht="15" customHeight="1" x14ac:dyDescent="0.25">
      <c r="A111" s="51" t="s">
        <v>1880</v>
      </c>
      <c r="B111" s="51" t="s">
        <v>9622</v>
      </c>
    </row>
    <row r="112" spans="1:2" ht="15" customHeight="1" x14ac:dyDescent="0.25">
      <c r="A112" s="51" t="s">
        <v>1880</v>
      </c>
      <c r="B112" s="51" t="s">
        <v>9623</v>
      </c>
    </row>
    <row r="113" spans="1:2" ht="15" customHeight="1" x14ac:dyDescent="0.25">
      <c r="A113" s="51" t="s">
        <v>1880</v>
      </c>
      <c r="B113" s="51" t="s">
        <v>9624</v>
      </c>
    </row>
    <row r="114" spans="1:2" ht="15" customHeight="1" x14ac:dyDescent="0.25">
      <c r="A114" s="51" t="s">
        <v>1880</v>
      </c>
      <c r="B114" s="51" t="s">
        <v>9625</v>
      </c>
    </row>
    <row r="115" spans="1:2" ht="15" customHeight="1" x14ac:dyDescent="0.25">
      <c r="A115" s="51" t="s">
        <v>1880</v>
      </c>
      <c r="B115" s="51" t="s">
        <v>9626</v>
      </c>
    </row>
    <row r="116" spans="1:2" ht="15" customHeight="1" x14ac:dyDescent="0.25">
      <c r="A116" s="51" t="s">
        <v>1880</v>
      </c>
      <c r="B116" s="51" t="s">
        <v>9627</v>
      </c>
    </row>
    <row r="117" spans="1:2" ht="15" customHeight="1" x14ac:dyDescent="0.25">
      <c r="A117" s="51" t="s">
        <v>163</v>
      </c>
      <c r="B117" s="51" t="s">
        <v>9628</v>
      </c>
    </row>
    <row r="118" spans="1:2" ht="15" customHeight="1" x14ac:dyDescent="0.25">
      <c r="A118" s="51" t="s">
        <v>163</v>
      </c>
      <c r="B118" s="51" t="s">
        <v>9629</v>
      </c>
    </row>
    <row r="119" spans="1:2" ht="15" customHeight="1" x14ac:dyDescent="0.25">
      <c r="A119" s="51" t="s">
        <v>163</v>
      </c>
      <c r="B119" s="51" t="s">
        <v>9630</v>
      </c>
    </row>
    <row r="120" spans="1:2" ht="15" customHeight="1" x14ac:dyDescent="0.25">
      <c r="A120" s="51" t="s">
        <v>163</v>
      </c>
      <c r="B120" s="51" t="s">
        <v>9631</v>
      </c>
    </row>
    <row r="121" spans="1:2" ht="15" customHeight="1" x14ac:dyDescent="0.25">
      <c r="A121" s="51" t="s">
        <v>163</v>
      </c>
      <c r="B121" s="51" t="s">
        <v>9632</v>
      </c>
    </row>
    <row r="122" spans="1:2" ht="15" customHeight="1" x14ac:dyDescent="0.25">
      <c r="A122" s="51" t="s">
        <v>163</v>
      </c>
      <c r="B122" s="51" t="s">
        <v>9633</v>
      </c>
    </row>
    <row r="123" spans="1:2" ht="15" customHeight="1" x14ac:dyDescent="0.25">
      <c r="A123" s="51" t="s">
        <v>163</v>
      </c>
      <c r="B123" s="51" t="s">
        <v>9634</v>
      </c>
    </row>
    <row r="124" spans="1:2" ht="15" customHeight="1" x14ac:dyDescent="0.25">
      <c r="A124" s="51" t="s">
        <v>163</v>
      </c>
      <c r="B124" s="51" t="s">
        <v>9635</v>
      </c>
    </row>
    <row r="125" spans="1:2" ht="15" customHeight="1" x14ac:dyDescent="0.25">
      <c r="A125" s="51" t="s">
        <v>163</v>
      </c>
      <c r="B125" s="51" t="s">
        <v>9636</v>
      </c>
    </row>
    <row r="126" spans="1:2" ht="15" customHeight="1" x14ac:dyDescent="0.25">
      <c r="A126" s="51" t="s">
        <v>163</v>
      </c>
      <c r="B126" s="51" t="s">
        <v>9565</v>
      </c>
    </row>
    <row r="127" spans="1:2" ht="15" customHeight="1" x14ac:dyDescent="0.25">
      <c r="A127" s="51" t="s">
        <v>245</v>
      </c>
      <c r="B127" s="51" t="s">
        <v>9637</v>
      </c>
    </row>
    <row r="128" spans="1:2" ht="15" customHeight="1" x14ac:dyDescent="0.25">
      <c r="A128" s="51" t="s">
        <v>245</v>
      </c>
      <c r="B128" s="51" t="s">
        <v>9638</v>
      </c>
    </row>
    <row r="129" spans="1:2" ht="15" customHeight="1" x14ac:dyDescent="0.25">
      <c r="A129" s="51" t="s">
        <v>245</v>
      </c>
      <c r="B129" s="51" t="s">
        <v>9639</v>
      </c>
    </row>
    <row r="130" spans="1:2" ht="15" customHeight="1" x14ac:dyDescent="0.25">
      <c r="A130" s="51" t="s">
        <v>245</v>
      </c>
      <c r="B130" s="51" t="s">
        <v>9640</v>
      </c>
    </row>
    <row r="131" spans="1:2" ht="15" customHeight="1" x14ac:dyDescent="0.25">
      <c r="A131" s="51" t="s">
        <v>245</v>
      </c>
      <c r="B131" s="51" t="s">
        <v>9641</v>
      </c>
    </row>
    <row r="132" spans="1:2" ht="15" customHeight="1" x14ac:dyDescent="0.25">
      <c r="A132" s="51" t="s">
        <v>245</v>
      </c>
      <c r="B132" s="51" t="s">
        <v>9642</v>
      </c>
    </row>
    <row r="133" spans="1:2" ht="15" customHeight="1" x14ac:dyDescent="0.25">
      <c r="A133" s="51" t="s">
        <v>245</v>
      </c>
      <c r="B133" s="51" t="s">
        <v>9643</v>
      </c>
    </row>
    <row r="134" spans="1:2" ht="15" customHeight="1" x14ac:dyDescent="0.25">
      <c r="A134" s="51" t="s">
        <v>245</v>
      </c>
      <c r="B134" s="51" t="s">
        <v>9644</v>
      </c>
    </row>
    <row r="135" spans="1:2" ht="15" customHeight="1" x14ac:dyDescent="0.25">
      <c r="A135" s="51" t="s">
        <v>245</v>
      </c>
      <c r="B135" s="51" t="s">
        <v>9645</v>
      </c>
    </row>
    <row r="136" spans="1:2" ht="15" customHeight="1" x14ac:dyDescent="0.25">
      <c r="A136" s="51" t="s">
        <v>245</v>
      </c>
      <c r="B136" s="51" t="s">
        <v>9646</v>
      </c>
    </row>
    <row r="137" spans="1:2" ht="15" customHeight="1" x14ac:dyDescent="0.25">
      <c r="A137" s="51" t="s">
        <v>245</v>
      </c>
      <c r="B137" s="51" t="s">
        <v>9647</v>
      </c>
    </row>
    <row r="138" spans="1:2" x14ac:dyDescent="0.25">
      <c r="A138" s="51" t="s">
        <v>142</v>
      </c>
      <c r="B138" s="51" t="s">
        <v>9648</v>
      </c>
    </row>
    <row r="139" spans="1:2" x14ac:dyDescent="0.25">
      <c r="A139" s="51" t="s">
        <v>142</v>
      </c>
      <c r="B139" s="51" t="s">
        <v>9649</v>
      </c>
    </row>
    <row r="140" spans="1:2" x14ac:dyDescent="0.25">
      <c r="A140" s="51" t="s">
        <v>142</v>
      </c>
      <c r="B140" s="51" t="s">
        <v>9650</v>
      </c>
    </row>
    <row r="141" spans="1:2" x14ac:dyDescent="0.25">
      <c r="A141" s="51" t="s">
        <v>142</v>
      </c>
      <c r="B141" s="51" t="s">
        <v>9651</v>
      </c>
    </row>
    <row r="142" spans="1:2" x14ac:dyDescent="0.25">
      <c r="A142" s="51" t="s">
        <v>142</v>
      </c>
      <c r="B142" s="51" t="s">
        <v>9652</v>
      </c>
    </row>
    <row r="143" spans="1:2" x14ac:dyDescent="0.25">
      <c r="A143" s="51" t="s">
        <v>142</v>
      </c>
      <c r="B143" s="51" t="s">
        <v>9653</v>
      </c>
    </row>
    <row r="144" spans="1:2" x14ac:dyDescent="0.25">
      <c r="A144" s="51" t="s">
        <v>142</v>
      </c>
      <c r="B144" s="51" t="s">
        <v>9654</v>
      </c>
    </row>
    <row r="145" spans="1:2" x14ac:dyDescent="0.25">
      <c r="A145" s="51" t="s">
        <v>142</v>
      </c>
      <c r="B145" s="51" t="s">
        <v>9655</v>
      </c>
    </row>
    <row r="146" spans="1:2" x14ac:dyDescent="0.25">
      <c r="A146" s="51" t="s">
        <v>142</v>
      </c>
      <c r="B146" s="51" t="s">
        <v>9656</v>
      </c>
    </row>
    <row r="147" spans="1:2" x14ac:dyDescent="0.25">
      <c r="A147" s="51" t="s">
        <v>142</v>
      </c>
      <c r="B147" s="51" t="s">
        <v>9657</v>
      </c>
    </row>
    <row r="148" spans="1:2" x14ac:dyDescent="0.25">
      <c r="A148" s="51" t="s">
        <v>142</v>
      </c>
      <c r="B148" s="51" t="s">
        <v>9658</v>
      </c>
    </row>
    <row r="149" spans="1:2" x14ac:dyDescent="0.25">
      <c r="A149" s="51" t="s">
        <v>142</v>
      </c>
      <c r="B149" s="51" t="s">
        <v>9659</v>
      </c>
    </row>
    <row r="150" spans="1:2" x14ac:dyDescent="0.25">
      <c r="A150" s="51" t="s">
        <v>1823</v>
      </c>
      <c r="B150" s="51" t="s">
        <v>9660</v>
      </c>
    </row>
    <row r="151" spans="1:2" x14ac:dyDescent="0.25">
      <c r="A151" s="51" t="s">
        <v>1823</v>
      </c>
      <c r="B151" s="51" t="s">
        <v>9661</v>
      </c>
    </row>
    <row r="152" spans="1:2" x14ac:dyDescent="0.25">
      <c r="A152" s="51" t="s">
        <v>1823</v>
      </c>
      <c r="B152" s="51" t="s">
        <v>9662</v>
      </c>
    </row>
    <row r="153" spans="1:2" x14ac:dyDescent="0.25">
      <c r="A153" s="51" t="s">
        <v>1823</v>
      </c>
      <c r="B153" s="51" t="s">
        <v>9663</v>
      </c>
    </row>
    <row r="154" spans="1:2" x14ac:dyDescent="0.25">
      <c r="A154" s="51" t="s">
        <v>1823</v>
      </c>
      <c r="B154" s="51" t="s">
        <v>9664</v>
      </c>
    </row>
    <row r="155" spans="1:2" x14ac:dyDescent="0.25">
      <c r="A155" s="51" t="s">
        <v>1823</v>
      </c>
      <c r="B155" s="51" t="s">
        <v>9665</v>
      </c>
    </row>
    <row r="156" spans="1:2" x14ac:dyDescent="0.25">
      <c r="A156" s="51" t="s">
        <v>1823</v>
      </c>
      <c r="B156" s="51" t="s">
        <v>9666</v>
      </c>
    </row>
    <row r="157" spans="1:2" x14ac:dyDescent="0.25">
      <c r="A157" s="51" t="s">
        <v>1823</v>
      </c>
      <c r="B157" s="51" t="s">
        <v>9667</v>
      </c>
    </row>
    <row r="158" spans="1:2" x14ac:dyDescent="0.25">
      <c r="A158" s="51" t="s">
        <v>1823</v>
      </c>
      <c r="B158" s="51" t="s">
        <v>9668</v>
      </c>
    </row>
    <row r="159" spans="1:2" x14ac:dyDescent="0.25">
      <c r="A159" s="51" t="s">
        <v>1823</v>
      </c>
      <c r="B159" s="51" t="s">
        <v>9669</v>
      </c>
    </row>
    <row r="160" spans="1:2" x14ac:dyDescent="0.25">
      <c r="A160" s="51" t="s">
        <v>446</v>
      </c>
      <c r="B160" s="51" t="s">
        <v>9670</v>
      </c>
    </row>
    <row r="161" spans="1:2" x14ac:dyDescent="0.25">
      <c r="A161" s="51" t="s">
        <v>446</v>
      </c>
      <c r="B161" s="51" t="s">
        <v>9671</v>
      </c>
    </row>
    <row r="162" spans="1:2" x14ac:dyDescent="0.25">
      <c r="A162" s="51" t="s">
        <v>446</v>
      </c>
      <c r="B162" s="51" t="s">
        <v>9672</v>
      </c>
    </row>
    <row r="163" spans="1:2" x14ac:dyDescent="0.25">
      <c r="A163" s="51" t="s">
        <v>446</v>
      </c>
      <c r="B163" s="51" t="s">
        <v>9673</v>
      </c>
    </row>
    <row r="164" spans="1:2" x14ac:dyDescent="0.25">
      <c r="A164" s="51" t="s">
        <v>446</v>
      </c>
      <c r="B164" s="51" t="s">
        <v>9674</v>
      </c>
    </row>
    <row r="165" spans="1:2" x14ac:dyDescent="0.25">
      <c r="A165" s="51" t="s">
        <v>446</v>
      </c>
      <c r="B165" s="51" t="s">
        <v>9675</v>
      </c>
    </row>
    <row r="166" spans="1:2" x14ac:dyDescent="0.25">
      <c r="A166" s="51" t="s">
        <v>446</v>
      </c>
      <c r="B166" s="51" t="s">
        <v>9676</v>
      </c>
    </row>
    <row r="167" spans="1:2" x14ac:dyDescent="0.25">
      <c r="A167" s="51" t="s">
        <v>446</v>
      </c>
      <c r="B167" s="51" t="s">
        <v>9677</v>
      </c>
    </row>
    <row r="168" spans="1:2" x14ac:dyDescent="0.25">
      <c r="A168" s="51" t="s">
        <v>446</v>
      </c>
      <c r="B168" s="51" t="s">
        <v>9678</v>
      </c>
    </row>
    <row r="169" spans="1:2" x14ac:dyDescent="0.25">
      <c r="A169" s="51" t="s">
        <v>446</v>
      </c>
      <c r="B169" s="51" t="s">
        <v>9679</v>
      </c>
    </row>
    <row r="170" spans="1:2" x14ac:dyDescent="0.25">
      <c r="A170" s="51" t="s">
        <v>369</v>
      </c>
      <c r="B170" s="51" t="s">
        <v>9680</v>
      </c>
    </row>
    <row r="171" spans="1:2" x14ac:dyDescent="0.25">
      <c r="A171" s="51" t="s">
        <v>369</v>
      </c>
      <c r="B171" s="51" t="s">
        <v>9681</v>
      </c>
    </row>
    <row r="172" spans="1:2" x14ac:dyDescent="0.25">
      <c r="A172" s="51" t="s">
        <v>369</v>
      </c>
      <c r="B172" s="51" t="s">
        <v>9682</v>
      </c>
    </row>
    <row r="173" spans="1:2" x14ac:dyDescent="0.25">
      <c r="A173" s="51" t="s">
        <v>369</v>
      </c>
      <c r="B173" s="51" t="s">
        <v>9683</v>
      </c>
    </row>
    <row r="174" spans="1:2" x14ac:dyDescent="0.25">
      <c r="A174" s="51" t="s">
        <v>369</v>
      </c>
      <c r="B174" s="51" t="s">
        <v>9684</v>
      </c>
    </row>
    <row r="175" spans="1:2" x14ac:dyDescent="0.25">
      <c r="A175" s="51" t="s">
        <v>369</v>
      </c>
      <c r="B175" s="51" t="s">
        <v>9685</v>
      </c>
    </row>
    <row r="176" spans="1:2" x14ac:dyDescent="0.25">
      <c r="A176" s="51" t="s">
        <v>369</v>
      </c>
      <c r="B176" s="51" t="s">
        <v>9686</v>
      </c>
    </row>
    <row r="177" spans="1:2" x14ac:dyDescent="0.25">
      <c r="A177" s="51" t="s">
        <v>369</v>
      </c>
      <c r="B177" s="51" t="s">
        <v>9687</v>
      </c>
    </row>
    <row r="178" spans="1:2" x14ac:dyDescent="0.25">
      <c r="A178" s="51" t="s">
        <v>369</v>
      </c>
      <c r="B178" s="51" t="s">
        <v>9688</v>
      </c>
    </row>
    <row r="179" spans="1:2" x14ac:dyDescent="0.25">
      <c r="A179" s="51" t="s">
        <v>369</v>
      </c>
      <c r="B179" s="51" t="s">
        <v>9689</v>
      </c>
    </row>
    <row r="180" spans="1:2" x14ac:dyDescent="0.25">
      <c r="A180" s="51" t="s">
        <v>369</v>
      </c>
      <c r="B180" s="51" t="s">
        <v>9690</v>
      </c>
    </row>
    <row r="181" spans="1:2" x14ac:dyDescent="0.25">
      <c r="A181" s="51" t="s">
        <v>369</v>
      </c>
      <c r="B181" s="51" t="s">
        <v>9691</v>
      </c>
    </row>
    <row r="182" spans="1:2" x14ac:dyDescent="0.25">
      <c r="A182" s="51" t="s">
        <v>526</v>
      </c>
      <c r="B182" s="51" t="s">
        <v>9692</v>
      </c>
    </row>
    <row r="183" spans="1:2" x14ac:dyDescent="0.25">
      <c r="A183" s="51" t="s">
        <v>526</v>
      </c>
      <c r="B183" s="51" t="s">
        <v>9693</v>
      </c>
    </row>
    <row r="184" spans="1:2" x14ac:dyDescent="0.25">
      <c r="A184" s="51" t="s">
        <v>526</v>
      </c>
      <c r="B184" s="51" t="s">
        <v>9694</v>
      </c>
    </row>
    <row r="185" spans="1:2" x14ac:dyDescent="0.25">
      <c r="A185" s="51" t="s">
        <v>526</v>
      </c>
      <c r="B185" s="51" t="s">
        <v>9695</v>
      </c>
    </row>
    <row r="186" spans="1:2" x14ac:dyDescent="0.25">
      <c r="A186" s="51" t="s">
        <v>526</v>
      </c>
      <c r="B186" s="51" t="s">
        <v>9696</v>
      </c>
    </row>
    <row r="187" spans="1:2" x14ac:dyDescent="0.25">
      <c r="A187" s="51" t="s">
        <v>526</v>
      </c>
      <c r="B187" s="51" t="s">
        <v>9697</v>
      </c>
    </row>
    <row r="188" spans="1:2" x14ac:dyDescent="0.25">
      <c r="A188" s="51" t="s">
        <v>526</v>
      </c>
      <c r="B188" s="51" t="s">
        <v>9698</v>
      </c>
    </row>
    <row r="189" spans="1:2" x14ac:dyDescent="0.25">
      <c r="A189" s="51" t="s">
        <v>526</v>
      </c>
      <c r="B189" s="51" t="s">
        <v>9699</v>
      </c>
    </row>
    <row r="190" spans="1:2" x14ac:dyDescent="0.25">
      <c r="A190" s="51" t="s">
        <v>526</v>
      </c>
      <c r="B190" s="51" t="s">
        <v>9700</v>
      </c>
    </row>
    <row r="191" spans="1:2" x14ac:dyDescent="0.25">
      <c r="A191" s="51" t="s">
        <v>526</v>
      </c>
      <c r="B191" s="51" t="s">
        <v>9701</v>
      </c>
    </row>
    <row r="192" spans="1:2" x14ac:dyDescent="0.25">
      <c r="A192" s="51" t="s">
        <v>526</v>
      </c>
      <c r="B192" s="51" t="s">
        <v>9702</v>
      </c>
    </row>
    <row r="193" spans="1:2" x14ac:dyDescent="0.25">
      <c r="A193" s="51" t="s">
        <v>526</v>
      </c>
      <c r="B193" s="51" t="s">
        <v>9703</v>
      </c>
    </row>
    <row r="194" spans="1:2" x14ac:dyDescent="0.25">
      <c r="A194" s="51" t="s">
        <v>216</v>
      </c>
      <c r="B194" s="51" t="s">
        <v>9704</v>
      </c>
    </row>
    <row r="195" spans="1:2" x14ac:dyDescent="0.25">
      <c r="A195" s="51" t="s">
        <v>216</v>
      </c>
      <c r="B195" s="51" t="s">
        <v>9705</v>
      </c>
    </row>
    <row r="196" spans="1:2" x14ac:dyDescent="0.25">
      <c r="A196" s="51" t="s">
        <v>216</v>
      </c>
      <c r="B196" s="51" t="s">
        <v>9706</v>
      </c>
    </row>
    <row r="197" spans="1:2" x14ac:dyDescent="0.25">
      <c r="A197" s="51" t="s">
        <v>216</v>
      </c>
      <c r="B197" s="51" t="s">
        <v>9707</v>
      </c>
    </row>
    <row r="198" spans="1:2" x14ac:dyDescent="0.25">
      <c r="A198" s="51" t="s">
        <v>216</v>
      </c>
      <c r="B198" s="51" t="s">
        <v>9708</v>
      </c>
    </row>
    <row r="199" spans="1:2" x14ac:dyDescent="0.25">
      <c r="A199" s="51" t="s">
        <v>216</v>
      </c>
      <c r="B199" s="51" t="s">
        <v>9709</v>
      </c>
    </row>
    <row r="200" spans="1:2" x14ac:dyDescent="0.25">
      <c r="A200" s="51" t="s">
        <v>216</v>
      </c>
      <c r="B200" s="51" t="s">
        <v>9710</v>
      </c>
    </row>
    <row r="201" spans="1:2" x14ac:dyDescent="0.25">
      <c r="A201" s="51" t="s">
        <v>216</v>
      </c>
      <c r="B201" s="51" t="s">
        <v>9711</v>
      </c>
    </row>
    <row r="202" spans="1:2" x14ac:dyDescent="0.25">
      <c r="A202" s="51" t="s">
        <v>216</v>
      </c>
      <c r="B202" s="51" t="s">
        <v>9712</v>
      </c>
    </row>
    <row r="203" spans="1:2" x14ac:dyDescent="0.25">
      <c r="A203" s="51" t="s">
        <v>216</v>
      </c>
      <c r="B203" s="51" t="s">
        <v>9713</v>
      </c>
    </row>
    <row r="204" spans="1:2" x14ac:dyDescent="0.25">
      <c r="A204" s="51" t="s">
        <v>216</v>
      </c>
      <c r="B204" s="51" t="s">
        <v>9714</v>
      </c>
    </row>
    <row r="205" spans="1:2" x14ac:dyDescent="0.25">
      <c r="A205" s="51" t="s">
        <v>216</v>
      </c>
      <c r="B205" s="51" t="s">
        <v>9715</v>
      </c>
    </row>
    <row r="206" spans="1:2" x14ac:dyDescent="0.25">
      <c r="A206" s="51" t="s">
        <v>1344</v>
      </c>
      <c r="B206" s="51" t="s">
        <v>9716</v>
      </c>
    </row>
    <row r="207" spans="1:2" x14ac:dyDescent="0.25">
      <c r="A207" s="51" t="s">
        <v>1344</v>
      </c>
      <c r="B207" s="51" t="s">
        <v>9717</v>
      </c>
    </row>
    <row r="208" spans="1:2" x14ac:dyDescent="0.25">
      <c r="A208" s="51" t="s">
        <v>1344</v>
      </c>
      <c r="B208" s="51" t="s">
        <v>9718</v>
      </c>
    </row>
    <row r="209" spans="1:2" x14ac:dyDescent="0.25">
      <c r="A209" s="51" t="s">
        <v>1344</v>
      </c>
      <c r="B209" s="51" t="s">
        <v>9719</v>
      </c>
    </row>
    <row r="210" spans="1:2" x14ac:dyDescent="0.25">
      <c r="A210" s="51" t="s">
        <v>1344</v>
      </c>
      <c r="B210" s="51" t="s">
        <v>9720</v>
      </c>
    </row>
    <row r="211" spans="1:2" x14ac:dyDescent="0.25">
      <c r="A211" s="51" t="s">
        <v>1344</v>
      </c>
      <c r="B211" s="51" t="s">
        <v>9721</v>
      </c>
    </row>
    <row r="212" spans="1:2" x14ac:dyDescent="0.25">
      <c r="A212" s="51" t="s">
        <v>1344</v>
      </c>
      <c r="B212" s="51" t="s">
        <v>9722</v>
      </c>
    </row>
    <row r="213" spans="1:2" x14ac:dyDescent="0.25">
      <c r="A213" s="51" t="s">
        <v>1344</v>
      </c>
      <c r="B213" s="51" t="s">
        <v>9723</v>
      </c>
    </row>
    <row r="214" spans="1:2" x14ac:dyDescent="0.25">
      <c r="A214" s="51" t="s">
        <v>1344</v>
      </c>
      <c r="B214" s="51" t="s">
        <v>9724</v>
      </c>
    </row>
    <row r="215" spans="1:2" x14ac:dyDescent="0.25">
      <c r="A215" s="51" t="s">
        <v>1344</v>
      </c>
      <c r="B215" s="51" t="s">
        <v>9725</v>
      </c>
    </row>
    <row r="216" spans="1:2" x14ac:dyDescent="0.25">
      <c r="A216" s="51" t="s">
        <v>1344</v>
      </c>
      <c r="B216" s="51" t="s">
        <v>9726</v>
      </c>
    </row>
    <row r="217" spans="1:2" x14ac:dyDescent="0.25">
      <c r="A217" s="51" t="s">
        <v>806</v>
      </c>
      <c r="B217" s="51" t="s">
        <v>9727</v>
      </c>
    </row>
    <row r="218" spans="1:2" x14ac:dyDescent="0.25">
      <c r="A218" s="51" t="s">
        <v>806</v>
      </c>
      <c r="B218" s="51" t="s">
        <v>9728</v>
      </c>
    </row>
    <row r="219" spans="1:2" x14ac:dyDescent="0.25">
      <c r="A219" s="51" t="s">
        <v>806</v>
      </c>
      <c r="B219" s="51" t="s">
        <v>9729</v>
      </c>
    </row>
    <row r="220" spans="1:2" x14ac:dyDescent="0.25">
      <c r="A220" s="51" t="s">
        <v>806</v>
      </c>
      <c r="B220" s="51" t="s">
        <v>9730</v>
      </c>
    </row>
    <row r="221" spans="1:2" x14ac:dyDescent="0.25">
      <c r="A221" s="51" t="s">
        <v>806</v>
      </c>
      <c r="B221" s="51" t="s">
        <v>9731</v>
      </c>
    </row>
    <row r="222" spans="1:2" x14ac:dyDescent="0.25">
      <c r="A222" s="51" t="s">
        <v>806</v>
      </c>
      <c r="B222" s="51" t="s">
        <v>9732</v>
      </c>
    </row>
    <row r="223" spans="1:2" x14ac:dyDescent="0.25">
      <c r="A223" s="51" t="s">
        <v>806</v>
      </c>
      <c r="B223" s="51" t="s">
        <v>9733</v>
      </c>
    </row>
    <row r="224" spans="1:2" x14ac:dyDescent="0.25">
      <c r="A224" s="51" t="s">
        <v>806</v>
      </c>
      <c r="B224" s="51" t="s">
        <v>9734</v>
      </c>
    </row>
    <row r="225" spans="1:2" x14ac:dyDescent="0.25">
      <c r="A225" s="51" t="s">
        <v>806</v>
      </c>
      <c r="B225" s="51" t="s">
        <v>9735</v>
      </c>
    </row>
    <row r="226" spans="1:2" x14ac:dyDescent="0.25">
      <c r="A226" s="51" t="s">
        <v>806</v>
      </c>
      <c r="B226" s="51" t="s">
        <v>9736</v>
      </c>
    </row>
    <row r="227" spans="1:2" x14ac:dyDescent="0.25">
      <c r="A227" s="51" t="s">
        <v>806</v>
      </c>
      <c r="B227" s="51" t="s">
        <v>9737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CD116"/>
  </sheetPr>
  <dimension ref="A1:N101"/>
  <sheetViews>
    <sheetView zoomScaleNormal="100" workbookViewId="0">
      <pane ySplit="1" topLeftCell="A2" activePane="bottomLeft" state="frozen"/>
      <selection pane="bottomLeft"/>
    </sheetView>
  </sheetViews>
  <sheetFormatPr baseColWidth="10" defaultColWidth="8.7109375" defaultRowHeight="15" x14ac:dyDescent="0.25"/>
  <cols>
    <col min="1" max="7" width="20" customWidth="1"/>
    <col min="8" max="8" width="35" customWidth="1"/>
    <col min="9" max="10" width="20" customWidth="1"/>
    <col min="11" max="13" width="35" customWidth="1"/>
    <col min="14" max="14" width="20" customWidth="1"/>
  </cols>
  <sheetData>
    <row r="1" spans="1:14" ht="39.75" customHeight="1" x14ac:dyDescent="0.25">
      <c r="A1" s="9" t="s">
        <v>1</v>
      </c>
      <c r="B1" s="9" t="s">
        <v>9253</v>
      </c>
      <c r="C1" s="9" t="s">
        <v>9254</v>
      </c>
      <c r="D1" s="9" t="s">
        <v>9255</v>
      </c>
      <c r="E1" s="9" t="s">
        <v>9256</v>
      </c>
      <c r="F1" s="9" t="s">
        <v>9257</v>
      </c>
      <c r="G1" s="9" t="s">
        <v>9258</v>
      </c>
      <c r="H1" s="9" t="s">
        <v>9259</v>
      </c>
      <c r="I1" s="9" t="s">
        <v>9260</v>
      </c>
      <c r="J1" s="9" t="s">
        <v>9261</v>
      </c>
      <c r="K1" s="9" t="s">
        <v>9262</v>
      </c>
      <c r="L1" s="9" t="s">
        <v>9263</v>
      </c>
      <c r="M1" s="9" t="s">
        <v>9264</v>
      </c>
      <c r="N1" s="9" t="s">
        <v>9265</v>
      </c>
    </row>
    <row r="2" spans="1:14" ht="15" customHeight="1" x14ac:dyDescent="0.25">
      <c r="A2" s="3" t="s">
        <v>9266</v>
      </c>
      <c r="B2" s="3">
        <v>2025</v>
      </c>
      <c r="C2" s="3" t="s">
        <v>9117</v>
      </c>
      <c r="D2" s="4">
        <v>0.12</v>
      </c>
      <c r="E2" s="3">
        <v>450000</v>
      </c>
      <c r="F2" s="3">
        <f>IFERROR(E2*610,"")</f>
        <v>274500000</v>
      </c>
      <c r="G2" s="4">
        <v>0.15</v>
      </c>
      <c r="H2" s="3" t="s">
        <v>9267</v>
      </c>
      <c r="I2" s="4">
        <f t="shared" ref="I2:I33" si="0">IFERROR(SUMIF(A:A,A2,D:D),"")</f>
        <v>0.12</v>
      </c>
      <c r="J2" s="4">
        <f t="shared" ref="J2:J33" si="1">IFERROR(AVERAGEIF(A:A,A2,G:G),"")</f>
        <v>0.15</v>
      </c>
      <c r="K2" s="3" t="s">
        <v>9268</v>
      </c>
      <c r="L2" s="3" t="s">
        <v>9269</v>
      </c>
      <c r="M2" s="3" t="s">
        <v>9270</v>
      </c>
      <c r="N2" s="10">
        <f t="shared" ref="N2:N33" ca="1" si="2">TODAY()</f>
        <v>46238</v>
      </c>
    </row>
    <row r="3" spans="1:14" ht="15" customHeight="1" x14ac:dyDescent="0.25">
      <c r="A3" s="1"/>
      <c r="B3" s="1"/>
      <c r="C3" s="1"/>
      <c r="D3" s="2"/>
      <c r="E3" s="1"/>
      <c r="F3" s="1" t="str">
        <f ca="1">IFERROR(E3*VLOOKUP(TODAY(),Paramètres!$A:$B,2,1),"")</f>
        <v/>
      </c>
      <c r="G3" s="2"/>
      <c r="H3" s="1"/>
      <c r="I3" s="2">
        <f t="shared" si="0"/>
        <v>0</v>
      </c>
      <c r="J3" s="2" t="str">
        <f t="shared" si="1"/>
        <v/>
      </c>
      <c r="K3" s="1"/>
      <c r="L3" s="1"/>
      <c r="M3" s="1"/>
      <c r="N3" s="11">
        <f t="shared" ca="1" si="2"/>
        <v>46238</v>
      </c>
    </row>
    <row r="4" spans="1:14" ht="15" customHeight="1" x14ac:dyDescent="0.25">
      <c r="A4" s="3"/>
      <c r="B4" s="3"/>
      <c r="C4" s="3"/>
      <c r="D4" s="4"/>
      <c r="E4" s="3"/>
      <c r="F4" s="3" t="str">
        <f ca="1">IFERROR(E4*VLOOKUP(TODAY(),Paramètres!$A:$B,2,1),"")</f>
        <v/>
      </c>
      <c r="G4" s="4"/>
      <c r="H4" s="3"/>
      <c r="I4" s="4">
        <f t="shared" si="0"/>
        <v>0</v>
      </c>
      <c r="J4" s="4" t="str">
        <f t="shared" si="1"/>
        <v/>
      </c>
      <c r="K4" s="3"/>
      <c r="L4" s="3"/>
      <c r="M4" s="3"/>
      <c r="N4" s="10">
        <f t="shared" ca="1" si="2"/>
        <v>46238</v>
      </c>
    </row>
    <row r="5" spans="1:14" ht="15" customHeight="1" x14ac:dyDescent="0.25">
      <c r="A5" s="1"/>
      <c r="B5" s="1"/>
      <c r="C5" s="1"/>
      <c r="D5" s="2"/>
      <c r="E5" s="1"/>
      <c r="F5" s="1" t="str">
        <f ca="1">IFERROR(E5*VLOOKUP(TODAY(),Paramètres!$A:$B,2,1),"")</f>
        <v/>
      </c>
      <c r="G5" s="2"/>
      <c r="H5" s="1"/>
      <c r="I5" s="2">
        <f t="shared" si="0"/>
        <v>0</v>
      </c>
      <c r="J5" s="2" t="str">
        <f t="shared" si="1"/>
        <v/>
      </c>
      <c r="K5" s="1"/>
      <c r="L5" s="1"/>
      <c r="M5" s="1"/>
      <c r="N5" s="11">
        <f t="shared" ca="1" si="2"/>
        <v>46238</v>
      </c>
    </row>
    <row r="6" spans="1:14" ht="15" customHeight="1" x14ac:dyDescent="0.25">
      <c r="A6" s="3"/>
      <c r="B6" s="3"/>
      <c r="C6" s="3"/>
      <c r="D6" s="4"/>
      <c r="E6" s="3"/>
      <c r="F6" s="3" t="str">
        <f ca="1">IFERROR(E6*VLOOKUP(TODAY(),Paramètres!$A:$B,2,1),"")</f>
        <v/>
      </c>
      <c r="G6" s="4"/>
      <c r="H6" s="3"/>
      <c r="I6" s="4">
        <f t="shared" si="0"/>
        <v>0</v>
      </c>
      <c r="J6" s="4" t="str">
        <f t="shared" si="1"/>
        <v/>
      </c>
      <c r="K6" s="3"/>
      <c r="L6" s="3"/>
      <c r="M6" s="3"/>
      <c r="N6" s="10">
        <f t="shared" ca="1" si="2"/>
        <v>46238</v>
      </c>
    </row>
    <row r="7" spans="1:14" ht="15" customHeight="1" x14ac:dyDescent="0.25">
      <c r="A7" s="1"/>
      <c r="B7" s="1"/>
      <c r="C7" s="1"/>
      <c r="D7" s="2"/>
      <c r="E7" s="1"/>
      <c r="F7" s="1" t="str">
        <f ca="1">IFERROR(E7*VLOOKUP(TODAY(),Paramètres!$A:$B,2,1),"")</f>
        <v/>
      </c>
      <c r="G7" s="2"/>
      <c r="H7" s="1"/>
      <c r="I7" s="2">
        <f t="shared" si="0"/>
        <v>0</v>
      </c>
      <c r="J7" s="2" t="str">
        <f t="shared" si="1"/>
        <v/>
      </c>
      <c r="K7" s="1"/>
      <c r="L7" s="1"/>
      <c r="M7" s="1"/>
      <c r="N7" s="11">
        <f t="shared" ca="1" si="2"/>
        <v>46238</v>
      </c>
    </row>
    <row r="8" spans="1:14" ht="15" customHeight="1" x14ac:dyDescent="0.25">
      <c r="A8" s="3"/>
      <c r="B8" s="3"/>
      <c r="C8" s="3"/>
      <c r="D8" s="4"/>
      <c r="E8" s="3"/>
      <c r="F8" s="3" t="str">
        <f ca="1">IFERROR(E8*VLOOKUP(TODAY(),Paramètres!$A:$B,2,1),"")</f>
        <v/>
      </c>
      <c r="G8" s="4"/>
      <c r="H8" s="3"/>
      <c r="I8" s="4">
        <f t="shared" si="0"/>
        <v>0</v>
      </c>
      <c r="J8" s="4" t="str">
        <f t="shared" si="1"/>
        <v/>
      </c>
      <c r="K8" s="3"/>
      <c r="L8" s="3"/>
      <c r="M8" s="3"/>
      <c r="N8" s="10">
        <f t="shared" ca="1" si="2"/>
        <v>46238</v>
      </c>
    </row>
    <row r="9" spans="1:14" ht="15" customHeight="1" x14ac:dyDescent="0.25">
      <c r="A9" s="1"/>
      <c r="B9" s="1"/>
      <c r="C9" s="1"/>
      <c r="D9" s="2"/>
      <c r="E9" s="1"/>
      <c r="F9" s="1" t="str">
        <f ca="1">IFERROR(E9*VLOOKUP(TODAY(),Paramètres!$A:$B,2,1),"")</f>
        <v/>
      </c>
      <c r="G9" s="2"/>
      <c r="H9" s="1"/>
      <c r="I9" s="2">
        <f t="shared" si="0"/>
        <v>0</v>
      </c>
      <c r="J9" s="2" t="str">
        <f t="shared" si="1"/>
        <v/>
      </c>
      <c r="K9" s="1"/>
      <c r="L9" s="1"/>
      <c r="M9" s="1"/>
      <c r="N9" s="11">
        <f t="shared" ca="1" si="2"/>
        <v>46238</v>
      </c>
    </row>
    <row r="10" spans="1:14" ht="15" customHeight="1" x14ac:dyDescent="0.25">
      <c r="A10" s="3"/>
      <c r="B10" s="3"/>
      <c r="C10" s="3"/>
      <c r="D10" s="4"/>
      <c r="E10" s="3"/>
      <c r="F10" s="3" t="str">
        <f ca="1">IFERROR(E10*VLOOKUP(TODAY(),Paramètres!$A:$B,2,1),"")</f>
        <v/>
      </c>
      <c r="G10" s="4"/>
      <c r="H10" s="3"/>
      <c r="I10" s="4">
        <f t="shared" si="0"/>
        <v>0</v>
      </c>
      <c r="J10" s="4" t="str">
        <f t="shared" si="1"/>
        <v/>
      </c>
      <c r="K10" s="3"/>
      <c r="L10" s="3"/>
      <c r="M10" s="3"/>
      <c r="N10" s="10">
        <f t="shared" ca="1" si="2"/>
        <v>46238</v>
      </c>
    </row>
    <row r="11" spans="1:14" ht="15" customHeight="1" x14ac:dyDescent="0.25">
      <c r="A11" s="1"/>
      <c r="B11" s="1"/>
      <c r="C11" s="1"/>
      <c r="D11" s="2"/>
      <c r="E11" s="1"/>
      <c r="F11" s="1" t="str">
        <f ca="1">IFERROR(E11*VLOOKUP(TODAY(),Paramètres!$A:$B,2,1),"")</f>
        <v/>
      </c>
      <c r="G11" s="2"/>
      <c r="H11" s="1"/>
      <c r="I11" s="2">
        <f t="shared" si="0"/>
        <v>0</v>
      </c>
      <c r="J11" s="2" t="str">
        <f t="shared" si="1"/>
        <v/>
      </c>
      <c r="K11" s="1"/>
      <c r="L11" s="1"/>
      <c r="M11" s="1"/>
      <c r="N11" s="11">
        <f t="shared" ca="1" si="2"/>
        <v>46238</v>
      </c>
    </row>
    <row r="12" spans="1:14" ht="15" customHeight="1" x14ac:dyDescent="0.25">
      <c r="A12" s="3"/>
      <c r="B12" s="3"/>
      <c r="C12" s="3"/>
      <c r="D12" s="4"/>
      <c r="E12" s="3"/>
      <c r="F12" s="3" t="str">
        <f ca="1">IFERROR(E12*VLOOKUP(TODAY(),Paramètres!$A:$B,2,1),"")</f>
        <v/>
      </c>
      <c r="G12" s="4"/>
      <c r="H12" s="3"/>
      <c r="I12" s="4">
        <f t="shared" si="0"/>
        <v>0</v>
      </c>
      <c r="J12" s="4" t="str">
        <f t="shared" si="1"/>
        <v/>
      </c>
      <c r="K12" s="3"/>
      <c r="L12" s="3"/>
      <c r="M12" s="3"/>
      <c r="N12" s="10">
        <f t="shared" ca="1" si="2"/>
        <v>46238</v>
      </c>
    </row>
    <row r="13" spans="1:14" ht="15" customHeight="1" x14ac:dyDescent="0.25">
      <c r="A13" s="1"/>
      <c r="B13" s="1"/>
      <c r="C13" s="1"/>
      <c r="D13" s="2"/>
      <c r="E13" s="1"/>
      <c r="F13" s="1" t="str">
        <f ca="1">IFERROR(E13*VLOOKUP(TODAY(),Paramètres!$A:$B,2,1),"")</f>
        <v/>
      </c>
      <c r="G13" s="2"/>
      <c r="H13" s="1"/>
      <c r="I13" s="2">
        <f t="shared" si="0"/>
        <v>0</v>
      </c>
      <c r="J13" s="2" t="str">
        <f t="shared" si="1"/>
        <v/>
      </c>
      <c r="K13" s="1"/>
      <c r="L13" s="1"/>
      <c r="M13" s="1"/>
      <c r="N13" s="11">
        <f t="shared" ca="1" si="2"/>
        <v>46238</v>
      </c>
    </row>
    <row r="14" spans="1:14" ht="15" customHeight="1" x14ac:dyDescent="0.25">
      <c r="A14" s="3"/>
      <c r="B14" s="3"/>
      <c r="C14" s="3"/>
      <c r="D14" s="4"/>
      <c r="E14" s="3"/>
      <c r="F14" s="3" t="str">
        <f ca="1">IFERROR(E14*VLOOKUP(TODAY(),Paramètres!$A:$B,2,1),"")</f>
        <v/>
      </c>
      <c r="G14" s="4"/>
      <c r="H14" s="3"/>
      <c r="I14" s="4">
        <f t="shared" si="0"/>
        <v>0</v>
      </c>
      <c r="J14" s="4" t="str">
        <f t="shared" si="1"/>
        <v/>
      </c>
      <c r="K14" s="3"/>
      <c r="L14" s="3"/>
      <c r="M14" s="3"/>
      <c r="N14" s="10">
        <f t="shared" ca="1" si="2"/>
        <v>46238</v>
      </c>
    </row>
    <row r="15" spans="1:14" ht="15" customHeight="1" x14ac:dyDescent="0.25">
      <c r="A15" s="1"/>
      <c r="B15" s="1"/>
      <c r="C15" s="1"/>
      <c r="D15" s="2"/>
      <c r="E15" s="1"/>
      <c r="F15" s="1" t="str">
        <f ca="1">IFERROR(E15*VLOOKUP(TODAY(),Paramètres!$A:$B,2,1),"")</f>
        <v/>
      </c>
      <c r="G15" s="2"/>
      <c r="H15" s="1"/>
      <c r="I15" s="2">
        <f t="shared" si="0"/>
        <v>0</v>
      </c>
      <c r="J15" s="2" t="str">
        <f t="shared" si="1"/>
        <v/>
      </c>
      <c r="K15" s="1"/>
      <c r="L15" s="1"/>
      <c r="M15" s="1"/>
      <c r="N15" s="11">
        <f t="shared" ca="1" si="2"/>
        <v>46238</v>
      </c>
    </row>
    <row r="16" spans="1:14" ht="15" customHeight="1" x14ac:dyDescent="0.25">
      <c r="A16" s="3"/>
      <c r="B16" s="3"/>
      <c r="C16" s="3"/>
      <c r="D16" s="4"/>
      <c r="E16" s="3"/>
      <c r="F16" s="3" t="str">
        <f ca="1">IFERROR(E16*VLOOKUP(TODAY(),Paramètres!$A:$B,2,1),"")</f>
        <v/>
      </c>
      <c r="G16" s="4"/>
      <c r="H16" s="3"/>
      <c r="I16" s="4">
        <f t="shared" si="0"/>
        <v>0</v>
      </c>
      <c r="J16" s="4" t="str">
        <f t="shared" si="1"/>
        <v/>
      </c>
      <c r="K16" s="3"/>
      <c r="L16" s="3"/>
      <c r="M16" s="3"/>
      <c r="N16" s="10">
        <f t="shared" ca="1" si="2"/>
        <v>46238</v>
      </c>
    </row>
    <row r="17" spans="1:14" ht="15" customHeight="1" x14ac:dyDescent="0.25">
      <c r="A17" s="1"/>
      <c r="B17" s="1"/>
      <c r="C17" s="1"/>
      <c r="D17" s="2"/>
      <c r="E17" s="1"/>
      <c r="F17" s="1" t="str">
        <f ca="1">IFERROR(E17*VLOOKUP(TODAY(),Paramètres!$A:$B,2,1),"")</f>
        <v/>
      </c>
      <c r="G17" s="2"/>
      <c r="H17" s="1"/>
      <c r="I17" s="2">
        <f t="shared" si="0"/>
        <v>0</v>
      </c>
      <c r="J17" s="2" t="str">
        <f t="shared" si="1"/>
        <v/>
      </c>
      <c r="K17" s="1"/>
      <c r="L17" s="1"/>
      <c r="M17" s="1"/>
      <c r="N17" s="11">
        <f t="shared" ca="1" si="2"/>
        <v>46238</v>
      </c>
    </row>
    <row r="18" spans="1:14" ht="15" customHeight="1" x14ac:dyDescent="0.25">
      <c r="A18" s="3"/>
      <c r="B18" s="3"/>
      <c r="C18" s="3"/>
      <c r="D18" s="4"/>
      <c r="E18" s="3"/>
      <c r="F18" s="3" t="str">
        <f ca="1">IFERROR(E18*VLOOKUP(TODAY(),Paramètres!$A:$B,2,1),"")</f>
        <v/>
      </c>
      <c r="G18" s="4"/>
      <c r="H18" s="3"/>
      <c r="I18" s="4">
        <f t="shared" si="0"/>
        <v>0</v>
      </c>
      <c r="J18" s="4" t="str">
        <f t="shared" si="1"/>
        <v/>
      </c>
      <c r="K18" s="3"/>
      <c r="L18" s="3"/>
      <c r="M18" s="3"/>
      <c r="N18" s="10">
        <f t="shared" ca="1" si="2"/>
        <v>46238</v>
      </c>
    </row>
    <row r="19" spans="1:14" ht="15" customHeight="1" x14ac:dyDescent="0.25">
      <c r="A19" s="1"/>
      <c r="B19" s="1"/>
      <c r="C19" s="1"/>
      <c r="D19" s="2"/>
      <c r="E19" s="1"/>
      <c r="F19" s="1" t="str">
        <f ca="1">IFERROR(E19*VLOOKUP(TODAY(),Paramètres!$A:$B,2,1),"")</f>
        <v/>
      </c>
      <c r="G19" s="2"/>
      <c r="H19" s="1"/>
      <c r="I19" s="2">
        <f t="shared" si="0"/>
        <v>0</v>
      </c>
      <c r="J19" s="2" t="str">
        <f t="shared" si="1"/>
        <v/>
      </c>
      <c r="K19" s="1"/>
      <c r="L19" s="1"/>
      <c r="M19" s="1"/>
      <c r="N19" s="11">
        <f t="shared" ca="1" si="2"/>
        <v>46238</v>
      </c>
    </row>
    <row r="20" spans="1:14" ht="15" customHeight="1" x14ac:dyDescent="0.25">
      <c r="A20" s="3"/>
      <c r="B20" s="3"/>
      <c r="C20" s="3"/>
      <c r="D20" s="4"/>
      <c r="E20" s="3"/>
      <c r="F20" s="3" t="str">
        <f ca="1">IFERROR(E20*VLOOKUP(TODAY(),Paramètres!$A:$B,2,1),"")</f>
        <v/>
      </c>
      <c r="G20" s="4"/>
      <c r="H20" s="3"/>
      <c r="I20" s="4">
        <f t="shared" si="0"/>
        <v>0</v>
      </c>
      <c r="J20" s="4" t="str">
        <f t="shared" si="1"/>
        <v/>
      </c>
      <c r="K20" s="3"/>
      <c r="L20" s="3"/>
      <c r="M20" s="3"/>
      <c r="N20" s="10">
        <f t="shared" ca="1" si="2"/>
        <v>46238</v>
      </c>
    </row>
    <row r="21" spans="1:14" ht="15" customHeight="1" x14ac:dyDescent="0.25">
      <c r="A21" s="1"/>
      <c r="B21" s="1"/>
      <c r="C21" s="1"/>
      <c r="D21" s="2"/>
      <c r="E21" s="1"/>
      <c r="F21" s="1" t="str">
        <f ca="1">IFERROR(E21*VLOOKUP(TODAY(),Paramètres!$A:$B,2,1),"")</f>
        <v/>
      </c>
      <c r="G21" s="2"/>
      <c r="H21" s="1"/>
      <c r="I21" s="2">
        <f t="shared" si="0"/>
        <v>0</v>
      </c>
      <c r="J21" s="2" t="str">
        <f t="shared" si="1"/>
        <v/>
      </c>
      <c r="K21" s="1"/>
      <c r="L21" s="1"/>
      <c r="M21" s="1"/>
      <c r="N21" s="11">
        <f t="shared" ca="1" si="2"/>
        <v>46238</v>
      </c>
    </row>
    <row r="22" spans="1:14" ht="15" customHeight="1" x14ac:dyDescent="0.25">
      <c r="A22" s="3"/>
      <c r="B22" s="3"/>
      <c r="C22" s="3"/>
      <c r="D22" s="4"/>
      <c r="E22" s="3"/>
      <c r="F22" s="3" t="str">
        <f ca="1">IFERROR(E22*VLOOKUP(TODAY(),Paramètres!$A:$B,2,1),"")</f>
        <v/>
      </c>
      <c r="G22" s="4"/>
      <c r="H22" s="3"/>
      <c r="I22" s="4">
        <f t="shared" si="0"/>
        <v>0</v>
      </c>
      <c r="J22" s="4" t="str">
        <f t="shared" si="1"/>
        <v/>
      </c>
      <c r="K22" s="3"/>
      <c r="L22" s="3"/>
      <c r="M22" s="3"/>
      <c r="N22" s="10">
        <f t="shared" ca="1" si="2"/>
        <v>46238</v>
      </c>
    </row>
    <row r="23" spans="1:14" ht="15" customHeight="1" x14ac:dyDescent="0.25">
      <c r="A23" s="1"/>
      <c r="B23" s="1"/>
      <c r="C23" s="1"/>
      <c r="D23" s="2"/>
      <c r="E23" s="1"/>
      <c r="F23" s="1" t="str">
        <f ca="1">IFERROR(E23*VLOOKUP(TODAY(),Paramètres!$A:$B,2,1),"")</f>
        <v/>
      </c>
      <c r="G23" s="2"/>
      <c r="H23" s="1"/>
      <c r="I23" s="2">
        <f t="shared" si="0"/>
        <v>0</v>
      </c>
      <c r="J23" s="2" t="str">
        <f t="shared" si="1"/>
        <v/>
      </c>
      <c r="K23" s="1"/>
      <c r="L23" s="1"/>
      <c r="M23" s="1"/>
      <c r="N23" s="11">
        <f t="shared" ca="1" si="2"/>
        <v>46238</v>
      </c>
    </row>
    <row r="24" spans="1:14" ht="15" customHeight="1" x14ac:dyDescent="0.25">
      <c r="A24" s="3"/>
      <c r="B24" s="3"/>
      <c r="C24" s="3"/>
      <c r="D24" s="4"/>
      <c r="E24" s="3"/>
      <c r="F24" s="3" t="str">
        <f ca="1">IFERROR(E24*VLOOKUP(TODAY(),Paramètres!$A:$B,2,1),"")</f>
        <v/>
      </c>
      <c r="G24" s="4"/>
      <c r="H24" s="3"/>
      <c r="I24" s="4">
        <f t="shared" si="0"/>
        <v>0</v>
      </c>
      <c r="J24" s="4" t="str">
        <f t="shared" si="1"/>
        <v/>
      </c>
      <c r="K24" s="3"/>
      <c r="L24" s="3"/>
      <c r="M24" s="3"/>
      <c r="N24" s="10">
        <f t="shared" ca="1" si="2"/>
        <v>46238</v>
      </c>
    </row>
    <row r="25" spans="1:14" ht="15" customHeight="1" x14ac:dyDescent="0.25">
      <c r="A25" s="1"/>
      <c r="B25" s="1"/>
      <c r="C25" s="1"/>
      <c r="D25" s="2"/>
      <c r="E25" s="1"/>
      <c r="F25" s="1" t="str">
        <f ca="1">IFERROR(E25*VLOOKUP(TODAY(),Paramètres!$A:$B,2,1),"")</f>
        <v/>
      </c>
      <c r="G25" s="2"/>
      <c r="H25" s="1"/>
      <c r="I25" s="2">
        <f t="shared" si="0"/>
        <v>0</v>
      </c>
      <c r="J25" s="2" t="str">
        <f t="shared" si="1"/>
        <v/>
      </c>
      <c r="K25" s="1"/>
      <c r="L25" s="1"/>
      <c r="M25" s="1"/>
      <c r="N25" s="11">
        <f t="shared" ca="1" si="2"/>
        <v>46238</v>
      </c>
    </row>
    <row r="26" spans="1:14" ht="15" customHeight="1" x14ac:dyDescent="0.25">
      <c r="A26" s="3"/>
      <c r="B26" s="3"/>
      <c r="C26" s="3"/>
      <c r="D26" s="4"/>
      <c r="E26" s="3"/>
      <c r="F26" s="3" t="str">
        <f ca="1">IFERROR(E26*VLOOKUP(TODAY(),Paramètres!$A:$B,2,1),"")</f>
        <v/>
      </c>
      <c r="G26" s="4"/>
      <c r="H26" s="3"/>
      <c r="I26" s="4">
        <f t="shared" si="0"/>
        <v>0</v>
      </c>
      <c r="J26" s="4" t="str">
        <f t="shared" si="1"/>
        <v/>
      </c>
      <c r="K26" s="3"/>
      <c r="L26" s="3"/>
      <c r="M26" s="3"/>
      <c r="N26" s="10">
        <f t="shared" ca="1" si="2"/>
        <v>46238</v>
      </c>
    </row>
    <row r="27" spans="1:14" ht="15" customHeight="1" x14ac:dyDescent="0.25">
      <c r="A27" s="1"/>
      <c r="B27" s="1"/>
      <c r="C27" s="1"/>
      <c r="D27" s="2"/>
      <c r="E27" s="1"/>
      <c r="F27" s="1" t="str">
        <f ca="1">IFERROR(E27*VLOOKUP(TODAY(),Paramètres!$A:$B,2,1),"")</f>
        <v/>
      </c>
      <c r="G27" s="2"/>
      <c r="H27" s="1"/>
      <c r="I27" s="2">
        <f t="shared" si="0"/>
        <v>0</v>
      </c>
      <c r="J27" s="2" t="str">
        <f t="shared" si="1"/>
        <v/>
      </c>
      <c r="K27" s="1"/>
      <c r="L27" s="1"/>
      <c r="M27" s="1"/>
      <c r="N27" s="11">
        <f t="shared" ca="1" si="2"/>
        <v>46238</v>
      </c>
    </row>
    <row r="28" spans="1:14" ht="15" customHeight="1" x14ac:dyDescent="0.25">
      <c r="A28" s="3"/>
      <c r="B28" s="3"/>
      <c r="C28" s="3"/>
      <c r="D28" s="4"/>
      <c r="E28" s="3"/>
      <c r="F28" s="3" t="str">
        <f ca="1">IFERROR(E28*VLOOKUP(TODAY(),Paramètres!$A:$B,2,1),"")</f>
        <v/>
      </c>
      <c r="G28" s="4"/>
      <c r="H28" s="3"/>
      <c r="I28" s="4">
        <f t="shared" si="0"/>
        <v>0</v>
      </c>
      <c r="J28" s="4" t="str">
        <f t="shared" si="1"/>
        <v/>
      </c>
      <c r="K28" s="3"/>
      <c r="L28" s="3"/>
      <c r="M28" s="3"/>
      <c r="N28" s="10">
        <f t="shared" ca="1" si="2"/>
        <v>46238</v>
      </c>
    </row>
    <row r="29" spans="1:14" ht="15" customHeight="1" x14ac:dyDescent="0.25">
      <c r="A29" s="1"/>
      <c r="B29" s="1"/>
      <c r="C29" s="1"/>
      <c r="D29" s="2"/>
      <c r="E29" s="1"/>
      <c r="F29" s="1" t="str">
        <f ca="1">IFERROR(E29*VLOOKUP(TODAY(),Paramètres!$A:$B,2,1),"")</f>
        <v/>
      </c>
      <c r="G29" s="2"/>
      <c r="H29" s="1"/>
      <c r="I29" s="2">
        <f t="shared" si="0"/>
        <v>0</v>
      </c>
      <c r="J29" s="2" t="str">
        <f t="shared" si="1"/>
        <v/>
      </c>
      <c r="K29" s="1"/>
      <c r="L29" s="1"/>
      <c r="M29" s="1"/>
      <c r="N29" s="11">
        <f t="shared" ca="1" si="2"/>
        <v>46238</v>
      </c>
    </row>
    <row r="30" spans="1:14" ht="15" customHeight="1" x14ac:dyDescent="0.25">
      <c r="A30" s="3"/>
      <c r="B30" s="3"/>
      <c r="C30" s="3"/>
      <c r="D30" s="4"/>
      <c r="E30" s="3"/>
      <c r="F30" s="3" t="str">
        <f ca="1">IFERROR(E30*VLOOKUP(TODAY(),Paramètres!$A:$B,2,1),"")</f>
        <v/>
      </c>
      <c r="G30" s="4"/>
      <c r="H30" s="3"/>
      <c r="I30" s="4">
        <f t="shared" si="0"/>
        <v>0</v>
      </c>
      <c r="J30" s="4" t="str">
        <f t="shared" si="1"/>
        <v/>
      </c>
      <c r="K30" s="3"/>
      <c r="L30" s="3"/>
      <c r="M30" s="3"/>
      <c r="N30" s="10">
        <f t="shared" ca="1" si="2"/>
        <v>46238</v>
      </c>
    </row>
    <row r="31" spans="1:14" ht="15" customHeight="1" x14ac:dyDescent="0.25">
      <c r="A31" s="1"/>
      <c r="B31" s="1"/>
      <c r="C31" s="1"/>
      <c r="D31" s="2"/>
      <c r="E31" s="1"/>
      <c r="F31" s="1" t="str">
        <f ca="1">IFERROR(E31*VLOOKUP(TODAY(),Paramètres!$A:$B,2,1),"")</f>
        <v/>
      </c>
      <c r="G31" s="2"/>
      <c r="H31" s="1"/>
      <c r="I31" s="2">
        <f t="shared" si="0"/>
        <v>0</v>
      </c>
      <c r="J31" s="2" t="str">
        <f t="shared" si="1"/>
        <v/>
      </c>
      <c r="K31" s="1"/>
      <c r="L31" s="1"/>
      <c r="M31" s="1"/>
      <c r="N31" s="11">
        <f t="shared" ca="1" si="2"/>
        <v>46238</v>
      </c>
    </row>
    <row r="32" spans="1:14" ht="15" customHeight="1" x14ac:dyDescent="0.25">
      <c r="A32" s="3"/>
      <c r="B32" s="3"/>
      <c r="C32" s="3"/>
      <c r="D32" s="4"/>
      <c r="E32" s="3"/>
      <c r="F32" s="3" t="str">
        <f ca="1">IFERROR(E32*VLOOKUP(TODAY(),Paramètres!$A:$B,2,1),"")</f>
        <v/>
      </c>
      <c r="G32" s="4"/>
      <c r="H32" s="3"/>
      <c r="I32" s="4">
        <f t="shared" si="0"/>
        <v>0</v>
      </c>
      <c r="J32" s="4" t="str">
        <f t="shared" si="1"/>
        <v/>
      </c>
      <c r="K32" s="3"/>
      <c r="L32" s="3"/>
      <c r="M32" s="3"/>
      <c r="N32" s="10">
        <f t="shared" ca="1" si="2"/>
        <v>46238</v>
      </c>
    </row>
    <row r="33" spans="1:14" ht="15" customHeight="1" x14ac:dyDescent="0.25">
      <c r="A33" s="1"/>
      <c r="B33" s="1"/>
      <c r="C33" s="1"/>
      <c r="D33" s="2"/>
      <c r="E33" s="1"/>
      <c r="F33" s="1" t="str">
        <f ca="1">IFERROR(E33*VLOOKUP(TODAY(),Paramètres!$A:$B,2,1),"")</f>
        <v/>
      </c>
      <c r="G33" s="2"/>
      <c r="H33" s="1"/>
      <c r="I33" s="2">
        <f t="shared" si="0"/>
        <v>0</v>
      </c>
      <c r="J33" s="2" t="str">
        <f t="shared" si="1"/>
        <v/>
      </c>
      <c r="K33" s="1"/>
      <c r="L33" s="1"/>
      <c r="M33" s="1"/>
      <c r="N33" s="11">
        <f t="shared" ca="1" si="2"/>
        <v>46238</v>
      </c>
    </row>
    <row r="34" spans="1:14" ht="15" customHeight="1" x14ac:dyDescent="0.25">
      <c r="A34" s="3"/>
      <c r="B34" s="3"/>
      <c r="C34" s="3"/>
      <c r="D34" s="4"/>
      <c r="E34" s="3"/>
      <c r="F34" s="3" t="str">
        <f ca="1">IFERROR(E34*VLOOKUP(TODAY(),Paramètres!$A:$B,2,1),"")</f>
        <v/>
      </c>
      <c r="G34" s="4"/>
      <c r="H34" s="3"/>
      <c r="I34" s="4">
        <f t="shared" ref="I34:I65" si="3">IFERROR(SUMIF(A:A,A34,D:D),"")</f>
        <v>0</v>
      </c>
      <c r="J34" s="4" t="str">
        <f t="shared" ref="J34:J65" si="4">IFERROR(AVERAGEIF(A:A,A34,G:G),"")</f>
        <v/>
      </c>
      <c r="K34" s="3"/>
      <c r="L34" s="3"/>
      <c r="M34" s="3"/>
      <c r="N34" s="10">
        <f t="shared" ref="N34:N65" ca="1" si="5">TODAY()</f>
        <v>46238</v>
      </c>
    </row>
    <row r="35" spans="1:14" ht="15" customHeight="1" x14ac:dyDescent="0.25">
      <c r="A35" s="1"/>
      <c r="B35" s="1"/>
      <c r="C35" s="1"/>
      <c r="D35" s="2"/>
      <c r="E35" s="1"/>
      <c r="F35" s="1" t="str">
        <f ca="1">IFERROR(E35*VLOOKUP(TODAY(),Paramètres!$A:$B,2,1),"")</f>
        <v/>
      </c>
      <c r="G35" s="2"/>
      <c r="H35" s="1"/>
      <c r="I35" s="2">
        <f t="shared" si="3"/>
        <v>0</v>
      </c>
      <c r="J35" s="2" t="str">
        <f t="shared" si="4"/>
        <v/>
      </c>
      <c r="K35" s="1"/>
      <c r="L35" s="1"/>
      <c r="M35" s="1"/>
      <c r="N35" s="11">
        <f t="shared" ca="1" si="5"/>
        <v>46238</v>
      </c>
    </row>
    <row r="36" spans="1:14" ht="15" customHeight="1" x14ac:dyDescent="0.25">
      <c r="A36" s="3"/>
      <c r="B36" s="3"/>
      <c r="C36" s="3"/>
      <c r="D36" s="4"/>
      <c r="E36" s="3"/>
      <c r="F36" s="3" t="str">
        <f ca="1">IFERROR(E36*VLOOKUP(TODAY(),Paramètres!$A:$B,2,1),"")</f>
        <v/>
      </c>
      <c r="G36" s="4"/>
      <c r="H36" s="3"/>
      <c r="I36" s="4">
        <f t="shared" si="3"/>
        <v>0</v>
      </c>
      <c r="J36" s="4" t="str">
        <f t="shared" si="4"/>
        <v/>
      </c>
      <c r="K36" s="3"/>
      <c r="L36" s="3"/>
      <c r="M36" s="3"/>
      <c r="N36" s="10">
        <f t="shared" ca="1" si="5"/>
        <v>46238</v>
      </c>
    </row>
    <row r="37" spans="1:14" ht="15" customHeight="1" x14ac:dyDescent="0.25">
      <c r="A37" s="1"/>
      <c r="B37" s="1"/>
      <c r="C37" s="1"/>
      <c r="D37" s="2"/>
      <c r="E37" s="1"/>
      <c r="F37" s="1" t="str">
        <f ca="1">IFERROR(E37*VLOOKUP(TODAY(),Paramètres!$A:$B,2,1),"")</f>
        <v/>
      </c>
      <c r="G37" s="2"/>
      <c r="H37" s="1"/>
      <c r="I37" s="2">
        <f t="shared" si="3"/>
        <v>0</v>
      </c>
      <c r="J37" s="2" t="str">
        <f t="shared" si="4"/>
        <v/>
      </c>
      <c r="K37" s="1"/>
      <c r="L37" s="1"/>
      <c r="M37" s="1"/>
      <c r="N37" s="11">
        <f t="shared" ca="1" si="5"/>
        <v>46238</v>
      </c>
    </row>
    <row r="38" spans="1:14" ht="15" customHeight="1" x14ac:dyDescent="0.25">
      <c r="A38" s="3"/>
      <c r="B38" s="3"/>
      <c r="C38" s="3"/>
      <c r="D38" s="4"/>
      <c r="E38" s="3"/>
      <c r="F38" s="3" t="str">
        <f ca="1">IFERROR(E38*VLOOKUP(TODAY(),Paramètres!$A:$B,2,1),"")</f>
        <v/>
      </c>
      <c r="G38" s="4"/>
      <c r="H38" s="3"/>
      <c r="I38" s="4">
        <f t="shared" si="3"/>
        <v>0</v>
      </c>
      <c r="J38" s="4" t="str">
        <f t="shared" si="4"/>
        <v/>
      </c>
      <c r="K38" s="3"/>
      <c r="L38" s="3"/>
      <c r="M38" s="3"/>
      <c r="N38" s="10">
        <f t="shared" ca="1" si="5"/>
        <v>46238</v>
      </c>
    </row>
    <row r="39" spans="1:14" ht="15" customHeight="1" x14ac:dyDescent="0.25">
      <c r="A39" s="1"/>
      <c r="B39" s="1"/>
      <c r="C39" s="1"/>
      <c r="D39" s="2"/>
      <c r="E39" s="1"/>
      <c r="F39" s="1" t="str">
        <f ca="1">IFERROR(E39*VLOOKUP(TODAY(),Paramètres!$A:$B,2,1),"")</f>
        <v/>
      </c>
      <c r="G39" s="2"/>
      <c r="H39" s="1"/>
      <c r="I39" s="2">
        <f t="shared" si="3"/>
        <v>0</v>
      </c>
      <c r="J39" s="2" t="str">
        <f t="shared" si="4"/>
        <v/>
      </c>
      <c r="K39" s="1"/>
      <c r="L39" s="1"/>
      <c r="M39" s="1"/>
      <c r="N39" s="11">
        <f t="shared" ca="1" si="5"/>
        <v>46238</v>
      </c>
    </row>
    <row r="40" spans="1:14" ht="15" customHeight="1" x14ac:dyDescent="0.25">
      <c r="A40" s="3"/>
      <c r="B40" s="3"/>
      <c r="C40" s="3"/>
      <c r="D40" s="4"/>
      <c r="E40" s="3"/>
      <c r="F40" s="3" t="str">
        <f ca="1">IFERROR(E40*VLOOKUP(TODAY(),Paramètres!$A:$B,2,1),"")</f>
        <v/>
      </c>
      <c r="G40" s="4"/>
      <c r="H40" s="3"/>
      <c r="I40" s="4">
        <f t="shared" si="3"/>
        <v>0</v>
      </c>
      <c r="J40" s="4" t="str">
        <f t="shared" si="4"/>
        <v/>
      </c>
      <c r="K40" s="3"/>
      <c r="L40" s="3"/>
      <c r="M40" s="3"/>
      <c r="N40" s="10">
        <f t="shared" ca="1" si="5"/>
        <v>46238</v>
      </c>
    </row>
    <row r="41" spans="1:14" ht="15" customHeight="1" x14ac:dyDescent="0.25">
      <c r="A41" s="1"/>
      <c r="B41" s="1"/>
      <c r="C41" s="1"/>
      <c r="D41" s="2"/>
      <c r="E41" s="1"/>
      <c r="F41" s="1" t="str">
        <f ca="1">IFERROR(E41*VLOOKUP(TODAY(),Paramètres!$A:$B,2,1),"")</f>
        <v/>
      </c>
      <c r="G41" s="2"/>
      <c r="H41" s="1"/>
      <c r="I41" s="2">
        <f t="shared" si="3"/>
        <v>0</v>
      </c>
      <c r="J41" s="2" t="str">
        <f t="shared" si="4"/>
        <v/>
      </c>
      <c r="K41" s="1"/>
      <c r="L41" s="1"/>
      <c r="M41" s="1"/>
      <c r="N41" s="11">
        <f t="shared" ca="1" si="5"/>
        <v>46238</v>
      </c>
    </row>
    <row r="42" spans="1:14" ht="15" customHeight="1" x14ac:dyDescent="0.25">
      <c r="A42" s="3"/>
      <c r="B42" s="3"/>
      <c r="C42" s="3"/>
      <c r="D42" s="4"/>
      <c r="E42" s="3"/>
      <c r="F42" s="3" t="str">
        <f ca="1">IFERROR(E42*VLOOKUP(TODAY(),Paramètres!$A:$B,2,1),"")</f>
        <v/>
      </c>
      <c r="G42" s="4"/>
      <c r="H42" s="3"/>
      <c r="I42" s="4">
        <f t="shared" si="3"/>
        <v>0</v>
      </c>
      <c r="J42" s="4" t="str">
        <f t="shared" si="4"/>
        <v/>
      </c>
      <c r="K42" s="3"/>
      <c r="L42" s="3"/>
      <c r="M42" s="3"/>
      <c r="N42" s="10">
        <f t="shared" ca="1" si="5"/>
        <v>46238</v>
      </c>
    </row>
    <row r="43" spans="1:14" ht="15" customHeight="1" x14ac:dyDescent="0.25">
      <c r="A43" s="1"/>
      <c r="B43" s="1"/>
      <c r="C43" s="1"/>
      <c r="D43" s="2"/>
      <c r="E43" s="1"/>
      <c r="F43" s="1" t="str">
        <f ca="1">IFERROR(E43*VLOOKUP(TODAY(),Paramètres!$A:$B,2,1),"")</f>
        <v/>
      </c>
      <c r="G43" s="2"/>
      <c r="H43" s="1"/>
      <c r="I43" s="2">
        <f t="shared" si="3"/>
        <v>0</v>
      </c>
      <c r="J43" s="2" t="str">
        <f t="shared" si="4"/>
        <v/>
      </c>
      <c r="K43" s="1"/>
      <c r="L43" s="1"/>
      <c r="M43" s="1"/>
      <c r="N43" s="11">
        <f t="shared" ca="1" si="5"/>
        <v>46238</v>
      </c>
    </row>
    <row r="44" spans="1:14" ht="15" customHeight="1" x14ac:dyDescent="0.25">
      <c r="A44" s="3"/>
      <c r="B44" s="3"/>
      <c r="C44" s="3"/>
      <c r="D44" s="4"/>
      <c r="E44" s="3"/>
      <c r="F44" s="3" t="str">
        <f ca="1">IFERROR(E44*VLOOKUP(TODAY(),Paramètres!$A:$B,2,1),"")</f>
        <v/>
      </c>
      <c r="G44" s="4"/>
      <c r="H44" s="3"/>
      <c r="I44" s="4">
        <f t="shared" si="3"/>
        <v>0</v>
      </c>
      <c r="J44" s="4" t="str">
        <f t="shared" si="4"/>
        <v/>
      </c>
      <c r="K44" s="3"/>
      <c r="L44" s="3"/>
      <c r="M44" s="3"/>
      <c r="N44" s="10">
        <f t="shared" ca="1" si="5"/>
        <v>46238</v>
      </c>
    </row>
    <row r="45" spans="1:14" ht="15" customHeight="1" x14ac:dyDescent="0.25">
      <c r="A45" s="1"/>
      <c r="B45" s="1"/>
      <c r="C45" s="1"/>
      <c r="D45" s="2"/>
      <c r="E45" s="1"/>
      <c r="F45" s="1" t="str">
        <f ca="1">IFERROR(E45*VLOOKUP(TODAY(),Paramètres!$A:$B,2,1),"")</f>
        <v/>
      </c>
      <c r="G45" s="2"/>
      <c r="H45" s="1"/>
      <c r="I45" s="2">
        <f t="shared" si="3"/>
        <v>0</v>
      </c>
      <c r="J45" s="2" t="str">
        <f t="shared" si="4"/>
        <v/>
      </c>
      <c r="K45" s="1"/>
      <c r="L45" s="1"/>
      <c r="M45" s="1"/>
      <c r="N45" s="11">
        <f t="shared" ca="1" si="5"/>
        <v>46238</v>
      </c>
    </row>
    <row r="46" spans="1:14" ht="15" customHeight="1" x14ac:dyDescent="0.25">
      <c r="A46" s="3"/>
      <c r="B46" s="3"/>
      <c r="C46" s="3"/>
      <c r="D46" s="4"/>
      <c r="E46" s="3"/>
      <c r="F46" s="3" t="str">
        <f ca="1">IFERROR(E46*VLOOKUP(TODAY(),Paramètres!$A:$B,2,1),"")</f>
        <v/>
      </c>
      <c r="G46" s="4"/>
      <c r="H46" s="3"/>
      <c r="I46" s="4">
        <f t="shared" si="3"/>
        <v>0</v>
      </c>
      <c r="J46" s="4" t="str">
        <f t="shared" si="4"/>
        <v/>
      </c>
      <c r="K46" s="3"/>
      <c r="L46" s="3"/>
      <c r="M46" s="3"/>
      <c r="N46" s="10">
        <f t="shared" ca="1" si="5"/>
        <v>46238</v>
      </c>
    </row>
    <row r="47" spans="1:14" ht="15" customHeight="1" x14ac:dyDescent="0.25">
      <c r="A47" s="1"/>
      <c r="B47" s="1"/>
      <c r="C47" s="1"/>
      <c r="D47" s="2"/>
      <c r="E47" s="1"/>
      <c r="F47" s="1" t="str">
        <f ca="1">IFERROR(E47*VLOOKUP(TODAY(),Paramètres!$A:$B,2,1),"")</f>
        <v/>
      </c>
      <c r="G47" s="2"/>
      <c r="H47" s="1"/>
      <c r="I47" s="2">
        <f t="shared" si="3"/>
        <v>0</v>
      </c>
      <c r="J47" s="2" t="str">
        <f t="shared" si="4"/>
        <v/>
      </c>
      <c r="K47" s="1"/>
      <c r="L47" s="1"/>
      <c r="M47" s="1"/>
      <c r="N47" s="11">
        <f t="shared" ca="1" si="5"/>
        <v>46238</v>
      </c>
    </row>
    <row r="48" spans="1:14" ht="15" customHeight="1" x14ac:dyDescent="0.25">
      <c r="A48" s="3"/>
      <c r="B48" s="3"/>
      <c r="C48" s="3"/>
      <c r="D48" s="4"/>
      <c r="E48" s="3"/>
      <c r="F48" s="3" t="str">
        <f ca="1">IFERROR(E48*VLOOKUP(TODAY(),Paramètres!$A:$B,2,1),"")</f>
        <v/>
      </c>
      <c r="G48" s="4"/>
      <c r="H48" s="3"/>
      <c r="I48" s="4">
        <f t="shared" si="3"/>
        <v>0</v>
      </c>
      <c r="J48" s="4" t="str">
        <f t="shared" si="4"/>
        <v/>
      </c>
      <c r="K48" s="3"/>
      <c r="L48" s="3"/>
      <c r="M48" s="3"/>
      <c r="N48" s="10">
        <f t="shared" ca="1" si="5"/>
        <v>46238</v>
      </c>
    </row>
    <row r="49" spans="1:14" ht="15" customHeight="1" x14ac:dyDescent="0.25">
      <c r="A49" s="1"/>
      <c r="B49" s="1"/>
      <c r="C49" s="1"/>
      <c r="D49" s="2"/>
      <c r="E49" s="1"/>
      <c r="F49" s="1" t="str">
        <f ca="1">IFERROR(E49*VLOOKUP(TODAY(),Paramètres!$A:$B,2,1),"")</f>
        <v/>
      </c>
      <c r="G49" s="2"/>
      <c r="H49" s="1"/>
      <c r="I49" s="2">
        <f t="shared" si="3"/>
        <v>0</v>
      </c>
      <c r="J49" s="2" t="str">
        <f t="shared" si="4"/>
        <v/>
      </c>
      <c r="K49" s="1"/>
      <c r="L49" s="1"/>
      <c r="M49" s="1"/>
      <c r="N49" s="11">
        <f t="shared" ca="1" si="5"/>
        <v>46238</v>
      </c>
    </row>
    <row r="50" spans="1:14" ht="15" customHeight="1" x14ac:dyDescent="0.25">
      <c r="A50" s="3"/>
      <c r="B50" s="3"/>
      <c r="C50" s="3"/>
      <c r="D50" s="4"/>
      <c r="E50" s="3"/>
      <c r="F50" s="3" t="str">
        <f ca="1">IFERROR(E50*VLOOKUP(TODAY(),Paramètres!$A:$B,2,1),"")</f>
        <v/>
      </c>
      <c r="G50" s="4"/>
      <c r="H50" s="3"/>
      <c r="I50" s="4">
        <f t="shared" si="3"/>
        <v>0</v>
      </c>
      <c r="J50" s="4" t="str">
        <f t="shared" si="4"/>
        <v/>
      </c>
      <c r="K50" s="3"/>
      <c r="L50" s="3"/>
      <c r="M50" s="3"/>
      <c r="N50" s="10">
        <f t="shared" ca="1" si="5"/>
        <v>46238</v>
      </c>
    </row>
    <row r="51" spans="1:14" ht="15" customHeight="1" x14ac:dyDescent="0.25">
      <c r="A51" s="1"/>
      <c r="B51" s="1"/>
      <c r="C51" s="1"/>
      <c r="D51" s="2"/>
      <c r="E51" s="1"/>
      <c r="F51" s="1" t="str">
        <f ca="1">IFERROR(E51*VLOOKUP(TODAY(),Paramètres!$A:$B,2,1),"")</f>
        <v/>
      </c>
      <c r="G51" s="2"/>
      <c r="H51" s="1"/>
      <c r="I51" s="2">
        <f t="shared" si="3"/>
        <v>0</v>
      </c>
      <c r="J51" s="2" t="str">
        <f t="shared" si="4"/>
        <v/>
      </c>
      <c r="K51" s="1"/>
      <c r="L51" s="1"/>
      <c r="M51" s="1"/>
      <c r="N51" s="11">
        <f t="shared" ca="1" si="5"/>
        <v>46238</v>
      </c>
    </row>
    <row r="52" spans="1:14" ht="15" customHeight="1" x14ac:dyDescent="0.25">
      <c r="A52" s="3"/>
      <c r="B52" s="3"/>
      <c r="C52" s="3"/>
      <c r="D52" s="4"/>
      <c r="E52" s="3"/>
      <c r="F52" s="3" t="str">
        <f ca="1">IFERROR(E52*VLOOKUP(TODAY(),Paramètres!$A:$B,2,1),"")</f>
        <v/>
      </c>
      <c r="G52" s="4"/>
      <c r="H52" s="3"/>
      <c r="I52" s="4">
        <f t="shared" si="3"/>
        <v>0</v>
      </c>
      <c r="J52" s="4" t="str">
        <f t="shared" si="4"/>
        <v/>
      </c>
      <c r="K52" s="3"/>
      <c r="L52" s="3"/>
      <c r="M52" s="3"/>
      <c r="N52" s="10">
        <f t="shared" ca="1" si="5"/>
        <v>46238</v>
      </c>
    </row>
    <row r="53" spans="1:14" ht="15" customHeight="1" x14ac:dyDescent="0.25">
      <c r="A53" s="1"/>
      <c r="B53" s="1"/>
      <c r="C53" s="1"/>
      <c r="D53" s="2"/>
      <c r="E53" s="1"/>
      <c r="F53" s="1" t="str">
        <f ca="1">IFERROR(E53*VLOOKUP(TODAY(),Paramètres!$A:$B,2,1),"")</f>
        <v/>
      </c>
      <c r="G53" s="2"/>
      <c r="H53" s="1"/>
      <c r="I53" s="2">
        <f t="shared" si="3"/>
        <v>0</v>
      </c>
      <c r="J53" s="2" t="str">
        <f t="shared" si="4"/>
        <v/>
      </c>
      <c r="K53" s="1"/>
      <c r="L53" s="1"/>
      <c r="M53" s="1"/>
      <c r="N53" s="11">
        <f t="shared" ca="1" si="5"/>
        <v>46238</v>
      </c>
    </row>
    <row r="54" spans="1:14" ht="15" customHeight="1" x14ac:dyDescent="0.25">
      <c r="A54" s="3"/>
      <c r="B54" s="3"/>
      <c r="C54" s="3"/>
      <c r="D54" s="4"/>
      <c r="E54" s="3"/>
      <c r="F54" s="3" t="str">
        <f ca="1">IFERROR(E54*VLOOKUP(TODAY(),Paramètres!$A:$B,2,1),"")</f>
        <v/>
      </c>
      <c r="G54" s="4"/>
      <c r="H54" s="3"/>
      <c r="I54" s="4">
        <f t="shared" si="3"/>
        <v>0</v>
      </c>
      <c r="J54" s="4" t="str">
        <f t="shared" si="4"/>
        <v/>
      </c>
      <c r="K54" s="3"/>
      <c r="L54" s="3"/>
      <c r="M54" s="3"/>
      <c r="N54" s="10">
        <f t="shared" ca="1" si="5"/>
        <v>46238</v>
      </c>
    </row>
    <row r="55" spans="1:14" ht="15" customHeight="1" x14ac:dyDescent="0.25">
      <c r="A55" s="1"/>
      <c r="B55" s="1"/>
      <c r="C55" s="1"/>
      <c r="D55" s="2"/>
      <c r="E55" s="1"/>
      <c r="F55" s="1" t="str">
        <f ca="1">IFERROR(E55*VLOOKUP(TODAY(),Paramètres!$A:$B,2,1),"")</f>
        <v/>
      </c>
      <c r="G55" s="2"/>
      <c r="H55" s="1"/>
      <c r="I55" s="2">
        <f t="shared" si="3"/>
        <v>0</v>
      </c>
      <c r="J55" s="2" t="str">
        <f t="shared" si="4"/>
        <v/>
      </c>
      <c r="K55" s="1"/>
      <c r="L55" s="1"/>
      <c r="M55" s="1"/>
      <c r="N55" s="11">
        <f t="shared" ca="1" si="5"/>
        <v>46238</v>
      </c>
    </row>
    <row r="56" spans="1:14" ht="15" customHeight="1" x14ac:dyDescent="0.25">
      <c r="A56" s="3"/>
      <c r="B56" s="3"/>
      <c r="C56" s="3"/>
      <c r="D56" s="4"/>
      <c r="E56" s="3"/>
      <c r="F56" s="3" t="str">
        <f ca="1">IFERROR(E56*VLOOKUP(TODAY(),Paramètres!$A:$B,2,1),"")</f>
        <v/>
      </c>
      <c r="G56" s="4"/>
      <c r="H56" s="3"/>
      <c r="I56" s="4">
        <f t="shared" si="3"/>
        <v>0</v>
      </c>
      <c r="J56" s="4" t="str">
        <f t="shared" si="4"/>
        <v/>
      </c>
      <c r="K56" s="3"/>
      <c r="L56" s="3"/>
      <c r="M56" s="3"/>
      <c r="N56" s="10">
        <f t="shared" ca="1" si="5"/>
        <v>46238</v>
      </c>
    </row>
    <row r="57" spans="1:14" ht="15" customHeight="1" x14ac:dyDescent="0.25">
      <c r="A57" s="1"/>
      <c r="B57" s="1"/>
      <c r="C57" s="1"/>
      <c r="D57" s="2"/>
      <c r="E57" s="1"/>
      <c r="F57" s="1" t="str">
        <f ca="1">IFERROR(E57*VLOOKUP(TODAY(),Paramètres!$A:$B,2,1),"")</f>
        <v/>
      </c>
      <c r="G57" s="2"/>
      <c r="H57" s="1"/>
      <c r="I57" s="2">
        <f t="shared" si="3"/>
        <v>0</v>
      </c>
      <c r="J57" s="2" t="str">
        <f t="shared" si="4"/>
        <v/>
      </c>
      <c r="K57" s="1"/>
      <c r="L57" s="1"/>
      <c r="M57" s="1"/>
      <c r="N57" s="11">
        <f t="shared" ca="1" si="5"/>
        <v>46238</v>
      </c>
    </row>
    <row r="58" spans="1:14" ht="15" customHeight="1" x14ac:dyDescent="0.25">
      <c r="A58" s="3"/>
      <c r="B58" s="3"/>
      <c r="C58" s="3"/>
      <c r="D58" s="4"/>
      <c r="E58" s="3"/>
      <c r="F58" s="3" t="str">
        <f ca="1">IFERROR(E58*VLOOKUP(TODAY(),Paramètres!$A:$B,2,1),"")</f>
        <v/>
      </c>
      <c r="G58" s="4"/>
      <c r="H58" s="3"/>
      <c r="I58" s="4">
        <f t="shared" si="3"/>
        <v>0</v>
      </c>
      <c r="J58" s="4" t="str">
        <f t="shared" si="4"/>
        <v/>
      </c>
      <c r="K58" s="3"/>
      <c r="L58" s="3"/>
      <c r="M58" s="3"/>
      <c r="N58" s="10">
        <f t="shared" ca="1" si="5"/>
        <v>46238</v>
      </c>
    </row>
    <row r="59" spans="1:14" ht="15" customHeight="1" x14ac:dyDescent="0.25">
      <c r="A59" s="1"/>
      <c r="B59" s="1"/>
      <c r="C59" s="1"/>
      <c r="D59" s="2"/>
      <c r="E59" s="1"/>
      <c r="F59" s="1" t="str">
        <f ca="1">IFERROR(E59*VLOOKUP(TODAY(),Paramètres!$A:$B,2,1),"")</f>
        <v/>
      </c>
      <c r="G59" s="2"/>
      <c r="H59" s="1"/>
      <c r="I59" s="2">
        <f t="shared" si="3"/>
        <v>0</v>
      </c>
      <c r="J59" s="2" t="str">
        <f t="shared" si="4"/>
        <v/>
      </c>
      <c r="K59" s="1"/>
      <c r="L59" s="1"/>
      <c r="M59" s="1"/>
      <c r="N59" s="11">
        <f t="shared" ca="1" si="5"/>
        <v>46238</v>
      </c>
    </row>
    <row r="60" spans="1:14" ht="15" customHeight="1" x14ac:dyDescent="0.25">
      <c r="A60" s="3"/>
      <c r="B60" s="3"/>
      <c r="C60" s="3"/>
      <c r="D60" s="4"/>
      <c r="E60" s="3"/>
      <c r="F60" s="3" t="str">
        <f ca="1">IFERROR(E60*VLOOKUP(TODAY(),Paramètres!$A:$B,2,1),"")</f>
        <v/>
      </c>
      <c r="G60" s="4"/>
      <c r="H60" s="3"/>
      <c r="I60" s="4">
        <f t="shared" si="3"/>
        <v>0</v>
      </c>
      <c r="J60" s="4" t="str">
        <f t="shared" si="4"/>
        <v/>
      </c>
      <c r="K60" s="3"/>
      <c r="L60" s="3"/>
      <c r="M60" s="3"/>
      <c r="N60" s="10">
        <f t="shared" ca="1" si="5"/>
        <v>46238</v>
      </c>
    </row>
    <row r="61" spans="1:14" ht="15" customHeight="1" x14ac:dyDescent="0.25">
      <c r="A61" s="1"/>
      <c r="B61" s="1"/>
      <c r="C61" s="1"/>
      <c r="D61" s="2"/>
      <c r="E61" s="1"/>
      <c r="F61" s="1" t="str">
        <f ca="1">IFERROR(E61*VLOOKUP(TODAY(),Paramètres!$A:$B,2,1),"")</f>
        <v/>
      </c>
      <c r="G61" s="2"/>
      <c r="H61" s="1"/>
      <c r="I61" s="2">
        <f t="shared" si="3"/>
        <v>0</v>
      </c>
      <c r="J61" s="2" t="str">
        <f t="shared" si="4"/>
        <v/>
      </c>
      <c r="K61" s="1"/>
      <c r="L61" s="1"/>
      <c r="M61" s="1"/>
      <c r="N61" s="11">
        <f t="shared" ca="1" si="5"/>
        <v>46238</v>
      </c>
    </row>
    <row r="62" spans="1:14" ht="15" customHeight="1" x14ac:dyDescent="0.25">
      <c r="A62" s="3"/>
      <c r="B62" s="3"/>
      <c r="C62" s="3"/>
      <c r="D62" s="4"/>
      <c r="E62" s="3"/>
      <c r="F62" s="3" t="str">
        <f ca="1">IFERROR(E62*VLOOKUP(TODAY(),Paramètres!$A:$B,2,1),"")</f>
        <v/>
      </c>
      <c r="G62" s="4"/>
      <c r="H62" s="3"/>
      <c r="I62" s="4">
        <f t="shared" si="3"/>
        <v>0</v>
      </c>
      <c r="J62" s="4" t="str">
        <f t="shared" si="4"/>
        <v/>
      </c>
      <c r="K62" s="3"/>
      <c r="L62" s="3"/>
      <c r="M62" s="3"/>
      <c r="N62" s="10">
        <f t="shared" ca="1" si="5"/>
        <v>46238</v>
      </c>
    </row>
    <row r="63" spans="1:14" ht="15" customHeight="1" x14ac:dyDescent="0.25">
      <c r="A63" s="1"/>
      <c r="B63" s="1"/>
      <c r="C63" s="1"/>
      <c r="D63" s="2"/>
      <c r="E63" s="1"/>
      <c r="F63" s="1" t="str">
        <f ca="1">IFERROR(E63*VLOOKUP(TODAY(),Paramètres!$A:$B,2,1),"")</f>
        <v/>
      </c>
      <c r="G63" s="2"/>
      <c r="H63" s="1"/>
      <c r="I63" s="2">
        <f t="shared" si="3"/>
        <v>0</v>
      </c>
      <c r="J63" s="2" t="str">
        <f t="shared" si="4"/>
        <v/>
      </c>
      <c r="K63" s="1"/>
      <c r="L63" s="1"/>
      <c r="M63" s="1"/>
      <c r="N63" s="11">
        <f t="shared" ca="1" si="5"/>
        <v>46238</v>
      </c>
    </row>
    <row r="64" spans="1:14" ht="15" customHeight="1" x14ac:dyDescent="0.25">
      <c r="A64" s="3"/>
      <c r="B64" s="3"/>
      <c r="C64" s="3"/>
      <c r="D64" s="4"/>
      <c r="E64" s="3"/>
      <c r="F64" s="3" t="str">
        <f ca="1">IFERROR(E64*VLOOKUP(TODAY(),Paramètres!$A:$B,2,1),"")</f>
        <v/>
      </c>
      <c r="G64" s="4"/>
      <c r="H64" s="3"/>
      <c r="I64" s="4">
        <f t="shared" si="3"/>
        <v>0</v>
      </c>
      <c r="J64" s="4" t="str">
        <f t="shared" si="4"/>
        <v/>
      </c>
      <c r="K64" s="3"/>
      <c r="L64" s="3"/>
      <c r="M64" s="3"/>
      <c r="N64" s="10">
        <f t="shared" ca="1" si="5"/>
        <v>46238</v>
      </c>
    </row>
    <row r="65" spans="1:14" ht="15" customHeight="1" x14ac:dyDescent="0.25">
      <c r="A65" s="1"/>
      <c r="B65" s="1"/>
      <c r="C65" s="1"/>
      <c r="D65" s="2"/>
      <c r="E65" s="1"/>
      <c r="F65" s="1" t="str">
        <f ca="1">IFERROR(E65*VLOOKUP(TODAY(),Paramètres!$A:$B,2,1),"")</f>
        <v/>
      </c>
      <c r="G65" s="2"/>
      <c r="H65" s="1"/>
      <c r="I65" s="2">
        <f t="shared" si="3"/>
        <v>0</v>
      </c>
      <c r="J65" s="2" t="str">
        <f t="shared" si="4"/>
        <v/>
      </c>
      <c r="K65" s="1"/>
      <c r="L65" s="1"/>
      <c r="M65" s="1"/>
      <c r="N65" s="11">
        <f t="shared" ca="1" si="5"/>
        <v>46238</v>
      </c>
    </row>
    <row r="66" spans="1:14" ht="15" customHeight="1" x14ac:dyDescent="0.25">
      <c r="A66" s="3"/>
      <c r="B66" s="3"/>
      <c r="C66" s="3"/>
      <c r="D66" s="4"/>
      <c r="E66" s="3"/>
      <c r="F66" s="3" t="str">
        <f ca="1">IFERROR(E66*VLOOKUP(TODAY(),Paramètres!$A:$B,2,1),"")</f>
        <v/>
      </c>
      <c r="G66" s="4"/>
      <c r="H66" s="3"/>
      <c r="I66" s="4">
        <f t="shared" ref="I66:I101" si="6">IFERROR(SUMIF(A:A,A66,D:D),"")</f>
        <v>0</v>
      </c>
      <c r="J66" s="4" t="str">
        <f t="shared" ref="J66:J101" si="7">IFERROR(AVERAGEIF(A:A,A66,G:G),"")</f>
        <v/>
      </c>
      <c r="K66" s="3"/>
      <c r="L66" s="3"/>
      <c r="M66" s="3"/>
      <c r="N66" s="10">
        <f t="shared" ref="N66:N101" ca="1" si="8">TODAY()</f>
        <v>46238</v>
      </c>
    </row>
    <row r="67" spans="1:14" ht="15" customHeight="1" x14ac:dyDescent="0.25">
      <c r="A67" s="1"/>
      <c r="B67" s="1"/>
      <c r="C67" s="1"/>
      <c r="D67" s="2"/>
      <c r="E67" s="1"/>
      <c r="F67" s="1" t="str">
        <f ca="1">IFERROR(E67*VLOOKUP(TODAY(),Paramètres!$A:$B,2,1),"")</f>
        <v/>
      </c>
      <c r="G67" s="2"/>
      <c r="H67" s="1"/>
      <c r="I67" s="2">
        <f t="shared" si="6"/>
        <v>0</v>
      </c>
      <c r="J67" s="2" t="str">
        <f t="shared" si="7"/>
        <v/>
      </c>
      <c r="K67" s="1"/>
      <c r="L67" s="1"/>
      <c r="M67" s="1"/>
      <c r="N67" s="11">
        <f t="shared" ca="1" si="8"/>
        <v>46238</v>
      </c>
    </row>
    <row r="68" spans="1:14" ht="15" customHeight="1" x14ac:dyDescent="0.25">
      <c r="A68" s="3"/>
      <c r="B68" s="3"/>
      <c r="C68" s="3"/>
      <c r="D68" s="4"/>
      <c r="E68" s="3"/>
      <c r="F68" s="3" t="str">
        <f ca="1">IFERROR(E68*VLOOKUP(TODAY(),Paramètres!$A:$B,2,1),"")</f>
        <v/>
      </c>
      <c r="G68" s="4"/>
      <c r="H68" s="3"/>
      <c r="I68" s="4">
        <f t="shared" si="6"/>
        <v>0</v>
      </c>
      <c r="J68" s="4" t="str">
        <f t="shared" si="7"/>
        <v/>
      </c>
      <c r="K68" s="3"/>
      <c r="L68" s="3"/>
      <c r="M68" s="3"/>
      <c r="N68" s="10">
        <f t="shared" ca="1" si="8"/>
        <v>46238</v>
      </c>
    </row>
    <row r="69" spans="1:14" ht="15" customHeight="1" x14ac:dyDescent="0.25">
      <c r="A69" s="1"/>
      <c r="B69" s="1"/>
      <c r="C69" s="1"/>
      <c r="D69" s="2"/>
      <c r="E69" s="1"/>
      <c r="F69" s="1" t="str">
        <f ca="1">IFERROR(E69*VLOOKUP(TODAY(),Paramètres!$A:$B,2,1),"")</f>
        <v/>
      </c>
      <c r="G69" s="2"/>
      <c r="H69" s="1"/>
      <c r="I69" s="2">
        <f t="shared" si="6"/>
        <v>0</v>
      </c>
      <c r="J69" s="2" t="str">
        <f t="shared" si="7"/>
        <v/>
      </c>
      <c r="K69" s="1"/>
      <c r="L69" s="1"/>
      <c r="M69" s="1"/>
      <c r="N69" s="11">
        <f t="shared" ca="1" si="8"/>
        <v>46238</v>
      </c>
    </row>
    <row r="70" spans="1:14" ht="15" customHeight="1" x14ac:dyDescent="0.25">
      <c r="A70" s="3"/>
      <c r="B70" s="3"/>
      <c r="C70" s="3"/>
      <c r="D70" s="4"/>
      <c r="E70" s="3"/>
      <c r="F70" s="3" t="str">
        <f ca="1">IFERROR(E70*VLOOKUP(TODAY(),Paramètres!$A:$B,2,1),"")</f>
        <v/>
      </c>
      <c r="G70" s="4"/>
      <c r="H70" s="3"/>
      <c r="I70" s="4">
        <f t="shared" si="6"/>
        <v>0</v>
      </c>
      <c r="J70" s="4" t="str">
        <f t="shared" si="7"/>
        <v/>
      </c>
      <c r="K70" s="3"/>
      <c r="L70" s="3"/>
      <c r="M70" s="3"/>
      <c r="N70" s="10">
        <f t="shared" ca="1" si="8"/>
        <v>46238</v>
      </c>
    </row>
    <row r="71" spans="1:14" ht="15" customHeight="1" x14ac:dyDescent="0.25">
      <c r="A71" s="1"/>
      <c r="B71" s="1"/>
      <c r="C71" s="1"/>
      <c r="D71" s="2"/>
      <c r="E71" s="1"/>
      <c r="F71" s="1" t="str">
        <f ca="1">IFERROR(E71*VLOOKUP(TODAY(),Paramètres!$A:$B,2,1),"")</f>
        <v/>
      </c>
      <c r="G71" s="2"/>
      <c r="H71" s="1"/>
      <c r="I71" s="2">
        <f t="shared" si="6"/>
        <v>0</v>
      </c>
      <c r="J71" s="2" t="str">
        <f t="shared" si="7"/>
        <v/>
      </c>
      <c r="K71" s="1"/>
      <c r="L71" s="1"/>
      <c r="M71" s="1"/>
      <c r="N71" s="11">
        <f t="shared" ca="1" si="8"/>
        <v>46238</v>
      </c>
    </row>
    <row r="72" spans="1:14" ht="15" customHeight="1" x14ac:dyDescent="0.25">
      <c r="A72" s="3"/>
      <c r="B72" s="3"/>
      <c r="C72" s="3"/>
      <c r="D72" s="4"/>
      <c r="E72" s="3"/>
      <c r="F72" s="3" t="str">
        <f ca="1">IFERROR(E72*VLOOKUP(TODAY(),Paramètres!$A:$B,2,1),"")</f>
        <v/>
      </c>
      <c r="G72" s="4"/>
      <c r="H72" s="3"/>
      <c r="I72" s="4">
        <f t="shared" si="6"/>
        <v>0</v>
      </c>
      <c r="J72" s="4" t="str">
        <f t="shared" si="7"/>
        <v/>
      </c>
      <c r="K72" s="3"/>
      <c r="L72" s="3"/>
      <c r="M72" s="3"/>
      <c r="N72" s="10">
        <f t="shared" ca="1" si="8"/>
        <v>46238</v>
      </c>
    </row>
    <row r="73" spans="1:14" ht="15" customHeight="1" x14ac:dyDescent="0.25">
      <c r="A73" s="1"/>
      <c r="B73" s="1"/>
      <c r="C73" s="1"/>
      <c r="D73" s="2"/>
      <c r="E73" s="1"/>
      <c r="F73" s="1" t="str">
        <f ca="1">IFERROR(E73*VLOOKUP(TODAY(),Paramètres!$A:$B,2,1),"")</f>
        <v/>
      </c>
      <c r="G73" s="2"/>
      <c r="H73" s="1"/>
      <c r="I73" s="2">
        <f t="shared" si="6"/>
        <v>0</v>
      </c>
      <c r="J73" s="2" t="str">
        <f t="shared" si="7"/>
        <v/>
      </c>
      <c r="K73" s="1"/>
      <c r="L73" s="1"/>
      <c r="M73" s="1"/>
      <c r="N73" s="11">
        <f t="shared" ca="1" si="8"/>
        <v>46238</v>
      </c>
    </row>
    <row r="74" spans="1:14" ht="15" customHeight="1" x14ac:dyDescent="0.25">
      <c r="A74" s="3"/>
      <c r="B74" s="3"/>
      <c r="C74" s="3"/>
      <c r="D74" s="4"/>
      <c r="E74" s="3"/>
      <c r="F74" s="3" t="str">
        <f ca="1">IFERROR(E74*VLOOKUP(TODAY(),Paramètres!$A:$B,2,1),"")</f>
        <v/>
      </c>
      <c r="G74" s="4"/>
      <c r="H74" s="3"/>
      <c r="I74" s="4">
        <f t="shared" si="6"/>
        <v>0</v>
      </c>
      <c r="J74" s="4" t="str">
        <f t="shared" si="7"/>
        <v/>
      </c>
      <c r="K74" s="3"/>
      <c r="L74" s="3"/>
      <c r="M74" s="3"/>
      <c r="N74" s="10">
        <f t="shared" ca="1" si="8"/>
        <v>46238</v>
      </c>
    </row>
    <row r="75" spans="1:14" ht="15" customHeight="1" x14ac:dyDescent="0.25">
      <c r="A75" s="1"/>
      <c r="B75" s="1"/>
      <c r="C75" s="1"/>
      <c r="D75" s="2"/>
      <c r="E75" s="1"/>
      <c r="F75" s="1" t="str">
        <f ca="1">IFERROR(E75*VLOOKUP(TODAY(),Paramètres!$A:$B,2,1),"")</f>
        <v/>
      </c>
      <c r="G75" s="2"/>
      <c r="H75" s="1"/>
      <c r="I75" s="2">
        <f t="shared" si="6"/>
        <v>0</v>
      </c>
      <c r="J75" s="2" t="str">
        <f t="shared" si="7"/>
        <v/>
      </c>
      <c r="K75" s="1"/>
      <c r="L75" s="1"/>
      <c r="M75" s="1"/>
      <c r="N75" s="11">
        <f t="shared" ca="1" si="8"/>
        <v>46238</v>
      </c>
    </row>
    <row r="76" spans="1:14" ht="15" customHeight="1" x14ac:dyDescent="0.25">
      <c r="A76" s="3"/>
      <c r="B76" s="3"/>
      <c r="C76" s="3"/>
      <c r="D76" s="4"/>
      <c r="E76" s="3"/>
      <c r="F76" s="3" t="str">
        <f ca="1">IFERROR(E76*VLOOKUP(TODAY(),Paramètres!$A:$B,2,1),"")</f>
        <v/>
      </c>
      <c r="G76" s="4"/>
      <c r="H76" s="3"/>
      <c r="I76" s="4">
        <f t="shared" si="6"/>
        <v>0</v>
      </c>
      <c r="J76" s="4" t="str">
        <f t="shared" si="7"/>
        <v/>
      </c>
      <c r="K76" s="3"/>
      <c r="L76" s="3"/>
      <c r="M76" s="3"/>
      <c r="N76" s="10">
        <f t="shared" ca="1" si="8"/>
        <v>46238</v>
      </c>
    </row>
    <row r="77" spans="1:14" ht="15" customHeight="1" x14ac:dyDescent="0.25">
      <c r="A77" s="1"/>
      <c r="B77" s="1"/>
      <c r="C77" s="1"/>
      <c r="D77" s="2"/>
      <c r="E77" s="1"/>
      <c r="F77" s="1" t="str">
        <f ca="1">IFERROR(E77*VLOOKUP(TODAY(),Paramètres!$A:$B,2,1),"")</f>
        <v/>
      </c>
      <c r="G77" s="2"/>
      <c r="H77" s="1"/>
      <c r="I77" s="2">
        <f t="shared" si="6"/>
        <v>0</v>
      </c>
      <c r="J77" s="2" t="str">
        <f t="shared" si="7"/>
        <v/>
      </c>
      <c r="K77" s="1"/>
      <c r="L77" s="1"/>
      <c r="M77" s="1"/>
      <c r="N77" s="11">
        <f t="shared" ca="1" si="8"/>
        <v>46238</v>
      </c>
    </row>
    <row r="78" spans="1:14" ht="15" customHeight="1" x14ac:dyDescent="0.25">
      <c r="A78" s="3"/>
      <c r="B78" s="3"/>
      <c r="C78" s="3"/>
      <c r="D78" s="4"/>
      <c r="E78" s="3"/>
      <c r="F78" s="3" t="str">
        <f ca="1">IFERROR(E78*VLOOKUP(TODAY(),Paramètres!$A:$B,2,1),"")</f>
        <v/>
      </c>
      <c r="G78" s="4"/>
      <c r="H78" s="3"/>
      <c r="I78" s="4">
        <f t="shared" si="6"/>
        <v>0</v>
      </c>
      <c r="J78" s="4" t="str">
        <f t="shared" si="7"/>
        <v/>
      </c>
      <c r="K78" s="3"/>
      <c r="L78" s="3"/>
      <c r="M78" s="3"/>
      <c r="N78" s="10">
        <f t="shared" ca="1" si="8"/>
        <v>46238</v>
      </c>
    </row>
    <row r="79" spans="1:14" ht="15" customHeight="1" x14ac:dyDescent="0.25">
      <c r="A79" s="1"/>
      <c r="B79" s="1"/>
      <c r="C79" s="1"/>
      <c r="D79" s="2"/>
      <c r="E79" s="1"/>
      <c r="F79" s="1" t="str">
        <f ca="1">IFERROR(E79*VLOOKUP(TODAY(),Paramètres!$A:$B,2,1),"")</f>
        <v/>
      </c>
      <c r="G79" s="2"/>
      <c r="H79" s="1"/>
      <c r="I79" s="2">
        <f t="shared" si="6"/>
        <v>0</v>
      </c>
      <c r="J79" s="2" t="str">
        <f t="shared" si="7"/>
        <v/>
      </c>
      <c r="K79" s="1"/>
      <c r="L79" s="1"/>
      <c r="M79" s="1"/>
      <c r="N79" s="11">
        <f t="shared" ca="1" si="8"/>
        <v>46238</v>
      </c>
    </row>
    <row r="80" spans="1:14" ht="15" customHeight="1" x14ac:dyDescent="0.25">
      <c r="A80" s="3"/>
      <c r="B80" s="3"/>
      <c r="C80" s="3"/>
      <c r="D80" s="4"/>
      <c r="E80" s="3"/>
      <c r="F80" s="3" t="str">
        <f ca="1">IFERROR(E80*VLOOKUP(TODAY(),Paramètres!$A:$B,2,1),"")</f>
        <v/>
      </c>
      <c r="G80" s="4"/>
      <c r="H80" s="3"/>
      <c r="I80" s="4">
        <f t="shared" si="6"/>
        <v>0</v>
      </c>
      <c r="J80" s="4" t="str">
        <f t="shared" si="7"/>
        <v/>
      </c>
      <c r="K80" s="3"/>
      <c r="L80" s="3"/>
      <c r="M80" s="3"/>
      <c r="N80" s="10">
        <f t="shared" ca="1" si="8"/>
        <v>46238</v>
      </c>
    </row>
    <row r="81" spans="1:14" ht="15" customHeight="1" x14ac:dyDescent="0.25">
      <c r="A81" s="1"/>
      <c r="B81" s="1"/>
      <c r="C81" s="1"/>
      <c r="D81" s="2"/>
      <c r="E81" s="1"/>
      <c r="F81" s="1" t="str">
        <f ca="1">IFERROR(E81*VLOOKUP(TODAY(),Paramètres!$A:$B,2,1),"")</f>
        <v/>
      </c>
      <c r="G81" s="2"/>
      <c r="H81" s="1"/>
      <c r="I81" s="2">
        <f t="shared" si="6"/>
        <v>0</v>
      </c>
      <c r="J81" s="2" t="str">
        <f t="shared" si="7"/>
        <v/>
      </c>
      <c r="K81" s="1"/>
      <c r="L81" s="1"/>
      <c r="M81" s="1"/>
      <c r="N81" s="11">
        <f t="shared" ca="1" si="8"/>
        <v>46238</v>
      </c>
    </row>
    <row r="82" spans="1:14" ht="15" customHeight="1" x14ac:dyDescent="0.25">
      <c r="A82" s="3"/>
      <c r="B82" s="3"/>
      <c r="C82" s="3"/>
      <c r="D82" s="4"/>
      <c r="E82" s="3"/>
      <c r="F82" s="3" t="str">
        <f ca="1">IFERROR(E82*VLOOKUP(TODAY(),Paramètres!$A:$B,2,1),"")</f>
        <v/>
      </c>
      <c r="G82" s="4"/>
      <c r="H82" s="3"/>
      <c r="I82" s="4">
        <f t="shared" si="6"/>
        <v>0</v>
      </c>
      <c r="J82" s="4" t="str">
        <f t="shared" si="7"/>
        <v/>
      </c>
      <c r="K82" s="3"/>
      <c r="L82" s="3"/>
      <c r="M82" s="3"/>
      <c r="N82" s="10">
        <f t="shared" ca="1" si="8"/>
        <v>46238</v>
      </c>
    </row>
    <row r="83" spans="1:14" ht="15" customHeight="1" x14ac:dyDescent="0.25">
      <c r="A83" s="1"/>
      <c r="B83" s="1"/>
      <c r="C83" s="1"/>
      <c r="D83" s="2"/>
      <c r="E83" s="1"/>
      <c r="F83" s="1" t="str">
        <f ca="1">IFERROR(E83*VLOOKUP(TODAY(),Paramètres!$A:$B,2,1),"")</f>
        <v/>
      </c>
      <c r="G83" s="2"/>
      <c r="H83" s="1"/>
      <c r="I83" s="2">
        <f t="shared" si="6"/>
        <v>0</v>
      </c>
      <c r="J83" s="2" t="str">
        <f t="shared" si="7"/>
        <v/>
      </c>
      <c r="K83" s="1"/>
      <c r="L83" s="1"/>
      <c r="M83" s="1"/>
      <c r="N83" s="11">
        <f t="shared" ca="1" si="8"/>
        <v>46238</v>
      </c>
    </row>
    <row r="84" spans="1:14" ht="15" customHeight="1" x14ac:dyDescent="0.25">
      <c r="A84" s="3"/>
      <c r="B84" s="3"/>
      <c r="C84" s="3"/>
      <c r="D84" s="4"/>
      <c r="E84" s="3"/>
      <c r="F84" s="3" t="str">
        <f ca="1">IFERROR(E84*VLOOKUP(TODAY(),Paramètres!$A:$B,2,1),"")</f>
        <v/>
      </c>
      <c r="G84" s="4"/>
      <c r="H84" s="3"/>
      <c r="I84" s="4">
        <f t="shared" si="6"/>
        <v>0</v>
      </c>
      <c r="J84" s="4" t="str">
        <f t="shared" si="7"/>
        <v/>
      </c>
      <c r="K84" s="3"/>
      <c r="L84" s="3"/>
      <c r="M84" s="3"/>
      <c r="N84" s="10">
        <f t="shared" ca="1" si="8"/>
        <v>46238</v>
      </c>
    </row>
    <row r="85" spans="1:14" ht="15" customHeight="1" x14ac:dyDescent="0.25">
      <c r="A85" s="1"/>
      <c r="B85" s="1"/>
      <c r="C85" s="1"/>
      <c r="D85" s="2"/>
      <c r="E85" s="1"/>
      <c r="F85" s="1" t="str">
        <f ca="1">IFERROR(E85*VLOOKUP(TODAY(),Paramètres!$A:$B,2,1),"")</f>
        <v/>
      </c>
      <c r="G85" s="2"/>
      <c r="H85" s="1"/>
      <c r="I85" s="2">
        <f t="shared" si="6"/>
        <v>0</v>
      </c>
      <c r="J85" s="2" t="str">
        <f t="shared" si="7"/>
        <v/>
      </c>
      <c r="K85" s="1"/>
      <c r="L85" s="1"/>
      <c r="M85" s="1"/>
      <c r="N85" s="11">
        <f t="shared" ca="1" si="8"/>
        <v>46238</v>
      </c>
    </row>
    <row r="86" spans="1:14" ht="15" customHeight="1" x14ac:dyDescent="0.25">
      <c r="A86" s="3"/>
      <c r="B86" s="3"/>
      <c r="C86" s="3"/>
      <c r="D86" s="4"/>
      <c r="E86" s="3"/>
      <c r="F86" s="3" t="str">
        <f ca="1">IFERROR(E86*VLOOKUP(TODAY(),Paramètres!$A:$B,2,1),"")</f>
        <v/>
      </c>
      <c r="G86" s="4"/>
      <c r="H86" s="3"/>
      <c r="I86" s="4">
        <f t="shared" si="6"/>
        <v>0</v>
      </c>
      <c r="J86" s="4" t="str">
        <f t="shared" si="7"/>
        <v/>
      </c>
      <c r="K86" s="3"/>
      <c r="L86" s="3"/>
      <c r="M86" s="3"/>
      <c r="N86" s="10">
        <f t="shared" ca="1" si="8"/>
        <v>46238</v>
      </c>
    </row>
    <row r="87" spans="1:14" ht="15" customHeight="1" x14ac:dyDescent="0.25">
      <c r="A87" s="1"/>
      <c r="B87" s="1"/>
      <c r="C87" s="1"/>
      <c r="D87" s="2"/>
      <c r="E87" s="1"/>
      <c r="F87" s="1" t="str">
        <f ca="1">IFERROR(E87*VLOOKUP(TODAY(),Paramètres!$A:$B,2,1),"")</f>
        <v/>
      </c>
      <c r="G87" s="2"/>
      <c r="H87" s="1"/>
      <c r="I87" s="2">
        <f t="shared" si="6"/>
        <v>0</v>
      </c>
      <c r="J87" s="2" t="str">
        <f t="shared" si="7"/>
        <v/>
      </c>
      <c r="K87" s="1"/>
      <c r="L87" s="1"/>
      <c r="M87" s="1"/>
      <c r="N87" s="11">
        <f t="shared" ca="1" si="8"/>
        <v>46238</v>
      </c>
    </row>
    <row r="88" spans="1:14" ht="15" customHeight="1" x14ac:dyDescent="0.25">
      <c r="A88" s="3"/>
      <c r="B88" s="3"/>
      <c r="C88" s="3"/>
      <c r="D88" s="4"/>
      <c r="E88" s="3"/>
      <c r="F88" s="3" t="str">
        <f ca="1">IFERROR(E88*VLOOKUP(TODAY(),Paramètres!$A:$B,2,1),"")</f>
        <v/>
      </c>
      <c r="G88" s="4"/>
      <c r="H88" s="3"/>
      <c r="I88" s="4">
        <f t="shared" si="6"/>
        <v>0</v>
      </c>
      <c r="J88" s="4" t="str">
        <f t="shared" si="7"/>
        <v/>
      </c>
      <c r="K88" s="3"/>
      <c r="L88" s="3"/>
      <c r="M88" s="3"/>
      <c r="N88" s="10">
        <f t="shared" ca="1" si="8"/>
        <v>46238</v>
      </c>
    </row>
    <row r="89" spans="1:14" ht="15" customHeight="1" x14ac:dyDescent="0.25">
      <c r="A89" s="1"/>
      <c r="B89" s="1"/>
      <c r="C89" s="1"/>
      <c r="D89" s="2"/>
      <c r="E89" s="1"/>
      <c r="F89" s="1" t="str">
        <f ca="1">IFERROR(E89*VLOOKUP(TODAY(),Paramètres!$A:$B,2,1),"")</f>
        <v/>
      </c>
      <c r="G89" s="2"/>
      <c r="H89" s="1"/>
      <c r="I89" s="2">
        <f t="shared" si="6"/>
        <v>0</v>
      </c>
      <c r="J89" s="2" t="str">
        <f t="shared" si="7"/>
        <v/>
      </c>
      <c r="K89" s="1"/>
      <c r="L89" s="1"/>
      <c r="M89" s="1"/>
      <c r="N89" s="11">
        <f t="shared" ca="1" si="8"/>
        <v>46238</v>
      </c>
    </row>
    <row r="90" spans="1:14" ht="15" customHeight="1" x14ac:dyDescent="0.25">
      <c r="A90" s="3"/>
      <c r="B90" s="3"/>
      <c r="C90" s="3"/>
      <c r="D90" s="4"/>
      <c r="E90" s="3"/>
      <c r="F90" s="3" t="str">
        <f ca="1">IFERROR(E90*VLOOKUP(TODAY(),Paramètres!$A:$B,2,1),"")</f>
        <v/>
      </c>
      <c r="G90" s="4"/>
      <c r="H90" s="3"/>
      <c r="I90" s="4">
        <f t="shared" si="6"/>
        <v>0</v>
      </c>
      <c r="J90" s="4" t="str">
        <f t="shared" si="7"/>
        <v/>
      </c>
      <c r="K90" s="3"/>
      <c r="L90" s="3"/>
      <c r="M90" s="3"/>
      <c r="N90" s="10">
        <f t="shared" ca="1" si="8"/>
        <v>46238</v>
      </c>
    </row>
    <row r="91" spans="1:14" ht="15" customHeight="1" x14ac:dyDescent="0.25">
      <c r="A91" s="1"/>
      <c r="B91" s="1"/>
      <c r="C91" s="1"/>
      <c r="D91" s="2"/>
      <c r="E91" s="1"/>
      <c r="F91" s="1" t="str">
        <f ca="1">IFERROR(E91*VLOOKUP(TODAY(),Paramètres!$A:$B,2,1),"")</f>
        <v/>
      </c>
      <c r="G91" s="2"/>
      <c r="H91" s="1"/>
      <c r="I91" s="2">
        <f t="shared" si="6"/>
        <v>0</v>
      </c>
      <c r="J91" s="2" t="str">
        <f t="shared" si="7"/>
        <v/>
      </c>
      <c r="K91" s="1"/>
      <c r="L91" s="1"/>
      <c r="M91" s="1"/>
      <c r="N91" s="11">
        <f t="shared" ca="1" si="8"/>
        <v>46238</v>
      </c>
    </row>
    <row r="92" spans="1:14" ht="15" customHeight="1" x14ac:dyDescent="0.25">
      <c r="A92" s="3"/>
      <c r="B92" s="3"/>
      <c r="C92" s="3"/>
      <c r="D92" s="4"/>
      <c r="E92" s="3"/>
      <c r="F92" s="3" t="str">
        <f ca="1">IFERROR(E92*VLOOKUP(TODAY(),Paramètres!$A:$B,2,1),"")</f>
        <v/>
      </c>
      <c r="G92" s="4"/>
      <c r="H92" s="3"/>
      <c r="I92" s="4">
        <f t="shared" si="6"/>
        <v>0</v>
      </c>
      <c r="J92" s="4" t="str">
        <f t="shared" si="7"/>
        <v/>
      </c>
      <c r="K92" s="3"/>
      <c r="L92" s="3"/>
      <c r="M92" s="3"/>
      <c r="N92" s="10">
        <f t="shared" ca="1" si="8"/>
        <v>46238</v>
      </c>
    </row>
    <row r="93" spans="1:14" ht="15" customHeight="1" x14ac:dyDescent="0.25">
      <c r="A93" s="1"/>
      <c r="B93" s="1"/>
      <c r="C93" s="1"/>
      <c r="D93" s="2"/>
      <c r="E93" s="1"/>
      <c r="F93" s="1" t="str">
        <f ca="1">IFERROR(E93*VLOOKUP(TODAY(),Paramètres!$A:$B,2,1),"")</f>
        <v/>
      </c>
      <c r="G93" s="2"/>
      <c r="H93" s="1"/>
      <c r="I93" s="2">
        <f t="shared" si="6"/>
        <v>0</v>
      </c>
      <c r="J93" s="2" t="str">
        <f t="shared" si="7"/>
        <v/>
      </c>
      <c r="K93" s="1"/>
      <c r="L93" s="1"/>
      <c r="M93" s="1"/>
      <c r="N93" s="11">
        <f t="shared" ca="1" si="8"/>
        <v>46238</v>
      </c>
    </row>
    <row r="94" spans="1:14" ht="15" customHeight="1" x14ac:dyDescent="0.25">
      <c r="A94" s="3"/>
      <c r="B94" s="3"/>
      <c r="C94" s="3"/>
      <c r="D94" s="4"/>
      <c r="E94" s="3"/>
      <c r="F94" s="3" t="str">
        <f ca="1">IFERROR(E94*VLOOKUP(TODAY(),Paramètres!$A:$B,2,1),"")</f>
        <v/>
      </c>
      <c r="G94" s="4"/>
      <c r="H94" s="3"/>
      <c r="I94" s="4">
        <f t="shared" si="6"/>
        <v>0</v>
      </c>
      <c r="J94" s="4" t="str">
        <f t="shared" si="7"/>
        <v/>
      </c>
      <c r="K94" s="3"/>
      <c r="L94" s="3"/>
      <c r="M94" s="3"/>
      <c r="N94" s="10">
        <f t="shared" ca="1" si="8"/>
        <v>46238</v>
      </c>
    </row>
    <row r="95" spans="1:14" ht="15" customHeight="1" x14ac:dyDescent="0.25">
      <c r="A95" s="1"/>
      <c r="B95" s="1"/>
      <c r="C95" s="1"/>
      <c r="D95" s="2"/>
      <c r="E95" s="1"/>
      <c r="F95" s="1" t="str">
        <f ca="1">IFERROR(E95*VLOOKUP(TODAY(),Paramètres!$A:$B,2,1),"")</f>
        <v/>
      </c>
      <c r="G95" s="2"/>
      <c r="H95" s="1"/>
      <c r="I95" s="2">
        <f t="shared" si="6"/>
        <v>0</v>
      </c>
      <c r="J95" s="2" t="str">
        <f t="shared" si="7"/>
        <v/>
      </c>
      <c r="K95" s="1"/>
      <c r="L95" s="1"/>
      <c r="M95" s="1"/>
      <c r="N95" s="11">
        <f t="shared" ca="1" si="8"/>
        <v>46238</v>
      </c>
    </row>
    <row r="96" spans="1:14" ht="15" customHeight="1" x14ac:dyDescent="0.25">
      <c r="A96" s="3"/>
      <c r="B96" s="3"/>
      <c r="C96" s="3"/>
      <c r="D96" s="4"/>
      <c r="E96" s="3"/>
      <c r="F96" s="3" t="str">
        <f ca="1">IFERROR(E96*VLOOKUP(TODAY(),Paramètres!$A:$B,2,1),"")</f>
        <v/>
      </c>
      <c r="G96" s="4"/>
      <c r="H96" s="3"/>
      <c r="I96" s="4">
        <f t="shared" si="6"/>
        <v>0</v>
      </c>
      <c r="J96" s="4" t="str">
        <f t="shared" si="7"/>
        <v/>
      </c>
      <c r="K96" s="3"/>
      <c r="L96" s="3"/>
      <c r="M96" s="3"/>
      <c r="N96" s="10">
        <f t="shared" ca="1" si="8"/>
        <v>46238</v>
      </c>
    </row>
    <row r="97" spans="1:14" ht="15" customHeight="1" x14ac:dyDescent="0.25">
      <c r="A97" s="1"/>
      <c r="B97" s="1"/>
      <c r="C97" s="1"/>
      <c r="D97" s="2"/>
      <c r="E97" s="1"/>
      <c r="F97" s="1" t="str">
        <f ca="1">IFERROR(E97*VLOOKUP(TODAY(),Paramètres!$A:$B,2,1),"")</f>
        <v/>
      </c>
      <c r="G97" s="2"/>
      <c r="H97" s="1"/>
      <c r="I97" s="2">
        <f t="shared" si="6"/>
        <v>0</v>
      </c>
      <c r="J97" s="2" t="str">
        <f t="shared" si="7"/>
        <v/>
      </c>
      <c r="K97" s="1"/>
      <c r="L97" s="1"/>
      <c r="M97" s="1"/>
      <c r="N97" s="11">
        <f t="shared" ca="1" si="8"/>
        <v>46238</v>
      </c>
    </row>
    <row r="98" spans="1:14" ht="15" customHeight="1" x14ac:dyDescent="0.25">
      <c r="A98" s="3"/>
      <c r="B98" s="3"/>
      <c r="C98" s="3"/>
      <c r="D98" s="4"/>
      <c r="E98" s="3"/>
      <c r="F98" s="3" t="str">
        <f ca="1">IFERROR(E98*VLOOKUP(TODAY(),Paramètres!$A:$B,2,1),"")</f>
        <v/>
      </c>
      <c r="G98" s="4"/>
      <c r="H98" s="3"/>
      <c r="I98" s="4">
        <f t="shared" si="6"/>
        <v>0</v>
      </c>
      <c r="J98" s="4" t="str">
        <f t="shared" si="7"/>
        <v/>
      </c>
      <c r="K98" s="3"/>
      <c r="L98" s="3"/>
      <c r="M98" s="3"/>
      <c r="N98" s="10">
        <f t="shared" ca="1" si="8"/>
        <v>46238</v>
      </c>
    </row>
    <row r="99" spans="1:14" ht="15" customHeight="1" x14ac:dyDescent="0.25">
      <c r="A99" s="1"/>
      <c r="B99" s="1"/>
      <c r="C99" s="1"/>
      <c r="D99" s="2"/>
      <c r="E99" s="1"/>
      <c r="F99" s="1" t="str">
        <f ca="1">IFERROR(E99*VLOOKUP(TODAY(),Paramètres!$A:$B,2,1),"")</f>
        <v/>
      </c>
      <c r="G99" s="2"/>
      <c r="H99" s="1"/>
      <c r="I99" s="2">
        <f t="shared" si="6"/>
        <v>0</v>
      </c>
      <c r="J99" s="2" t="str">
        <f t="shared" si="7"/>
        <v/>
      </c>
      <c r="K99" s="1"/>
      <c r="L99" s="1"/>
      <c r="M99" s="1"/>
      <c r="N99" s="11">
        <f t="shared" ca="1" si="8"/>
        <v>46238</v>
      </c>
    </row>
    <row r="100" spans="1:14" ht="15" customHeight="1" x14ac:dyDescent="0.25">
      <c r="A100" s="3"/>
      <c r="B100" s="3"/>
      <c r="C100" s="3"/>
      <c r="D100" s="4"/>
      <c r="E100" s="3"/>
      <c r="F100" s="3" t="str">
        <f ca="1">IFERROR(E100*VLOOKUP(TODAY(),Paramètres!$A:$B,2,1),"")</f>
        <v/>
      </c>
      <c r="G100" s="4"/>
      <c r="H100" s="3"/>
      <c r="I100" s="4">
        <f t="shared" si="6"/>
        <v>0</v>
      </c>
      <c r="J100" s="4" t="str">
        <f t="shared" si="7"/>
        <v/>
      </c>
      <c r="K100" s="3"/>
      <c r="L100" s="3"/>
      <c r="M100" s="3"/>
      <c r="N100" s="10">
        <f t="shared" ca="1" si="8"/>
        <v>46238</v>
      </c>
    </row>
    <row r="101" spans="1:14" ht="15" customHeight="1" x14ac:dyDescent="0.25">
      <c r="A101" s="1"/>
      <c r="B101" s="1"/>
      <c r="C101" s="1"/>
      <c r="D101" s="2"/>
      <c r="E101" s="1"/>
      <c r="F101" s="1" t="str">
        <f ca="1">IFERROR(E101*VLOOKUP(TODAY(),Paramètres!$A:$B,2,1),"")</f>
        <v/>
      </c>
      <c r="G101" s="2"/>
      <c r="H101" s="1"/>
      <c r="I101" s="2">
        <f t="shared" si="6"/>
        <v>0</v>
      </c>
      <c r="J101" s="2" t="str">
        <f t="shared" si="7"/>
        <v/>
      </c>
      <c r="K101" s="1"/>
      <c r="L101" s="1"/>
      <c r="M101" s="1"/>
      <c r="N101" s="11">
        <f t="shared" ca="1" si="8"/>
        <v>46238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K872"/>
  <sheetViews>
    <sheetView tabSelected="1" workbookViewId="0">
      <selection activeCell="AB7" sqref="AB7"/>
    </sheetView>
  </sheetViews>
  <sheetFormatPr baseColWidth="10" defaultColWidth="9.140625" defaultRowHeight="15" x14ac:dyDescent="0.25"/>
  <cols>
    <col min="1" max="1" width="3" customWidth="1"/>
    <col min="2" max="2" width="15.7109375" customWidth="1"/>
    <col min="3" max="3" width="10.7109375" customWidth="1"/>
    <col min="5" max="5" width="18.5703125" customWidth="1"/>
    <col min="6" max="6" width="33" customWidth="1"/>
    <col min="7" max="7" width="39.5703125" customWidth="1"/>
    <col min="8" max="8" width="28.85546875" customWidth="1"/>
    <col min="9" max="9" width="12.85546875" customWidth="1"/>
    <col min="10" max="10" width="10.7109375" customWidth="1"/>
    <col min="11" max="11" width="15.7109375" customWidth="1"/>
    <col min="12" max="12" width="10.7109375" customWidth="1"/>
    <col min="13" max="13" width="13.7109375" customWidth="1"/>
    <col min="18" max="18" width="26" customWidth="1"/>
    <col min="19" max="20" width="10.7109375" customWidth="1"/>
    <col min="22" max="22" width="45" customWidth="1"/>
    <col min="23" max="23" width="20" customWidth="1"/>
    <col min="24" max="24" width="17.140625" customWidth="1"/>
    <col min="25" max="25" width="18" customWidth="1"/>
    <col min="26" max="26" width="14.5703125" customWidth="1"/>
    <col min="27" max="27" width="14.28515625" customWidth="1"/>
    <col min="28" max="28" width="11" customWidth="1"/>
    <col min="29" max="29" width="14" customWidth="1"/>
    <col min="30" max="30" width="10" customWidth="1"/>
    <col min="31" max="31" width="13" customWidth="1"/>
    <col min="32" max="32" width="21.28515625" customWidth="1"/>
    <col min="33" max="33" width="17.140625" customWidth="1"/>
    <col min="35" max="35" width="11.5703125" customWidth="1"/>
    <col min="36" max="36" width="13.140625" customWidth="1"/>
  </cols>
  <sheetData>
    <row r="1" spans="2:37" ht="34.5" customHeight="1" x14ac:dyDescent="0.25">
      <c r="B1" s="20" t="s">
        <v>9271</v>
      </c>
    </row>
    <row r="2" spans="2:37" ht="19.5" customHeight="1" x14ac:dyDescent="0.25">
      <c r="B2" s="21" t="s">
        <v>9272</v>
      </c>
    </row>
    <row r="3" spans="2:37" ht="18" customHeight="1" x14ac:dyDescent="0.25">
      <c r="B3" s="22" t="s">
        <v>9273</v>
      </c>
    </row>
    <row r="4" spans="2:37" ht="4.5" customHeight="1" x14ac:dyDescent="0.25">
      <c r="B4" s="23"/>
    </row>
    <row r="5" spans="2:37" ht="27.75" customHeight="1" x14ac:dyDescent="0.25">
      <c r="B5" s="24" t="s">
        <v>9274</v>
      </c>
    </row>
    <row r="6" spans="2:37" ht="38.25" customHeight="1" x14ac:dyDescent="0.25">
      <c r="B6" s="25" t="s">
        <v>9275</v>
      </c>
      <c r="C6" s="25" t="s">
        <v>9276</v>
      </c>
      <c r="D6" s="25" t="s">
        <v>9277</v>
      </c>
      <c r="E6" s="25" t="s">
        <v>9278</v>
      </c>
      <c r="F6" s="25" t="s">
        <v>9279</v>
      </c>
      <c r="G6" s="25" t="s">
        <v>9280</v>
      </c>
      <c r="H6" s="25" t="s">
        <v>9281</v>
      </c>
      <c r="I6" s="25" t="s">
        <v>9282</v>
      </c>
      <c r="J6" s="25" t="s">
        <v>9283</v>
      </c>
      <c r="K6" s="25" t="s">
        <v>9284</v>
      </c>
      <c r="L6" s="25" t="s">
        <v>9285</v>
      </c>
      <c r="M6" s="25" t="s">
        <v>9286</v>
      </c>
      <c r="N6" s="25" t="s">
        <v>9287</v>
      </c>
      <c r="O6" s="25" t="s">
        <v>9288</v>
      </c>
      <c r="P6" s="25" t="s">
        <v>38</v>
      </c>
      <c r="Q6" s="25" t="s">
        <v>9289</v>
      </c>
      <c r="R6" s="25" t="s">
        <v>9290</v>
      </c>
      <c r="S6" s="25" t="s">
        <v>9291</v>
      </c>
      <c r="T6" s="26" t="s">
        <v>9292</v>
      </c>
      <c r="U6" s="26" t="s">
        <v>9293</v>
      </c>
      <c r="V6" s="25" t="s">
        <v>9294</v>
      </c>
      <c r="W6" s="25" t="s">
        <v>9295</v>
      </c>
      <c r="X6" s="25" t="s">
        <v>9296</v>
      </c>
      <c r="Y6" s="25" t="s">
        <v>9297</v>
      </c>
      <c r="Z6" s="25" t="s">
        <v>9298</v>
      </c>
      <c r="AA6" s="25" t="s">
        <v>9299</v>
      </c>
      <c r="AB6" s="25" t="s">
        <v>9300</v>
      </c>
      <c r="AC6" s="25" t="s">
        <v>67</v>
      </c>
      <c r="AD6" s="25" t="s">
        <v>68</v>
      </c>
      <c r="AE6" s="25" t="s">
        <v>9301</v>
      </c>
      <c r="AF6" s="25" t="s">
        <v>9302</v>
      </c>
      <c r="AG6" s="25" t="s">
        <v>9510</v>
      </c>
      <c r="AH6" s="25" t="s">
        <v>9511</v>
      </c>
      <c r="AI6" s="49" t="s">
        <v>9512</v>
      </c>
      <c r="AJ6" s="49" t="s">
        <v>9513</v>
      </c>
      <c r="AK6" s="49" t="s">
        <v>9514</v>
      </c>
    </row>
    <row r="7" spans="2:37" ht="153" customHeight="1" x14ac:dyDescent="0.25">
      <c r="B7" s="27" t="s">
        <v>116</v>
      </c>
      <c r="C7" s="28">
        <v>2011</v>
      </c>
      <c r="D7" s="28">
        <f t="shared" ref="D7:D70" si="0">YEAR(U7)</f>
        <v>2017</v>
      </c>
      <c r="E7" s="27" t="s">
        <v>126</v>
      </c>
      <c r="F7" s="27" t="s">
        <v>117</v>
      </c>
      <c r="G7" s="27" t="s">
        <v>119</v>
      </c>
      <c r="H7" s="27" t="s">
        <v>129</v>
      </c>
      <c r="I7" s="27" t="s">
        <v>123</v>
      </c>
      <c r="J7" s="27" t="s">
        <v>124</v>
      </c>
      <c r="K7" s="27" t="s">
        <v>118</v>
      </c>
      <c r="L7" s="27" t="s">
        <v>127</v>
      </c>
      <c r="M7" s="29">
        <v>10000000000</v>
      </c>
      <c r="N7" s="29">
        <v>0</v>
      </c>
      <c r="O7" s="29">
        <v>10000000000</v>
      </c>
      <c r="P7" s="27" t="s">
        <v>122</v>
      </c>
      <c r="Q7" s="29">
        <v>20000000</v>
      </c>
      <c r="R7" s="27" t="s">
        <v>128</v>
      </c>
      <c r="S7" s="30">
        <v>40548</v>
      </c>
      <c r="T7" s="30">
        <v>40511</v>
      </c>
      <c r="U7" s="30">
        <v>43100</v>
      </c>
      <c r="V7" s="27" t="s">
        <v>9303</v>
      </c>
      <c r="W7" s="29"/>
      <c r="X7" s="29"/>
      <c r="Y7" s="29" t="s">
        <v>125</v>
      </c>
      <c r="Z7" s="52" t="s">
        <v>9515</v>
      </c>
      <c r="AA7" s="29"/>
      <c r="AB7" s="29"/>
      <c r="AC7" s="29"/>
      <c r="AD7" s="29"/>
      <c r="AE7" s="29"/>
      <c r="AF7" s="29"/>
    </row>
    <row r="8" spans="2:37" ht="75" customHeight="1" x14ac:dyDescent="0.25">
      <c r="B8" s="31" t="s">
        <v>130</v>
      </c>
      <c r="C8" s="32">
        <v>2011</v>
      </c>
      <c r="D8" s="33">
        <f t="shared" si="0"/>
        <v>2016</v>
      </c>
      <c r="E8" s="31" t="s">
        <v>126</v>
      </c>
      <c r="F8" s="31" t="s">
        <v>131</v>
      </c>
      <c r="G8" s="31" t="s">
        <v>132</v>
      </c>
      <c r="H8" s="31" t="s">
        <v>139</v>
      </c>
      <c r="I8" s="31" t="s">
        <v>137</v>
      </c>
      <c r="J8" s="31" t="s">
        <v>138</v>
      </c>
      <c r="K8" s="31" t="s">
        <v>118</v>
      </c>
      <c r="L8" s="31" t="s">
        <v>127</v>
      </c>
      <c r="M8" s="34">
        <v>20000000000</v>
      </c>
      <c r="N8" s="34">
        <v>0</v>
      </c>
      <c r="O8" s="34">
        <v>20000000000</v>
      </c>
      <c r="P8" s="31" t="s">
        <v>136</v>
      </c>
      <c r="Q8" s="34">
        <v>20000000000</v>
      </c>
      <c r="R8" s="31" t="s">
        <v>128</v>
      </c>
      <c r="S8" s="35">
        <v>40565</v>
      </c>
      <c r="T8" s="35">
        <v>40527</v>
      </c>
      <c r="U8" s="35">
        <v>42735</v>
      </c>
      <c r="V8" s="27" t="s">
        <v>9304</v>
      </c>
      <c r="W8" s="34"/>
      <c r="X8" s="34"/>
      <c r="Y8" s="34" t="s">
        <v>125</v>
      </c>
      <c r="Z8" s="34"/>
      <c r="AA8" s="34"/>
      <c r="AB8" s="34"/>
      <c r="AC8" s="34"/>
      <c r="AD8" s="34"/>
      <c r="AE8" s="34"/>
      <c r="AF8" s="34"/>
    </row>
    <row r="9" spans="2:37" ht="75" customHeight="1" x14ac:dyDescent="0.25">
      <c r="B9" s="36" t="s">
        <v>140</v>
      </c>
      <c r="C9" s="33">
        <v>2011</v>
      </c>
      <c r="D9" s="33">
        <f t="shared" si="0"/>
        <v>2018</v>
      </c>
      <c r="E9" s="36" t="s">
        <v>126</v>
      </c>
      <c r="F9" s="36" t="s">
        <v>141</v>
      </c>
      <c r="G9" s="36" t="s">
        <v>143</v>
      </c>
      <c r="H9" s="36" t="s">
        <v>151</v>
      </c>
      <c r="I9" s="36" t="s">
        <v>148</v>
      </c>
      <c r="J9" s="36" t="s">
        <v>149</v>
      </c>
      <c r="K9" s="36" t="s">
        <v>142</v>
      </c>
      <c r="L9" s="36" t="s">
        <v>127</v>
      </c>
      <c r="M9" s="37">
        <v>5225000000</v>
      </c>
      <c r="N9" s="37">
        <v>0</v>
      </c>
      <c r="O9" s="37">
        <v>5225000000</v>
      </c>
      <c r="P9" s="36" t="s">
        <v>122</v>
      </c>
      <c r="Q9" s="37">
        <v>11000000</v>
      </c>
      <c r="R9" s="36" t="s">
        <v>150</v>
      </c>
      <c r="S9" s="38">
        <v>40556</v>
      </c>
      <c r="T9" s="38">
        <v>40528</v>
      </c>
      <c r="U9" s="38">
        <v>43281</v>
      </c>
      <c r="V9" s="27" t="s">
        <v>9305</v>
      </c>
      <c r="W9" s="37"/>
      <c r="X9" s="37"/>
      <c r="Y9" s="37" t="s">
        <v>125</v>
      </c>
      <c r="Z9" s="37"/>
      <c r="AA9" s="37"/>
      <c r="AB9" s="37"/>
      <c r="AC9" s="37"/>
      <c r="AD9" s="37"/>
      <c r="AE9" s="37"/>
      <c r="AF9" s="37"/>
    </row>
    <row r="10" spans="2:37" ht="90" customHeight="1" x14ac:dyDescent="0.25">
      <c r="B10" s="31" t="s">
        <v>152</v>
      </c>
      <c r="C10" s="32">
        <v>2011</v>
      </c>
      <c r="D10" s="33">
        <f t="shared" si="0"/>
        <v>2017</v>
      </c>
      <c r="E10" s="31" t="s">
        <v>126</v>
      </c>
      <c r="F10" s="31" t="s">
        <v>153</v>
      </c>
      <c r="G10" s="31" t="s">
        <v>154</v>
      </c>
      <c r="H10" s="31" t="s">
        <v>160</v>
      </c>
      <c r="I10" s="31" t="s">
        <v>157</v>
      </c>
      <c r="J10" s="31" t="s">
        <v>158</v>
      </c>
      <c r="K10" s="31" t="s">
        <v>118</v>
      </c>
      <c r="L10" s="31" t="s">
        <v>159</v>
      </c>
      <c r="M10" s="34">
        <v>0</v>
      </c>
      <c r="N10" s="34">
        <v>983935500</v>
      </c>
      <c r="O10" s="34">
        <v>983935500</v>
      </c>
      <c r="P10" s="31" t="s">
        <v>122</v>
      </c>
      <c r="Q10" s="34">
        <v>1500000</v>
      </c>
      <c r="R10" s="31" t="s">
        <v>159</v>
      </c>
      <c r="S10" s="35">
        <v>40574</v>
      </c>
      <c r="T10" s="35">
        <v>40522</v>
      </c>
      <c r="U10" s="35">
        <v>43100</v>
      </c>
      <c r="V10" s="27" t="s">
        <v>9306</v>
      </c>
      <c r="W10" s="34"/>
      <c r="X10" s="34"/>
      <c r="Y10" s="34" t="s">
        <v>125</v>
      </c>
      <c r="Z10" s="34"/>
      <c r="AA10" s="34"/>
      <c r="AB10" s="34"/>
      <c r="AC10" s="34"/>
      <c r="AD10" s="34"/>
      <c r="AE10" s="34"/>
      <c r="AF10" s="34"/>
    </row>
    <row r="11" spans="2:37" ht="75" customHeight="1" x14ac:dyDescent="0.25">
      <c r="B11" s="36" t="s">
        <v>161</v>
      </c>
      <c r="C11" s="33">
        <v>2011</v>
      </c>
      <c r="D11" s="33">
        <f t="shared" si="0"/>
        <v>2014</v>
      </c>
      <c r="E11" s="36" t="s">
        <v>170</v>
      </c>
      <c r="F11" s="36" t="s">
        <v>162</v>
      </c>
      <c r="G11" s="36" t="s">
        <v>164</v>
      </c>
      <c r="H11" s="36" t="s">
        <v>172</v>
      </c>
      <c r="I11" s="36" t="s">
        <v>168</v>
      </c>
      <c r="J11" s="36" t="s">
        <v>169</v>
      </c>
      <c r="K11" s="36" t="s">
        <v>163</v>
      </c>
      <c r="L11" s="36" t="s">
        <v>159</v>
      </c>
      <c r="M11" s="37">
        <v>0</v>
      </c>
      <c r="N11" s="37">
        <v>150000000</v>
      </c>
      <c r="O11" s="37">
        <v>150000000</v>
      </c>
      <c r="P11" s="36" t="s">
        <v>167</v>
      </c>
      <c r="Q11" s="37">
        <v>200000</v>
      </c>
      <c r="R11" s="36" t="s">
        <v>171</v>
      </c>
      <c r="S11" s="38">
        <v>40588</v>
      </c>
      <c r="T11" s="38">
        <v>40532</v>
      </c>
      <c r="U11" s="38">
        <v>42004</v>
      </c>
      <c r="V11" s="27" t="s">
        <v>9307</v>
      </c>
      <c r="W11" s="37"/>
      <c r="X11" s="37"/>
      <c r="Y11" s="37" t="s">
        <v>125</v>
      </c>
      <c r="Z11" s="37"/>
      <c r="AA11" s="37"/>
      <c r="AB11" s="37"/>
      <c r="AC11" s="37"/>
      <c r="AD11" s="37"/>
      <c r="AE11" s="37"/>
      <c r="AF11" s="37"/>
    </row>
    <row r="12" spans="2:37" ht="75" customHeight="1" x14ac:dyDescent="0.25">
      <c r="B12" s="31" t="s">
        <v>173</v>
      </c>
      <c r="C12" s="32">
        <v>2011</v>
      </c>
      <c r="D12" s="33">
        <f t="shared" si="0"/>
        <v>2012</v>
      </c>
      <c r="E12" s="31" t="s">
        <v>180</v>
      </c>
      <c r="F12" s="31" t="s">
        <v>174</v>
      </c>
      <c r="G12" s="31" t="s">
        <v>175</v>
      </c>
      <c r="H12" s="31" t="s">
        <v>181</v>
      </c>
      <c r="I12" s="31" t="s">
        <v>178</v>
      </c>
      <c r="J12" s="31" t="s">
        <v>179</v>
      </c>
      <c r="K12" s="31" t="s">
        <v>163</v>
      </c>
      <c r="L12" s="31" t="s">
        <v>159</v>
      </c>
      <c r="M12" s="34">
        <v>0</v>
      </c>
      <c r="N12" s="34">
        <v>11000000000</v>
      </c>
      <c r="O12" s="34">
        <v>11000000000</v>
      </c>
      <c r="P12" s="31" t="s">
        <v>177</v>
      </c>
      <c r="Q12" s="34">
        <v>14000000</v>
      </c>
      <c r="R12" s="31" t="s">
        <v>159</v>
      </c>
      <c r="S12" s="35">
        <v>40660</v>
      </c>
      <c r="T12" s="35">
        <v>40631</v>
      </c>
      <c r="U12" s="35">
        <v>41274</v>
      </c>
      <c r="V12" s="27" t="s">
        <v>9308</v>
      </c>
      <c r="W12" s="34"/>
      <c r="X12" s="34"/>
      <c r="Y12" s="34" t="s">
        <v>125</v>
      </c>
      <c r="Z12" s="34"/>
      <c r="AA12" s="34"/>
      <c r="AB12" s="34"/>
      <c r="AC12" s="34"/>
      <c r="AD12" s="34"/>
      <c r="AE12" s="34"/>
      <c r="AF12" s="34"/>
    </row>
    <row r="13" spans="2:37" ht="75" customHeight="1" x14ac:dyDescent="0.25">
      <c r="B13" s="36" t="s">
        <v>182</v>
      </c>
      <c r="C13" s="33">
        <v>2011</v>
      </c>
      <c r="D13" s="33">
        <f t="shared" si="0"/>
        <v>2016</v>
      </c>
      <c r="E13" s="36" t="s">
        <v>126</v>
      </c>
      <c r="F13" s="36" t="s">
        <v>183</v>
      </c>
      <c r="G13" s="36" t="s">
        <v>184</v>
      </c>
      <c r="H13" s="36" t="s">
        <v>139</v>
      </c>
      <c r="I13" s="36" t="s">
        <v>137</v>
      </c>
      <c r="J13" s="36" t="s">
        <v>138</v>
      </c>
      <c r="K13" s="36" t="s">
        <v>142</v>
      </c>
      <c r="L13" s="36" t="s">
        <v>127</v>
      </c>
      <c r="M13" s="37">
        <v>5320000000</v>
      </c>
      <c r="N13" s="37">
        <v>0</v>
      </c>
      <c r="O13" s="37">
        <v>5320000000</v>
      </c>
      <c r="P13" s="36" t="s">
        <v>136</v>
      </c>
      <c r="Q13" s="37">
        <v>5320000000</v>
      </c>
      <c r="R13" s="36" t="s">
        <v>128</v>
      </c>
      <c r="S13" s="38">
        <v>40681</v>
      </c>
      <c r="T13" s="38">
        <v>40527</v>
      </c>
      <c r="U13" s="38">
        <v>42735</v>
      </c>
      <c r="V13" s="27" t="s">
        <v>9309</v>
      </c>
      <c r="W13" s="37"/>
      <c r="X13" s="37"/>
      <c r="Y13" s="37" t="s">
        <v>125</v>
      </c>
      <c r="Z13" s="37"/>
      <c r="AA13" s="37"/>
      <c r="AB13" s="37"/>
      <c r="AC13" s="37"/>
      <c r="AD13" s="37"/>
      <c r="AE13" s="37"/>
      <c r="AF13" s="37"/>
    </row>
    <row r="14" spans="2:37" ht="75" customHeight="1" x14ac:dyDescent="0.25">
      <c r="B14" s="31" t="s">
        <v>188</v>
      </c>
      <c r="C14" s="32">
        <v>2011</v>
      </c>
      <c r="D14" s="33">
        <f t="shared" si="0"/>
        <v>2016</v>
      </c>
      <c r="E14" s="31" t="s">
        <v>126</v>
      </c>
      <c r="F14" s="31" t="s">
        <v>189</v>
      </c>
      <c r="G14" s="31" t="s">
        <v>191</v>
      </c>
      <c r="H14" s="31" t="s">
        <v>181</v>
      </c>
      <c r="I14" s="31" t="s">
        <v>178</v>
      </c>
      <c r="J14" s="31" t="s">
        <v>179</v>
      </c>
      <c r="K14" s="31" t="s">
        <v>190</v>
      </c>
      <c r="L14" s="31" t="s">
        <v>159</v>
      </c>
      <c r="M14" s="34">
        <v>0</v>
      </c>
      <c r="N14" s="34">
        <v>8400000000</v>
      </c>
      <c r="O14" s="34">
        <v>8400000000</v>
      </c>
      <c r="P14" s="31" t="s">
        <v>177</v>
      </c>
      <c r="Q14" s="34">
        <v>11000000</v>
      </c>
      <c r="R14" s="31" t="s">
        <v>159</v>
      </c>
      <c r="S14" s="35">
        <v>40701</v>
      </c>
      <c r="T14" s="35">
        <v>40626</v>
      </c>
      <c r="U14" s="35">
        <v>42735</v>
      </c>
      <c r="V14" s="27" t="s">
        <v>9310</v>
      </c>
      <c r="W14" s="34"/>
      <c r="X14" s="34"/>
      <c r="Y14" s="34" t="s">
        <v>125</v>
      </c>
      <c r="Z14" s="34"/>
      <c r="AA14" s="34"/>
      <c r="AB14" s="34"/>
      <c r="AC14" s="34"/>
      <c r="AD14" s="34"/>
      <c r="AE14" s="34"/>
      <c r="AF14" s="34"/>
    </row>
    <row r="15" spans="2:37" ht="75" customHeight="1" x14ac:dyDescent="0.25">
      <c r="B15" s="36" t="s">
        <v>195</v>
      </c>
      <c r="C15" s="33">
        <v>2011</v>
      </c>
      <c r="D15" s="33">
        <f t="shared" si="0"/>
        <v>2017</v>
      </c>
      <c r="E15" s="36" t="s">
        <v>126</v>
      </c>
      <c r="F15" s="36" t="s">
        <v>196</v>
      </c>
      <c r="G15" s="36" t="s">
        <v>197</v>
      </c>
      <c r="H15" s="36" t="s">
        <v>181</v>
      </c>
      <c r="I15" s="36" t="s">
        <v>178</v>
      </c>
      <c r="J15" s="36" t="s">
        <v>179</v>
      </c>
      <c r="K15" s="36" t="s">
        <v>190</v>
      </c>
      <c r="L15" s="36" t="s">
        <v>201</v>
      </c>
      <c r="M15" s="37">
        <v>15500000000</v>
      </c>
      <c r="N15" s="37">
        <v>7500000000</v>
      </c>
      <c r="O15" s="37">
        <v>23000000000</v>
      </c>
      <c r="P15" s="36" t="s">
        <v>200</v>
      </c>
      <c r="Q15" s="37">
        <v>35000000</v>
      </c>
      <c r="R15" s="36" t="s">
        <v>202</v>
      </c>
      <c r="S15" s="38">
        <v>40701</v>
      </c>
      <c r="T15" s="38">
        <v>40626</v>
      </c>
      <c r="U15" s="38">
        <v>42794</v>
      </c>
      <c r="V15" s="27" t="s">
        <v>9311</v>
      </c>
      <c r="W15" s="37"/>
      <c r="X15" s="37"/>
      <c r="Y15" s="37" t="s">
        <v>125</v>
      </c>
      <c r="Z15" s="37"/>
      <c r="AA15" s="37"/>
      <c r="AB15" s="37"/>
      <c r="AC15" s="37"/>
      <c r="AD15" s="37"/>
      <c r="AE15" s="37"/>
      <c r="AF15" s="37"/>
    </row>
    <row r="16" spans="2:37" ht="75" customHeight="1" x14ac:dyDescent="0.25">
      <c r="B16" s="31" t="s">
        <v>203</v>
      </c>
      <c r="C16" s="32">
        <v>2011</v>
      </c>
      <c r="D16" s="33">
        <f t="shared" si="0"/>
        <v>2019</v>
      </c>
      <c r="E16" s="31" t="s">
        <v>126</v>
      </c>
      <c r="F16" s="31" t="s">
        <v>204</v>
      </c>
      <c r="G16" s="31" t="s">
        <v>206</v>
      </c>
      <c r="H16" s="31" t="s">
        <v>181</v>
      </c>
      <c r="I16" s="31" t="s">
        <v>178</v>
      </c>
      <c r="J16" s="31" t="s">
        <v>179</v>
      </c>
      <c r="K16" s="31" t="s">
        <v>205</v>
      </c>
      <c r="L16" s="31" t="s">
        <v>159</v>
      </c>
      <c r="M16" s="34">
        <v>0</v>
      </c>
      <c r="N16" s="34">
        <v>3450000000</v>
      </c>
      <c r="O16" s="34">
        <v>3450000000</v>
      </c>
      <c r="P16" s="31" t="s">
        <v>200</v>
      </c>
      <c r="Q16" s="34">
        <v>5200000</v>
      </c>
      <c r="R16" s="31" t="s">
        <v>207</v>
      </c>
      <c r="S16" s="35">
        <v>40701</v>
      </c>
      <c r="T16" s="35">
        <v>40631</v>
      </c>
      <c r="U16" s="35">
        <v>43646</v>
      </c>
      <c r="V16" s="27" t="s">
        <v>9311</v>
      </c>
      <c r="W16" s="34"/>
      <c r="X16" s="34"/>
      <c r="Y16" s="34" t="s">
        <v>125</v>
      </c>
      <c r="Z16" s="34"/>
      <c r="AA16" s="34"/>
      <c r="AB16" s="34"/>
      <c r="AC16" s="34"/>
      <c r="AD16" s="34"/>
      <c r="AE16" s="34"/>
      <c r="AF16" s="34"/>
    </row>
    <row r="17" spans="2:32" ht="75" customHeight="1" x14ac:dyDescent="0.25">
      <c r="B17" s="36" t="s">
        <v>208</v>
      </c>
      <c r="C17" s="33">
        <v>2011</v>
      </c>
      <c r="D17" s="33">
        <f t="shared" si="0"/>
        <v>2019</v>
      </c>
      <c r="E17" s="36" t="s">
        <v>126</v>
      </c>
      <c r="F17" s="36" t="s">
        <v>209</v>
      </c>
      <c r="G17" s="36" t="s">
        <v>210</v>
      </c>
      <c r="H17" s="36" t="s">
        <v>181</v>
      </c>
      <c r="I17" s="36" t="s">
        <v>178</v>
      </c>
      <c r="J17" s="36" t="s">
        <v>179</v>
      </c>
      <c r="K17" s="36" t="s">
        <v>205</v>
      </c>
      <c r="L17" s="36" t="s">
        <v>127</v>
      </c>
      <c r="M17" s="37">
        <v>25000000000</v>
      </c>
      <c r="N17" s="37">
        <v>0</v>
      </c>
      <c r="O17" s="37">
        <v>25000000000</v>
      </c>
      <c r="P17" s="36" t="s">
        <v>177</v>
      </c>
      <c r="Q17" s="37">
        <v>31600000</v>
      </c>
      <c r="R17" s="36" t="s">
        <v>150</v>
      </c>
      <c r="S17" s="38">
        <v>40701</v>
      </c>
      <c r="T17" s="38">
        <v>40631</v>
      </c>
      <c r="U17" s="38">
        <v>43496</v>
      </c>
      <c r="V17" s="27" t="s">
        <v>9312</v>
      </c>
      <c r="W17" s="37"/>
      <c r="X17" s="37"/>
      <c r="Y17" s="37" t="s">
        <v>125</v>
      </c>
      <c r="Z17" s="37"/>
      <c r="AA17" s="37"/>
      <c r="AB17" s="37"/>
      <c r="AC17" s="37"/>
      <c r="AD17" s="37"/>
      <c r="AE17" s="37"/>
      <c r="AF17" s="37"/>
    </row>
    <row r="18" spans="2:32" ht="75" customHeight="1" x14ac:dyDescent="0.25">
      <c r="B18" s="31" t="s">
        <v>214</v>
      </c>
      <c r="C18" s="32">
        <v>2011</v>
      </c>
      <c r="D18" s="33">
        <f t="shared" si="0"/>
        <v>2016</v>
      </c>
      <c r="E18" s="31" t="s">
        <v>126</v>
      </c>
      <c r="F18" s="31" t="s">
        <v>215</v>
      </c>
      <c r="G18" s="31" t="s">
        <v>217</v>
      </c>
      <c r="H18" s="31" t="s">
        <v>129</v>
      </c>
      <c r="I18" s="31" t="s">
        <v>178</v>
      </c>
      <c r="J18" s="31" t="s">
        <v>179</v>
      </c>
      <c r="K18" s="31" t="s">
        <v>216</v>
      </c>
      <c r="L18" s="31" t="s">
        <v>159</v>
      </c>
      <c r="M18" s="34">
        <v>0</v>
      </c>
      <c r="N18" s="34">
        <v>1398890500</v>
      </c>
      <c r="O18" s="34">
        <v>1398890500</v>
      </c>
      <c r="P18" s="31" t="s">
        <v>122</v>
      </c>
      <c r="Q18" s="34">
        <v>2797781</v>
      </c>
      <c r="R18" s="31" t="s">
        <v>159</v>
      </c>
      <c r="S18" s="35">
        <v>40724</v>
      </c>
      <c r="T18" s="35">
        <v>40687</v>
      </c>
      <c r="U18" s="35">
        <v>42735</v>
      </c>
      <c r="V18" s="27" t="s">
        <v>9313</v>
      </c>
      <c r="W18" s="34"/>
      <c r="X18" s="34"/>
      <c r="Y18" s="34" t="s">
        <v>125</v>
      </c>
      <c r="Z18" s="34"/>
      <c r="AA18" s="34"/>
      <c r="AB18" s="34"/>
      <c r="AC18" s="34"/>
      <c r="AD18" s="34"/>
      <c r="AE18" s="34"/>
      <c r="AF18" s="34"/>
    </row>
    <row r="19" spans="2:32" ht="75" customHeight="1" x14ac:dyDescent="0.25">
      <c r="B19" s="36" t="s">
        <v>221</v>
      </c>
      <c r="C19" s="33">
        <v>2011</v>
      </c>
      <c r="D19" s="33">
        <f t="shared" si="0"/>
        <v>2016</v>
      </c>
      <c r="E19" s="36" t="s">
        <v>126</v>
      </c>
      <c r="F19" s="36" t="s">
        <v>222</v>
      </c>
      <c r="G19" s="36" t="s">
        <v>223</v>
      </c>
      <c r="H19" s="36" t="s">
        <v>139</v>
      </c>
      <c r="I19" s="36" t="s">
        <v>137</v>
      </c>
      <c r="J19" s="36" t="s">
        <v>138</v>
      </c>
      <c r="K19" s="36" t="s">
        <v>205</v>
      </c>
      <c r="L19" s="36" t="s">
        <v>127</v>
      </c>
      <c r="M19" s="37">
        <v>6500000000</v>
      </c>
      <c r="N19" s="37">
        <v>0</v>
      </c>
      <c r="O19" s="37">
        <v>6500000000</v>
      </c>
      <c r="P19" s="36" t="s">
        <v>136</v>
      </c>
      <c r="Q19" s="37">
        <v>6500000000</v>
      </c>
      <c r="R19" s="36" t="s">
        <v>128</v>
      </c>
      <c r="S19" s="38">
        <v>40739</v>
      </c>
      <c r="T19" s="38">
        <v>40688</v>
      </c>
      <c r="U19" s="38">
        <v>42735</v>
      </c>
      <c r="V19" s="27" t="s">
        <v>9314</v>
      </c>
      <c r="W19" s="37"/>
      <c r="X19" s="37"/>
      <c r="Y19" s="37" t="s">
        <v>125</v>
      </c>
      <c r="Z19" s="37"/>
      <c r="AA19" s="37"/>
      <c r="AB19" s="37"/>
      <c r="AC19" s="37"/>
      <c r="AD19" s="37"/>
      <c r="AE19" s="37"/>
      <c r="AF19" s="37"/>
    </row>
    <row r="20" spans="2:32" ht="75" customHeight="1" x14ac:dyDescent="0.25">
      <c r="B20" s="31" t="s">
        <v>226</v>
      </c>
      <c r="C20" s="32">
        <v>2011</v>
      </c>
      <c r="D20" s="33">
        <f t="shared" si="0"/>
        <v>2015</v>
      </c>
      <c r="E20" s="31" t="s">
        <v>170</v>
      </c>
      <c r="F20" s="31" t="s">
        <v>227</v>
      </c>
      <c r="G20" s="31" t="s">
        <v>228</v>
      </c>
      <c r="H20" s="31" t="s">
        <v>172</v>
      </c>
      <c r="I20" s="31" t="s">
        <v>178</v>
      </c>
      <c r="J20" s="31" t="s">
        <v>179</v>
      </c>
      <c r="K20" s="31" t="s">
        <v>163</v>
      </c>
      <c r="L20" s="31" t="s">
        <v>159</v>
      </c>
      <c r="M20" s="34">
        <v>0</v>
      </c>
      <c r="N20" s="34">
        <v>240875000</v>
      </c>
      <c r="O20" s="34">
        <v>240875000</v>
      </c>
      <c r="P20" s="31" t="s">
        <v>122</v>
      </c>
      <c r="Q20" s="34">
        <v>481750</v>
      </c>
      <c r="R20" s="31" t="s">
        <v>229</v>
      </c>
      <c r="S20" s="35">
        <v>40781</v>
      </c>
      <c r="T20" s="35">
        <v>40709</v>
      </c>
      <c r="U20" s="35">
        <v>42369</v>
      </c>
      <c r="V20" s="27" t="s">
        <v>9307</v>
      </c>
      <c r="W20" s="34"/>
      <c r="X20" s="34"/>
      <c r="Y20" s="34" t="s">
        <v>125</v>
      </c>
      <c r="Z20" s="34"/>
      <c r="AA20" s="34"/>
      <c r="AB20" s="34"/>
      <c r="AC20" s="34"/>
      <c r="AD20" s="34"/>
      <c r="AE20" s="34"/>
      <c r="AF20" s="34"/>
    </row>
    <row r="21" spans="2:32" ht="90" customHeight="1" x14ac:dyDescent="0.25">
      <c r="B21" s="36" t="s">
        <v>230</v>
      </c>
      <c r="C21" s="33">
        <v>2011</v>
      </c>
      <c r="D21" s="33">
        <f t="shared" si="0"/>
        <v>2014</v>
      </c>
      <c r="E21" s="36" t="s">
        <v>235</v>
      </c>
      <c r="F21" s="36" t="s">
        <v>231</v>
      </c>
      <c r="G21" s="36" t="s">
        <v>232</v>
      </c>
      <c r="H21" s="36" t="s">
        <v>139</v>
      </c>
      <c r="I21" s="36" t="s">
        <v>137</v>
      </c>
      <c r="J21" s="36" t="s">
        <v>138</v>
      </c>
      <c r="K21" s="36" t="s">
        <v>190</v>
      </c>
      <c r="L21" s="36" t="s">
        <v>127</v>
      </c>
      <c r="M21" s="37">
        <v>380000000</v>
      </c>
      <c r="N21" s="37">
        <v>0</v>
      </c>
      <c r="O21" s="37">
        <v>380000000</v>
      </c>
      <c r="P21" s="36" t="s">
        <v>136</v>
      </c>
      <c r="Q21" s="37">
        <v>380000000</v>
      </c>
      <c r="R21" s="36" t="s">
        <v>236</v>
      </c>
      <c r="S21" s="38">
        <v>40794</v>
      </c>
      <c r="T21" s="38">
        <v>40688</v>
      </c>
      <c r="U21" s="38">
        <v>41820</v>
      </c>
      <c r="V21" s="27" t="s">
        <v>9315</v>
      </c>
      <c r="W21" s="37"/>
      <c r="X21" s="37"/>
      <c r="Y21" s="37" t="s">
        <v>125</v>
      </c>
      <c r="Z21" s="37"/>
      <c r="AA21" s="37"/>
      <c r="AB21" s="37"/>
      <c r="AC21" s="37"/>
      <c r="AD21" s="37"/>
      <c r="AE21" s="37"/>
      <c r="AF21" s="37"/>
    </row>
    <row r="22" spans="2:32" ht="75" customHeight="1" x14ac:dyDescent="0.25">
      <c r="B22" s="31" t="s">
        <v>237</v>
      </c>
      <c r="C22" s="32">
        <v>2011</v>
      </c>
      <c r="D22" s="33">
        <f t="shared" si="0"/>
        <v>2018</v>
      </c>
      <c r="E22" s="31" t="s">
        <v>126</v>
      </c>
      <c r="F22" s="31" t="s">
        <v>238</v>
      </c>
      <c r="G22" s="31" t="s">
        <v>239</v>
      </c>
      <c r="H22" s="31" t="s">
        <v>129</v>
      </c>
      <c r="I22" s="31" t="s">
        <v>240</v>
      </c>
      <c r="J22" s="31" t="s">
        <v>241</v>
      </c>
      <c r="K22" s="31" t="s">
        <v>190</v>
      </c>
      <c r="L22" s="31" t="s">
        <v>159</v>
      </c>
      <c r="M22" s="34">
        <v>0</v>
      </c>
      <c r="N22" s="34">
        <v>2500000000</v>
      </c>
      <c r="O22" s="34">
        <v>2500000000</v>
      </c>
      <c r="P22" s="31" t="s">
        <v>122</v>
      </c>
      <c r="Q22" s="34">
        <v>5000000</v>
      </c>
      <c r="R22" s="31" t="s">
        <v>159</v>
      </c>
      <c r="S22" s="35">
        <v>40808</v>
      </c>
      <c r="T22" s="35">
        <v>40724</v>
      </c>
      <c r="U22" s="35">
        <v>43465</v>
      </c>
      <c r="V22" s="27" t="s">
        <v>9308</v>
      </c>
      <c r="W22" s="34"/>
      <c r="X22" s="34"/>
      <c r="Y22" s="34" t="s">
        <v>242</v>
      </c>
      <c r="Z22" s="34"/>
      <c r="AA22" s="34"/>
      <c r="AB22" s="34"/>
      <c r="AC22" s="34"/>
      <c r="AD22" s="34"/>
      <c r="AE22" s="34"/>
      <c r="AF22" s="34"/>
    </row>
    <row r="23" spans="2:32" ht="75" customHeight="1" x14ac:dyDescent="0.25">
      <c r="B23" s="36" t="s">
        <v>243</v>
      </c>
      <c r="C23" s="33">
        <v>2011</v>
      </c>
      <c r="D23" s="33">
        <f t="shared" si="0"/>
        <v>2017</v>
      </c>
      <c r="E23" s="36" t="s">
        <v>126</v>
      </c>
      <c r="F23" s="36" t="s">
        <v>244</v>
      </c>
      <c r="G23" s="36" t="s">
        <v>246</v>
      </c>
      <c r="H23" s="36" t="s">
        <v>181</v>
      </c>
      <c r="I23" s="36" t="s">
        <v>178</v>
      </c>
      <c r="J23" s="36" t="s">
        <v>179</v>
      </c>
      <c r="K23" s="36" t="s">
        <v>245</v>
      </c>
      <c r="L23" s="36" t="s">
        <v>159</v>
      </c>
      <c r="M23" s="37">
        <v>0</v>
      </c>
      <c r="N23" s="37">
        <v>3750000000</v>
      </c>
      <c r="O23" s="37">
        <v>3750000000</v>
      </c>
      <c r="P23" s="36" t="s">
        <v>177</v>
      </c>
      <c r="Q23" s="37">
        <v>4800000</v>
      </c>
      <c r="R23" s="36" t="s">
        <v>159</v>
      </c>
      <c r="S23" s="38">
        <v>40856</v>
      </c>
      <c r="T23" s="38">
        <v>40715</v>
      </c>
      <c r="U23" s="38">
        <v>43008</v>
      </c>
      <c r="V23" s="27" t="s">
        <v>9316</v>
      </c>
      <c r="W23" s="37"/>
      <c r="X23" s="37"/>
      <c r="Y23" s="37" t="s">
        <v>125</v>
      </c>
      <c r="Z23" s="37"/>
      <c r="AA23" s="37"/>
      <c r="AB23" s="37"/>
      <c r="AC23" s="37"/>
      <c r="AD23" s="37"/>
      <c r="AE23" s="37"/>
      <c r="AF23" s="37"/>
    </row>
    <row r="24" spans="2:32" ht="75" customHeight="1" x14ac:dyDescent="0.25">
      <c r="B24" s="31" t="s">
        <v>250</v>
      </c>
      <c r="C24" s="32">
        <v>2011</v>
      </c>
      <c r="D24" s="33">
        <f t="shared" si="0"/>
        <v>2016</v>
      </c>
      <c r="E24" s="31" t="s">
        <v>126</v>
      </c>
      <c r="F24" s="31" t="s">
        <v>251</v>
      </c>
      <c r="G24" s="31" t="s">
        <v>252</v>
      </c>
      <c r="H24" s="31" t="s">
        <v>181</v>
      </c>
      <c r="I24" s="31" t="s">
        <v>178</v>
      </c>
      <c r="J24" s="31" t="s">
        <v>179</v>
      </c>
      <c r="K24" s="31" t="s">
        <v>190</v>
      </c>
      <c r="L24" s="31" t="s">
        <v>159</v>
      </c>
      <c r="M24" s="34">
        <v>0</v>
      </c>
      <c r="N24" s="34">
        <v>1282658000</v>
      </c>
      <c r="O24" s="34">
        <v>1282658000</v>
      </c>
      <c r="P24" s="31" t="s">
        <v>122</v>
      </c>
      <c r="Q24" s="34">
        <v>2565316</v>
      </c>
      <c r="R24" s="31" t="s">
        <v>159</v>
      </c>
      <c r="S24" s="35">
        <v>40856</v>
      </c>
      <c r="T24" s="35">
        <v>40673</v>
      </c>
      <c r="U24" s="35">
        <v>42735</v>
      </c>
      <c r="V24" s="27" t="s">
        <v>9317</v>
      </c>
      <c r="W24" s="34"/>
      <c r="X24" s="34"/>
      <c r="Y24" s="34" t="s">
        <v>125</v>
      </c>
      <c r="Z24" s="34"/>
      <c r="AA24" s="34"/>
      <c r="AB24" s="34"/>
      <c r="AC24" s="34"/>
      <c r="AD24" s="34"/>
      <c r="AE24" s="34"/>
      <c r="AF24" s="34"/>
    </row>
    <row r="25" spans="2:32" ht="75" customHeight="1" x14ac:dyDescent="0.25">
      <c r="B25" s="36" t="s">
        <v>255</v>
      </c>
      <c r="C25" s="33">
        <v>2011</v>
      </c>
      <c r="D25" s="33">
        <f t="shared" si="0"/>
        <v>2017</v>
      </c>
      <c r="E25" s="36" t="s">
        <v>126</v>
      </c>
      <c r="F25" s="36" t="s">
        <v>256</v>
      </c>
      <c r="G25" s="36" t="s">
        <v>257</v>
      </c>
      <c r="H25" s="36" t="s">
        <v>160</v>
      </c>
      <c r="I25" s="36" t="s">
        <v>178</v>
      </c>
      <c r="J25" s="36" t="s">
        <v>179</v>
      </c>
      <c r="K25" s="36" t="s">
        <v>118</v>
      </c>
      <c r="L25" s="36" t="s">
        <v>159</v>
      </c>
      <c r="M25" s="37">
        <v>0</v>
      </c>
      <c r="N25" s="37">
        <v>1000000000</v>
      </c>
      <c r="O25" s="37">
        <v>1000000000</v>
      </c>
      <c r="P25" s="36" t="s">
        <v>122</v>
      </c>
      <c r="Q25" s="37">
        <v>2000000</v>
      </c>
      <c r="R25" s="36" t="s">
        <v>260</v>
      </c>
      <c r="S25" s="38">
        <v>40856</v>
      </c>
      <c r="T25" s="38">
        <v>40717</v>
      </c>
      <c r="U25" s="38">
        <v>43100</v>
      </c>
      <c r="V25" s="27" t="s">
        <v>9318</v>
      </c>
      <c r="W25" s="37"/>
      <c r="X25" s="37"/>
      <c r="Y25" s="37" t="s">
        <v>125</v>
      </c>
      <c r="Z25" s="37"/>
      <c r="AA25" s="37"/>
      <c r="AB25" s="37"/>
      <c r="AC25" s="37"/>
      <c r="AD25" s="37"/>
      <c r="AE25" s="37"/>
      <c r="AF25" s="37"/>
    </row>
    <row r="26" spans="2:32" ht="60" customHeight="1" x14ac:dyDescent="0.25">
      <c r="B26" s="31" t="s">
        <v>261</v>
      </c>
      <c r="C26" s="32">
        <v>2011</v>
      </c>
      <c r="D26" s="33">
        <f t="shared" si="0"/>
        <v>2015</v>
      </c>
      <c r="E26" s="31" t="s">
        <v>126</v>
      </c>
      <c r="F26" s="31" t="s">
        <v>262</v>
      </c>
      <c r="G26" s="31" t="s">
        <v>264</v>
      </c>
      <c r="H26" s="31" t="s">
        <v>129</v>
      </c>
      <c r="I26" s="31" t="s">
        <v>267</v>
      </c>
      <c r="J26" s="31" t="s">
        <v>267</v>
      </c>
      <c r="K26" s="31" t="s">
        <v>263</v>
      </c>
      <c r="L26" s="31" t="s">
        <v>159</v>
      </c>
      <c r="M26" s="34">
        <v>0</v>
      </c>
      <c r="N26" s="34">
        <v>13776000000</v>
      </c>
      <c r="O26" s="34">
        <v>13776000000</v>
      </c>
      <c r="P26" s="31" t="s">
        <v>122</v>
      </c>
      <c r="Q26" s="34">
        <v>21000000</v>
      </c>
      <c r="R26" s="31" t="s">
        <v>268</v>
      </c>
      <c r="S26" s="35">
        <v>40871</v>
      </c>
      <c r="T26" s="35">
        <v>40861</v>
      </c>
      <c r="U26" s="35">
        <v>42369</v>
      </c>
      <c r="V26" s="27" t="s">
        <v>9319</v>
      </c>
      <c r="W26" s="34"/>
      <c r="X26" s="34"/>
      <c r="Y26" s="34" t="s">
        <v>242</v>
      </c>
      <c r="Z26" s="34"/>
      <c r="AA26" s="34"/>
      <c r="AB26" s="34"/>
      <c r="AC26" s="34"/>
      <c r="AD26" s="34"/>
      <c r="AE26" s="34"/>
      <c r="AF26" s="34"/>
    </row>
    <row r="27" spans="2:32" ht="60" customHeight="1" x14ac:dyDescent="0.25">
      <c r="B27" s="36" t="s">
        <v>269</v>
      </c>
      <c r="C27" s="33">
        <v>2011</v>
      </c>
      <c r="D27" s="33">
        <f t="shared" si="0"/>
        <v>2019</v>
      </c>
      <c r="E27" s="36" t="s">
        <v>126</v>
      </c>
      <c r="F27" s="36" t="s">
        <v>270</v>
      </c>
      <c r="G27" s="36" t="s">
        <v>271</v>
      </c>
      <c r="H27" s="36" t="s">
        <v>151</v>
      </c>
      <c r="I27" s="36" t="s">
        <v>277</v>
      </c>
      <c r="J27" s="36" t="s">
        <v>278</v>
      </c>
      <c r="K27" s="36" t="s">
        <v>142</v>
      </c>
      <c r="L27" s="36" t="s">
        <v>201</v>
      </c>
      <c r="M27" s="37">
        <v>27810000000</v>
      </c>
      <c r="N27" s="37">
        <v>24520000000</v>
      </c>
      <c r="O27" s="37">
        <v>52330000000</v>
      </c>
      <c r="P27" s="36" t="s">
        <v>276</v>
      </c>
      <c r="Q27" s="37">
        <v>73140000</v>
      </c>
      <c r="R27" s="36" t="s">
        <v>279</v>
      </c>
      <c r="S27" s="38">
        <v>40879</v>
      </c>
      <c r="T27" s="38">
        <v>40837</v>
      </c>
      <c r="U27" s="38">
        <v>43830</v>
      </c>
      <c r="V27" s="27" t="s">
        <v>9320</v>
      </c>
      <c r="W27" s="37"/>
      <c r="X27" s="37"/>
      <c r="Y27" s="37" t="s">
        <v>125</v>
      </c>
      <c r="Z27" s="37"/>
      <c r="AA27" s="37"/>
      <c r="AB27" s="37"/>
      <c r="AC27" s="37"/>
      <c r="AD27" s="37"/>
      <c r="AE27" s="37"/>
      <c r="AF27" s="37"/>
    </row>
    <row r="28" spans="2:32" ht="75" customHeight="1" x14ac:dyDescent="0.25">
      <c r="B28" s="31" t="s">
        <v>280</v>
      </c>
      <c r="C28" s="32">
        <v>2011</v>
      </c>
      <c r="D28" s="33">
        <f t="shared" si="0"/>
        <v>2014</v>
      </c>
      <c r="E28" s="31" t="s">
        <v>284</v>
      </c>
      <c r="F28" s="31" t="s">
        <v>281</v>
      </c>
      <c r="G28" s="31" t="s">
        <v>283</v>
      </c>
      <c r="H28" s="31" t="s">
        <v>129</v>
      </c>
      <c r="I28" s="31" t="s">
        <v>267</v>
      </c>
      <c r="J28" s="31" t="s">
        <v>267</v>
      </c>
      <c r="K28" s="31" t="s">
        <v>282</v>
      </c>
      <c r="L28" s="31" t="s">
        <v>159</v>
      </c>
      <c r="M28" s="34">
        <v>0</v>
      </c>
      <c r="N28" s="34">
        <v>5903613000</v>
      </c>
      <c r="O28" s="34">
        <v>5903613000</v>
      </c>
      <c r="P28" s="31" t="s">
        <v>122</v>
      </c>
      <c r="Q28" s="34">
        <v>9000000</v>
      </c>
      <c r="R28" s="31" t="s">
        <v>159</v>
      </c>
      <c r="S28" s="35">
        <v>40892</v>
      </c>
      <c r="T28" s="35">
        <v>40855</v>
      </c>
      <c r="U28" s="35">
        <v>42004</v>
      </c>
      <c r="V28" s="27" t="s">
        <v>9308</v>
      </c>
      <c r="W28" s="34"/>
      <c r="X28" s="34"/>
      <c r="Y28" s="34" t="s">
        <v>242</v>
      </c>
      <c r="Z28" s="34"/>
      <c r="AA28" s="34"/>
      <c r="AB28" s="34"/>
      <c r="AC28" s="34"/>
      <c r="AD28" s="34"/>
      <c r="AE28" s="34"/>
      <c r="AF28" s="34"/>
    </row>
    <row r="29" spans="2:32" ht="60" customHeight="1" x14ac:dyDescent="0.25">
      <c r="B29" s="36" t="s">
        <v>285</v>
      </c>
      <c r="C29" s="33">
        <v>2011</v>
      </c>
      <c r="D29" s="33">
        <f t="shared" si="0"/>
        <v>2012</v>
      </c>
      <c r="E29" s="36" t="s">
        <v>126</v>
      </c>
      <c r="F29" s="36" t="s">
        <v>286</v>
      </c>
      <c r="G29" s="36" t="s">
        <v>287</v>
      </c>
      <c r="H29" s="36" t="s">
        <v>181</v>
      </c>
      <c r="I29" s="36" t="s">
        <v>178</v>
      </c>
      <c r="J29" s="36" t="s">
        <v>179</v>
      </c>
      <c r="K29" s="36" t="s">
        <v>163</v>
      </c>
      <c r="L29" s="36" t="s">
        <v>159</v>
      </c>
      <c r="M29" s="37">
        <v>0</v>
      </c>
      <c r="N29" s="37">
        <v>15000000000</v>
      </c>
      <c r="O29" s="37">
        <v>15000000000</v>
      </c>
      <c r="P29" s="36" t="s">
        <v>122</v>
      </c>
      <c r="Q29" s="37">
        <v>30000000</v>
      </c>
      <c r="R29" s="36" t="s">
        <v>159</v>
      </c>
      <c r="S29" s="38">
        <v>40898</v>
      </c>
      <c r="T29" s="38">
        <v>40631</v>
      </c>
      <c r="U29" s="38">
        <v>41274</v>
      </c>
      <c r="V29" s="27" t="s">
        <v>9308</v>
      </c>
      <c r="W29" s="37"/>
      <c r="X29" s="37"/>
      <c r="Y29" s="37" t="s">
        <v>125</v>
      </c>
      <c r="Z29" s="37"/>
      <c r="AA29" s="37"/>
      <c r="AB29" s="37"/>
      <c r="AC29" s="37"/>
      <c r="AD29" s="37"/>
      <c r="AE29" s="37"/>
      <c r="AF29" s="37"/>
    </row>
    <row r="30" spans="2:32" ht="60" customHeight="1" x14ac:dyDescent="0.25">
      <c r="B30" s="31" t="s">
        <v>288</v>
      </c>
      <c r="C30" s="32">
        <v>2011</v>
      </c>
      <c r="D30" s="33">
        <f t="shared" si="0"/>
        <v>2015</v>
      </c>
      <c r="E30" s="31" t="s">
        <v>126</v>
      </c>
      <c r="F30" s="31" t="s">
        <v>289</v>
      </c>
      <c r="G30" s="31" t="s">
        <v>290</v>
      </c>
      <c r="H30" s="31" t="s">
        <v>139</v>
      </c>
      <c r="I30" s="31" t="s">
        <v>137</v>
      </c>
      <c r="J30" s="31" t="s">
        <v>138</v>
      </c>
      <c r="K30" s="31" t="s">
        <v>205</v>
      </c>
      <c r="L30" s="31" t="s">
        <v>127</v>
      </c>
      <c r="M30" s="34">
        <v>7000000000</v>
      </c>
      <c r="N30" s="34">
        <v>0</v>
      </c>
      <c r="O30" s="34">
        <v>7000000000</v>
      </c>
      <c r="P30" s="31" t="s">
        <v>136</v>
      </c>
      <c r="Q30" s="34">
        <v>7000000000</v>
      </c>
      <c r="R30" s="31" t="s">
        <v>128</v>
      </c>
      <c r="S30" s="35">
        <v>40908</v>
      </c>
      <c r="T30" s="35">
        <v>40681</v>
      </c>
      <c r="U30" s="35">
        <v>42185</v>
      </c>
      <c r="V30" s="27" t="s">
        <v>9321</v>
      </c>
      <c r="W30" s="34"/>
      <c r="X30" s="34"/>
      <c r="Y30" s="34" t="s">
        <v>125</v>
      </c>
      <c r="Z30" s="34"/>
      <c r="AA30" s="34"/>
      <c r="AB30" s="34"/>
      <c r="AC30" s="34"/>
      <c r="AD30" s="34"/>
      <c r="AE30" s="34"/>
      <c r="AF30" s="34"/>
    </row>
    <row r="31" spans="2:32" ht="60" customHeight="1" x14ac:dyDescent="0.25">
      <c r="B31" s="36" t="s">
        <v>293</v>
      </c>
      <c r="C31" s="33">
        <v>2012</v>
      </c>
      <c r="D31" s="33">
        <f t="shared" si="0"/>
        <v>2019</v>
      </c>
      <c r="E31" s="36" t="s">
        <v>126</v>
      </c>
      <c r="F31" s="36" t="s">
        <v>141</v>
      </c>
      <c r="G31" s="36" t="s">
        <v>294</v>
      </c>
      <c r="H31" s="36" t="s">
        <v>151</v>
      </c>
      <c r="I31" s="36" t="s">
        <v>297</v>
      </c>
      <c r="J31" s="39" t="s">
        <v>298</v>
      </c>
      <c r="K31" s="36" t="s">
        <v>142</v>
      </c>
      <c r="L31" s="36" t="s">
        <v>127</v>
      </c>
      <c r="M31" s="37">
        <v>8000000000</v>
      </c>
      <c r="N31" s="37">
        <v>0</v>
      </c>
      <c r="O31" s="37">
        <v>8000000000</v>
      </c>
      <c r="P31" s="36" t="s">
        <v>296</v>
      </c>
      <c r="Q31" s="37">
        <v>60000000</v>
      </c>
      <c r="R31" s="36" t="s">
        <v>150</v>
      </c>
      <c r="S31" s="38">
        <v>41043</v>
      </c>
      <c r="T31" s="38">
        <v>40994</v>
      </c>
      <c r="U31" s="38">
        <v>43830</v>
      </c>
      <c r="V31" s="27" t="s">
        <v>9322</v>
      </c>
      <c r="W31" s="37"/>
      <c r="X31" s="37"/>
      <c r="Y31" s="40" t="s">
        <v>242</v>
      </c>
      <c r="Z31" s="37"/>
      <c r="AA31" s="37"/>
      <c r="AB31" s="37"/>
      <c r="AC31" s="37"/>
      <c r="AD31" s="37"/>
      <c r="AE31" s="37"/>
      <c r="AF31" s="37"/>
    </row>
    <row r="32" spans="2:32" ht="75" customHeight="1" x14ac:dyDescent="0.25">
      <c r="B32" s="31" t="s">
        <v>299</v>
      </c>
      <c r="C32" s="32">
        <v>2012</v>
      </c>
      <c r="D32" s="33">
        <f t="shared" si="0"/>
        <v>2019</v>
      </c>
      <c r="E32" s="31" t="s">
        <v>126</v>
      </c>
      <c r="F32" s="31" t="s">
        <v>300</v>
      </c>
      <c r="G32" s="31" t="s">
        <v>301</v>
      </c>
      <c r="H32" s="31" t="s">
        <v>151</v>
      </c>
      <c r="I32" s="31" t="s">
        <v>305</v>
      </c>
      <c r="J32" s="31" t="s">
        <v>306</v>
      </c>
      <c r="K32" s="31" t="s">
        <v>142</v>
      </c>
      <c r="L32" s="31" t="s">
        <v>127</v>
      </c>
      <c r="M32" s="34">
        <v>5200000000</v>
      </c>
      <c r="N32" s="34">
        <v>0</v>
      </c>
      <c r="O32" s="34">
        <v>5200000000</v>
      </c>
      <c r="P32" s="31" t="s">
        <v>122</v>
      </c>
      <c r="Q32" s="34">
        <v>10400000</v>
      </c>
      <c r="R32" s="31" t="s">
        <v>150</v>
      </c>
      <c r="S32" s="35">
        <v>40926</v>
      </c>
      <c r="T32" s="35">
        <v>40865</v>
      </c>
      <c r="U32" s="35">
        <v>43646</v>
      </c>
      <c r="V32" s="27" t="s">
        <v>9323</v>
      </c>
      <c r="W32" s="34"/>
      <c r="X32" s="34"/>
      <c r="Y32" s="34" t="s">
        <v>125</v>
      </c>
      <c r="Z32" s="34"/>
      <c r="AA32" s="34"/>
      <c r="AB32" s="34"/>
      <c r="AC32" s="34"/>
      <c r="AD32" s="34"/>
      <c r="AE32" s="34"/>
      <c r="AF32" s="34"/>
    </row>
    <row r="33" spans="2:32" ht="105" customHeight="1" x14ac:dyDescent="0.25">
      <c r="B33" s="36" t="s">
        <v>307</v>
      </c>
      <c r="C33" s="33">
        <v>2012</v>
      </c>
      <c r="D33" s="33">
        <f t="shared" si="0"/>
        <v>2018</v>
      </c>
      <c r="E33" s="36" t="s">
        <v>284</v>
      </c>
      <c r="F33" s="36" t="s">
        <v>308</v>
      </c>
      <c r="G33" s="36" t="s">
        <v>309</v>
      </c>
      <c r="H33" s="36" t="s">
        <v>312</v>
      </c>
      <c r="I33" s="36" t="s">
        <v>311</v>
      </c>
      <c r="J33" s="36" t="s">
        <v>311</v>
      </c>
      <c r="K33" s="36" t="s">
        <v>282</v>
      </c>
      <c r="L33" s="36" t="s">
        <v>159</v>
      </c>
      <c r="M33" s="37">
        <v>0</v>
      </c>
      <c r="N33" s="37">
        <v>3520000000</v>
      </c>
      <c r="O33" s="37">
        <v>3520000000</v>
      </c>
      <c r="P33" s="36" t="s">
        <v>310</v>
      </c>
      <c r="Q33" s="37">
        <v>40000000</v>
      </c>
      <c r="R33" s="36" t="s">
        <v>159</v>
      </c>
      <c r="S33" s="38">
        <v>41011</v>
      </c>
      <c r="T33" s="38">
        <v>40941</v>
      </c>
      <c r="U33" s="38">
        <v>43465</v>
      </c>
      <c r="V33" s="27" t="s">
        <v>9308</v>
      </c>
      <c r="W33" s="37"/>
      <c r="X33" s="37"/>
      <c r="Y33" s="37" t="s">
        <v>242</v>
      </c>
      <c r="Z33" s="37"/>
      <c r="AA33" s="37"/>
      <c r="AB33" s="37"/>
      <c r="AC33" s="37"/>
      <c r="AD33" s="37"/>
      <c r="AE33" s="37"/>
      <c r="AF33" s="37"/>
    </row>
    <row r="34" spans="2:32" ht="60" customHeight="1" x14ac:dyDescent="0.25">
      <c r="B34" s="31" t="s">
        <v>313</v>
      </c>
      <c r="C34" s="32">
        <v>2012</v>
      </c>
      <c r="D34" s="33">
        <f t="shared" si="0"/>
        <v>2017</v>
      </c>
      <c r="E34" s="31" t="s">
        <v>317</v>
      </c>
      <c r="F34" s="31" t="s">
        <v>314</v>
      </c>
      <c r="G34" s="31" t="s">
        <v>316</v>
      </c>
      <c r="H34" s="31" t="s">
        <v>129</v>
      </c>
      <c r="I34" s="31" t="s">
        <v>311</v>
      </c>
      <c r="J34" s="31" t="s">
        <v>311</v>
      </c>
      <c r="K34" s="31" t="s">
        <v>315</v>
      </c>
      <c r="L34" s="31" t="s">
        <v>159</v>
      </c>
      <c r="M34" s="34">
        <v>0</v>
      </c>
      <c r="N34" s="34">
        <v>11060000000</v>
      </c>
      <c r="O34" s="34">
        <v>11060000000</v>
      </c>
      <c r="P34" s="31" t="s">
        <v>310</v>
      </c>
      <c r="Q34" s="34">
        <v>125000000</v>
      </c>
      <c r="R34" s="31" t="s">
        <v>159</v>
      </c>
      <c r="S34" s="35">
        <v>41044</v>
      </c>
      <c r="T34" s="35">
        <v>40984</v>
      </c>
      <c r="U34" s="35">
        <v>42916</v>
      </c>
      <c r="V34" s="27" t="s">
        <v>9308</v>
      </c>
      <c r="W34" s="34"/>
      <c r="X34" s="34"/>
      <c r="Y34" s="34" t="s">
        <v>242</v>
      </c>
      <c r="Z34" s="34"/>
      <c r="AA34" s="34"/>
      <c r="AB34" s="34"/>
      <c r="AC34" s="34"/>
      <c r="AD34" s="34"/>
      <c r="AE34" s="34"/>
      <c r="AF34" s="34"/>
    </row>
    <row r="35" spans="2:32" ht="75" customHeight="1" x14ac:dyDescent="0.25">
      <c r="B35" s="36" t="s">
        <v>318</v>
      </c>
      <c r="C35" s="33">
        <v>2012</v>
      </c>
      <c r="D35" s="33">
        <f t="shared" si="0"/>
        <v>2019</v>
      </c>
      <c r="E35" s="36" t="s">
        <v>317</v>
      </c>
      <c r="F35" s="36" t="s">
        <v>319</v>
      </c>
      <c r="G35" s="36" t="s">
        <v>320</v>
      </c>
      <c r="H35" s="36" t="s">
        <v>129</v>
      </c>
      <c r="I35" s="36" t="s">
        <v>311</v>
      </c>
      <c r="J35" s="36" t="s">
        <v>311</v>
      </c>
      <c r="K35" s="36" t="s">
        <v>142</v>
      </c>
      <c r="L35" s="36" t="s">
        <v>159</v>
      </c>
      <c r="M35" s="37">
        <v>0</v>
      </c>
      <c r="N35" s="37">
        <v>8850000000</v>
      </c>
      <c r="O35" s="37">
        <v>8850000000</v>
      </c>
      <c r="P35" s="36" t="s">
        <v>310</v>
      </c>
      <c r="Q35" s="37">
        <v>100000000</v>
      </c>
      <c r="R35" s="36" t="s">
        <v>159</v>
      </c>
      <c r="S35" s="38">
        <v>41082</v>
      </c>
      <c r="T35" s="38">
        <v>40984</v>
      </c>
      <c r="U35" s="38">
        <v>43830</v>
      </c>
      <c r="V35" s="27" t="s">
        <v>9324</v>
      </c>
      <c r="W35" s="37"/>
      <c r="X35" s="37"/>
      <c r="Y35" s="37" t="s">
        <v>242</v>
      </c>
      <c r="Z35" s="37"/>
      <c r="AA35" s="37"/>
      <c r="AB35" s="37"/>
      <c r="AC35" s="37"/>
      <c r="AD35" s="37"/>
      <c r="AE35" s="37"/>
      <c r="AF35" s="37"/>
    </row>
    <row r="36" spans="2:32" ht="60" customHeight="1" x14ac:dyDescent="0.25">
      <c r="B36" s="31" t="s">
        <v>322</v>
      </c>
      <c r="C36" s="32">
        <v>2012</v>
      </c>
      <c r="D36" s="33">
        <f t="shared" si="0"/>
        <v>2017</v>
      </c>
      <c r="E36" s="31" t="s">
        <v>317</v>
      </c>
      <c r="F36" s="31" t="s">
        <v>319</v>
      </c>
      <c r="G36" s="31" t="s">
        <v>323</v>
      </c>
      <c r="H36" s="31" t="s">
        <v>326</v>
      </c>
      <c r="I36" s="31" t="s">
        <v>324</v>
      </c>
      <c r="J36" s="31" t="s">
        <v>325</v>
      </c>
      <c r="K36" s="31" t="s">
        <v>142</v>
      </c>
      <c r="L36" s="31" t="s">
        <v>159</v>
      </c>
      <c r="M36" s="34">
        <v>0</v>
      </c>
      <c r="N36" s="34">
        <v>3481277936</v>
      </c>
      <c r="O36" s="34">
        <v>3481277936</v>
      </c>
      <c r="P36" s="31" t="s">
        <v>122</v>
      </c>
      <c r="Q36" s="34">
        <v>5307635.2126848605</v>
      </c>
      <c r="R36" s="31" t="s">
        <v>159</v>
      </c>
      <c r="S36" s="35">
        <v>41201</v>
      </c>
      <c r="T36" s="35">
        <v>41193</v>
      </c>
      <c r="U36" s="35">
        <v>43100</v>
      </c>
      <c r="V36" s="27" t="s">
        <v>9324</v>
      </c>
      <c r="W36" s="34"/>
      <c r="X36" s="34"/>
      <c r="Y36" s="34" t="s">
        <v>242</v>
      </c>
      <c r="Z36" s="34"/>
      <c r="AA36" s="34"/>
      <c r="AB36" s="34"/>
      <c r="AC36" s="34"/>
      <c r="AD36" s="34"/>
      <c r="AE36" s="34"/>
      <c r="AF36" s="34"/>
    </row>
    <row r="37" spans="2:32" ht="75" customHeight="1" x14ac:dyDescent="0.25">
      <c r="B37" s="36" t="s">
        <v>327</v>
      </c>
      <c r="C37" s="33">
        <v>2012</v>
      </c>
      <c r="D37" s="33">
        <f t="shared" si="0"/>
        <v>2015</v>
      </c>
      <c r="E37" s="36" t="s">
        <v>235</v>
      </c>
      <c r="F37" s="36" t="s">
        <v>328</v>
      </c>
      <c r="G37" s="36" t="s">
        <v>329</v>
      </c>
      <c r="H37" s="36" t="s">
        <v>139</v>
      </c>
      <c r="I37" s="36" t="s">
        <v>137</v>
      </c>
      <c r="J37" s="36" t="s">
        <v>138</v>
      </c>
      <c r="K37" s="36" t="s">
        <v>142</v>
      </c>
      <c r="L37" s="36" t="s">
        <v>127</v>
      </c>
      <c r="M37" s="37">
        <v>480000000</v>
      </c>
      <c r="N37" s="37">
        <v>0</v>
      </c>
      <c r="O37" s="37">
        <v>480000000</v>
      </c>
      <c r="P37" s="36" t="s">
        <v>136</v>
      </c>
      <c r="Q37" s="37">
        <v>480000000</v>
      </c>
      <c r="R37" s="36" t="s">
        <v>128</v>
      </c>
      <c r="S37" s="38">
        <v>41054</v>
      </c>
      <c r="T37" s="38">
        <v>40988</v>
      </c>
      <c r="U37" s="38">
        <v>42369</v>
      </c>
      <c r="V37" s="27" t="s">
        <v>9325</v>
      </c>
      <c r="W37" s="37"/>
      <c r="X37" s="37"/>
      <c r="Y37" s="37" t="s">
        <v>125</v>
      </c>
      <c r="Z37" s="37"/>
      <c r="AA37" s="37"/>
      <c r="AB37" s="37"/>
      <c r="AC37" s="37"/>
      <c r="AD37" s="37"/>
      <c r="AE37" s="37"/>
      <c r="AF37" s="37"/>
    </row>
    <row r="38" spans="2:32" ht="60" customHeight="1" x14ac:dyDescent="0.25">
      <c r="B38" s="31" t="s">
        <v>333</v>
      </c>
      <c r="C38" s="32">
        <v>2012</v>
      </c>
      <c r="D38" s="33">
        <f t="shared" si="0"/>
        <v>2018</v>
      </c>
      <c r="E38" s="31" t="s">
        <v>317</v>
      </c>
      <c r="F38" s="31" t="s">
        <v>334</v>
      </c>
      <c r="G38" s="31" t="s">
        <v>335</v>
      </c>
      <c r="H38" s="31" t="s">
        <v>129</v>
      </c>
      <c r="I38" s="31" t="s">
        <v>337</v>
      </c>
      <c r="J38" s="31" t="s">
        <v>338</v>
      </c>
      <c r="K38" s="31" t="s">
        <v>216</v>
      </c>
      <c r="L38" s="31" t="s">
        <v>159</v>
      </c>
      <c r="M38" s="34">
        <v>0</v>
      </c>
      <c r="N38" s="34">
        <v>6559570000</v>
      </c>
      <c r="O38" s="34">
        <v>6559570000</v>
      </c>
      <c r="P38" s="31" t="s">
        <v>122</v>
      </c>
      <c r="Q38" s="34">
        <v>10000000</v>
      </c>
      <c r="R38" s="31" t="s">
        <v>159</v>
      </c>
      <c r="S38" s="35">
        <v>41079</v>
      </c>
      <c r="T38" s="35">
        <v>41044</v>
      </c>
      <c r="U38" s="35">
        <v>43281</v>
      </c>
      <c r="V38" s="27" t="s">
        <v>9326</v>
      </c>
      <c r="W38" s="34"/>
      <c r="X38" s="34"/>
      <c r="Y38" s="34" t="s">
        <v>242</v>
      </c>
      <c r="Z38" s="34"/>
      <c r="AA38" s="34"/>
      <c r="AB38" s="34"/>
      <c r="AC38" s="34"/>
      <c r="AD38" s="34"/>
      <c r="AE38" s="34"/>
      <c r="AF38" s="34"/>
    </row>
    <row r="39" spans="2:32" ht="60" customHeight="1" x14ac:dyDescent="0.25">
      <c r="B39" s="36" t="s">
        <v>339</v>
      </c>
      <c r="C39" s="33">
        <v>2012</v>
      </c>
      <c r="D39" s="33">
        <f t="shared" si="0"/>
        <v>2018</v>
      </c>
      <c r="E39" s="36" t="s">
        <v>126</v>
      </c>
      <c r="F39" s="36" t="s">
        <v>340</v>
      </c>
      <c r="G39" s="36" t="s">
        <v>341</v>
      </c>
      <c r="H39" s="36" t="s">
        <v>181</v>
      </c>
      <c r="I39" s="36" t="s">
        <v>178</v>
      </c>
      <c r="J39" s="36" t="s">
        <v>179</v>
      </c>
      <c r="K39" s="36" t="s">
        <v>282</v>
      </c>
      <c r="L39" s="36" t="s">
        <v>127</v>
      </c>
      <c r="M39" s="37">
        <v>23000000000</v>
      </c>
      <c r="N39" s="37">
        <v>0</v>
      </c>
      <c r="O39" s="37">
        <v>23000000000</v>
      </c>
      <c r="P39" s="36" t="s">
        <v>177</v>
      </c>
      <c r="Q39" s="37">
        <v>29600000</v>
      </c>
      <c r="R39" s="36" t="s">
        <v>150</v>
      </c>
      <c r="S39" s="38">
        <v>41087</v>
      </c>
      <c r="T39" s="38">
        <v>41025</v>
      </c>
      <c r="U39" s="38">
        <v>43465</v>
      </c>
      <c r="V39" s="27" t="s">
        <v>9308</v>
      </c>
      <c r="W39" s="37"/>
      <c r="X39" s="37"/>
      <c r="Y39" s="37" t="s">
        <v>125</v>
      </c>
      <c r="Z39" s="37"/>
      <c r="AA39" s="37"/>
      <c r="AB39" s="37"/>
      <c r="AC39" s="37"/>
      <c r="AD39" s="37"/>
      <c r="AE39" s="37"/>
      <c r="AF39" s="37"/>
    </row>
    <row r="40" spans="2:32" ht="60" customHeight="1" x14ac:dyDescent="0.25">
      <c r="B40" s="31" t="s">
        <v>342</v>
      </c>
      <c r="C40" s="32">
        <v>2012</v>
      </c>
      <c r="D40" s="33">
        <f t="shared" si="0"/>
        <v>2017</v>
      </c>
      <c r="E40" s="31" t="s">
        <v>126</v>
      </c>
      <c r="F40" s="31" t="s">
        <v>343</v>
      </c>
      <c r="G40" s="31" t="s">
        <v>344</v>
      </c>
      <c r="H40" s="31" t="s">
        <v>326</v>
      </c>
      <c r="I40" s="31" t="s">
        <v>123</v>
      </c>
      <c r="J40" s="31" t="s">
        <v>124</v>
      </c>
      <c r="K40" s="31" t="s">
        <v>216</v>
      </c>
      <c r="L40" s="31" t="s">
        <v>127</v>
      </c>
      <c r="M40" s="34">
        <v>5000000000</v>
      </c>
      <c r="N40" s="34">
        <v>0</v>
      </c>
      <c r="O40" s="34">
        <v>5000000000</v>
      </c>
      <c r="P40" s="31" t="s">
        <v>122</v>
      </c>
      <c r="Q40" s="34">
        <v>10000000</v>
      </c>
      <c r="R40" s="31" t="s">
        <v>128</v>
      </c>
      <c r="S40" s="35">
        <v>41116</v>
      </c>
      <c r="T40" s="35">
        <v>41093</v>
      </c>
      <c r="U40" s="35">
        <v>43100</v>
      </c>
      <c r="V40" s="27" t="s">
        <v>9327</v>
      </c>
      <c r="W40" s="34"/>
      <c r="X40" s="34"/>
      <c r="Y40" s="34" t="s">
        <v>125</v>
      </c>
      <c r="Z40" s="34"/>
      <c r="AA40" s="34"/>
      <c r="AB40" s="34"/>
      <c r="AC40" s="34"/>
      <c r="AD40" s="34"/>
      <c r="AE40" s="34"/>
      <c r="AF40" s="34"/>
    </row>
    <row r="41" spans="2:32" ht="60" customHeight="1" x14ac:dyDescent="0.25">
      <c r="B41" s="36" t="s">
        <v>347</v>
      </c>
      <c r="C41" s="33">
        <v>2012</v>
      </c>
      <c r="D41" s="33">
        <f t="shared" si="0"/>
        <v>2016</v>
      </c>
      <c r="E41" s="36" t="s">
        <v>126</v>
      </c>
      <c r="F41" s="36" t="s">
        <v>348</v>
      </c>
      <c r="G41" s="36" t="s">
        <v>349</v>
      </c>
      <c r="H41" s="36" t="s">
        <v>353</v>
      </c>
      <c r="I41" s="36" t="s">
        <v>137</v>
      </c>
      <c r="J41" s="36" t="s">
        <v>138</v>
      </c>
      <c r="K41" s="36" t="s">
        <v>142</v>
      </c>
      <c r="L41" s="36" t="s">
        <v>127</v>
      </c>
      <c r="M41" s="37">
        <v>12000000000</v>
      </c>
      <c r="N41" s="37">
        <v>0</v>
      </c>
      <c r="O41" s="37">
        <v>12000000000</v>
      </c>
      <c r="P41" s="36" t="s">
        <v>136</v>
      </c>
      <c r="Q41" s="37">
        <v>12000000000</v>
      </c>
      <c r="R41" s="36" t="s">
        <v>128</v>
      </c>
      <c r="S41" s="38">
        <v>41120</v>
      </c>
      <c r="T41" s="38">
        <v>41054</v>
      </c>
      <c r="U41" s="38">
        <v>42735</v>
      </c>
      <c r="V41" s="27" t="s">
        <v>9328</v>
      </c>
      <c r="W41" s="37"/>
      <c r="X41" s="37"/>
      <c r="Y41" s="37" t="s">
        <v>125</v>
      </c>
      <c r="Z41" s="37"/>
      <c r="AA41" s="37"/>
      <c r="AB41" s="37"/>
      <c r="AC41" s="37"/>
      <c r="AD41" s="37"/>
      <c r="AE41" s="37"/>
      <c r="AF41" s="37"/>
    </row>
    <row r="42" spans="2:32" ht="60" customHeight="1" x14ac:dyDescent="0.25">
      <c r="B42" s="31" t="s">
        <v>354</v>
      </c>
      <c r="C42" s="32">
        <v>2012</v>
      </c>
      <c r="D42" s="33">
        <f t="shared" si="0"/>
        <v>2017</v>
      </c>
      <c r="E42" s="31" t="s">
        <v>126</v>
      </c>
      <c r="F42" s="31" t="s">
        <v>355</v>
      </c>
      <c r="G42" s="31" t="s">
        <v>356</v>
      </c>
      <c r="H42" s="31" t="s">
        <v>172</v>
      </c>
      <c r="I42" s="31" t="s">
        <v>358</v>
      </c>
      <c r="J42" s="31" t="s">
        <v>358</v>
      </c>
      <c r="K42" s="31" t="s">
        <v>163</v>
      </c>
      <c r="L42" s="31" t="s">
        <v>127</v>
      </c>
      <c r="M42" s="34">
        <v>10790000000</v>
      </c>
      <c r="N42" s="34">
        <v>0</v>
      </c>
      <c r="O42" s="34">
        <v>10790000000</v>
      </c>
      <c r="P42" s="31" t="s">
        <v>357</v>
      </c>
      <c r="Q42" s="34">
        <v>141000000</v>
      </c>
      <c r="R42" s="31" t="s">
        <v>127</v>
      </c>
      <c r="S42" s="35">
        <v>41170</v>
      </c>
      <c r="T42" s="35">
        <v>41142</v>
      </c>
      <c r="U42" s="35">
        <v>43100</v>
      </c>
      <c r="V42" s="27" t="s">
        <v>9329</v>
      </c>
      <c r="W42" s="34"/>
      <c r="X42" s="34"/>
      <c r="Y42" s="34" t="s">
        <v>242</v>
      </c>
      <c r="Z42" s="34"/>
      <c r="AA42" s="34"/>
      <c r="AB42" s="34"/>
      <c r="AC42" s="34"/>
      <c r="AD42" s="34"/>
      <c r="AE42" s="34"/>
      <c r="AF42" s="34"/>
    </row>
    <row r="43" spans="2:32" ht="75" customHeight="1" x14ac:dyDescent="0.25">
      <c r="B43" s="36" t="s">
        <v>359</v>
      </c>
      <c r="C43" s="33">
        <v>2012</v>
      </c>
      <c r="D43" s="33">
        <f t="shared" si="0"/>
        <v>2016</v>
      </c>
      <c r="E43" s="36" t="s">
        <v>126</v>
      </c>
      <c r="F43" s="36" t="s">
        <v>360</v>
      </c>
      <c r="G43" s="36" t="s">
        <v>361</v>
      </c>
      <c r="H43" s="36" t="s">
        <v>366</v>
      </c>
      <c r="I43" s="36" t="s">
        <v>364</v>
      </c>
      <c r="J43" s="36" t="s">
        <v>365</v>
      </c>
      <c r="K43" s="36" t="s">
        <v>190</v>
      </c>
      <c r="L43" s="36" t="s">
        <v>127</v>
      </c>
      <c r="M43" s="37">
        <v>7500000000</v>
      </c>
      <c r="N43" s="37">
        <v>0</v>
      </c>
      <c r="O43" s="37">
        <v>7500000000</v>
      </c>
      <c r="P43" s="36" t="s">
        <v>122</v>
      </c>
      <c r="Q43" s="37">
        <v>15000000</v>
      </c>
      <c r="R43" s="36" t="s">
        <v>150</v>
      </c>
      <c r="S43" s="38">
        <v>41144</v>
      </c>
      <c r="T43" s="38">
        <v>41064</v>
      </c>
      <c r="U43" s="38">
        <v>42735</v>
      </c>
      <c r="V43" s="27" t="s">
        <v>9330</v>
      </c>
      <c r="W43" s="37"/>
      <c r="X43" s="37"/>
      <c r="Y43" s="37" t="s">
        <v>242</v>
      </c>
      <c r="Z43" s="37"/>
      <c r="AA43" s="37"/>
      <c r="AB43" s="37"/>
      <c r="AC43" s="37"/>
      <c r="AD43" s="37"/>
      <c r="AE43" s="37"/>
      <c r="AF43" s="37"/>
    </row>
    <row r="44" spans="2:32" ht="60" customHeight="1" x14ac:dyDescent="0.25">
      <c r="B44" s="31" t="s">
        <v>367</v>
      </c>
      <c r="C44" s="32">
        <v>2012</v>
      </c>
      <c r="D44" s="33">
        <f t="shared" si="0"/>
        <v>2019</v>
      </c>
      <c r="E44" s="31" t="s">
        <v>126</v>
      </c>
      <c r="F44" s="31" t="s">
        <v>368</v>
      </c>
      <c r="G44" s="31" t="s">
        <v>370</v>
      </c>
      <c r="H44" s="31" t="s">
        <v>372</v>
      </c>
      <c r="I44" s="31" t="s">
        <v>178</v>
      </c>
      <c r="J44" s="31" t="s">
        <v>179</v>
      </c>
      <c r="K44" s="31" t="s">
        <v>369</v>
      </c>
      <c r="L44" s="31" t="s">
        <v>127</v>
      </c>
      <c r="M44" s="34">
        <v>17500000000</v>
      </c>
      <c r="N44" s="34">
        <v>0</v>
      </c>
      <c r="O44" s="34">
        <v>17500000000</v>
      </c>
      <c r="P44" s="31" t="s">
        <v>177</v>
      </c>
      <c r="Q44" s="34">
        <v>23200000</v>
      </c>
      <c r="R44" s="31" t="s">
        <v>150</v>
      </c>
      <c r="S44" s="35">
        <v>41156</v>
      </c>
      <c r="T44" s="35">
        <v>41102</v>
      </c>
      <c r="U44" s="35">
        <v>43646</v>
      </c>
      <c r="V44" s="27" t="s">
        <v>9331</v>
      </c>
      <c r="W44" s="34"/>
      <c r="X44" s="34"/>
      <c r="Y44" s="34" t="s">
        <v>125</v>
      </c>
      <c r="Z44" s="34"/>
      <c r="AA44" s="34"/>
      <c r="AB44" s="34"/>
      <c r="AC44" s="34"/>
      <c r="AD44" s="34"/>
      <c r="AE44" s="34"/>
      <c r="AF44" s="34"/>
    </row>
    <row r="45" spans="2:32" ht="75" customHeight="1" x14ac:dyDescent="0.25">
      <c r="B45" s="36" t="s">
        <v>373</v>
      </c>
      <c r="C45" s="33">
        <v>2012</v>
      </c>
      <c r="D45" s="33">
        <f t="shared" si="0"/>
        <v>2017</v>
      </c>
      <c r="E45" s="36" t="s">
        <v>126</v>
      </c>
      <c r="F45" s="36" t="s">
        <v>374</v>
      </c>
      <c r="G45" s="36" t="s">
        <v>375</v>
      </c>
      <c r="H45" s="36" t="s">
        <v>372</v>
      </c>
      <c r="I45" s="36" t="s">
        <v>178</v>
      </c>
      <c r="J45" s="36" t="s">
        <v>179</v>
      </c>
      <c r="K45" s="36" t="s">
        <v>216</v>
      </c>
      <c r="L45" s="36" t="s">
        <v>159</v>
      </c>
      <c r="M45" s="37">
        <v>0</v>
      </c>
      <c r="N45" s="37">
        <v>5000000000</v>
      </c>
      <c r="O45" s="37">
        <v>5000000000</v>
      </c>
      <c r="P45" s="36" t="s">
        <v>122</v>
      </c>
      <c r="Q45" s="37">
        <v>10000000</v>
      </c>
      <c r="R45" s="36" t="s">
        <v>159</v>
      </c>
      <c r="S45" s="38">
        <v>41156</v>
      </c>
      <c r="T45" s="38">
        <v>41025</v>
      </c>
      <c r="U45" s="38">
        <v>43100</v>
      </c>
      <c r="V45" s="27" t="s">
        <v>9332</v>
      </c>
      <c r="W45" s="37"/>
      <c r="X45" s="37"/>
      <c r="Y45" s="37" t="s">
        <v>125</v>
      </c>
      <c r="Z45" s="37"/>
      <c r="AA45" s="37"/>
      <c r="AB45" s="37"/>
      <c r="AC45" s="37"/>
      <c r="AD45" s="37"/>
      <c r="AE45" s="37"/>
      <c r="AF45" s="37"/>
    </row>
    <row r="46" spans="2:32" ht="60" customHeight="1" x14ac:dyDescent="0.25">
      <c r="B46" s="31" t="s">
        <v>377</v>
      </c>
      <c r="C46" s="32">
        <v>2012</v>
      </c>
      <c r="D46" s="33">
        <f t="shared" si="0"/>
        <v>2018</v>
      </c>
      <c r="E46" s="31" t="s">
        <v>126</v>
      </c>
      <c r="F46" s="31" t="s">
        <v>378</v>
      </c>
      <c r="G46" s="31" t="s">
        <v>379</v>
      </c>
      <c r="H46" s="31" t="s">
        <v>366</v>
      </c>
      <c r="I46" s="31" t="s">
        <v>358</v>
      </c>
      <c r="J46" s="31" t="s">
        <v>358</v>
      </c>
      <c r="K46" s="31" t="s">
        <v>142</v>
      </c>
      <c r="L46" s="31" t="s">
        <v>127</v>
      </c>
      <c r="M46" s="34">
        <v>64232000000</v>
      </c>
      <c r="N46" s="34">
        <v>0</v>
      </c>
      <c r="O46" s="34">
        <v>64232000000</v>
      </c>
      <c r="P46" s="31" t="s">
        <v>357</v>
      </c>
      <c r="Q46" s="34">
        <v>800000000</v>
      </c>
      <c r="R46" s="31" t="s">
        <v>127</v>
      </c>
      <c r="S46" s="35">
        <v>41227</v>
      </c>
      <c r="T46" s="35">
        <v>41187</v>
      </c>
      <c r="U46" s="35">
        <v>43465</v>
      </c>
      <c r="V46" s="27" t="s">
        <v>9333</v>
      </c>
      <c r="W46" s="34"/>
      <c r="X46" s="34"/>
      <c r="Y46" s="34" t="s">
        <v>242</v>
      </c>
      <c r="Z46" s="34"/>
      <c r="AA46" s="34"/>
      <c r="AB46" s="34"/>
      <c r="AC46" s="34"/>
      <c r="AD46" s="34"/>
      <c r="AE46" s="34"/>
      <c r="AF46" s="34"/>
    </row>
    <row r="47" spans="2:32" ht="60" customHeight="1" x14ac:dyDescent="0.25">
      <c r="B47" s="36" t="s">
        <v>383</v>
      </c>
      <c r="C47" s="33">
        <v>2012</v>
      </c>
      <c r="D47" s="33">
        <f t="shared" si="0"/>
        <v>2015</v>
      </c>
      <c r="E47" s="36" t="s">
        <v>317</v>
      </c>
      <c r="F47" s="36" t="s">
        <v>384</v>
      </c>
      <c r="G47" s="36" t="s">
        <v>385</v>
      </c>
      <c r="H47" s="36" t="s">
        <v>366</v>
      </c>
      <c r="I47" s="36" t="s">
        <v>277</v>
      </c>
      <c r="J47" s="36" t="s">
        <v>278</v>
      </c>
      <c r="K47" s="36" t="s">
        <v>163</v>
      </c>
      <c r="L47" s="36" t="s">
        <v>127</v>
      </c>
      <c r="M47" s="37">
        <v>23470000000</v>
      </c>
      <c r="N47" s="37">
        <v>0</v>
      </c>
      <c r="O47" s="37">
        <v>23470000000</v>
      </c>
      <c r="P47" s="36" t="s">
        <v>276</v>
      </c>
      <c r="Q47" s="37">
        <v>30000000</v>
      </c>
      <c r="R47" s="36" t="s">
        <v>150</v>
      </c>
      <c r="S47" s="38">
        <v>41206</v>
      </c>
      <c r="T47" s="38">
        <v>41199</v>
      </c>
      <c r="U47" s="38">
        <v>42369</v>
      </c>
      <c r="V47" s="27" t="s">
        <v>9308</v>
      </c>
      <c r="W47" s="37"/>
      <c r="X47" s="37"/>
      <c r="Y47" s="37" t="s">
        <v>125</v>
      </c>
      <c r="Z47" s="37"/>
      <c r="AA47" s="37"/>
      <c r="AB47" s="37"/>
      <c r="AC47" s="37"/>
      <c r="AD47" s="37"/>
      <c r="AE47" s="37"/>
      <c r="AF47" s="37"/>
    </row>
    <row r="48" spans="2:32" ht="60" customHeight="1" x14ac:dyDescent="0.25">
      <c r="B48" s="31" t="s">
        <v>386</v>
      </c>
      <c r="C48" s="32">
        <v>2012</v>
      </c>
      <c r="D48" s="33">
        <f t="shared" si="0"/>
        <v>2015</v>
      </c>
      <c r="E48" s="31" t="s">
        <v>126</v>
      </c>
      <c r="F48" s="31" t="s">
        <v>387</v>
      </c>
      <c r="G48" s="31" t="s">
        <v>388</v>
      </c>
      <c r="H48" s="31" t="s">
        <v>172</v>
      </c>
      <c r="I48" s="31" t="s">
        <v>389</v>
      </c>
      <c r="J48" s="31" t="s">
        <v>389</v>
      </c>
      <c r="K48" s="31" t="s">
        <v>315</v>
      </c>
      <c r="L48" s="31" t="s">
        <v>159</v>
      </c>
      <c r="M48" s="34">
        <v>0</v>
      </c>
      <c r="N48" s="34">
        <v>500000000</v>
      </c>
      <c r="O48" s="34">
        <v>500000000</v>
      </c>
      <c r="P48" s="31" t="s">
        <v>122</v>
      </c>
      <c r="Q48" s="34">
        <v>1000000</v>
      </c>
      <c r="R48" s="31" t="s">
        <v>159</v>
      </c>
      <c r="S48" s="35">
        <v>41227</v>
      </c>
      <c r="T48" s="35">
        <v>41093</v>
      </c>
      <c r="U48" s="35">
        <v>42369</v>
      </c>
      <c r="V48" s="27" t="s">
        <v>9334</v>
      </c>
      <c r="W48" s="34"/>
      <c r="X48" s="34"/>
      <c r="Y48" s="34" t="s">
        <v>242</v>
      </c>
      <c r="Z48" s="34"/>
      <c r="AA48" s="34"/>
      <c r="AB48" s="34"/>
      <c r="AC48" s="34"/>
      <c r="AD48" s="34"/>
      <c r="AE48" s="34"/>
      <c r="AF48" s="34"/>
    </row>
    <row r="49" spans="2:32" ht="60" customHeight="1" x14ac:dyDescent="0.25">
      <c r="B49" s="36" t="s">
        <v>390</v>
      </c>
      <c r="C49" s="33">
        <v>2012</v>
      </c>
      <c r="D49" s="33">
        <f t="shared" si="0"/>
        <v>2016</v>
      </c>
      <c r="E49" s="36" t="s">
        <v>126</v>
      </c>
      <c r="F49" s="36" t="s">
        <v>391</v>
      </c>
      <c r="G49" s="36" t="s">
        <v>392</v>
      </c>
      <c r="H49" s="36" t="s">
        <v>326</v>
      </c>
      <c r="I49" s="36" t="s">
        <v>337</v>
      </c>
      <c r="J49" s="36" t="s">
        <v>338</v>
      </c>
      <c r="K49" s="36" t="s">
        <v>282</v>
      </c>
      <c r="L49" s="36" t="s">
        <v>159</v>
      </c>
      <c r="M49" s="37">
        <v>0</v>
      </c>
      <c r="N49" s="37">
        <v>327978500</v>
      </c>
      <c r="O49" s="37">
        <v>327978500</v>
      </c>
      <c r="P49" s="36" t="s">
        <v>122</v>
      </c>
      <c r="Q49" s="37">
        <v>500000</v>
      </c>
      <c r="R49" s="36" t="s">
        <v>159</v>
      </c>
      <c r="S49" s="38">
        <v>41240</v>
      </c>
      <c r="T49" s="38">
        <v>41235</v>
      </c>
      <c r="U49" s="38">
        <v>42735</v>
      </c>
      <c r="V49" s="27" t="s">
        <v>9308</v>
      </c>
      <c r="W49" s="37"/>
      <c r="X49" s="37"/>
      <c r="Y49" s="37" t="s">
        <v>242</v>
      </c>
      <c r="Z49" s="37"/>
      <c r="AA49" s="37"/>
      <c r="AB49" s="37"/>
      <c r="AC49" s="37"/>
      <c r="AD49" s="37"/>
      <c r="AE49" s="37"/>
      <c r="AF49" s="37"/>
    </row>
    <row r="50" spans="2:32" ht="60" customHeight="1" x14ac:dyDescent="0.25">
      <c r="B50" s="31" t="s">
        <v>393</v>
      </c>
      <c r="C50" s="32">
        <v>2012</v>
      </c>
      <c r="D50" s="33">
        <f t="shared" si="0"/>
        <v>2015</v>
      </c>
      <c r="E50" s="31" t="s">
        <v>317</v>
      </c>
      <c r="F50" s="31" t="s">
        <v>394</v>
      </c>
      <c r="G50" s="31" t="s">
        <v>395</v>
      </c>
      <c r="H50" s="31" t="s">
        <v>326</v>
      </c>
      <c r="I50" s="31" t="s">
        <v>324</v>
      </c>
      <c r="J50" s="31" t="s">
        <v>325</v>
      </c>
      <c r="K50" s="31" t="s">
        <v>263</v>
      </c>
      <c r="L50" s="31" t="s">
        <v>159</v>
      </c>
      <c r="M50" s="34">
        <v>0</v>
      </c>
      <c r="N50" s="34">
        <v>40524000000</v>
      </c>
      <c r="O50" s="34">
        <v>40524000000</v>
      </c>
      <c r="P50" s="31" t="s">
        <v>122</v>
      </c>
      <c r="Q50" s="34">
        <v>61783808.507394403</v>
      </c>
      <c r="R50" s="31" t="s">
        <v>159</v>
      </c>
      <c r="S50" s="35">
        <v>41254</v>
      </c>
      <c r="T50" s="35">
        <v>40918</v>
      </c>
      <c r="U50" s="35">
        <v>42369</v>
      </c>
      <c r="V50" s="27" t="s">
        <v>9308</v>
      </c>
      <c r="W50" s="34"/>
      <c r="X50" s="34"/>
      <c r="Y50" s="34" t="s">
        <v>242</v>
      </c>
      <c r="Z50" s="34"/>
      <c r="AA50" s="34"/>
      <c r="AB50" s="34"/>
      <c r="AC50" s="34"/>
      <c r="AD50" s="34"/>
      <c r="AE50" s="34"/>
      <c r="AF50" s="34"/>
    </row>
    <row r="51" spans="2:32" ht="75" customHeight="1" x14ac:dyDescent="0.25">
      <c r="B51" s="36" t="s">
        <v>396</v>
      </c>
      <c r="C51" s="33">
        <v>2013</v>
      </c>
      <c r="D51" s="33">
        <f t="shared" si="0"/>
        <v>2016</v>
      </c>
      <c r="E51" s="36" t="s">
        <v>235</v>
      </c>
      <c r="F51" s="36" t="s">
        <v>397</v>
      </c>
      <c r="G51" s="36" t="s">
        <v>398</v>
      </c>
      <c r="H51" s="36" t="s">
        <v>353</v>
      </c>
      <c r="I51" s="36" t="s">
        <v>137</v>
      </c>
      <c r="J51" s="36" t="s">
        <v>138</v>
      </c>
      <c r="K51" s="36" t="s">
        <v>142</v>
      </c>
      <c r="L51" s="36" t="s">
        <v>127</v>
      </c>
      <c r="M51" s="37">
        <v>195382000</v>
      </c>
      <c r="N51" s="37">
        <v>0</v>
      </c>
      <c r="O51" s="37">
        <v>195382000</v>
      </c>
      <c r="P51" s="36" t="s">
        <v>136</v>
      </c>
      <c r="Q51" s="37">
        <v>195382000</v>
      </c>
      <c r="R51" s="36" t="s">
        <v>236</v>
      </c>
      <c r="S51" s="38">
        <v>41409</v>
      </c>
      <c r="T51" s="38">
        <v>41313</v>
      </c>
      <c r="U51" s="38">
        <v>42735</v>
      </c>
      <c r="V51" s="27" t="s">
        <v>9335</v>
      </c>
      <c r="W51" s="37"/>
      <c r="X51" s="37"/>
      <c r="Y51" s="37" t="s">
        <v>125</v>
      </c>
      <c r="Z51" s="37"/>
      <c r="AA51" s="37"/>
      <c r="AB51" s="37"/>
      <c r="AC51" s="37"/>
      <c r="AD51" s="37"/>
      <c r="AE51" s="37"/>
      <c r="AF51" s="37"/>
    </row>
    <row r="52" spans="2:32" ht="60" customHeight="1" x14ac:dyDescent="0.25">
      <c r="B52" s="31" t="s">
        <v>401</v>
      </c>
      <c r="C52" s="32">
        <v>2013</v>
      </c>
      <c r="D52" s="33">
        <f t="shared" si="0"/>
        <v>2019</v>
      </c>
      <c r="E52" s="31" t="s">
        <v>126</v>
      </c>
      <c r="F52" s="31" t="s">
        <v>402</v>
      </c>
      <c r="G52" s="31" t="s">
        <v>403</v>
      </c>
      <c r="H52" s="31" t="s">
        <v>326</v>
      </c>
      <c r="I52" s="31" t="s">
        <v>123</v>
      </c>
      <c r="J52" s="31" t="s">
        <v>124</v>
      </c>
      <c r="K52" s="31" t="s">
        <v>205</v>
      </c>
      <c r="L52" s="31" t="s">
        <v>127</v>
      </c>
      <c r="M52" s="34">
        <v>4505921562</v>
      </c>
      <c r="N52" s="34">
        <v>0</v>
      </c>
      <c r="O52" s="34">
        <v>4505921562</v>
      </c>
      <c r="P52" s="31" t="s">
        <v>276</v>
      </c>
      <c r="Q52" s="34">
        <v>5731765</v>
      </c>
      <c r="R52" s="31" t="s">
        <v>128</v>
      </c>
      <c r="S52" s="35">
        <v>41466</v>
      </c>
      <c r="T52" s="35">
        <v>41317</v>
      </c>
      <c r="U52" s="35">
        <v>43830</v>
      </c>
      <c r="V52" s="27" t="s">
        <v>9336</v>
      </c>
      <c r="W52" s="34"/>
      <c r="X52" s="34"/>
      <c r="Y52" s="34" t="s">
        <v>125</v>
      </c>
      <c r="Z52" s="34"/>
      <c r="AA52" s="34"/>
      <c r="AB52" s="34"/>
      <c r="AC52" s="34"/>
      <c r="AD52" s="34"/>
      <c r="AE52" s="34"/>
      <c r="AF52" s="34"/>
    </row>
    <row r="53" spans="2:32" ht="60" customHeight="1" x14ac:dyDescent="0.25">
      <c r="B53" s="36" t="s">
        <v>406</v>
      </c>
      <c r="C53" s="33">
        <v>2013</v>
      </c>
      <c r="D53" s="33">
        <f t="shared" si="0"/>
        <v>2017</v>
      </c>
      <c r="E53" s="36" t="s">
        <v>126</v>
      </c>
      <c r="F53" s="36" t="s">
        <v>407</v>
      </c>
      <c r="G53" s="36" t="s">
        <v>408</v>
      </c>
      <c r="H53" s="36" t="s">
        <v>366</v>
      </c>
      <c r="I53" s="36" t="s">
        <v>168</v>
      </c>
      <c r="J53" s="36" t="s">
        <v>169</v>
      </c>
      <c r="K53" s="36" t="s">
        <v>142</v>
      </c>
      <c r="L53" s="36" t="s">
        <v>127</v>
      </c>
      <c r="M53" s="37">
        <v>4500000000</v>
      </c>
      <c r="N53" s="37">
        <v>0</v>
      </c>
      <c r="O53" s="37">
        <v>4500000000</v>
      </c>
      <c r="P53" s="36" t="s">
        <v>167</v>
      </c>
      <c r="Q53" s="37">
        <v>5880000</v>
      </c>
      <c r="R53" s="36" t="s">
        <v>150</v>
      </c>
      <c r="S53" s="38">
        <v>41374</v>
      </c>
      <c r="T53" s="38">
        <v>41321</v>
      </c>
      <c r="U53" s="38">
        <v>43100</v>
      </c>
      <c r="V53" s="27" t="s">
        <v>9337</v>
      </c>
      <c r="W53" s="37"/>
      <c r="X53" s="37"/>
      <c r="Y53" s="37" t="s">
        <v>125</v>
      </c>
      <c r="Z53" s="37"/>
      <c r="AA53" s="37"/>
      <c r="AB53" s="37"/>
      <c r="AC53" s="37"/>
      <c r="AD53" s="37"/>
      <c r="AE53" s="37"/>
      <c r="AF53" s="37"/>
    </row>
    <row r="54" spans="2:32" ht="210" customHeight="1" x14ac:dyDescent="0.25">
      <c r="B54" s="31" t="s">
        <v>411</v>
      </c>
      <c r="C54" s="32">
        <v>2013</v>
      </c>
      <c r="D54" s="33">
        <f t="shared" si="0"/>
        <v>2020</v>
      </c>
      <c r="E54" s="31" t="s">
        <v>317</v>
      </c>
      <c r="F54" s="31" t="s">
        <v>412</v>
      </c>
      <c r="G54" s="31" t="s">
        <v>413</v>
      </c>
      <c r="H54" s="31" t="s">
        <v>366</v>
      </c>
      <c r="I54" s="31" t="s">
        <v>168</v>
      </c>
      <c r="J54" s="31" t="s">
        <v>169</v>
      </c>
      <c r="K54" s="31" t="s">
        <v>190</v>
      </c>
      <c r="L54" s="31" t="s">
        <v>127</v>
      </c>
      <c r="M54" s="34">
        <v>6800000000</v>
      </c>
      <c r="N54" s="34">
        <v>0</v>
      </c>
      <c r="O54" s="34">
        <v>6800000000</v>
      </c>
      <c r="P54" s="31" t="s">
        <v>167</v>
      </c>
      <c r="Q54" s="34">
        <v>8940000</v>
      </c>
      <c r="R54" s="31" t="s">
        <v>415</v>
      </c>
      <c r="S54" s="35">
        <v>41437</v>
      </c>
      <c r="T54" s="35">
        <v>41374</v>
      </c>
      <c r="U54" s="35">
        <v>44196</v>
      </c>
      <c r="V54" s="27" t="s">
        <v>9338</v>
      </c>
      <c r="W54" s="34"/>
      <c r="X54" s="34"/>
      <c r="Y54" s="34" t="s">
        <v>125</v>
      </c>
      <c r="Z54" s="34"/>
      <c r="AA54" s="34"/>
      <c r="AB54" s="34"/>
      <c r="AC54" s="34"/>
      <c r="AD54" s="34"/>
      <c r="AE54" s="34"/>
      <c r="AF54" s="34"/>
    </row>
    <row r="55" spans="2:32" ht="75" customHeight="1" x14ac:dyDescent="0.25">
      <c r="B55" s="36" t="s">
        <v>416</v>
      </c>
      <c r="C55" s="33">
        <v>2013</v>
      </c>
      <c r="D55" s="33">
        <f t="shared" si="0"/>
        <v>2018</v>
      </c>
      <c r="E55" s="36" t="s">
        <v>126</v>
      </c>
      <c r="F55" s="36" t="s">
        <v>417</v>
      </c>
      <c r="G55" s="36" t="s">
        <v>418</v>
      </c>
      <c r="H55" s="36" t="s">
        <v>372</v>
      </c>
      <c r="I55" s="36" t="s">
        <v>178</v>
      </c>
      <c r="J55" s="36" t="s">
        <v>179</v>
      </c>
      <c r="K55" s="36" t="s">
        <v>205</v>
      </c>
      <c r="L55" s="36" t="s">
        <v>127</v>
      </c>
      <c r="M55" s="37">
        <v>1000000000</v>
      </c>
      <c r="N55" s="37">
        <v>0</v>
      </c>
      <c r="O55" s="37">
        <v>1000000000</v>
      </c>
      <c r="P55" s="36" t="s">
        <v>122</v>
      </c>
      <c r="Q55" s="37">
        <v>2000000</v>
      </c>
      <c r="R55" s="36" t="s">
        <v>150</v>
      </c>
      <c r="S55" s="38">
        <v>41374</v>
      </c>
      <c r="T55" s="38">
        <v>41354</v>
      </c>
      <c r="U55" s="38">
        <v>43343</v>
      </c>
      <c r="V55" s="27" t="s">
        <v>9339</v>
      </c>
      <c r="W55" s="37"/>
      <c r="X55" s="37"/>
      <c r="Y55" s="37" t="s">
        <v>125</v>
      </c>
      <c r="Z55" s="37"/>
      <c r="AA55" s="37"/>
      <c r="AB55" s="37"/>
      <c r="AC55" s="37"/>
      <c r="AD55" s="37"/>
      <c r="AE55" s="37"/>
      <c r="AF55" s="37"/>
    </row>
    <row r="56" spans="2:32" ht="60" customHeight="1" x14ac:dyDescent="0.25">
      <c r="B56" s="31" t="s">
        <v>421</v>
      </c>
      <c r="C56" s="32">
        <v>2013</v>
      </c>
      <c r="D56" s="33">
        <f t="shared" si="0"/>
        <v>2018</v>
      </c>
      <c r="E56" s="31" t="s">
        <v>126</v>
      </c>
      <c r="F56" s="31" t="s">
        <v>417</v>
      </c>
      <c r="G56" s="31" t="s">
        <v>422</v>
      </c>
      <c r="H56" s="31" t="s">
        <v>372</v>
      </c>
      <c r="I56" s="31" t="s">
        <v>423</v>
      </c>
      <c r="J56" s="31" t="s">
        <v>424</v>
      </c>
      <c r="K56" s="31" t="s">
        <v>205</v>
      </c>
      <c r="L56" s="31" t="s">
        <v>159</v>
      </c>
      <c r="M56" s="34">
        <v>0</v>
      </c>
      <c r="N56" s="34">
        <v>2780000000</v>
      </c>
      <c r="O56" s="34">
        <v>2780000000</v>
      </c>
      <c r="P56" s="31" t="s">
        <v>122</v>
      </c>
      <c r="Q56" s="34">
        <v>5560000</v>
      </c>
      <c r="R56" s="31" t="s">
        <v>260</v>
      </c>
      <c r="S56" s="35">
        <v>41374</v>
      </c>
      <c r="T56" s="35">
        <v>41354</v>
      </c>
      <c r="U56" s="35">
        <v>43343</v>
      </c>
      <c r="V56" s="27" t="s">
        <v>9339</v>
      </c>
      <c r="W56" s="34"/>
      <c r="X56" s="34"/>
      <c r="Y56" s="34" t="s">
        <v>125</v>
      </c>
      <c r="Z56" s="34"/>
      <c r="AA56" s="34"/>
      <c r="AB56" s="34"/>
      <c r="AC56" s="34"/>
      <c r="AD56" s="34"/>
      <c r="AE56" s="34"/>
      <c r="AF56" s="34"/>
    </row>
    <row r="57" spans="2:32" ht="60" customHeight="1" x14ac:dyDescent="0.25">
      <c r="B57" s="36" t="s">
        <v>425</v>
      </c>
      <c r="C57" s="33">
        <v>2013</v>
      </c>
      <c r="D57" s="33">
        <f t="shared" si="0"/>
        <v>2014</v>
      </c>
      <c r="E57" s="36" t="s">
        <v>126</v>
      </c>
      <c r="F57" s="36" t="s">
        <v>426</v>
      </c>
      <c r="G57" s="36" t="s">
        <v>427</v>
      </c>
      <c r="H57" s="36" t="s">
        <v>372</v>
      </c>
      <c r="I57" s="36" t="s">
        <v>178</v>
      </c>
      <c r="J57" s="36" t="s">
        <v>179</v>
      </c>
      <c r="K57" s="36" t="s">
        <v>163</v>
      </c>
      <c r="L57" s="36" t="s">
        <v>127</v>
      </c>
      <c r="M57" s="37">
        <v>15000000000</v>
      </c>
      <c r="N57" s="37">
        <v>0</v>
      </c>
      <c r="O57" s="37">
        <v>15000000000</v>
      </c>
      <c r="P57" s="36" t="s">
        <v>177</v>
      </c>
      <c r="Q57" s="37">
        <v>19900000</v>
      </c>
      <c r="R57" s="36" t="s">
        <v>150</v>
      </c>
      <c r="S57" s="38">
        <v>41450</v>
      </c>
      <c r="T57" s="38">
        <v>41381</v>
      </c>
      <c r="U57" s="38">
        <v>42004</v>
      </c>
      <c r="V57" s="27" t="s">
        <v>9308</v>
      </c>
      <c r="W57" s="37"/>
      <c r="X57" s="37"/>
      <c r="Y57" s="37" t="s">
        <v>125</v>
      </c>
      <c r="Z57" s="37"/>
      <c r="AA57" s="37"/>
      <c r="AB57" s="37"/>
      <c r="AC57" s="37"/>
      <c r="AD57" s="37"/>
      <c r="AE57" s="37"/>
      <c r="AF57" s="37"/>
    </row>
    <row r="58" spans="2:32" ht="60" customHeight="1" x14ac:dyDescent="0.25">
      <c r="B58" s="31" t="s">
        <v>428</v>
      </c>
      <c r="C58" s="32">
        <v>2013</v>
      </c>
      <c r="D58" s="33">
        <f t="shared" si="0"/>
        <v>2016</v>
      </c>
      <c r="E58" s="31" t="s">
        <v>284</v>
      </c>
      <c r="F58" s="31" t="s">
        <v>429</v>
      </c>
      <c r="G58" s="31" t="s">
        <v>430</v>
      </c>
      <c r="H58" s="31" t="s">
        <v>326</v>
      </c>
      <c r="I58" s="31" t="s">
        <v>267</v>
      </c>
      <c r="J58" s="31" t="s">
        <v>267</v>
      </c>
      <c r="K58" s="31" t="s">
        <v>315</v>
      </c>
      <c r="L58" s="31" t="s">
        <v>159</v>
      </c>
      <c r="M58" s="34">
        <v>0</v>
      </c>
      <c r="N58" s="34">
        <v>3279785000</v>
      </c>
      <c r="O58" s="34">
        <v>3279785000</v>
      </c>
      <c r="P58" s="31" t="s">
        <v>122</v>
      </c>
      <c r="Q58" s="34">
        <v>5000000</v>
      </c>
      <c r="R58" s="31" t="s">
        <v>159</v>
      </c>
      <c r="S58" s="35">
        <v>41562</v>
      </c>
      <c r="T58" s="35">
        <v>41430</v>
      </c>
      <c r="U58" s="35">
        <v>42735</v>
      </c>
      <c r="V58" s="27" t="s">
        <v>9308</v>
      </c>
      <c r="W58" s="34"/>
      <c r="X58" s="34"/>
      <c r="Y58" s="34" t="s">
        <v>242</v>
      </c>
      <c r="Z58" s="34"/>
      <c r="AA58" s="34"/>
      <c r="AB58" s="34"/>
      <c r="AC58" s="34"/>
      <c r="AD58" s="34"/>
      <c r="AE58" s="34"/>
      <c r="AF58" s="34"/>
    </row>
    <row r="59" spans="2:32" ht="120" customHeight="1" x14ac:dyDescent="0.25">
      <c r="B59" s="36" t="s">
        <v>431</v>
      </c>
      <c r="C59" s="33">
        <v>2013</v>
      </c>
      <c r="D59" s="33">
        <f t="shared" si="0"/>
        <v>2019</v>
      </c>
      <c r="E59" s="36" t="s">
        <v>126</v>
      </c>
      <c r="F59" s="36" t="s">
        <v>432</v>
      </c>
      <c r="G59" s="36" t="s">
        <v>433</v>
      </c>
      <c r="H59" s="36" t="s">
        <v>366</v>
      </c>
      <c r="I59" s="36" t="s">
        <v>277</v>
      </c>
      <c r="J59" s="36" t="s">
        <v>278</v>
      </c>
      <c r="K59" s="36" t="s">
        <v>205</v>
      </c>
      <c r="L59" s="36" t="s">
        <v>159</v>
      </c>
      <c r="M59" s="37">
        <v>0</v>
      </c>
      <c r="N59" s="37">
        <v>728309057</v>
      </c>
      <c r="O59" s="37">
        <v>728309057</v>
      </c>
      <c r="P59" s="36" t="s">
        <v>122</v>
      </c>
      <c r="Q59" s="37">
        <v>1110300</v>
      </c>
      <c r="R59" s="36" t="s">
        <v>260</v>
      </c>
      <c r="S59" s="38">
        <v>41600</v>
      </c>
      <c r="T59" s="38">
        <v>41435</v>
      </c>
      <c r="U59" s="38">
        <v>43830</v>
      </c>
      <c r="V59" s="27" t="s">
        <v>9340</v>
      </c>
      <c r="W59" s="37"/>
      <c r="X59" s="37"/>
      <c r="Y59" s="37" t="s">
        <v>125</v>
      </c>
      <c r="Z59" s="37"/>
      <c r="AA59" s="37"/>
      <c r="AB59" s="37"/>
      <c r="AC59" s="37"/>
      <c r="AD59" s="37"/>
      <c r="AE59" s="37"/>
      <c r="AF59" s="37"/>
    </row>
    <row r="60" spans="2:32" ht="60" customHeight="1" x14ac:dyDescent="0.25">
      <c r="B60" s="31" t="s">
        <v>434</v>
      </c>
      <c r="C60" s="32">
        <v>2013</v>
      </c>
      <c r="D60" s="33">
        <f t="shared" si="0"/>
        <v>2015</v>
      </c>
      <c r="E60" s="31" t="s">
        <v>235</v>
      </c>
      <c r="F60" s="31" t="s">
        <v>435</v>
      </c>
      <c r="G60" s="31" t="s">
        <v>436</v>
      </c>
      <c r="H60" s="31" t="s">
        <v>353</v>
      </c>
      <c r="I60" s="31" t="s">
        <v>137</v>
      </c>
      <c r="J60" s="31" t="s">
        <v>138</v>
      </c>
      <c r="K60" s="31" t="s">
        <v>190</v>
      </c>
      <c r="L60" s="31" t="s">
        <v>127</v>
      </c>
      <c r="M60" s="34">
        <v>285000000</v>
      </c>
      <c r="N60" s="34">
        <v>0</v>
      </c>
      <c r="O60" s="34">
        <v>285000000</v>
      </c>
      <c r="P60" s="31" t="s">
        <v>136</v>
      </c>
      <c r="Q60" s="34">
        <v>285000000</v>
      </c>
      <c r="R60" s="31" t="s">
        <v>236</v>
      </c>
      <c r="S60" s="35">
        <v>41620</v>
      </c>
      <c r="T60" s="35">
        <v>41437</v>
      </c>
      <c r="U60" s="35">
        <v>42369</v>
      </c>
      <c r="V60" s="27" t="s">
        <v>9308</v>
      </c>
      <c r="W60" s="34"/>
      <c r="X60" s="34"/>
      <c r="Y60" s="34" t="s">
        <v>125</v>
      </c>
      <c r="Z60" s="34"/>
      <c r="AA60" s="34"/>
      <c r="AB60" s="34"/>
      <c r="AC60" s="34"/>
      <c r="AD60" s="34"/>
      <c r="AE60" s="34"/>
      <c r="AF60" s="34"/>
    </row>
    <row r="61" spans="2:32" ht="75" customHeight="1" x14ac:dyDescent="0.25">
      <c r="B61" s="36" t="s">
        <v>437</v>
      </c>
      <c r="C61" s="33">
        <v>2013</v>
      </c>
      <c r="D61" s="33">
        <f t="shared" si="0"/>
        <v>2015</v>
      </c>
      <c r="E61" s="36" t="s">
        <v>126</v>
      </c>
      <c r="F61" s="36" t="s">
        <v>438</v>
      </c>
      <c r="G61" s="36" t="s">
        <v>439</v>
      </c>
      <c r="H61" s="36" t="s">
        <v>366</v>
      </c>
      <c r="I61" s="36" t="s">
        <v>441</v>
      </c>
      <c r="J61" s="36" t="s">
        <v>441</v>
      </c>
      <c r="K61" s="36" t="s">
        <v>142</v>
      </c>
      <c r="L61" s="36" t="s">
        <v>127</v>
      </c>
      <c r="M61" s="37">
        <v>15500000000</v>
      </c>
      <c r="N61" s="37">
        <v>0</v>
      </c>
      <c r="O61" s="37">
        <v>15500000000</v>
      </c>
      <c r="P61" s="36" t="s">
        <v>136</v>
      </c>
      <c r="Q61" s="37">
        <v>15500000000</v>
      </c>
      <c r="R61" s="36" t="s">
        <v>443</v>
      </c>
      <c r="S61" s="38">
        <v>41461</v>
      </c>
      <c r="T61" s="38">
        <v>41436</v>
      </c>
      <c r="U61" s="38">
        <v>42369</v>
      </c>
      <c r="V61" s="27" t="s">
        <v>9341</v>
      </c>
      <c r="W61" s="37"/>
      <c r="X61" s="37"/>
      <c r="Y61" s="37" t="s">
        <v>442</v>
      </c>
      <c r="Z61" s="37"/>
      <c r="AA61" s="37"/>
      <c r="AB61" s="37"/>
      <c r="AC61" s="37"/>
      <c r="AD61" s="37"/>
      <c r="AE61" s="37"/>
      <c r="AF61" s="37"/>
    </row>
    <row r="62" spans="2:32" ht="120" customHeight="1" x14ac:dyDescent="0.25">
      <c r="B62" s="31" t="s">
        <v>444</v>
      </c>
      <c r="C62" s="32">
        <v>2013</v>
      </c>
      <c r="D62" s="33">
        <f t="shared" si="0"/>
        <v>2019</v>
      </c>
      <c r="E62" s="31" t="s">
        <v>126</v>
      </c>
      <c r="F62" s="31" t="s">
        <v>445</v>
      </c>
      <c r="G62" s="31" t="s">
        <v>447</v>
      </c>
      <c r="H62" s="31" t="s">
        <v>326</v>
      </c>
      <c r="I62" s="31" t="s">
        <v>448</v>
      </c>
      <c r="J62" s="31" t="s">
        <v>449</v>
      </c>
      <c r="K62" s="31" t="s">
        <v>446</v>
      </c>
      <c r="L62" s="31" t="s">
        <v>201</v>
      </c>
      <c r="M62" s="34">
        <v>7650000000</v>
      </c>
      <c r="N62" s="34">
        <v>7650000000</v>
      </c>
      <c r="O62" s="34">
        <v>15300000000</v>
      </c>
      <c r="P62" s="31" t="s">
        <v>122</v>
      </c>
      <c r="Q62" s="34">
        <v>30600000</v>
      </c>
      <c r="R62" s="31" t="s">
        <v>279</v>
      </c>
      <c r="S62" s="35">
        <v>41470</v>
      </c>
      <c r="T62" s="35">
        <v>41374</v>
      </c>
      <c r="U62" s="35">
        <v>43830</v>
      </c>
      <c r="V62" s="27" t="s">
        <v>9308</v>
      </c>
      <c r="W62" s="34"/>
      <c r="X62" s="34"/>
      <c r="Y62" s="34" t="s">
        <v>125</v>
      </c>
      <c r="Z62" s="34"/>
      <c r="AA62" s="34"/>
      <c r="AB62" s="34"/>
      <c r="AC62" s="34"/>
      <c r="AD62" s="34"/>
      <c r="AE62" s="34"/>
      <c r="AF62" s="34"/>
    </row>
    <row r="63" spans="2:32" ht="105" customHeight="1" x14ac:dyDescent="0.25">
      <c r="B63" s="36" t="s">
        <v>450</v>
      </c>
      <c r="C63" s="33">
        <v>2013</v>
      </c>
      <c r="D63" s="33">
        <f t="shared" si="0"/>
        <v>2015</v>
      </c>
      <c r="E63" s="36" t="s">
        <v>235</v>
      </c>
      <c r="F63" s="36" t="s">
        <v>451</v>
      </c>
      <c r="G63" s="36" t="s">
        <v>452</v>
      </c>
      <c r="H63" s="36" t="s">
        <v>353</v>
      </c>
      <c r="I63" s="36" t="s">
        <v>137</v>
      </c>
      <c r="J63" s="36" t="s">
        <v>138</v>
      </c>
      <c r="K63" s="36" t="s">
        <v>142</v>
      </c>
      <c r="L63" s="36" t="s">
        <v>127</v>
      </c>
      <c r="M63" s="37">
        <v>294845000</v>
      </c>
      <c r="N63" s="37">
        <v>0</v>
      </c>
      <c r="O63" s="37">
        <v>294845000</v>
      </c>
      <c r="P63" s="36" t="s">
        <v>136</v>
      </c>
      <c r="Q63" s="37">
        <v>294845000</v>
      </c>
      <c r="R63" s="36" t="s">
        <v>236</v>
      </c>
      <c r="S63" s="38">
        <v>41485</v>
      </c>
      <c r="T63" s="38">
        <v>41358</v>
      </c>
      <c r="U63" s="38">
        <v>42369</v>
      </c>
      <c r="V63" s="27" t="s">
        <v>9342</v>
      </c>
      <c r="W63" s="37"/>
      <c r="X63" s="37"/>
      <c r="Y63" s="37" t="s">
        <v>125</v>
      </c>
      <c r="Z63" s="37"/>
      <c r="AA63" s="37"/>
      <c r="AB63" s="37"/>
      <c r="AC63" s="37"/>
      <c r="AD63" s="37"/>
      <c r="AE63" s="37"/>
      <c r="AF63" s="37"/>
    </row>
    <row r="64" spans="2:32" ht="60" customHeight="1" x14ac:dyDescent="0.25">
      <c r="B64" s="31" t="s">
        <v>455</v>
      </c>
      <c r="C64" s="32">
        <v>2013</v>
      </c>
      <c r="D64" s="33">
        <f t="shared" si="0"/>
        <v>2018</v>
      </c>
      <c r="E64" s="31" t="s">
        <v>126</v>
      </c>
      <c r="F64" s="31" t="s">
        <v>456</v>
      </c>
      <c r="G64" s="31" t="s">
        <v>457</v>
      </c>
      <c r="H64" s="31" t="s">
        <v>353</v>
      </c>
      <c r="I64" s="31" t="s">
        <v>137</v>
      </c>
      <c r="J64" s="31" t="s">
        <v>138</v>
      </c>
      <c r="K64" s="31" t="s">
        <v>205</v>
      </c>
      <c r="L64" s="31" t="s">
        <v>127</v>
      </c>
      <c r="M64" s="34">
        <v>6000000000</v>
      </c>
      <c r="N64" s="34">
        <v>0</v>
      </c>
      <c r="O64" s="34">
        <v>6000000000</v>
      </c>
      <c r="P64" s="31" t="s">
        <v>136</v>
      </c>
      <c r="Q64" s="34">
        <v>6000000000</v>
      </c>
      <c r="R64" s="31" t="s">
        <v>128</v>
      </c>
      <c r="S64" s="35">
        <v>41485</v>
      </c>
      <c r="T64" s="35">
        <v>41450</v>
      </c>
      <c r="U64" s="35">
        <v>43465</v>
      </c>
      <c r="V64" s="27" t="s">
        <v>9343</v>
      </c>
      <c r="W64" s="34"/>
      <c r="X64" s="34"/>
      <c r="Y64" s="34" t="s">
        <v>125</v>
      </c>
      <c r="Z64" s="34"/>
      <c r="AA64" s="34"/>
      <c r="AB64" s="34"/>
      <c r="AC64" s="34"/>
      <c r="AD64" s="34"/>
      <c r="AE64" s="34"/>
      <c r="AF64" s="34"/>
    </row>
    <row r="65" spans="2:32" ht="60" customHeight="1" x14ac:dyDescent="0.25">
      <c r="B65" s="36" t="s">
        <v>460</v>
      </c>
      <c r="C65" s="33">
        <v>2013</v>
      </c>
      <c r="D65" s="33">
        <f t="shared" si="0"/>
        <v>2018</v>
      </c>
      <c r="E65" s="36" t="s">
        <v>126</v>
      </c>
      <c r="F65" s="36" t="s">
        <v>461</v>
      </c>
      <c r="G65" s="36" t="s">
        <v>462</v>
      </c>
      <c r="H65" s="36" t="s">
        <v>353</v>
      </c>
      <c r="I65" s="36" t="s">
        <v>137</v>
      </c>
      <c r="J65" s="36" t="s">
        <v>138</v>
      </c>
      <c r="K65" s="36" t="s">
        <v>205</v>
      </c>
      <c r="L65" s="36" t="s">
        <v>127</v>
      </c>
      <c r="M65" s="37">
        <v>8000000000</v>
      </c>
      <c r="N65" s="37">
        <v>0</v>
      </c>
      <c r="O65" s="37">
        <v>8000000000</v>
      </c>
      <c r="P65" s="36" t="s">
        <v>136</v>
      </c>
      <c r="Q65" s="37">
        <v>8000000000</v>
      </c>
      <c r="R65" s="36" t="s">
        <v>128</v>
      </c>
      <c r="S65" s="38">
        <v>41620</v>
      </c>
      <c r="T65" s="38">
        <v>41485</v>
      </c>
      <c r="U65" s="38">
        <v>43465</v>
      </c>
      <c r="V65" s="27" t="s">
        <v>9344</v>
      </c>
      <c r="W65" s="37"/>
      <c r="X65" s="37"/>
      <c r="Y65" s="37" t="s">
        <v>125</v>
      </c>
      <c r="Z65" s="37"/>
      <c r="AA65" s="37"/>
      <c r="AB65" s="37"/>
      <c r="AC65" s="37"/>
      <c r="AD65" s="37"/>
      <c r="AE65" s="37"/>
      <c r="AF65" s="37"/>
    </row>
    <row r="66" spans="2:32" ht="60" customHeight="1" x14ac:dyDescent="0.25">
      <c r="B66" s="31" t="s">
        <v>465</v>
      </c>
      <c r="C66" s="32">
        <v>2013</v>
      </c>
      <c r="D66" s="33">
        <f t="shared" si="0"/>
        <v>2018</v>
      </c>
      <c r="E66" s="31" t="s">
        <v>126</v>
      </c>
      <c r="F66" s="31" t="s">
        <v>466</v>
      </c>
      <c r="G66" s="31" t="s">
        <v>467</v>
      </c>
      <c r="H66" s="31" t="s">
        <v>372</v>
      </c>
      <c r="I66" s="31" t="s">
        <v>178</v>
      </c>
      <c r="J66" s="31" t="s">
        <v>179</v>
      </c>
      <c r="K66" s="31" t="s">
        <v>216</v>
      </c>
      <c r="L66" s="31" t="s">
        <v>159</v>
      </c>
      <c r="M66" s="34">
        <v>0</v>
      </c>
      <c r="N66" s="34">
        <v>372908500</v>
      </c>
      <c r="O66" s="34">
        <v>372908500</v>
      </c>
      <c r="P66" s="31" t="s">
        <v>122</v>
      </c>
      <c r="Q66" s="34">
        <v>745817</v>
      </c>
      <c r="R66" s="31" t="s">
        <v>159</v>
      </c>
      <c r="S66" s="35">
        <v>41626</v>
      </c>
      <c r="T66" s="35">
        <v>41492</v>
      </c>
      <c r="U66" s="35">
        <v>43465</v>
      </c>
      <c r="V66" s="27" t="s">
        <v>9308</v>
      </c>
      <c r="W66" s="34"/>
      <c r="X66" s="34"/>
      <c r="Y66" s="34" t="s">
        <v>125</v>
      </c>
      <c r="Z66" s="34"/>
      <c r="AA66" s="34"/>
      <c r="AB66" s="34"/>
      <c r="AC66" s="34"/>
      <c r="AD66" s="34"/>
      <c r="AE66" s="34"/>
      <c r="AF66" s="34"/>
    </row>
    <row r="67" spans="2:32" ht="60" customHeight="1" x14ac:dyDescent="0.25">
      <c r="B67" s="36" t="s">
        <v>468</v>
      </c>
      <c r="C67" s="33">
        <v>2013</v>
      </c>
      <c r="D67" s="33">
        <f t="shared" si="0"/>
        <v>2016</v>
      </c>
      <c r="E67" s="36" t="s">
        <v>126</v>
      </c>
      <c r="F67" s="36" t="s">
        <v>469</v>
      </c>
      <c r="G67" s="36" t="s">
        <v>470</v>
      </c>
      <c r="H67" s="36" t="s">
        <v>366</v>
      </c>
      <c r="I67" s="36" t="s">
        <v>471</v>
      </c>
      <c r="J67" s="36" t="s">
        <v>472</v>
      </c>
      <c r="K67" s="36" t="s">
        <v>142</v>
      </c>
      <c r="L67" s="36" t="s">
        <v>127</v>
      </c>
      <c r="M67" s="37">
        <v>64800000000</v>
      </c>
      <c r="N67" s="37">
        <v>0</v>
      </c>
      <c r="O67" s="37">
        <v>64800000000</v>
      </c>
      <c r="P67" s="36" t="s">
        <v>357</v>
      </c>
      <c r="Q67" s="37">
        <v>800000000</v>
      </c>
      <c r="R67" s="36" t="s">
        <v>150</v>
      </c>
      <c r="S67" s="38">
        <v>41509</v>
      </c>
      <c r="T67" s="38">
        <v>41418</v>
      </c>
      <c r="U67" s="38">
        <v>42521</v>
      </c>
      <c r="V67" s="27" t="s">
        <v>9333</v>
      </c>
      <c r="W67" s="37"/>
      <c r="X67" s="37"/>
      <c r="Y67" s="37" t="s">
        <v>242</v>
      </c>
      <c r="Z67" s="37"/>
      <c r="AA67" s="37"/>
      <c r="AB67" s="37"/>
      <c r="AC67" s="37"/>
      <c r="AD67" s="37"/>
      <c r="AE67" s="37"/>
      <c r="AF67" s="37"/>
    </row>
    <row r="68" spans="2:32" ht="60" customHeight="1" x14ac:dyDescent="0.25">
      <c r="B68" s="31" t="s">
        <v>473</v>
      </c>
      <c r="C68" s="32">
        <v>2013</v>
      </c>
      <c r="D68" s="33">
        <f t="shared" si="0"/>
        <v>2018</v>
      </c>
      <c r="E68" s="31" t="s">
        <v>126</v>
      </c>
      <c r="F68" s="31" t="s">
        <v>474</v>
      </c>
      <c r="G68" s="31" t="s">
        <v>475</v>
      </c>
      <c r="H68" s="31" t="s">
        <v>366</v>
      </c>
      <c r="I68" s="31" t="s">
        <v>364</v>
      </c>
      <c r="J68" s="31" t="s">
        <v>365</v>
      </c>
      <c r="K68" s="31" t="s">
        <v>263</v>
      </c>
      <c r="L68" s="31" t="s">
        <v>127</v>
      </c>
      <c r="M68" s="34">
        <v>21305000000</v>
      </c>
      <c r="N68" s="34">
        <v>0</v>
      </c>
      <c r="O68" s="34">
        <v>21305000000</v>
      </c>
      <c r="P68" s="31" t="s">
        <v>122</v>
      </c>
      <c r="Q68" s="34">
        <v>42610000</v>
      </c>
      <c r="R68" s="31" t="s">
        <v>150</v>
      </c>
      <c r="S68" s="35">
        <v>41523</v>
      </c>
      <c r="T68" s="35">
        <v>41382</v>
      </c>
      <c r="U68" s="35">
        <v>43465</v>
      </c>
      <c r="V68" s="27" t="s">
        <v>9308</v>
      </c>
      <c r="W68" s="34"/>
      <c r="X68" s="34"/>
      <c r="Y68" s="34" t="s">
        <v>242</v>
      </c>
      <c r="Z68" s="34"/>
      <c r="AA68" s="34"/>
      <c r="AB68" s="34"/>
      <c r="AC68" s="34"/>
      <c r="AD68" s="34"/>
      <c r="AE68" s="34"/>
      <c r="AF68" s="34"/>
    </row>
    <row r="69" spans="2:32" ht="90" customHeight="1" x14ac:dyDescent="0.25">
      <c r="B69" s="36" t="s">
        <v>476</v>
      </c>
      <c r="C69" s="33">
        <v>2013</v>
      </c>
      <c r="D69" s="33">
        <f t="shared" si="0"/>
        <v>2020</v>
      </c>
      <c r="E69" s="36" t="s">
        <v>126</v>
      </c>
      <c r="F69" s="36" t="s">
        <v>477</v>
      </c>
      <c r="G69" s="36" t="s">
        <v>478</v>
      </c>
      <c r="H69" s="36" t="s">
        <v>372</v>
      </c>
      <c r="I69" s="36" t="s">
        <v>178</v>
      </c>
      <c r="J69" s="36" t="s">
        <v>179</v>
      </c>
      <c r="K69" s="36" t="s">
        <v>282</v>
      </c>
      <c r="L69" s="36" t="s">
        <v>127</v>
      </c>
      <c r="M69" s="37">
        <v>30000000000</v>
      </c>
      <c r="N69" s="37">
        <v>0</v>
      </c>
      <c r="O69" s="37">
        <v>30000000000</v>
      </c>
      <c r="P69" s="36" t="s">
        <v>177</v>
      </c>
      <c r="Q69" s="37">
        <v>40100000</v>
      </c>
      <c r="R69" s="36" t="s">
        <v>150</v>
      </c>
      <c r="S69" s="38">
        <v>41556</v>
      </c>
      <c r="T69" s="38">
        <v>41431</v>
      </c>
      <c r="U69" s="38">
        <v>44196</v>
      </c>
      <c r="V69" s="27" t="s">
        <v>9345</v>
      </c>
      <c r="W69" s="37"/>
      <c r="X69" s="37"/>
      <c r="Y69" s="37" t="s">
        <v>125</v>
      </c>
      <c r="Z69" s="37"/>
      <c r="AA69" s="37"/>
      <c r="AB69" s="37"/>
      <c r="AC69" s="37"/>
      <c r="AD69" s="37"/>
      <c r="AE69" s="37"/>
      <c r="AF69" s="37"/>
    </row>
    <row r="70" spans="2:32" ht="60" customHeight="1" x14ac:dyDescent="0.25">
      <c r="B70" s="31" t="s">
        <v>481</v>
      </c>
      <c r="C70" s="32">
        <v>2013</v>
      </c>
      <c r="D70" s="33">
        <f t="shared" si="0"/>
        <v>2017</v>
      </c>
      <c r="E70" s="31" t="s">
        <v>126</v>
      </c>
      <c r="F70" s="31" t="s">
        <v>482</v>
      </c>
      <c r="G70" s="31" t="s">
        <v>483</v>
      </c>
      <c r="H70" s="31" t="s">
        <v>326</v>
      </c>
      <c r="I70" s="31" t="s">
        <v>484</v>
      </c>
      <c r="J70" s="31" t="s">
        <v>484</v>
      </c>
      <c r="K70" s="31" t="s">
        <v>163</v>
      </c>
      <c r="L70" s="31" t="s">
        <v>159</v>
      </c>
      <c r="M70" s="34">
        <v>0</v>
      </c>
      <c r="N70" s="34">
        <v>889000000</v>
      </c>
      <c r="O70" s="34">
        <v>889000000</v>
      </c>
      <c r="P70" s="31" t="s">
        <v>122</v>
      </c>
      <c r="Q70" s="34">
        <v>1355389.5410885799</v>
      </c>
      <c r="R70" s="31" t="s">
        <v>159</v>
      </c>
      <c r="S70" s="35">
        <v>41607</v>
      </c>
      <c r="T70" s="35">
        <v>41344</v>
      </c>
      <c r="U70" s="35">
        <v>43100</v>
      </c>
      <c r="V70" s="27" t="s">
        <v>9308</v>
      </c>
      <c r="W70" s="34"/>
      <c r="X70" s="34"/>
      <c r="Y70" s="34" t="s">
        <v>242</v>
      </c>
      <c r="Z70" s="34"/>
      <c r="AA70" s="34"/>
      <c r="AB70" s="34"/>
      <c r="AC70" s="34"/>
      <c r="AD70" s="34"/>
      <c r="AE70" s="34"/>
      <c r="AF70" s="34"/>
    </row>
    <row r="71" spans="2:32" ht="60" customHeight="1" x14ac:dyDescent="0.25">
      <c r="B71" s="36" t="s">
        <v>485</v>
      </c>
      <c r="C71" s="33">
        <v>2013</v>
      </c>
      <c r="D71" s="33">
        <f t="shared" ref="D71:D134" si="1">YEAR(U71)</f>
        <v>2017</v>
      </c>
      <c r="E71" s="36" t="s">
        <v>126</v>
      </c>
      <c r="F71" s="36" t="s">
        <v>486</v>
      </c>
      <c r="G71" s="36" t="s">
        <v>487</v>
      </c>
      <c r="H71" s="36" t="s">
        <v>353</v>
      </c>
      <c r="I71" s="36" t="s">
        <v>137</v>
      </c>
      <c r="J71" s="36" t="s">
        <v>138</v>
      </c>
      <c r="K71" s="36" t="s">
        <v>142</v>
      </c>
      <c r="L71" s="36" t="s">
        <v>127</v>
      </c>
      <c r="M71" s="37">
        <v>25000000000</v>
      </c>
      <c r="N71" s="37">
        <v>0</v>
      </c>
      <c r="O71" s="37">
        <v>25000000000</v>
      </c>
      <c r="P71" s="36" t="s">
        <v>136</v>
      </c>
      <c r="Q71" s="37">
        <v>25000000000</v>
      </c>
      <c r="R71" s="36" t="s">
        <v>128</v>
      </c>
      <c r="S71" s="38">
        <v>41631</v>
      </c>
      <c r="T71" s="38">
        <v>41450</v>
      </c>
      <c r="U71" s="38">
        <v>43100</v>
      </c>
      <c r="V71" s="27" t="s">
        <v>9346</v>
      </c>
      <c r="W71" s="37"/>
      <c r="X71" s="37"/>
      <c r="Y71" s="37" t="s">
        <v>125</v>
      </c>
      <c r="Z71" s="37"/>
      <c r="AA71" s="37"/>
      <c r="AB71" s="37"/>
      <c r="AC71" s="37"/>
      <c r="AD71" s="37"/>
      <c r="AE71" s="37"/>
      <c r="AF71" s="37"/>
    </row>
    <row r="72" spans="2:32" ht="60" customHeight="1" x14ac:dyDescent="0.25">
      <c r="B72" s="31" t="s">
        <v>490</v>
      </c>
      <c r="C72" s="32">
        <v>2013</v>
      </c>
      <c r="D72" s="33">
        <f t="shared" si="1"/>
        <v>2018</v>
      </c>
      <c r="E72" s="31" t="s">
        <v>126</v>
      </c>
      <c r="F72" s="31" t="s">
        <v>491</v>
      </c>
      <c r="G72" s="31" t="s">
        <v>492</v>
      </c>
      <c r="H72" s="31" t="s">
        <v>353</v>
      </c>
      <c r="I72" s="31" t="s">
        <v>137</v>
      </c>
      <c r="J72" s="31" t="s">
        <v>138</v>
      </c>
      <c r="K72" s="31" t="s">
        <v>263</v>
      </c>
      <c r="L72" s="31" t="s">
        <v>127</v>
      </c>
      <c r="M72" s="34">
        <v>5811000000</v>
      </c>
      <c r="N72" s="34">
        <v>0</v>
      </c>
      <c r="O72" s="34">
        <v>5811000000</v>
      </c>
      <c r="P72" s="31" t="s">
        <v>136</v>
      </c>
      <c r="Q72" s="34">
        <v>5811000000</v>
      </c>
      <c r="R72" s="31" t="s">
        <v>128</v>
      </c>
      <c r="S72" s="35">
        <v>41631</v>
      </c>
      <c r="T72" s="35">
        <v>41450</v>
      </c>
      <c r="U72" s="35">
        <v>43465</v>
      </c>
      <c r="V72" s="27" t="s">
        <v>9347</v>
      </c>
      <c r="W72" s="34"/>
      <c r="X72" s="34"/>
      <c r="Y72" s="34" t="s">
        <v>125</v>
      </c>
      <c r="Z72" s="34"/>
      <c r="AA72" s="34"/>
      <c r="AB72" s="34"/>
      <c r="AC72" s="34"/>
      <c r="AD72" s="34"/>
      <c r="AE72" s="34"/>
      <c r="AF72" s="34"/>
    </row>
    <row r="73" spans="2:32" ht="45" customHeight="1" x14ac:dyDescent="0.25">
      <c r="B73" s="36" t="s">
        <v>495</v>
      </c>
      <c r="C73" s="33">
        <v>2013</v>
      </c>
      <c r="D73" s="33">
        <f t="shared" si="1"/>
        <v>2018</v>
      </c>
      <c r="E73" s="36" t="s">
        <v>126</v>
      </c>
      <c r="F73" s="36" t="s">
        <v>496</v>
      </c>
      <c r="G73" s="36" t="s">
        <v>497</v>
      </c>
      <c r="H73" s="36" t="s">
        <v>326</v>
      </c>
      <c r="I73" s="36" t="s">
        <v>123</v>
      </c>
      <c r="J73" s="36" t="s">
        <v>124</v>
      </c>
      <c r="K73" s="36" t="s">
        <v>205</v>
      </c>
      <c r="L73" s="36" t="s">
        <v>127</v>
      </c>
      <c r="M73" s="37">
        <v>5833956921</v>
      </c>
      <c r="N73" s="37">
        <v>0</v>
      </c>
      <c r="O73" s="37">
        <v>5833956921</v>
      </c>
      <c r="P73" s="36" t="s">
        <v>276</v>
      </c>
      <c r="Q73" s="37">
        <v>7742900</v>
      </c>
      <c r="R73" s="36" t="s">
        <v>128</v>
      </c>
      <c r="S73" s="38">
        <v>41634</v>
      </c>
      <c r="T73" s="38">
        <v>41466</v>
      </c>
      <c r="U73" s="38">
        <v>43465</v>
      </c>
      <c r="V73" s="27" t="s">
        <v>9336</v>
      </c>
      <c r="W73" s="37"/>
      <c r="X73" s="37"/>
      <c r="Y73" s="37" t="s">
        <v>125</v>
      </c>
      <c r="Z73" s="37"/>
      <c r="AA73" s="37"/>
      <c r="AB73" s="37"/>
      <c r="AC73" s="37"/>
      <c r="AD73" s="37"/>
      <c r="AE73" s="37"/>
      <c r="AF73" s="37"/>
    </row>
    <row r="74" spans="2:32" ht="60" customHeight="1" x14ac:dyDescent="0.25">
      <c r="B74" s="31" t="s">
        <v>498</v>
      </c>
      <c r="C74" s="32">
        <v>2014</v>
      </c>
      <c r="D74" s="33">
        <f t="shared" si="1"/>
        <v>2017</v>
      </c>
      <c r="E74" s="31" t="s">
        <v>126</v>
      </c>
      <c r="F74" s="31" t="s">
        <v>486</v>
      </c>
      <c r="G74" s="31" t="s">
        <v>499</v>
      </c>
      <c r="H74" s="31" t="s">
        <v>326</v>
      </c>
      <c r="I74" s="31" t="s">
        <v>123</v>
      </c>
      <c r="J74" s="31" t="s">
        <v>124</v>
      </c>
      <c r="K74" s="31" t="s">
        <v>142</v>
      </c>
      <c r="L74" s="31" t="s">
        <v>127</v>
      </c>
      <c r="M74" s="34">
        <v>4000000000</v>
      </c>
      <c r="N74" s="34">
        <v>0</v>
      </c>
      <c r="O74" s="34">
        <v>4000000000</v>
      </c>
      <c r="P74" s="31" t="s">
        <v>276</v>
      </c>
      <c r="Q74" s="34">
        <v>5000000</v>
      </c>
      <c r="R74" s="31" t="s">
        <v>128</v>
      </c>
      <c r="S74" s="35">
        <v>41978</v>
      </c>
      <c r="T74" s="35">
        <v>41831</v>
      </c>
      <c r="U74" s="35">
        <v>43100</v>
      </c>
      <c r="V74" s="27" t="s">
        <v>9346</v>
      </c>
      <c r="W74" s="34"/>
      <c r="X74" s="34"/>
      <c r="Y74" s="34" t="s">
        <v>125</v>
      </c>
      <c r="Z74" s="34"/>
      <c r="AA74" s="34"/>
      <c r="AB74" s="34"/>
      <c r="AC74" s="34"/>
      <c r="AD74" s="34"/>
      <c r="AE74" s="34"/>
      <c r="AF74" s="34"/>
    </row>
    <row r="75" spans="2:32" ht="135" customHeight="1" x14ac:dyDescent="0.25">
      <c r="B75" s="36" t="s">
        <v>500</v>
      </c>
      <c r="C75" s="33">
        <v>2014</v>
      </c>
      <c r="D75" s="33">
        <f t="shared" si="1"/>
        <v>2021</v>
      </c>
      <c r="E75" s="36" t="s">
        <v>126</v>
      </c>
      <c r="F75" s="36" t="s">
        <v>501</v>
      </c>
      <c r="G75" s="36" t="s">
        <v>502</v>
      </c>
      <c r="H75" s="36" t="s">
        <v>366</v>
      </c>
      <c r="I75" s="36" t="s">
        <v>277</v>
      </c>
      <c r="J75" s="36" t="s">
        <v>278</v>
      </c>
      <c r="K75" s="36" t="s">
        <v>190</v>
      </c>
      <c r="L75" s="36" t="s">
        <v>201</v>
      </c>
      <c r="M75" s="37">
        <v>29850000000</v>
      </c>
      <c r="N75" s="37">
        <v>401000000</v>
      </c>
      <c r="O75" s="37">
        <v>30251000000</v>
      </c>
      <c r="P75" s="36" t="s">
        <v>276</v>
      </c>
      <c r="Q75" s="37">
        <v>40030000</v>
      </c>
      <c r="R75" s="36" t="s">
        <v>279</v>
      </c>
      <c r="S75" s="38">
        <v>41716</v>
      </c>
      <c r="T75" s="38">
        <v>41648</v>
      </c>
      <c r="U75" s="38">
        <v>44561</v>
      </c>
      <c r="V75" s="27" t="s">
        <v>9348</v>
      </c>
      <c r="W75" s="37"/>
      <c r="X75" s="37"/>
      <c r="Y75" s="37" t="s">
        <v>125</v>
      </c>
      <c r="Z75" s="37"/>
      <c r="AA75" s="37"/>
      <c r="AB75" s="37"/>
      <c r="AC75" s="37"/>
      <c r="AD75" s="37"/>
      <c r="AE75" s="37"/>
      <c r="AF75" s="37"/>
    </row>
    <row r="76" spans="2:32" ht="60" customHeight="1" x14ac:dyDescent="0.25">
      <c r="B76" s="31" t="s">
        <v>505</v>
      </c>
      <c r="C76" s="32">
        <v>2014</v>
      </c>
      <c r="D76" s="33">
        <f t="shared" si="1"/>
        <v>2021</v>
      </c>
      <c r="E76" s="31" t="s">
        <v>126</v>
      </c>
      <c r="F76" s="31" t="s">
        <v>501</v>
      </c>
      <c r="G76" s="31" t="s">
        <v>506</v>
      </c>
      <c r="H76" s="31" t="s">
        <v>372</v>
      </c>
      <c r="I76" s="31" t="s">
        <v>423</v>
      </c>
      <c r="J76" s="31" t="s">
        <v>424</v>
      </c>
      <c r="K76" s="31" t="s">
        <v>190</v>
      </c>
      <c r="L76" s="31" t="s">
        <v>159</v>
      </c>
      <c r="M76" s="34">
        <v>0</v>
      </c>
      <c r="N76" s="34">
        <v>3600000000</v>
      </c>
      <c r="O76" s="34">
        <v>3600000000</v>
      </c>
      <c r="P76" s="31" t="s">
        <v>276</v>
      </c>
      <c r="Q76" s="34">
        <v>4800000</v>
      </c>
      <c r="R76" s="31" t="s">
        <v>260</v>
      </c>
      <c r="S76" s="35">
        <v>41929</v>
      </c>
      <c r="T76" s="35">
        <v>41716</v>
      </c>
      <c r="U76" s="35">
        <v>44561</v>
      </c>
      <c r="V76" s="27" t="s">
        <v>9348</v>
      </c>
      <c r="W76" s="34"/>
      <c r="X76" s="34"/>
      <c r="Y76" s="34" t="s">
        <v>125</v>
      </c>
      <c r="Z76" s="34"/>
      <c r="AA76" s="34"/>
      <c r="AB76" s="34"/>
      <c r="AC76" s="34"/>
      <c r="AD76" s="34"/>
      <c r="AE76" s="34"/>
      <c r="AF76" s="34"/>
    </row>
    <row r="77" spans="2:32" ht="60" customHeight="1" x14ac:dyDescent="0.25">
      <c r="B77" s="36" t="s">
        <v>507</v>
      </c>
      <c r="C77" s="33">
        <v>2014</v>
      </c>
      <c r="D77" s="33">
        <f t="shared" si="1"/>
        <v>2019</v>
      </c>
      <c r="E77" s="36" t="s">
        <v>126</v>
      </c>
      <c r="F77" s="36" t="s">
        <v>508</v>
      </c>
      <c r="G77" s="36" t="s">
        <v>509</v>
      </c>
      <c r="H77" s="36" t="s">
        <v>372</v>
      </c>
      <c r="I77" s="36" t="s">
        <v>178</v>
      </c>
      <c r="J77" s="36" t="s">
        <v>179</v>
      </c>
      <c r="K77" s="36" t="s">
        <v>216</v>
      </c>
      <c r="L77" s="36" t="s">
        <v>127</v>
      </c>
      <c r="M77" s="37">
        <v>14000000000</v>
      </c>
      <c r="N77" s="37">
        <v>0</v>
      </c>
      <c r="O77" s="37">
        <v>14000000000</v>
      </c>
      <c r="P77" s="36" t="s">
        <v>177</v>
      </c>
      <c r="Q77" s="37">
        <v>18300000</v>
      </c>
      <c r="R77" s="36" t="s">
        <v>150</v>
      </c>
      <c r="S77" s="38">
        <v>41992</v>
      </c>
      <c r="T77" s="38">
        <v>41681</v>
      </c>
      <c r="U77" s="38">
        <v>43830</v>
      </c>
      <c r="V77" s="27" t="s">
        <v>9308</v>
      </c>
      <c r="W77" s="37"/>
      <c r="X77" s="37"/>
      <c r="Y77" s="37" t="s">
        <v>125</v>
      </c>
      <c r="Z77" s="37"/>
      <c r="AA77" s="37"/>
      <c r="AB77" s="37"/>
      <c r="AC77" s="37"/>
      <c r="AD77" s="37"/>
      <c r="AE77" s="37"/>
      <c r="AF77" s="37"/>
    </row>
    <row r="78" spans="2:32" ht="60" customHeight="1" x14ac:dyDescent="0.25">
      <c r="B78" s="31" t="s">
        <v>510</v>
      </c>
      <c r="C78" s="32">
        <v>2014</v>
      </c>
      <c r="D78" s="33">
        <f t="shared" si="1"/>
        <v>2018</v>
      </c>
      <c r="E78" s="31" t="s">
        <v>126</v>
      </c>
      <c r="F78" s="31" t="s">
        <v>511</v>
      </c>
      <c r="G78" s="31" t="s">
        <v>512</v>
      </c>
      <c r="H78" s="31" t="s">
        <v>372</v>
      </c>
      <c r="I78" s="31" t="s">
        <v>178</v>
      </c>
      <c r="J78" s="31" t="s">
        <v>179</v>
      </c>
      <c r="K78" s="31" t="s">
        <v>315</v>
      </c>
      <c r="L78" s="31" t="s">
        <v>159</v>
      </c>
      <c r="M78" s="34">
        <v>0</v>
      </c>
      <c r="N78" s="34">
        <v>21150000000</v>
      </c>
      <c r="O78" s="34">
        <v>21150000000</v>
      </c>
      <c r="P78" s="31" t="s">
        <v>122</v>
      </c>
      <c r="Q78" s="34">
        <v>42300000</v>
      </c>
      <c r="R78" s="31" t="s">
        <v>159</v>
      </c>
      <c r="S78" s="35">
        <v>41719</v>
      </c>
      <c r="T78" s="35">
        <v>41708</v>
      </c>
      <c r="U78" s="35">
        <v>43434</v>
      </c>
      <c r="V78" s="27" t="s">
        <v>9308</v>
      </c>
      <c r="W78" s="34"/>
      <c r="X78" s="34"/>
      <c r="Y78" s="34" t="s">
        <v>125</v>
      </c>
      <c r="Z78" s="34"/>
      <c r="AA78" s="34"/>
      <c r="AB78" s="34"/>
      <c r="AC78" s="34"/>
      <c r="AD78" s="34"/>
      <c r="AE78" s="34"/>
      <c r="AF78" s="34"/>
    </row>
    <row r="79" spans="2:32" ht="60" customHeight="1" x14ac:dyDescent="0.25">
      <c r="B79" s="36" t="s">
        <v>513</v>
      </c>
      <c r="C79" s="33">
        <v>2014</v>
      </c>
      <c r="D79" s="33">
        <f t="shared" si="1"/>
        <v>2019</v>
      </c>
      <c r="E79" s="36" t="s">
        <v>126</v>
      </c>
      <c r="F79" s="36" t="s">
        <v>514</v>
      </c>
      <c r="G79" s="36" t="s">
        <v>515</v>
      </c>
      <c r="H79" s="36" t="s">
        <v>353</v>
      </c>
      <c r="I79" s="36" t="s">
        <v>137</v>
      </c>
      <c r="J79" s="36" t="s">
        <v>138</v>
      </c>
      <c r="K79" s="36" t="s">
        <v>142</v>
      </c>
      <c r="L79" s="36" t="s">
        <v>127</v>
      </c>
      <c r="M79" s="37">
        <v>10000000000</v>
      </c>
      <c r="N79" s="37">
        <v>0</v>
      </c>
      <c r="O79" s="37">
        <v>10000000000</v>
      </c>
      <c r="P79" s="36" t="s">
        <v>136</v>
      </c>
      <c r="Q79" s="37">
        <v>10000000000</v>
      </c>
      <c r="R79" s="36" t="s">
        <v>128</v>
      </c>
      <c r="S79" s="38">
        <v>41729</v>
      </c>
      <c r="T79" s="38">
        <v>41722</v>
      </c>
      <c r="U79" s="38">
        <v>43830</v>
      </c>
      <c r="V79" s="27" t="s">
        <v>9335</v>
      </c>
      <c r="W79" s="37"/>
      <c r="X79" s="37"/>
      <c r="Y79" s="37" t="s">
        <v>125</v>
      </c>
      <c r="Z79" s="37"/>
      <c r="AA79" s="37"/>
      <c r="AB79" s="37"/>
      <c r="AC79" s="37"/>
      <c r="AD79" s="37"/>
      <c r="AE79" s="37"/>
      <c r="AF79" s="37"/>
    </row>
    <row r="80" spans="2:32" ht="90" customHeight="1" x14ac:dyDescent="0.25">
      <c r="B80" s="31" t="s">
        <v>516</v>
      </c>
      <c r="C80" s="32">
        <v>2014</v>
      </c>
      <c r="D80" s="33">
        <f t="shared" si="1"/>
        <v>2020</v>
      </c>
      <c r="E80" s="31" t="s">
        <v>126</v>
      </c>
      <c r="F80" s="31" t="s">
        <v>517</v>
      </c>
      <c r="G80" s="31" t="s">
        <v>518</v>
      </c>
      <c r="H80" s="31" t="s">
        <v>353</v>
      </c>
      <c r="I80" s="31" t="s">
        <v>137</v>
      </c>
      <c r="J80" s="31" t="s">
        <v>138</v>
      </c>
      <c r="K80" s="31" t="s">
        <v>142</v>
      </c>
      <c r="L80" s="31" t="s">
        <v>127</v>
      </c>
      <c r="M80" s="34">
        <v>25000000000</v>
      </c>
      <c r="N80" s="34">
        <v>0</v>
      </c>
      <c r="O80" s="34">
        <v>25000000000</v>
      </c>
      <c r="P80" s="31" t="s">
        <v>136</v>
      </c>
      <c r="Q80" s="34">
        <v>25000000000</v>
      </c>
      <c r="R80" s="31" t="s">
        <v>128</v>
      </c>
      <c r="S80" s="35">
        <v>41989</v>
      </c>
      <c r="T80" s="35">
        <v>41729</v>
      </c>
      <c r="U80" s="35">
        <v>44196</v>
      </c>
      <c r="V80" s="27" t="s">
        <v>9349</v>
      </c>
      <c r="W80" s="34"/>
      <c r="X80" s="34"/>
      <c r="Y80" s="34" t="s">
        <v>125</v>
      </c>
      <c r="Z80" s="34"/>
      <c r="AA80" s="34"/>
      <c r="AB80" s="34"/>
      <c r="AC80" s="34"/>
      <c r="AD80" s="34"/>
      <c r="AE80" s="34"/>
      <c r="AF80" s="34"/>
    </row>
    <row r="81" spans="2:32" ht="60" customHeight="1" x14ac:dyDescent="0.25">
      <c r="B81" s="36" t="s">
        <v>521</v>
      </c>
      <c r="C81" s="33">
        <v>2014</v>
      </c>
      <c r="D81" s="33">
        <f t="shared" si="1"/>
        <v>2018</v>
      </c>
      <c r="E81" s="36" t="s">
        <v>126</v>
      </c>
      <c r="F81" s="36" t="s">
        <v>522</v>
      </c>
      <c r="G81" s="36" t="s">
        <v>523</v>
      </c>
      <c r="H81" s="36" t="s">
        <v>372</v>
      </c>
      <c r="I81" s="36" t="s">
        <v>178</v>
      </c>
      <c r="J81" s="36" t="s">
        <v>179</v>
      </c>
      <c r="K81" s="36" t="s">
        <v>282</v>
      </c>
      <c r="L81" s="36" t="s">
        <v>127</v>
      </c>
      <c r="M81" s="37">
        <v>15000000000</v>
      </c>
      <c r="N81" s="37">
        <v>0</v>
      </c>
      <c r="O81" s="37">
        <v>15000000000</v>
      </c>
      <c r="P81" s="36" t="s">
        <v>122</v>
      </c>
      <c r="Q81" s="37">
        <v>30000000</v>
      </c>
      <c r="R81" s="36" t="s">
        <v>150</v>
      </c>
      <c r="S81" s="38">
        <v>41936</v>
      </c>
      <c r="T81" s="38">
        <v>41739</v>
      </c>
      <c r="U81" s="38">
        <v>43281</v>
      </c>
      <c r="V81" s="27" t="s">
        <v>9308</v>
      </c>
      <c r="W81" s="37"/>
      <c r="X81" s="37"/>
      <c r="Y81" s="37" t="s">
        <v>125</v>
      </c>
      <c r="Z81" s="37"/>
      <c r="AA81" s="37"/>
      <c r="AB81" s="37"/>
      <c r="AC81" s="37"/>
      <c r="AD81" s="37"/>
      <c r="AE81" s="37"/>
      <c r="AF81" s="37"/>
    </row>
    <row r="82" spans="2:32" ht="75" customHeight="1" x14ac:dyDescent="0.25">
      <c r="B82" s="31" t="s">
        <v>524</v>
      </c>
      <c r="C82" s="32">
        <v>2014</v>
      </c>
      <c r="D82" s="33">
        <f t="shared" si="1"/>
        <v>2020</v>
      </c>
      <c r="E82" s="31" t="s">
        <v>126</v>
      </c>
      <c r="F82" s="31" t="s">
        <v>525</v>
      </c>
      <c r="G82" s="31" t="s">
        <v>527</v>
      </c>
      <c r="H82" s="31" t="s">
        <v>372</v>
      </c>
      <c r="I82" s="31" t="s">
        <v>178</v>
      </c>
      <c r="J82" s="31" t="s">
        <v>179</v>
      </c>
      <c r="K82" s="31" t="s">
        <v>526</v>
      </c>
      <c r="L82" s="31" t="s">
        <v>127</v>
      </c>
      <c r="M82" s="34">
        <v>17500000000</v>
      </c>
      <c r="N82" s="34">
        <v>0</v>
      </c>
      <c r="O82" s="34">
        <v>17500000000</v>
      </c>
      <c r="P82" s="31" t="s">
        <v>122</v>
      </c>
      <c r="Q82" s="34">
        <v>35000000</v>
      </c>
      <c r="R82" s="31" t="s">
        <v>150</v>
      </c>
      <c r="S82" s="35">
        <v>41739</v>
      </c>
      <c r="T82" s="35">
        <v>41709</v>
      </c>
      <c r="U82" s="35">
        <v>44012</v>
      </c>
      <c r="V82" s="27" t="s">
        <v>9308</v>
      </c>
      <c r="W82" s="34"/>
      <c r="X82" s="34"/>
      <c r="Y82" s="34" t="s">
        <v>125</v>
      </c>
      <c r="Z82" s="34"/>
      <c r="AA82" s="34"/>
      <c r="AB82" s="34"/>
      <c r="AC82" s="34"/>
      <c r="AD82" s="34"/>
      <c r="AE82" s="34"/>
      <c r="AF82" s="34"/>
    </row>
    <row r="83" spans="2:32" ht="60" customHeight="1" x14ac:dyDescent="0.25">
      <c r="B83" s="36" t="s">
        <v>528</v>
      </c>
      <c r="C83" s="33">
        <v>2014</v>
      </c>
      <c r="D83" s="33">
        <f t="shared" si="1"/>
        <v>2015</v>
      </c>
      <c r="E83" s="36" t="s">
        <v>126</v>
      </c>
      <c r="F83" s="36" t="s">
        <v>529</v>
      </c>
      <c r="G83" s="36" t="s">
        <v>530</v>
      </c>
      <c r="H83" s="36" t="s">
        <v>372</v>
      </c>
      <c r="I83" s="36" t="s">
        <v>178</v>
      </c>
      <c r="J83" s="36" t="s">
        <v>179</v>
      </c>
      <c r="K83" s="36" t="s">
        <v>163</v>
      </c>
      <c r="L83" s="36" t="s">
        <v>127</v>
      </c>
      <c r="M83" s="37">
        <v>10000000000</v>
      </c>
      <c r="N83" s="37">
        <v>0</v>
      </c>
      <c r="O83" s="37">
        <v>10000000000</v>
      </c>
      <c r="P83" s="36" t="s">
        <v>122</v>
      </c>
      <c r="Q83" s="37">
        <v>20000000</v>
      </c>
      <c r="R83" s="36" t="s">
        <v>150</v>
      </c>
      <c r="S83" s="38">
        <v>41956</v>
      </c>
      <c r="T83" s="38">
        <v>41739</v>
      </c>
      <c r="U83" s="38">
        <v>42369</v>
      </c>
      <c r="V83" s="27" t="s">
        <v>9308</v>
      </c>
      <c r="W83" s="37"/>
      <c r="X83" s="37"/>
      <c r="Y83" s="37" t="s">
        <v>125</v>
      </c>
      <c r="Z83" s="37"/>
      <c r="AA83" s="37"/>
      <c r="AB83" s="37"/>
      <c r="AC83" s="37"/>
      <c r="AD83" s="37"/>
      <c r="AE83" s="37"/>
      <c r="AF83" s="37"/>
    </row>
    <row r="84" spans="2:32" ht="60" customHeight="1" x14ac:dyDescent="0.25">
      <c r="B84" s="31" t="s">
        <v>531</v>
      </c>
      <c r="C84" s="32">
        <v>2014</v>
      </c>
      <c r="D84" s="33">
        <f t="shared" si="1"/>
        <v>2019</v>
      </c>
      <c r="E84" s="31" t="s">
        <v>126</v>
      </c>
      <c r="F84" s="31" t="s">
        <v>532</v>
      </c>
      <c r="G84" s="31" t="s">
        <v>533</v>
      </c>
      <c r="H84" s="31" t="s">
        <v>366</v>
      </c>
      <c r="I84" s="31" t="s">
        <v>305</v>
      </c>
      <c r="J84" s="31" t="s">
        <v>306</v>
      </c>
      <c r="K84" s="31" t="s">
        <v>315</v>
      </c>
      <c r="L84" s="31" t="s">
        <v>127</v>
      </c>
      <c r="M84" s="34">
        <v>4000000000</v>
      </c>
      <c r="N84" s="34">
        <v>0</v>
      </c>
      <c r="O84" s="34">
        <v>4000000000</v>
      </c>
      <c r="P84" s="31" t="s">
        <v>122</v>
      </c>
      <c r="Q84" s="34">
        <v>8000000</v>
      </c>
      <c r="R84" s="31" t="s">
        <v>150</v>
      </c>
      <c r="S84" s="35">
        <v>41773</v>
      </c>
      <c r="T84" s="35">
        <v>41751</v>
      </c>
      <c r="U84" s="35">
        <v>43830</v>
      </c>
      <c r="V84" s="27" t="s">
        <v>9350</v>
      </c>
      <c r="W84" s="34"/>
      <c r="X84" s="34"/>
      <c r="Y84" s="34" t="s">
        <v>125</v>
      </c>
      <c r="Z84" s="34"/>
      <c r="AA84" s="34"/>
      <c r="AB84" s="34"/>
      <c r="AC84" s="34"/>
      <c r="AD84" s="34"/>
      <c r="AE84" s="34"/>
      <c r="AF84" s="34"/>
    </row>
    <row r="85" spans="2:32" ht="75" customHeight="1" x14ac:dyDescent="0.25">
      <c r="B85" s="36" t="s">
        <v>535</v>
      </c>
      <c r="C85" s="33">
        <v>2014</v>
      </c>
      <c r="D85" s="33">
        <f t="shared" si="1"/>
        <v>2019</v>
      </c>
      <c r="E85" s="36" t="s">
        <v>317</v>
      </c>
      <c r="F85" s="36" t="s">
        <v>536</v>
      </c>
      <c r="G85" s="36" t="s">
        <v>537</v>
      </c>
      <c r="H85" s="36" t="s">
        <v>326</v>
      </c>
      <c r="I85" s="36" t="s">
        <v>337</v>
      </c>
      <c r="J85" s="36" t="s">
        <v>338</v>
      </c>
      <c r="K85" s="36" t="s">
        <v>526</v>
      </c>
      <c r="L85" s="36" t="s">
        <v>159</v>
      </c>
      <c r="M85" s="37">
        <v>0</v>
      </c>
      <c r="N85" s="37">
        <v>2623828000</v>
      </c>
      <c r="O85" s="37">
        <v>2623828000</v>
      </c>
      <c r="P85" s="36" t="s">
        <v>122</v>
      </c>
      <c r="Q85" s="37">
        <v>4000000</v>
      </c>
      <c r="R85" s="36" t="s">
        <v>159</v>
      </c>
      <c r="S85" s="38">
        <v>41814</v>
      </c>
      <c r="T85" s="38">
        <v>41765</v>
      </c>
      <c r="U85" s="38">
        <v>43830</v>
      </c>
      <c r="V85" s="27" t="s">
        <v>9308</v>
      </c>
      <c r="W85" s="37"/>
      <c r="X85" s="37"/>
      <c r="Y85" s="37" t="s">
        <v>242</v>
      </c>
      <c r="Z85" s="37"/>
      <c r="AA85" s="37"/>
      <c r="AB85" s="37"/>
      <c r="AC85" s="37"/>
      <c r="AD85" s="37"/>
      <c r="AE85" s="37"/>
      <c r="AF85" s="37"/>
    </row>
    <row r="86" spans="2:32" ht="60" customHeight="1" x14ac:dyDescent="0.25">
      <c r="B86" s="31" t="s">
        <v>538</v>
      </c>
      <c r="C86" s="32">
        <v>2014</v>
      </c>
      <c r="D86" s="33">
        <f t="shared" si="1"/>
        <v>2018</v>
      </c>
      <c r="E86" s="31" t="s">
        <v>126</v>
      </c>
      <c r="F86" s="31" t="s">
        <v>539</v>
      </c>
      <c r="G86" s="31" t="s">
        <v>540</v>
      </c>
      <c r="H86" s="31" t="s">
        <v>366</v>
      </c>
      <c r="I86" s="31" t="s">
        <v>168</v>
      </c>
      <c r="J86" s="31" t="s">
        <v>169</v>
      </c>
      <c r="K86" s="31" t="s">
        <v>216</v>
      </c>
      <c r="L86" s="31" t="s">
        <v>127</v>
      </c>
      <c r="M86" s="34">
        <v>3675000000</v>
      </c>
      <c r="N86" s="34">
        <v>0</v>
      </c>
      <c r="O86" s="34">
        <v>3675000000</v>
      </c>
      <c r="P86" s="31" t="s">
        <v>167</v>
      </c>
      <c r="Q86" s="34">
        <v>4830000</v>
      </c>
      <c r="R86" s="31" t="s">
        <v>150</v>
      </c>
      <c r="S86" s="35">
        <v>41768</v>
      </c>
      <c r="T86" s="35">
        <v>41713</v>
      </c>
      <c r="U86" s="35">
        <v>43465</v>
      </c>
      <c r="V86" s="27" t="s">
        <v>9351</v>
      </c>
      <c r="W86" s="34"/>
      <c r="X86" s="34"/>
      <c r="Y86" s="34" t="s">
        <v>125</v>
      </c>
      <c r="Z86" s="34"/>
      <c r="AA86" s="34"/>
      <c r="AB86" s="34"/>
      <c r="AC86" s="34"/>
      <c r="AD86" s="34"/>
      <c r="AE86" s="34"/>
      <c r="AF86" s="34"/>
    </row>
    <row r="87" spans="2:32" ht="60" customHeight="1" x14ac:dyDescent="0.25">
      <c r="B87" s="36" t="s">
        <v>542</v>
      </c>
      <c r="C87" s="33">
        <v>2014</v>
      </c>
      <c r="D87" s="33">
        <f t="shared" si="1"/>
        <v>2019</v>
      </c>
      <c r="E87" s="36" t="s">
        <v>126</v>
      </c>
      <c r="F87" s="36" t="s">
        <v>543</v>
      </c>
      <c r="G87" s="36" t="s">
        <v>544</v>
      </c>
      <c r="H87" s="36" t="s">
        <v>372</v>
      </c>
      <c r="I87" s="36" t="s">
        <v>178</v>
      </c>
      <c r="J87" s="36" t="s">
        <v>179</v>
      </c>
      <c r="K87" s="36" t="s">
        <v>315</v>
      </c>
      <c r="L87" s="36" t="s">
        <v>127</v>
      </c>
      <c r="M87" s="37">
        <v>4000000000</v>
      </c>
      <c r="N87" s="37">
        <v>0</v>
      </c>
      <c r="O87" s="37">
        <v>4000000000</v>
      </c>
      <c r="P87" s="36" t="s">
        <v>122</v>
      </c>
      <c r="Q87" s="37">
        <v>8000000</v>
      </c>
      <c r="R87" s="36" t="s">
        <v>150</v>
      </c>
      <c r="S87" s="38">
        <v>41779</v>
      </c>
      <c r="T87" s="38">
        <v>41744</v>
      </c>
      <c r="U87" s="38">
        <v>43830</v>
      </c>
      <c r="V87" s="27" t="s">
        <v>9334</v>
      </c>
      <c r="W87" s="37"/>
      <c r="X87" s="37"/>
      <c r="Y87" s="37" t="s">
        <v>125</v>
      </c>
      <c r="Z87" s="37"/>
      <c r="AA87" s="37"/>
      <c r="AB87" s="37"/>
      <c r="AC87" s="37"/>
      <c r="AD87" s="37"/>
      <c r="AE87" s="37"/>
      <c r="AF87" s="37"/>
    </row>
    <row r="88" spans="2:32" ht="60" customHeight="1" x14ac:dyDescent="0.25">
      <c r="B88" s="31" t="s">
        <v>545</v>
      </c>
      <c r="C88" s="32">
        <v>2014</v>
      </c>
      <c r="D88" s="33">
        <f t="shared" si="1"/>
        <v>2016</v>
      </c>
      <c r="E88" s="31" t="s">
        <v>126</v>
      </c>
      <c r="F88" s="31" t="s">
        <v>546</v>
      </c>
      <c r="G88" s="31" t="s">
        <v>547</v>
      </c>
      <c r="H88" s="31" t="s">
        <v>326</v>
      </c>
      <c r="I88" s="31" t="s">
        <v>178</v>
      </c>
      <c r="J88" s="31" t="s">
        <v>179</v>
      </c>
      <c r="K88" s="31" t="s">
        <v>205</v>
      </c>
      <c r="L88" s="31" t="s">
        <v>127</v>
      </c>
      <c r="M88" s="34">
        <v>4000000000</v>
      </c>
      <c r="N88" s="34">
        <v>0</v>
      </c>
      <c r="O88" s="34">
        <v>4000000000</v>
      </c>
      <c r="P88" s="31" t="s">
        <v>122</v>
      </c>
      <c r="Q88" s="34">
        <v>9000000</v>
      </c>
      <c r="R88" s="31" t="s">
        <v>150</v>
      </c>
      <c r="S88" s="35">
        <v>41795</v>
      </c>
      <c r="T88" s="35">
        <v>41739</v>
      </c>
      <c r="U88" s="35">
        <v>42735</v>
      </c>
      <c r="V88" s="27" t="s">
        <v>9313</v>
      </c>
      <c r="W88" s="34"/>
      <c r="X88" s="34"/>
      <c r="Y88" s="34" t="s">
        <v>125</v>
      </c>
      <c r="Z88" s="34"/>
      <c r="AA88" s="34"/>
      <c r="AB88" s="34"/>
      <c r="AC88" s="34"/>
      <c r="AD88" s="34"/>
      <c r="AE88" s="34"/>
      <c r="AF88" s="34"/>
    </row>
    <row r="89" spans="2:32" ht="120" customHeight="1" x14ac:dyDescent="0.25">
      <c r="B89" s="36" t="s">
        <v>548</v>
      </c>
      <c r="C89" s="33">
        <v>2014</v>
      </c>
      <c r="D89" s="33">
        <f t="shared" si="1"/>
        <v>2020</v>
      </c>
      <c r="E89" s="36" t="s">
        <v>126</v>
      </c>
      <c r="F89" s="36" t="s">
        <v>549</v>
      </c>
      <c r="G89" s="36" t="s">
        <v>550</v>
      </c>
      <c r="H89" s="36" t="s">
        <v>366</v>
      </c>
      <c r="I89" s="36" t="s">
        <v>168</v>
      </c>
      <c r="J89" s="36" t="s">
        <v>169</v>
      </c>
      <c r="K89" s="36" t="s">
        <v>315</v>
      </c>
      <c r="L89" s="36" t="s">
        <v>127</v>
      </c>
      <c r="M89" s="37">
        <v>6080000000</v>
      </c>
      <c r="N89" s="37">
        <v>0</v>
      </c>
      <c r="O89" s="37">
        <v>6080000000</v>
      </c>
      <c r="P89" s="36" t="s">
        <v>551</v>
      </c>
      <c r="Q89" s="37">
        <v>9670000</v>
      </c>
      <c r="R89" s="36" t="s">
        <v>552</v>
      </c>
      <c r="S89" s="38">
        <v>41802</v>
      </c>
      <c r="T89" s="38">
        <v>41800</v>
      </c>
      <c r="U89" s="38">
        <v>44012</v>
      </c>
      <c r="V89" s="27" t="s">
        <v>9308</v>
      </c>
      <c r="W89" s="37"/>
      <c r="X89" s="37"/>
      <c r="Y89" s="37" t="s">
        <v>125</v>
      </c>
      <c r="Z89" s="37"/>
      <c r="AA89" s="37"/>
      <c r="AB89" s="37"/>
      <c r="AC89" s="37"/>
      <c r="AD89" s="37"/>
      <c r="AE89" s="37"/>
      <c r="AF89" s="37"/>
    </row>
    <row r="90" spans="2:32" ht="60" customHeight="1" x14ac:dyDescent="0.25">
      <c r="B90" s="31" t="s">
        <v>553</v>
      </c>
      <c r="C90" s="41">
        <v>2014</v>
      </c>
      <c r="D90" s="42">
        <f t="shared" si="1"/>
        <v>2018</v>
      </c>
      <c r="E90" s="31" t="s">
        <v>126</v>
      </c>
      <c r="F90" s="31" t="s">
        <v>554</v>
      </c>
      <c r="G90" s="31" t="s">
        <v>556</v>
      </c>
      <c r="H90" s="31" t="s">
        <v>366</v>
      </c>
      <c r="I90" s="31" t="s">
        <v>168</v>
      </c>
      <c r="J90" s="31" t="s">
        <v>169</v>
      </c>
      <c r="K90" s="31" t="s">
        <v>263</v>
      </c>
      <c r="L90" s="31" t="s">
        <v>127</v>
      </c>
      <c r="M90" s="34">
        <v>6250000000</v>
      </c>
      <c r="N90" s="34">
        <v>0</v>
      </c>
      <c r="O90" s="34">
        <v>6250000000</v>
      </c>
      <c r="P90" s="31" t="s">
        <v>122</v>
      </c>
      <c r="Q90" s="34">
        <v>12500000</v>
      </c>
      <c r="R90" s="31" t="s">
        <v>552</v>
      </c>
      <c r="S90" s="35">
        <v>41816</v>
      </c>
      <c r="T90" s="35">
        <v>41690</v>
      </c>
      <c r="U90" s="35">
        <v>43465</v>
      </c>
      <c r="V90" s="27" t="s">
        <v>9332</v>
      </c>
      <c r="W90" s="31" t="s">
        <v>557</v>
      </c>
      <c r="X90" s="31" t="s">
        <v>558</v>
      </c>
      <c r="Y90" s="31" t="s">
        <v>125</v>
      </c>
      <c r="Z90" s="31" t="s">
        <v>555</v>
      </c>
      <c r="AA90" s="31" t="s">
        <v>561</v>
      </c>
      <c r="AB90" s="31" t="s">
        <v>560</v>
      </c>
      <c r="AC90" s="31" t="s">
        <v>562</v>
      </c>
      <c r="AD90" s="34">
        <v>6.1</v>
      </c>
      <c r="AE90" s="31" t="s">
        <v>563</v>
      </c>
      <c r="AF90" s="31" t="s">
        <v>559</v>
      </c>
    </row>
    <row r="91" spans="2:32" ht="60" customHeight="1" x14ac:dyDescent="0.25">
      <c r="B91" s="36" t="s">
        <v>564</v>
      </c>
      <c r="C91" s="33">
        <v>2014</v>
      </c>
      <c r="D91" s="33">
        <f t="shared" si="1"/>
        <v>2018</v>
      </c>
      <c r="E91" s="36" t="s">
        <v>126</v>
      </c>
      <c r="F91" s="36" t="s">
        <v>565</v>
      </c>
      <c r="G91" s="36" t="s">
        <v>566</v>
      </c>
      <c r="H91" s="36" t="s">
        <v>366</v>
      </c>
      <c r="I91" s="36" t="s">
        <v>567</v>
      </c>
      <c r="J91" s="36" t="s">
        <v>568</v>
      </c>
      <c r="K91" s="36" t="s">
        <v>263</v>
      </c>
      <c r="L91" s="36" t="s">
        <v>159</v>
      </c>
      <c r="M91" s="37">
        <v>0</v>
      </c>
      <c r="N91" s="37">
        <v>1124584425</v>
      </c>
      <c r="O91" s="37">
        <v>1124584425</v>
      </c>
      <c r="P91" s="36" t="s">
        <v>136</v>
      </c>
      <c r="Q91" s="37">
        <v>1124584425</v>
      </c>
      <c r="R91" s="36" t="s">
        <v>159</v>
      </c>
      <c r="S91" s="38">
        <v>41815</v>
      </c>
      <c r="T91" s="38">
        <v>41774</v>
      </c>
      <c r="U91" s="38">
        <v>43465</v>
      </c>
      <c r="V91" s="27" t="s">
        <v>9308</v>
      </c>
      <c r="W91" s="37"/>
      <c r="X91" s="37"/>
      <c r="Y91" s="37" t="s">
        <v>125</v>
      </c>
      <c r="Z91" s="37"/>
      <c r="AA91" s="37"/>
      <c r="AB91" s="37"/>
      <c r="AC91" s="37"/>
      <c r="AD91" s="37"/>
      <c r="AE91" s="37"/>
      <c r="AF91" s="37"/>
    </row>
    <row r="92" spans="2:32" ht="60" customHeight="1" x14ac:dyDescent="0.25">
      <c r="B92" s="31" t="s">
        <v>569</v>
      </c>
      <c r="C92" s="32">
        <v>2014</v>
      </c>
      <c r="D92" s="33">
        <f t="shared" si="1"/>
        <v>2018</v>
      </c>
      <c r="E92" s="31" t="s">
        <v>126</v>
      </c>
      <c r="F92" s="31" t="s">
        <v>570</v>
      </c>
      <c r="G92" s="31" t="s">
        <v>571</v>
      </c>
      <c r="H92" s="31" t="s">
        <v>326</v>
      </c>
      <c r="I92" s="31" t="s">
        <v>337</v>
      </c>
      <c r="J92" s="31" t="s">
        <v>338</v>
      </c>
      <c r="K92" s="31" t="s">
        <v>526</v>
      </c>
      <c r="L92" s="31" t="s">
        <v>159</v>
      </c>
      <c r="M92" s="34">
        <v>0</v>
      </c>
      <c r="N92" s="34">
        <v>682195280</v>
      </c>
      <c r="O92" s="34">
        <v>682195280</v>
      </c>
      <c r="P92" s="31" t="s">
        <v>122</v>
      </c>
      <c r="Q92" s="34">
        <v>1040090.37963104</v>
      </c>
      <c r="R92" s="31" t="s">
        <v>159</v>
      </c>
      <c r="S92" s="35">
        <v>41922</v>
      </c>
      <c r="T92" s="35">
        <v>41856</v>
      </c>
      <c r="U92" s="35">
        <v>43465</v>
      </c>
      <c r="V92" s="27" t="s">
        <v>9308</v>
      </c>
      <c r="W92" s="34"/>
      <c r="X92" s="34"/>
      <c r="Y92" s="34" t="s">
        <v>242</v>
      </c>
      <c r="Z92" s="34"/>
      <c r="AA92" s="34"/>
      <c r="AB92" s="34"/>
      <c r="AC92" s="34"/>
      <c r="AD92" s="34"/>
      <c r="AE92" s="34"/>
      <c r="AF92" s="34"/>
    </row>
    <row r="93" spans="2:32" ht="60" customHeight="1" x14ac:dyDescent="0.25">
      <c r="B93" s="36" t="s">
        <v>572</v>
      </c>
      <c r="C93" s="33">
        <v>2014</v>
      </c>
      <c r="D93" s="33">
        <f t="shared" si="1"/>
        <v>2018</v>
      </c>
      <c r="E93" s="36" t="s">
        <v>126</v>
      </c>
      <c r="F93" s="36" t="s">
        <v>570</v>
      </c>
      <c r="G93" s="36" t="s">
        <v>573</v>
      </c>
      <c r="H93" s="36" t="s">
        <v>326</v>
      </c>
      <c r="I93" s="36" t="s">
        <v>574</v>
      </c>
      <c r="J93" s="36" t="s">
        <v>575</v>
      </c>
      <c r="K93" s="36" t="s">
        <v>526</v>
      </c>
      <c r="L93" s="36" t="s">
        <v>159</v>
      </c>
      <c r="M93" s="37">
        <v>0</v>
      </c>
      <c r="N93" s="37">
        <v>5885221934</v>
      </c>
      <c r="O93" s="37">
        <v>5885221934</v>
      </c>
      <c r="P93" s="36" t="s">
        <v>122</v>
      </c>
      <c r="Q93" s="37">
        <v>8972742.6955328602</v>
      </c>
      <c r="R93" s="36" t="s">
        <v>159</v>
      </c>
      <c r="S93" s="38">
        <v>41922</v>
      </c>
      <c r="T93" s="38">
        <v>41856</v>
      </c>
      <c r="U93" s="38">
        <v>43465</v>
      </c>
      <c r="V93" s="27" t="s">
        <v>9308</v>
      </c>
      <c r="W93" s="37"/>
      <c r="X93" s="37"/>
      <c r="Y93" s="37" t="s">
        <v>125</v>
      </c>
      <c r="Z93" s="37"/>
      <c r="AA93" s="37"/>
      <c r="AB93" s="37"/>
      <c r="AC93" s="37"/>
      <c r="AD93" s="37"/>
      <c r="AE93" s="37"/>
      <c r="AF93" s="37"/>
    </row>
    <row r="94" spans="2:32" ht="45" customHeight="1" x14ac:dyDescent="0.25">
      <c r="B94" s="31" t="s">
        <v>576</v>
      </c>
      <c r="C94" s="32">
        <v>2014</v>
      </c>
      <c r="D94" s="33">
        <f t="shared" si="1"/>
        <v>2017</v>
      </c>
      <c r="E94" s="31" t="s">
        <v>126</v>
      </c>
      <c r="F94" s="31" t="s">
        <v>577</v>
      </c>
      <c r="G94" s="31" t="s">
        <v>578</v>
      </c>
      <c r="H94" s="31" t="s">
        <v>366</v>
      </c>
      <c r="I94" s="31" t="s">
        <v>581</v>
      </c>
      <c r="J94" s="31" t="s">
        <v>582</v>
      </c>
      <c r="K94" s="31" t="s">
        <v>142</v>
      </c>
      <c r="L94" s="31" t="s">
        <v>127</v>
      </c>
      <c r="M94" s="34">
        <v>9000000000</v>
      </c>
      <c r="N94" s="34">
        <v>0</v>
      </c>
      <c r="O94" s="34">
        <v>9000000000</v>
      </c>
      <c r="P94" s="31" t="s">
        <v>136</v>
      </c>
      <c r="Q94" s="34">
        <v>9000000000</v>
      </c>
      <c r="R94" s="31" t="s">
        <v>443</v>
      </c>
      <c r="S94" s="35">
        <v>41878</v>
      </c>
      <c r="T94" s="35">
        <v>41801</v>
      </c>
      <c r="U94" s="35">
        <v>43100</v>
      </c>
      <c r="V94" s="27" t="s">
        <v>9352</v>
      </c>
      <c r="W94" s="34"/>
      <c r="X94" s="34"/>
      <c r="Y94" s="34" t="s">
        <v>442</v>
      </c>
      <c r="Z94" s="34"/>
      <c r="AA94" s="34"/>
      <c r="AB94" s="34"/>
      <c r="AC94" s="34"/>
      <c r="AD94" s="34"/>
      <c r="AE94" s="34"/>
      <c r="AF94" s="34"/>
    </row>
    <row r="95" spans="2:32" ht="45" customHeight="1" x14ac:dyDescent="0.25">
      <c r="B95" s="36" t="s">
        <v>583</v>
      </c>
      <c r="C95" s="33">
        <v>2014</v>
      </c>
      <c r="D95" s="33">
        <f t="shared" si="1"/>
        <v>2017</v>
      </c>
      <c r="E95" s="36" t="s">
        <v>126</v>
      </c>
      <c r="F95" s="36" t="s">
        <v>577</v>
      </c>
      <c r="G95" s="36" t="s">
        <v>584</v>
      </c>
      <c r="H95" s="36" t="s">
        <v>366</v>
      </c>
      <c r="I95" s="36" t="s">
        <v>441</v>
      </c>
      <c r="J95" s="36" t="s">
        <v>441</v>
      </c>
      <c r="K95" s="36" t="s">
        <v>142</v>
      </c>
      <c r="L95" s="36" t="s">
        <v>127</v>
      </c>
      <c r="M95" s="37">
        <v>2000000000</v>
      </c>
      <c r="N95" s="37">
        <v>0</v>
      </c>
      <c r="O95" s="37">
        <v>2000000000</v>
      </c>
      <c r="P95" s="36" t="s">
        <v>136</v>
      </c>
      <c r="Q95" s="37">
        <v>2000000000</v>
      </c>
      <c r="R95" s="36" t="s">
        <v>443</v>
      </c>
      <c r="S95" s="38">
        <v>41877</v>
      </c>
      <c r="T95" s="38">
        <v>41801</v>
      </c>
      <c r="U95" s="38">
        <v>43100</v>
      </c>
      <c r="V95" s="27" t="s">
        <v>9352</v>
      </c>
      <c r="W95" s="37"/>
      <c r="X95" s="37"/>
      <c r="Y95" s="37" t="s">
        <v>442</v>
      </c>
      <c r="Z95" s="37"/>
      <c r="AA95" s="37"/>
      <c r="AB95" s="37"/>
      <c r="AC95" s="37"/>
      <c r="AD95" s="37"/>
      <c r="AE95" s="37"/>
      <c r="AF95" s="37"/>
    </row>
    <row r="96" spans="2:32" ht="120" customHeight="1" x14ac:dyDescent="0.25">
      <c r="B96" s="31" t="s">
        <v>585</v>
      </c>
      <c r="C96" s="32">
        <v>2014</v>
      </c>
      <c r="D96" s="33">
        <f t="shared" si="1"/>
        <v>2018</v>
      </c>
      <c r="E96" s="31" t="s">
        <v>126</v>
      </c>
      <c r="F96" s="31" t="s">
        <v>586</v>
      </c>
      <c r="G96" s="31" t="s">
        <v>587</v>
      </c>
      <c r="H96" s="31" t="s">
        <v>589</v>
      </c>
      <c r="I96" s="31" t="s">
        <v>137</v>
      </c>
      <c r="J96" s="31" t="s">
        <v>138</v>
      </c>
      <c r="K96" s="31" t="s">
        <v>190</v>
      </c>
      <c r="L96" s="31" t="s">
        <v>127</v>
      </c>
      <c r="M96" s="34">
        <v>1089000000</v>
      </c>
      <c r="N96" s="34">
        <v>0</v>
      </c>
      <c r="O96" s="34">
        <v>1089000000</v>
      </c>
      <c r="P96" s="31" t="s">
        <v>136</v>
      </c>
      <c r="Q96" s="34">
        <v>1089000000</v>
      </c>
      <c r="R96" s="31" t="s">
        <v>128</v>
      </c>
      <c r="S96" s="35">
        <v>41909</v>
      </c>
      <c r="T96" s="35">
        <v>41722</v>
      </c>
      <c r="U96" s="35">
        <v>43465</v>
      </c>
      <c r="V96" s="27" t="s">
        <v>9353</v>
      </c>
      <c r="W96" s="34"/>
      <c r="X96" s="34"/>
      <c r="Y96" s="34" t="s">
        <v>125</v>
      </c>
      <c r="Z96" s="34"/>
      <c r="AA96" s="34"/>
      <c r="AB96" s="34"/>
      <c r="AC96" s="34"/>
      <c r="AD96" s="34"/>
      <c r="AE96" s="34"/>
      <c r="AF96" s="34"/>
    </row>
    <row r="97" spans="2:32" ht="90" customHeight="1" x14ac:dyDescent="0.25">
      <c r="B97" s="36" t="s">
        <v>590</v>
      </c>
      <c r="C97" s="33">
        <v>2014</v>
      </c>
      <c r="D97" s="33">
        <f t="shared" si="1"/>
        <v>2019</v>
      </c>
      <c r="E97" s="36" t="s">
        <v>126</v>
      </c>
      <c r="F97" s="36" t="s">
        <v>591</v>
      </c>
      <c r="G97" s="36" t="s">
        <v>592</v>
      </c>
      <c r="H97" s="36" t="s">
        <v>353</v>
      </c>
      <c r="I97" s="36" t="s">
        <v>137</v>
      </c>
      <c r="J97" s="36" t="s">
        <v>138</v>
      </c>
      <c r="K97" s="36" t="s">
        <v>205</v>
      </c>
      <c r="L97" s="36" t="s">
        <v>127</v>
      </c>
      <c r="M97" s="37">
        <v>20000000000</v>
      </c>
      <c r="N97" s="37">
        <v>0</v>
      </c>
      <c r="O97" s="37">
        <v>20000000000</v>
      </c>
      <c r="P97" s="36" t="s">
        <v>136</v>
      </c>
      <c r="Q97" s="37">
        <v>20000000000</v>
      </c>
      <c r="R97" s="36" t="s">
        <v>128</v>
      </c>
      <c r="S97" s="38">
        <v>41909</v>
      </c>
      <c r="T97" s="38">
        <v>41722</v>
      </c>
      <c r="U97" s="38">
        <v>43830</v>
      </c>
      <c r="V97" s="27" t="s">
        <v>9354</v>
      </c>
      <c r="W97" s="37"/>
      <c r="X97" s="37"/>
      <c r="Y97" s="37" t="s">
        <v>125</v>
      </c>
      <c r="Z97" s="37"/>
      <c r="AA97" s="37"/>
      <c r="AB97" s="37"/>
      <c r="AC97" s="37"/>
      <c r="AD97" s="37"/>
      <c r="AE97" s="37"/>
      <c r="AF97" s="37"/>
    </row>
    <row r="98" spans="2:32" ht="60" customHeight="1" x14ac:dyDescent="0.25">
      <c r="B98" s="31" t="s">
        <v>596</v>
      </c>
      <c r="C98" s="32">
        <v>2014</v>
      </c>
      <c r="D98" s="33">
        <f t="shared" si="1"/>
        <v>2015</v>
      </c>
      <c r="E98" s="31" t="s">
        <v>126</v>
      </c>
      <c r="F98" s="31" t="s">
        <v>597</v>
      </c>
      <c r="G98" s="31" t="s">
        <v>598</v>
      </c>
      <c r="H98" s="31" t="s">
        <v>366</v>
      </c>
      <c r="I98" s="31" t="s">
        <v>305</v>
      </c>
      <c r="J98" s="31" t="s">
        <v>306</v>
      </c>
      <c r="K98" s="31" t="s">
        <v>205</v>
      </c>
      <c r="L98" s="31" t="s">
        <v>127</v>
      </c>
      <c r="M98" s="34">
        <v>225000000</v>
      </c>
      <c r="N98" s="34">
        <v>0</v>
      </c>
      <c r="O98" s="34">
        <v>225000000</v>
      </c>
      <c r="P98" s="31" t="s">
        <v>122</v>
      </c>
      <c r="Q98" s="34">
        <v>450000</v>
      </c>
      <c r="R98" s="31" t="s">
        <v>150</v>
      </c>
      <c r="S98" s="35">
        <v>41911</v>
      </c>
      <c r="T98" s="35">
        <v>41773</v>
      </c>
      <c r="U98" s="35">
        <v>42369</v>
      </c>
      <c r="V98" s="27" t="s">
        <v>9355</v>
      </c>
      <c r="W98" s="34"/>
      <c r="X98" s="34"/>
      <c r="Y98" s="34" t="s">
        <v>125</v>
      </c>
      <c r="Z98" s="34"/>
      <c r="AA98" s="34"/>
      <c r="AB98" s="34"/>
      <c r="AC98" s="34"/>
      <c r="AD98" s="34"/>
      <c r="AE98" s="34"/>
      <c r="AF98" s="34"/>
    </row>
    <row r="99" spans="2:32" ht="60" customHeight="1" x14ac:dyDescent="0.25">
      <c r="B99" s="36" t="s">
        <v>602</v>
      </c>
      <c r="C99" s="33">
        <v>2014</v>
      </c>
      <c r="D99" s="33">
        <f t="shared" si="1"/>
        <v>2019</v>
      </c>
      <c r="E99" s="36" t="s">
        <v>126</v>
      </c>
      <c r="F99" s="36" t="s">
        <v>603</v>
      </c>
      <c r="G99" s="36" t="s">
        <v>604</v>
      </c>
      <c r="H99" s="36" t="s">
        <v>366</v>
      </c>
      <c r="I99" s="36" t="s">
        <v>305</v>
      </c>
      <c r="J99" s="36" t="s">
        <v>306</v>
      </c>
      <c r="K99" s="36" t="s">
        <v>205</v>
      </c>
      <c r="L99" s="36" t="s">
        <v>127</v>
      </c>
      <c r="M99" s="37">
        <v>1000000000</v>
      </c>
      <c r="N99" s="37">
        <v>0</v>
      </c>
      <c r="O99" s="37">
        <v>1000000000</v>
      </c>
      <c r="P99" s="36" t="s">
        <v>122</v>
      </c>
      <c r="Q99" s="37">
        <v>2000000</v>
      </c>
      <c r="R99" s="36" t="s">
        <v>150</v>
      </c>
      <c r="S99" s="38">
        <v>41963</v>
      </c>
      <c r="T99" s="38">
        <v>41922</v>
      </c>
      <c r="U99" s="38">
        <v>43830</v>
      </c>
      <c r="V99" s="27" t="s">
        <v>9356</v>
      </c>
      <c r="W99" s="37"/>
      <c r="X99" s="37"/>
      <c r="Y99" s="37" t="s">
        <v>125</v>
      </c>
      <c r="Z99" s="37"/>
      <c r="AA99" s="37"/>
      <c r="AB99" s="37"/>
      <c r="AC99" s="37"/>
      <c r="AD99" s="37"/>
      <c r="AE99" s="37"/>
      <c r="AF99" s="37"/>
    </row>
    <row r="100" spans="2:32" ht="60" customHeight="1" x14ac:dyDescent="0.25">
      <c r="B100" s="31" t="s">
        <v>607</v>
      </c>
      <c r="C100" s="32">
        <v>2014</v>
      </c>
      <c r="D100" s="33">
        <f t="shared" si="1"/>
        <v>2019</v>
      </c>
      <c r="E100" s="31" t="s">
        <v>126</v>
      </c>
      <c r="F100" s="31" t="s">
        <v>603</v>
      </c>
      <c r="G100" s="31" t="s">
        <v>608</v>
      </c>
      <c r="H100" s="31" t="s">
        <v>366</v>
      </c>
      <c r="I100" s="31" t="s">
        <v>240</v>
      </c>
      <c r="J100" s="31" t="s">
        <v>241</v>
      </c>
      <c r="K100" s="31" t="s">
        <v>205</v>
      </c>
      <c r="L100" s="31" t="s">
        <v>127</v>
      </c>
      <c r="M100" s="34">
        <v>5000000000</v>
      </c>
      <c r="N100" s="34">
        <v>0</v>
      </c>
      <c r="O100" s="34">
        <v>5000000000</v>
      </c>
      <c r="P100" s="31" t="s">
        <v>609</v>
      </c>
      <c r="Q100" s="34">
        <v>3000000</v>
      </c>
      <c r="R100" s="31" t="s">
        <v>150</v>
      </c>
      <c r="S100" s="35">
        <v>41963</v>
      </c>
      <c r="T100" s="35">
        <v>41922</v>
      </c>
      <c r="U100" s="35">
        <v>43830</v>
      </c>
      <c r="V100" s="27" t="s">
        <v>9356</v>
      </c>
      <c r="W100" s="34"/>
      <c r="X100" s="34"/>
      <c r="Y100" s="34" t="s">
        <v>242</v>
      </c>
      <c r="Z100" s="34"/>
      <c r="AA100" s="34"/>
      <c r="AB100" s="34"/>
      <c r="AC100" s="34"/>
      <c r="AD100" s="34"/>
      <c r="AE100" s="34"/>
      <c r="AF100" s="34"/>
    </row>
    <row r="101" spans="2:32" ht="60" customHeight="1" x14ac:dyDescent="0.25">
      <c r="B101" s="36" t="s">
        <v>610</v>
      </c>
      <c r="C101" s="33">
        <v>2014</v>
      </c>
      <c r="D101" s="33">
        <f t="shared" si="1"/>
        <v>2019</v>
      </c>
      <c r="E101" s="36" t="s">
        <v>126</v>
      </c>
      <c r="F101" s="36" t="s">
        <v>603</v>
      </c>
      <c r="G101" s="36" t="s">
        <v>611</v>
      </c>
      <c r="H101" s="36" t="s">
        <v>366</v>
      </c>
      <c r="I101" s="36" t="s">
        <v>612</v>
      </c>
      <c r="J101" s="36" t="s">
        <v>149</v>
      </c>
      <c r="K101" s="36" t="s">
        <v>205</v>
      </c>
      <c r="L101" s="36" t="s">
        <v>127</v>
      </c>
      <c r="M101" s="37">
        <v>1500000000</v>
      </c>
      <c r="N101" s="37">
        <v>0</v>
      </c>
      <c r="O101" s="37">
        <v>1500000000</v>
      </c>
      <c r="P101" s="36" t="s">
        <v>122</v>
      </c>
      <c r="Q101" s="37">
        <v>3000000</v>
      </c>
      <c r="R101" s="36" t="s">
        <v>150</v>
      </c>
      <c r="S101" s="38">
        <v>41963</v>
      </c>
      <c r="T101" s="38">
        <v>41922</v>
      </c>
      <c r="U101" s="38">
        <v>43830</v>
      </c>
      <c r="V101" s="27" t="s">
        <v>9356</v>
      </c>
      <c r="W101" s="37"/>
      <c r="X101" s="37"/>
      <c r="Y101" s="37" t="s">
        <v>125</v>
      </c>
      <c r="Z101" s="37"/>
      <c r="AA101" s="37"/>
      <c r="AB101" s="37"/>
      <c r="AC101" s="37"/>
      <c r="AD101" s="37"/>
      <c r="AE101" s="37"/>
      <c r="AF101" s="37"/>
    </row>
    <row r="102" spans="2:32" ht="60" customHeight="1" x14ac:dyDescent="0.25">
      <c r="B102" s="31" t="s">
        <v>613</v>
      </c>
      <c r="C102" s="32">
        <v>2014</v>
      </c>
      <c r="D102" s="33">
        <f t="shared" si="1"/>
        <v>2021</v>
      </c>
      <c r="E102" s="31" t="s">
        <v>126</v>
      </c>
      <c r="F102" s="31" t="s">
        <v>614</v>
      </c>
      <c r="G102" s="31" t="s">
        <v>615</v>
      </c>
      <c r="H102" s="31" t="s">
        <v>366</v>
      </c>
      <c r="I102" s="31" t="s">
        <v>277</v>
      </c>
      <c r="J102" s="31" t="s">
        <v>278</v>
      </c>
      <c r="K102" s="31" t="s">
        <v>142</v>
      </c>
      <c r="L102" s="31" t="s">
        <v>127</v>
      </c>
      <c r="M102" s="34">
        <v>17468176600</v>
      </c>
      <c r="N102" s="34">
        <v>0</v>
      </c>
      <c r="O102" s="34">
        <v>17468176600</v>
      </c>
      <c r="P102" s="31" t="s">
        <v>276</v>
      </c>
      <c r="Q102" s="34">
        <v>23800000</v>
      </c>
      <c r="R102" s="31" t="s">
        <v>150</v>
      </c>
      <c r="S102" s="35">
        <v>41991</v>
      </c>
      <c r="T102" s="35">
        <v>41929</v>
      </c>
      <c r="U102" s="35">
        <v>44561</v>
      </c>
      <c r="V102" s="27" t="s">
        <v>9335</v>
      </c>
      <c r="W102" s="34"/>
      <c r="X102" s="34"/>
      <c r="Y102" s="34" t="s">
        <v>125</v>
      </c>
      <c r="Z102" s="34"/>
      <c r="AA102" s="34"/>
      <c r="AB102" s="34"/>
      <c r="AC102" s="34"/>
      <c r="AD102" s="34"/>
      <c r="AE102" s="34"/>
      <c r="AF102" s="34"/>
    </row>
    <row r="103" spans="2:32" ht="60" customHeight="1" x14ac:dyDescent="0.25">
      <c r="B103" s="36" t="s">
        <v>616</v>
      </c>
      <c r="C103" s="33">
        <v>2014</v>
      </c>
      <c r="D103" s="33">
        <f t="shared" si="1"/>
        <v>2021</v>
      </c>
      <c r="E103" s="36" t="s">
        <v>126</v>
      </c>
      <c r="F103" s="36" t="s">
        <v>614</v>
      </c>
      <c r="G103" s="36" t="s">
        <v>617</v>
      </c>
      <c r="H103" s="36" t="s">
        <v>366</v>
      </c>
      <c r="I103" s="36" t="s">
        <v>618</v>
      </c>
      <c r="J103" s="36" t="s">
        <v>619</v>
      </c>
      <c r="K103" s="36" t="s">
        <v>142</v>
      </c>
      <c r="L103" s="36" t="s">
        <v>159</v>
      </c>
      <c r="M103" s="37">
        <v>0</v>
      </c>
      <c r="N103" s="37">
        <v>930787000</v>
      </c>
      <c r="O103" s="37">
        <v>930787000</v>
      </c>
      <c r="P103" s="36" t="s">
        <v>122</v>
      </c>
      <c r="Q103" s="37">
        <v>1861574</v>
      </c>
      <c r="R103" s="36" t="s">
        <v>260</v>
      </c>
      <c r="S103" s="38">
        <v>41991</v>
      </c>
      <c r="T103" s="38">
        <v>41929</v>
      </c>
      <c r="U103" s="38">
        <v>44561</v>
      </c>
      <c r="V103" s="27" t="s">
        <v>9335</v>
      </c>
      <c r="W103" s="37"/>
      <c r="X103" s="37"/>
      <c r="Y103" s="37" t="s">
        <v>125</v>
      </c>
      <c r="Z103" s="37"/>
      <c r="AA103" s="37"/>
      <c r="AB103" s="37"/>
      <c r="AC103" s="37"/>
      <c r="AD103" s="37"/>
      <c r="AE103" s="37"/>
      <c r="AF103" s="37"/>
    </row>
    <row r="104" spans="2:32" ht="60" customHeight="1" x14ac:dyDescent="0.25">
      <c r="B104" s="31" t="s">
        <v>620</v>
      </c>
      <c r="C104" s="32">
        <v>2014</v>
      </c>
      <c r="D104" s="33">
        <f t="shared" si="1"/>
        <v>2015</v>
      </c>
      <c r="E104" s="31" t="s">
        <v>625</v>
      </c>
      <c r="F104" s="31" t="s">
        <v>621</v>
      </c>
      <c r="G104" s="31" t="s">
        <v>622</v>
      </c>
      <c r="H104" s="31" t="s">
        <v>326</v>
      </c>
      <c r="I104" s="31" t="s">
        <v>277</v>
      </c>
      <c r="J104" s="31" t="s">
        <v>278</v>
      </c>
      <c r="K104" s="31" t="s">
        <v>526</v>
      </c>
      <c r="L104" s="31" t="s">
        <v>159</v>
      </c>
      <c r="M104" s="34">
        <v>0</v>
      </c>
      <c r="N104" s="34">
        <v>400000000</v>
      </c>
      <c r="O104" s="34">
        <v>400000000</v>
      </c>
      <c r="P104" s="31" t="s">
        <v>624</v>
      </c>
      <c r="Q104" s="34">
        <v>609849.06235706701</v>
      </c>
      <c r="R104" s="31" t="s">
        <v>159</v>
      </c>
      <c r="S104" s="35">
        <v>41929</v>
      </c>
      <c r="T104" s="35">
        <v>41922</v>
      </c>
      <c r="U104" s="35">
        <v>42369</v>
      </c>
      <c r="V104" s="27" t="s">
        <v>9357</v>
      </c>
      <c r="W104" s="34"/>
      <c r="X104" s="34"/>
      <c r="Y104" s="34" t="s">
        <v>125</v>
      </c>
      <c r="Z104" s="34"/>
      <c r="AA104" s="34"/>
      <c r="AB104" s="34"/>
      <c r="AC104" s="34"/>
      <c r="AD104" s="34"/>
      <c r="AE104" s="34"/>
      <c r="AF104" s="34"/>
    </row>
    <row r="105" spans="2:32" ht="60" customHeight="1" x14ac:dyDescent="0.25">
      <c r="B105" s="36" t="s">
        <v>626</v>
      </c>
      <c r="C105" s="33">
        <v>2014</v>
      </c>
      <c r="D105" s="33">
        <f t="shared" si="1"/>
        <v>2014</v>
      </c>
      <c r="E105" s="36" t="s">
        <v>126</v>
      </c>
      <c r="F105" s="36" t="s">
        <v>627</v>
      </c>
      <c r="G105" s="36" t="s">
        <v>628</v>
      </c>
      <c r="H105" s="36" t="s">
        <v>326</v>
      </c>
      <c r="I105" s="36" t="s">
        <v>484</v>
      </c>
      <c r="J105" s="36" t="s">
        <v>484</v>
      </c>
      <c r="K105" s="36" t="s">
        <v>163</v>
      </c>
      <c r="L105" s="36" t="s">
        <v>159</v>
      </c>
      <c r="M105" s="37">
        <v>0</v>
      </c>
      <c r="N105" s="37">
        <v>243766000</v>
      </c>
      <c r="O105" s="37">
        <v>243766000</v>
      </c>
      <c r="P105" s="36" t="s">
        <v>122</v>
      </c>
      <c r="Q105" s="37">
        <v>371651.16633633198</v>
      </c>
      <c r="R105" s="36" t="s">
        <v>159</v>
      </c>
      <c r="S105" s="38">
        <v>41958</v>
      </c>
      <c r="T105" s="38">
        <v>41654</v>
      </c>
      <c r="U105" s="38">
        <v>42004</v>
      </c>
      <c r="V105" s="27" t="s">
        <v>9308</v>
      </c>
      <c r="W105" s="37"/>
      <c r="X105" s="37"/>
      <c r="Y105" s="37" t="s">
        <v>242</v>
      </c>
      <c r="Z105" s="37"/>
      <c r="AA105" s="37"/>
      <c r="AB105" s="37"/>
      <c r="AC105" s="37"/>
      <c r="AD105" s="37"/>
      <c r="AE105" s="37"/>
      <c r="AF105" s="37"/>
    </row>
    <row r="106" spans="2:32" ht="105" customHeight="1" x14ac:dyDescent="0.25">
      <c r="B106" s="31" t="s">
        <v>629</v>
      </c>
      <c r="C106" s="32">
        <v>2014</v>
      </c>
      <c r="D106" s="33">
        <f t="shared" si="1"/>
        <v>2018</v>
      </c>
      <c r="E106" s="31" t="s">
        <v>126</v>
      </c>
      <c r="F106" s="31" t="s">
        <v>630</v>
      </c>
      <c r="G106" s="31" t="s">
        <v>631</v>
      </c>
      <c r="H106" s="31" t="s">
        <v>326</v>
      </c>
      <c r="I106" s="31" t="s">
        <v>484</v>
      </c>
      <c r="J106" s="31" t="s">
        <v>484</v>
      </c>
      <c r="K106" s="31" t="s">
        <v>216</v>
      </c>
      <c r="L106" s="31" t="s">
        <v>159</v>
      </c>
      <c r="M106" s="34">
        <v>0</v>
      </c>
      <c r="N106" s="34">
        <v>327978500</v>
      </c>
      <c r="O106" s="34">
        <v>327978500</v>
      </c>
      <c r="P106" s="31" t="s">
        <v>122</v>
      </c>
      <c r="Q106" s="34">
        <v>500043.45174569299</v>
      </c>
      <c r="R106" s="31" t="s">
        <v>159</v>
      </c>
      <c r="S106" s="35">
        <v>41958</v>
      </c>
      <c r="T106" s="35">
        <v>41814</v>
      </c>
      <c r="U106" s="35">
        <v>43465</v>
      </c>
      <c r="V106" s="27" t="s">
        <v>9308</v>
      </c>
      <c r="W106" s="34"/>
      <c r="X106" s="34"/>
      <c r="Y106" s="34" t="s">
        <v>242</v>
      </c>
      <c r="Z106" s="34"/>
      <c r="AA106" s="34"/>
      <c r="AB106" s="34"/>
      <c r="AC106" s="34"/>
      <c r="AD106" s="34"/>
      <c r="AE106" s="34"/>
      <c r="AF106" s="34"/>
    </row>
    <row r="107" spans="2:32" ht="60" customHeight="1" x14ac:dyDescent="0.25">
      <c r="B107" s="36" t="s">
        <v>632</v>
      </c>
      <c r="C107" s="33">
        <v>2014</v>
      </c>
      <c r="D107" s="33">
        <f t="shared" si="1"/>
        <v>2018</v>
      </c>
      <c r="E107" s="36" t="s">
        <v>284</v>
      </c>
      <c r="F107" s="36" t="s">
        <v>633</v>
      </c>
      <c r="G107" s="36" t="s">
        <v>634</v>
      </c>
      <c r="H107" s="36" t="s">
        <v>326</v>
      </c>
      <c r="I107" s="36" t="s">
        <v>267</v>
      </c>
      <c r="J107" s="36" t="s">
        <v>267</v>
      </c>
      <c r="K107" s="36" t="s">
        <v>282</v>
      </c>
      <c r="L107" s="36" t="s">
        <v>159</v>
      </c>
      <c r="M107" s="37">
        <v>0</v>
      </c>
      <c r="N107" s="37">
        <v>9840000000</v>
      </c>
      <c r="O107" s="37">
        <v>9840000000</v>
      </c>
      <c r="P107" s="36" t="s">
        <v>122</v>
      </c>
      <c r="Q107" s="37">
        <v>15002286.933983799</v>
      </c>
      <c r="R107" s="36" t="s">
        <v>159</v>
      </c>
      <c r="S107" s="38">
        <v>41969</v>
      </c>
      <c r="T107" s="38">
        <v>41743</v>
      </c>
      <c r="U107" s="38">
        <v>43465</v>
      </c>
      <c r="V107" s="27" t="s">
        <v>9308</v>
      </c>
      <c r="W107" s="37"/>
      <c r="X107" s="37"/>
      <c r="Y107" s="37" t="s">
        <v>242</v>
      </c>
      <c r="Z107" s="37"/>
      <c r="AA107" s="37"/>
      <c r="AB107" s="37"/>
      <c r="AC107" s="37"/>
      <c r="AD107" s="37"/>
      <c r="AE107" s="37"/>
      <c r="AF107" s="37"/>
    </row>
    <row r="108" spans="2:32" ht="60" customHeight="1" x14ac:dyDescent="0.25">
      <c r="B108" s="31" t="s">
        <v>635</v>
      </c>
      <c r="C108" s="32">
        <v>2014</v>
      </c>
      <c r="D108" s="33">
        <f t="shared" si="1"/>
        <v>2018</v>
      </c>
      <c r="E108" s="31" t="s">
        <v>126</v>
      </c>
      <c r="F108" s="31" t="s">
        <v>636</v>
      </c>
      <c r="G108" s="31" t="s">
        <v>637</v>
      </c>
      <c r="H108" s="31" t="s">
        <v>326</v>
      </c>
      <c r="I108" s="31" t="s">
        <v>267</v>
      </c>
      <c r="J108" s="31" t="s">
        <v>267</v>
      </c>
      <c r="K108" s="31" t="s">
        <v>205</v>
      </c>
      <c r="L108" s="31" t="s">
        <v>159</v>
      </c>
      <c r="M108" s="34">
        <v>0</v>
      </c>
      <c r="N108" s="34">
        <v>16989286300</v>
      </c>
      <c r="O108" s="34">
        <v>16989286300</v>
      </c>
      <c r="P108" s="31" t="s">
        <v>122</v>
      </c>
      <c r="Q108" s="34">
        <v>25902250.8004269</v>
      </c>
      <c r="R108" s="31" t="s">
        <v>159</v>
      </c>
      <c r="S108" s="35">
        <v>41969</v>
      </c>
      <c r="T108" s="35">
        <v>41787</v>
      </c>
      <c r="U108" s="35">
        <v>43465</v>
      </c>
      <c r="V108" s="27" t="s">
        <v>9358</v>
      </c>
      <c r="W108" s="34"/>
      <c r="X108" s="34"/>
      <c r="Y108" s="34" t="s">
        <v>242</v>
      </c>
      <c r="Z108" s="34"/>
      <c r="AA108" s="34"/>
      <c r="AB108" s="34"/>
      <c r="AC108" s="34"/>
      <c r="AD108" s="34"/>
      <c r="AE108" s="34"/>
      <c r="AF108" s="34"/>
    </row>
    <row r="109" spans="2:32" ht="60" customHeight="1" x14ac:dyDescent="0.25">
      <c r="B109" s="36" t="s">
        <v>639</v>
      </c>
      <c r="C109" s="33">
        <v>2014</v>
      </c>
      <c r="D109" s="33">
        <f t="shared" si="1"/>
        <v>2018</v>
      </c>
      <c r="E109" s="36" t="s">
        <v>126</v>
      </c>
      <c r="F109" s="36" t="s">
        <v>640</v>
      </c>
      <c r="G109" s="36" t="s">
        <v>641</v>
      </c>
      <c r="H109" s="36" t="s">
        <v>326</v>
      </c>
      <c r="I109" s="36" t="s">
        <v>267</v>
      </c>
      <c r="J109" s="36" t="s">
        <v>267</v>
      </c>
      <c r="K109" s="36" t="s">
        <v>118</v>
      </c>
      <c r="L109" s="36" t="s">
        <v>159</v>
      </c>
      <c r="M109" s="37">
        <v>0</v>
      </c>
      <c r="N109" s="37">
        <v>4919677500</v>
      </c>
      <c r="O109" s="37">
        <v>4919677500</v>
      </c>
      <c r="P109" s="36" t="s">
        <v>122</v>
      </c>
      <c r="Q109" s="37">
        <v>7500000</v>
      </c>
      <c r="R109" s="36" t="s">
        <v>159</v>
      </c>
      <c r="S109" s="38">
        <v>41976</v>
      </c>
      <c r="T109" s="38">
        <v>41800</v>
      </c>
      <c r="U109" s="38">
        <v>43465</v>
      </c>
      <c r="V109" s="27" t="s">
        <v>9359</v>
      </c>
      <c r="W109" s="37"/>
      <c r="X109" s="37"/>
      <c r="Y109" s="37" t="s">
        <v>242</v>
      </c>
      <c r="Z109" s="37"/>
      <c r="AA109" s="37"/>
      <c r="AB109" s="37"/>
      <c r="AC109" s="37"/>
      <c r="AD109" s="37"/>
      <c r="AE109" s="37"/>
      <c r="AF109" s="37"/>
    </row>
    <row r="110" spans="2:32" ht="60" customHeight="1" x14ac:dyDescent="0.25">
      <c r="B110" s="31" t="s">
        <v>642</v>
      </c>
      <c r="C110" s="32">
        <v>2014</v>
      </c>
      <c r="D110" s="33">
        <f t="shared" si="1"/>
        <v>2018</v>
      </c>
      <c r="E110" s="31" t="s">
        <v>126</v>
      </c>
      <c r="F110" s="31" t="s">
        <v>643</v>
      </c>
      <c r="G110" s="31" t="s">
        <v>644</v>
      </c>
      <c r="H110" s="31" t="s">
        <v>326</v>
      </c>
      <c r="I110" s="31" t="s">
        <v>123</v>
      </c>
      <c r="J110" s="31" t="s">
        <v>124</v>
      </c>
      <c r="K110" s="31" t="s">
        <v>205</v>
      </c>
      <c r="L110" s="31" t="s">
        <v>127</v>
      </c>
      <c r="M110" s="34">
        <v>800000000</v>
      </c>
      <c r="N110" s="34">
        <v>0</v>
      </c>
      <c r="O110" s="34">
        <v>800000000</v>
      </c>
      <c r="P110" s="31" t="s">
        <v>276</v>
      </c>
      <c r="Q110" s="34">
        <v>1021092</v>
      </c>
      <c r="R110" s="31" t="s">
        <v>128</v>
      </c>
      <c r="S110" s="35">
        <v>41978</v>
      </c>
      <c r="T110" s="35">
        <v>41831</v>
      </c>
      <c r="U110" s="35">
        <v>43404</v>
      </c>
      <c r="V110" s="27" t="s">
        <v>9360</v>
      </c>
      <c r="W110" s="34"/>
      <c r="X110" s="34"/>
      <c r="Y110" s="34" t="s">
        <v>125</v>
      </c>
      <c r="Z110" s="34"/>
      <c r="AA110" s="34"/>
      <c r="AB110" s="34"/>
      <c r="AC110" s="34"/>
      <c r="AD110" s="34"/>
      <c r="AE110" s="34"/>
      <c r="AF110" s="34"/>
    </row>
    <row r="111" spans="2:32" ht="120" customHeight="1" x14ac:dyDescent="0.25">
      <c r="B111" s="36" t="s">
        <v>647</v>
      </c>
      <c r="C111" s="42">
        <v>2014</v>
      </c>
      <c r="D111" s="42" t="e">
        <f t="shared" si="1"/>
        <v>#VALUE!</v>
      </c>
      <c r="E111" s="36" t="s">
        <v>170</v>
      </c>
      <c r="F111" s="36" t="s">
        <v>648</v>
      </c>
      <c r="G111" s="36" t="s">
        <v>649</v>
      </c>
      <c r="H111" s="36" t="s">
        <v>366</v>
      </c>
      <c r="I111" s="36" t="s">
        <v>471</v>
      </c>
      <c r="J111" s="36" t="s">
        <v>472</v>
      </c>
      <c r="K111" s="36" t="s">
        <v>163</v>
      </c>
      <c r="L111" s="36" t="s">
        <v>201</v>
      </c>
      <c r="M111" s="37">
        <v>20250000000</v>
      </c>
      <c r="N111" s="37">
        <v>4050000000</v>
      </c>
      <c r="O111" s="37">
        <v>24300000000</v>
      </c>
      <c r="P111" s="36" t="s">
        <v>357</v>
      </c>
      <c r="Q111" s="37">
        <v>300000000</v>
      </c>
      <c r="R111" s="36" t="s">
        <v>279</v>
      </c>
      <c r="S111" s="38">
        <v>41978</v>
      </c>
      <c r="T111" s="38">
        <v>41897</v>
      </c>
      <c r="U111" s="38" t="s">
        <v>650</v>
      </c>
      <c r="V111" s="27" t="s">
        <v>9307</v>
      </c>
      <c r="W111" s="37"/>
      <c r="X111" s="37"/>
      <c r="Y111" s="37" t="s">
        <v>242</v>
      </c>
      <c r="Z111" s="37"/>
      <c r="AA111" s="37"/>
      <c r="AB111" s="37"/>
      <c r="AC111" s="37"/>
      <c r="AD111" s="37"/>
      <c r="AE111" s="37"/>
      <c r="AF111" s="37"/>
    </row>
    <row r="112" spans="2:32" ht="60" customHeight="1" x14ac:dyDescent="0.25">
      <c r="B112" s="31" t="s">
        <v>651</v>
      </c>
      <c r="C112" s="32">
        <v>2014</v>
      </c>
      <c r="D112" s="33">
        <f t="shared" si="1"/>
        <v>2019</v>
      </c>
      <c r="E112" s="31" t="s">
        <v>126</v>
      </c>
      <c r="F112" s="31" t="s">
        <v>652</v>
      </c>
      <c r="G112" s="31" t="s">
        <v>653</v>
      </c>
      <c r="H112" s="31" t="s">
        <v>366</v>
      </c>
      <c r="I112" s="31" t="s">
        <v>168</v>
      </c>
      <c r="J112" s="31" t="s">
        <v>169</v>
      </c>
      <c r="K112" s="31" t="s">
        <v>118</v>
      </c>
      <c r="L112" s="31" t="s">
        <v>127</v>
      </c>
      <c r="M112" s="34">
        <v>78452457200</v>
      </c>
      <c r="N112" s="34">
        <v>0</v>
      </c>
      <c r="O112" s="34">
        <v>78452457200</v>
      </c>
      <c r="P112" s="31" t="s">
        <v>122</v>
      </c>
      <c r="Q112" s="34">
        <v>119600000</v>
      </c>
      <c r="R112" s="31" t="s">
        <v>656</v>
      </c>
      <c r="S112" s="35">
        <v>41984</v>
      </c>
      <c r="T112" s="35">
        <v>41983</v>
      </c>
      <c r="U112" s="35">
        <v>43830</v>
      </c>
      <c r="V112" s="27" t="s">
        <v>9361</v>
      </c>
      <c r="W112" s="34"/>
      <c r="X112" s="34"/>
      <c r="Y112" s="34" t="s">
        <v>125</v>
      </c>
      <c r="Z112" s="34"/>
      <c r="AA112" s="34"/>
      <c r="AB112" s="34"/>
      <c r="AC112" s="34"/>
      <c r="AD112" s="34"/>
      <c r="AE112" s="34"/>
      <c r="AF112" s="34"/>
    </row>
    <row r="113" spans="2:32" ht="60" customHeight="1" x14ac:dyDescent="0.25">
      <c r="B113" s="36" t="s">
        <v>657</v>
      </c>
      <c r="C113" s="33">
        <v>2014</v>
      </c>
      <c r="D113" s="33">
        <f t="shared" si="1"/>
        <v>2021</v>
      </c>
      <c r="E113" s="36" t="s">
        <v>126</v>
      </c>
      <c r="F113" s="36" t="s">
        <v>658</v>
      </c>
      <c r="G113" s="36" t="s">
        <v>659</v>
      </c>
      <c r="H113" s="36" t="s">
        <v>366</v>
      </c>
      <c r="I113" s="36" t="s">
        <v>168</v>
      </c>
      <c r="J113" s="36" t="s">
        <v>169</v>
      </c>
      <c r="K113" s="36" t="s">
        <v>142</v>
      </c>
      <c r="L113" s="36" t="s">
        <v>127</v>
      </c>
      <c r="M113" s="37">
        <v>22958495000</v>
      </c>
      <c r="N113" s="37">
        <v>0</v>
      </c>
      <c r="O113" s="37">
        <v>22958495000</v>
      </c>
      <c r="P113" s="36" t="s">
        <v>122</v>
      </c>
      <c r="Q113" s="37">
        <v>35000000</v>
      </c>
      <c r="R113" s="36" t="s">
        <v>552</v>
      </c>
      <c r="S113" s="38">
        <v>41984</v>
      </c>
      <c r="T113" s="38">
        <v>41983</v>
      </c>
      <c r="U113" s="38">
        <v>44561</v>
      </c>
      <c r="V113" s="27" t="s">
        <v>9362</v>
      </c>
      <c r="W113" s="37"/>
      <c r="X113" s="37"/>
      <c r="Y113" s="37" t="s">
        <v>125</v>
      </c>
      <c r="Z113" s="37"/>
      <c r="AA113" s="37"/>
      <c r="AB113" s="37"/>
      <c r="AC113" s="37"/>
      <c r="AD113" s="37"/>
      <c r="AE113" s="37"/>
      <c r="AF113" s="37"/>
    </row>
    <row r="114" spans="2:32" ht="60" customHeight="1" x14ac:dyDescent="0.25">
      <c r="B114" s="31" t="s">
        <v>662</v>
      </c>
      <c r="C114" s="32">
        <v>2014</v>
      </c>
      <c r="D114" s="33">
        <f t="shared" si="1"/>
        <v>2018</v>
      </c>
      <c r="E114" s="31" t="s">
        <v>126</v>
      </c>
      <c r="F114" s="31" t="s">
        <v>663</v>
      </c>
      <c r="G114" s="31" t="s">
        <v>664</v>
      </c>
      <c r="H114" s="31" t="s">
        <v>353</v>
      </c>
      <c r="I114" s="31" t="s">
        <v>137</v>
      </c>
      <c r="J114" s="31" t="s">
        <v>138</v>
      </c>
      <c r="K114" s="31" t="s">
        <v>205</v>
      </c>
      <c r="L114" s="31" t="s">
        <v>127</v>
      </c>
      <c r="M114" s="34">
        <v>15000000000</v>
      </c>
      <c r="N114" s="34">
        <v>0</v>
      </c>
      <c r="O114" s="34">
        <v>15000000000</v>
      </c>
      <c r="P114" s="31" t="s">
        <v>136</v>
      </c>
      <c r="Q114" s="34">
        <v>15000000000</v>
      </c>
      <c r="R114" s="31" t="s">
        <v>128</v>
      </c>
      <c r="S114" s="35">
        <v>41990</v>
      </c>
      <c r="T114" s="35">
        <v>41906</v>
      </c>
      <c r="U114" s="35">
        <v>43465</v>
      </c>
      <c r="V114" s="27" t="s">
        <v>9363</v>
      </c>
      <c r="W114" s="34"/>
      <c r="X114" s="34"/>
      <c r="Y114" s="34" t="s">
        <v>125</v>
      </c>
      <c r="Z114" s="34"/>
      <c r="AA114" s="34"/>
      <c r="AB114" s="34"/>
      <c r="AC114" s="34"/>
      <c r="AD114" s="34"/>
      <c r="AE114" s="34"/>
      <c r="AF114" s="34"/>
    </row>
    <row r="115" spans="2:32" ht="75" customHeight="1" x14ac:dyDescent="0.25">
      <c r="B115" s="36" t="s">
        <v>667</v>
      </c>
      <c r="C115" s="33">
        <v>2014</v>
      </c>
      <c r="D115" s="33">
        <f t="shared" si="1"/>
        <v>2018</v>
      </c>
      <c r="E115" s="36" t="s">
        <v>126</v>
      </c>
      <c r="F115" s="36" t="s">
        <v>668</v>
      </c>
      <c r="G115" s="36" t="s">
        <v>669</v>
      </c>
      <c r="H115" s="36" t="s">
        <v>326</v>
      </c>
      <c r="I115" s="36" t="s">
        <v>567</v>
      </c>
      <c r="J115" s="36" t="s">
        <v>568</v>
      </c>
      <c r="K115" s="36" t="s">
        <v>190</v>
      </c>
      <c r="L115" s="36" t="s">
        <v>159</v>
      </c>
      <c r="M115" s="37">
        <v>0</v>
      </c>
      <c r="N115" s="37">
        <v>300000000</v>
      </c>
      <c r="O115" s="37">
        <v>300000000</v>
      </c>
      <c r="P115" s="36" t="s">
        <v>136</v>
      </c>
      <c r="Q115" s="37">
        <v>300000000</v>
      </c>
      <c r="R115" s="36" t="s">
        <v>159</v>
      </c>
      <c r="S115" s="38">
        <v>41999</v>
      </c>
      <c r="T115" s="38">
        <v>41961</v>
      </c>
      <c r="U115" s="38">
        <v>43465</v>
      </c>
      <c r="V115" s="27" t="s">
        <v>9308</v>
      </c>
      <c r="W115" s="37"/>
      <c r="X115" s="37"/>
      <c r="Y115" s="37" t="s">
        <v>125</v>
      </c>
      <c r="Z115" s="37"/>
      <c r="AA115" s="37"/>
      <c r="AB115" s="37"/>
      <c r="AC115" s="37"/>
      <c r="AD115" s="37"/>
      <c r="AE115" s="37"/>
      <c r="AF115" s="37"/>
    </row>
    <row r="116" spans="2:32" ht="60" customHeight="1" x14ac:dyDescent="0.25">
      <c r="B116" s="31" t="s">
        <v>670</v>
      </c>
      <c r="C116" s="32">
        <v>2014</v>
      </c>
      <c r="D116" s="33">
        <f t="shared" si="1"/>
        <v>2018</v>
      </c>
      <c r="E116" s="31" t="s">
        <v>126</v>
      </c>
      <c r="F116" s="31" t="s">
        <v>671</v>
      </c>
      <c r="G116" s="31" t="s">
        <v>672</v>
      </c>
      <c r="H116" s="31" t="s">
        <v>326</v>
      </c>
      <c r="I116" s="31" t="s">
        <v>567</v>
      </c>
      <c r="J116" s="31" t="s">
        <v>568</v>
      </c>
      <c r="K116" s="31" t="s">
        <v>190</v>
      </c>
      <c r="L116" s="31" t="s">
        <v>159</v>
      </c>
      <c r="M116" s="34">
        <v>0</v>
      </c>
      <c r="N116" s="34">
        <v>225000000</v>
      </c>
      <c r="O116" s="34">
        <v>225000000</v>
      </c>
      <c r="P116" s="31" t="s">
        <v>136</v>
      </c>
      <c r="Q116" s="34">
        <v>225000000</v>
      </c>
      <c r="R116" s="31" t="s">
        <v>159</v>
      </c>
      <c r="S116" s="35">
        <v>41999</v>
      </c>
      <c r="T116" s="35">
        <v>41961</v>
      </c>
      <c r="U116" s="35">
        <v>43465</v>
      </c>
      <c r="V116" s="27" t="s">
        <v>9308</v>
      </c>
      <c r="W116" s="34"/>
      <c r="X116" s="34"/>
      <c r="Y116" s="34" t="s">
        <v>125</v>
      </c>
      <c r="Z116" s="34"/>
      <c r="AA116" s="34"/>
      <c r="AB116" s="34"/>
      <c r="AC116" s="34"/>
      <c r="AD116" s="34"/>
      <c r="AE116" s="34"/>
      <c r="AF116" s="34"/>
    </row>
    <row r="117" spans="2:32" ht="60" customHeight="1" x14ac:dyDescent="0.25">
      <c r="B117" s="36" t="s">
        <v>673</v>
      </c>
      <c r="C117" s="33">
        <v>2015</v>
      </c>
      <c r="D117" s="33">
        <f t="shared" si="1"/>
        <v>2019</v>
      </c>
      <c r="E117" s="36" t="s">
        <v>126</v>
      </c>
      <c r="F117" s="36" t="s">
        <v>486</v>
      </c>
      <c r="G117" s="36" t="s">
        <v>674</v>
      </c>
      <c r="H117" s="36" t="s">
        <v>366</v>
      </c>
      <c r="I117" s="36" t="s">
        <v>675</v>
      </c>
      <c r="J117" s="36" t="s">
        <v>676</v>
      </c>
      <c r="K117" s="36" t="s">
        <v>142</v>
      </c>
      <c r="L117" s="36" t="s">
        <v>127</v>
      </c>
      <c r="M117" s="37">
        <v>7800000000</v>
      </c>
      <c r="N117" s="37">
        <v>0</v>
      </c>
      <c r="O117" s="37">
        <v>7800000000</v>
      </c>
      <c r="P117" s="36" t="s">
        <v>136</v>
      </c>
      <c r="Q117" s="37">
        <v>7800000000</v>
      </c>
      <c r="R117" s="36" t="s">
        <v>443</v>
      </c>
      <c r="S117" s="38">
        <v>42152</v>
      </c>
      <c r="T117" s="38">
        <v>42121</v>
      </c>
      <c r="U117" s="38">
        <v>43830</v>
      </c>
      <c r="V117" s="27" t="s">
        <v>9346</v>
      </c>
      <c r="W117" s="37"/>
      <c r="X117" s="37"/>
      <c r="Y117" s="37" t="s">
        <v>442</v>
      </c>
      <c r="Z117" s="37"/>
      <c r="AA117" s="37"/>
      <c r="AB117" s="37"/>
      <c r="AC117" s="37"/>
      <c r="AD117" s="37"/>
      <c r="AE117" s="37"/>
      <c r="AF117" s="37"/>
    </row>
    <row r="118" spans="2:32" ht="60" customHeight="1" x14ac:dyDescent="0.25">
      <c r="B118" s="31" t="s">
        <v>677</v>
      </c>
      <c r="C118" s="32">
        <v>2015</v>
      </c>
      <c r="D118" s="33">
        <f t="shared" si="1"/>
        <v>2019</v>
      </c>
      <c r="E118" s="31" t="s">
        <v>126</v>
      </c>
      <c r="F118" s="31" t="s">
        <v>486</v>
      </c>
      <c r="G118" s="31" t="s">
        <v>678</v>
      </c>
      <c r="H118" s="31" t="s">
        <v>366</v>
      </c>
      <c r="I118" s="31" t="s">
        <v>581</v>
      </c>
      <c r="J118" s="31" t="s">
        <v>582</v>
      </c>
      <c r="K118" s="31" t="s">
        <v>142</v>
      </c>
      <c r="L118" s="31" t="s">
        <v>127</v>
      </c>
      <c r="M118" s="34">
        <v>17000000000</v>
      </c>
      <c r="N118" s="34">
        <v>0</v>
      </c>
      <c r="O118" s="34">
        <v>17000000000</v>
      </c>
      <c r="P118" s="31" t="s">
        <v>136</v>
      </c>
      <c r="Q118" s="34">
        <v>17000000000</v>
      </c>
      <c r="R118" s="31" t="s">
        <v>443</v>
      </c>
      <c r="S118" s="35">
        <v>42152</v>
      </c>
      <c r="T118" s="35">
        <v>42142</v>
      </c>
      <c r="U118" s="35">
        <v>43830</v>
      </c>
      <c r="V118" s="27" t="s">
        <v>9346</v>
      </c>
      <c r="W118" s="34"/>
      <c r="X118" s="34"/>
      <c r="Y118" s="34" t="s">
        <v>442</v>
      </c>
      <c r="Z118" s="34"/>
      <c r="AA118" s="34"/>
      <c r="AB118" s="34"/>
      <c r="AC118" s="34"/>
      <c r="AD118" s="34"/>
      <c r="AE118" s="34"/>
      <c r="AF118" s="34"/>
    </row>
    <row r="119" spans="2:32" ht="60" customHeight="1" x14ac:dyDescent="0.25">
      <c r="B119" s="36" t="s">
        <v>679</v>
      </c>
      <c r="C119" s="33">
        <v>2015</v>
      </c>
      <c r="D119" s="33">
        <f t="shared" si="1"/>
        <v>2019</v>
      </c>
      <c r="E119" s="36" t="s">
        <v>126</v>
      </c>
      <c r="F119" s="36" t="s">
        <v>486</v>
      </c>
      <c r="G119" s="36" t="s">
        <v>680</v>
      </c>
      <c r="H119" s="36" t="s">
        <v>366</v>
      </c>
      <c r="I119" s="36" t="s">
        <v>441</v>
      </c>
      <c r="J119" s="36" t="s">
        <v>441</v>
      </c>
      <c r="K119" s="36" t="s">
        <v>142</v>
      </c>
      <c r="L119" s="36" t="s">
        <v>127</v>
      </c>
      <c r="M119" s="37">
        <v>3000000000</v>
      </c>
      <c r="N119" s="37">
        <v>0</v>
      </c>
      <c r="O119" s="37">
        <v>3000000000</v>
      </c>
      <c r="P119" s="36" t="s">
        <v>136</v>
      </c>
      <c r="Q119" s="37">
        <v>3000000000</v>
      </c>
      <c r="R119" s="36" t="s">
        <v>443</v>
      </c>
      <c r="S119" s="38">
        <v>42152</v>
      </c>
      <c r="T119" s="38">
        <v>42048</v>
      </c>
      <c r="U119" s="38">
        <v>43830</v>
      </c>
      <c r="V119" s="27" t="s">
        <v>9346</v>
      </c>
      <c r="W119" s="37"/>
      <c r="X119" s="37"/>
      <c r="Y119" s="37" t="s">
        <v>442</v>
      </c>
      <c r="Z119" s="37"/>
      <c r="AA119" s="37"/>
      <c r="AB119" s="37"/>
      <c r="AC119" s="37"/>
      <c r="AD119" s="37"/>
      <c r="AE119" s="37"/>
      <c r="AF119" s="37"/>
    </row>
    <row r="120" spans="2:32" ht="60" customHeight="1" x14ac:dyDescent="0.25">
      <c r="B120" s="31" t="s">
        <v>681</v>
      </c>
      <c r="C120" s="32">
        <v>2015</v>
      </c>
      <c r="D120" s="33">
        <f t="shared" si="1"/>
        <v>2019</v>
      </c>
      <c r="E120" s="31" t="s">
        <v>126</v>
      </c>
      <c r="F120" s="31" t="s">
        <v>603</v>
      </c>
      <c r="G120" s="31" t="s">
        <v>682</v>
      </c>
      <c r="H120" s="31" t="s">
        <v>366</v>
      </c>
      <c r="I120" s="31" t="s">
        <v>297</v>
      </c>
      <c r="J120" s="43" t="s">
        <v>298</v>
      </c>
      <c r="K120" s="31" t="s">
        <v>205</v>
      </c>
      <c r="L120" s="31" t="s">
        <v>127</v>
      </c>
      <c r="M120" s="34">
        <v>3000000000</v>
      </c>
      <c r="N120" s="34">
        <v>0</v>
      </c>
      <c r="O120" s="34">
        <v>3000000000</v>
      </c>
      <c r="P120" s="31" t="s">
        <v>122</v>
      </c>
      <c r="Q120" s="34">
        <v>6000000</v>
      </c>
      <c r="R120" s="31" t="s">
        <v>150</v>
      </c>
      <c r="S120" s="35">
        <v>42165</v>
      </c>
      <c r="T120" s="35">
        <v>42108</v>
      </c>
      <c r="U120" s="35">
        <v>43830</v>
      </c>
      <c r="V120" s="27" t="s">
        <v>9356</v>
      </c>
      <c r="W120" s="34"/>
      <c r="X120" s="34"/>
      <c r="Y120" s="44" t="s">
        <v>242</v>
      </c>
      <c r="Z120" s="34"/>
      <c r="AA120" s="34"/>
      <c r="AB120" s="34"/>
      <c r="AC120" s="34"/>
      <c r="AD120" s="34"/>
      <c r="AE120" s="34"/>
      <c r="AF120" s="34"/>
    </row>
    <row r="121" spans="2:32" ht="120" customHeight="1" x14ac:dyDescent="0.25">
      <c r="B121" s="36" t="s">
        <v>683</v>
      </c>
      <c r="C121" s="33">
        <v>2015</v>
      </c>
      <c r="D121" s="33">
        <f t="shared" si="1"/>
        <v>2021</v>
      </c>
      <c r="E121" s="36" t="s">
        <v>126</v>
      </c>
      <c r="F121" s="36" t="s">
        <v>684</v>
      </c>
      <c r="G121" s="36" t="s">
        <v>685</v>
      </c>
      <c r="H121" s="36" t="s">
        <v>326</v>
      </c>
      <c r="I121" s="36" t="s">
        <v>337</v>
      </c>
      <c r="J121" s="36" t="s">
        <v>338</v>
      </c>
      <c r="K121" s="36" t="s">
        <v>118</v>
      </c>
      <c r="L121" s="36" t="s">
        <v>201</v>
      </c>
      <c r="M121" s="37">
        <v>13119140000</v>
      </c>
      <c r="N121" s="37">
        <v>13119140000</v>
      </c>
      <c r="O121" s="37">
        <v>26238280000</v>
      </c>
      <c r="P121" s="36" t="s">
        <v>122</v>
      </c>
      <c r="Q121" s="37">
        <v>40000000</v>
      </c>
      <c r="R121" s="36" t="s">
        <v>279</v>
      </c>
      <c r="S121" s="38">
        <v>42110</v>
      </c>
      <c r="T121" s="38">
        <v>42027</v>
      </c>
      <c r="U121" s="38">
        <v>44561</v>
      </c>
      <c r="V121" s="27" t="s">
        <v>9364</v>
      </c>
      <c r="W121" s="37"/>
      <c r="X121" s="37"/>
      <c r="Y121" s="37" t="s">
        <v>242</v>
      </c>
      <c r="Z121" s="37"/>
      <c r="AA121" s="37"/>
      <c r="AB121" s="37"/>
      <c r="AC121" s="37"/>
      <c r="AD121" s="37"/>
      <c r="AE121" s="37"/>
      <c r="AF121" s="37"/>
    </row>
    <row r="122" spans="2:32" ht="60" customHeight="1" x14ac:dyDescent="0.25">
      <c r="B122" s="31" t="s">
        <v>687</v>
      </c>
      <c r="C122" s="32">
        <v>2015</v>
      </c>
      <c r="D122" s="33">
        <f t="shared" si="1"/>
        <v>2021</v>
      </c>
      <c r="E122" s="31" t="s">
        <v>126</v>
      </c>
      <c r="F122" s="31" t="s">
        <v>684</v>
      </c>
      <c r="G122" s="31" t="s">
        <v>688</v>
      </c>
      <c r="H122" s="31" t="s">
        <v>326</v>
      </c>
      <c r="I122" s="31" t="s">
        <v>689</v>
      </c>
      <c r="J122" s="31" t="s">
        <v>690</v>
      </c>
      <c r="K122" s="31" t="s">
        <v>118</v>
      </c>
      <c r="L122" s="31" t="s">
        <v>127</v>
      </c>
      <c r="M122" s="34">
        <v>11807226000</v>
      </c>
      <c r="N122" s="34">
        <v>0</v>
      </c>
      <c r="O122" s="34">
        <v>11807226000</v>
      </c>
      <c r="P122" s="31" t="s">
        <v>122</v>
      </c>
      <c r="Q122" s="34">
        <v>18000000</v>
      </c>
      <c r="R122" s="31" t="s">
        <v>127</v>
      </c>
      <c r="S122" s="35">
        <v>42157</v>
      </c>
      <c r="T122" s="35">
        <v>42038</v>
      </c>
      <c r="U122" s="35">
        <v>44561</v>
      </c>
      <c r="V122" s="27" t="s">
        <v>9364</v>
      </c>
      <c r="W122" s="34"/>
      <c r="X122" s="34"/>
      <c r="Y122" s="34" t="s">
        <v>125</v>
      </c>
      <c r="Z122" s="34"/>
      <c r="AA122" s="34"/>
      <c r="AB122" s="34"/>
      <c r="AC122" s="34"/>
      <c r="AD122" s="34"/>
      <c r="AE122" s="34"/>
      <c r="AF122" s="34"/>
    </row>
    <row r="123" spans="2:32" ht="120" customHeight="1" x14ac:dyDescent="0.25">
      <c r="B123" s="36" t="s">
        <v>691</v>
      </c>
      <c r="C123" s="33">
        <v>2015</v>
      </c>
      <c r="D123" s="33">
        <f t="shared" si="1"/>
        <v>2022</v>
      </c>
      <c r="E123" s="36" t="s">
        <v>126</v>
      </c>
      <c r="F123" s="36" t="s">
        <v>692</v>
      </c>
      <c r="G123" s="36" t="s">
        <v>693</v>
      </c>
      <c r="H123" s="36" t="s">
        <v>326</v>
      </c>
      <c r="I123" s="36" t="s">
        <v>337</v>
      </c>
      <c r="J123" s="36" t="s">
        <v>338</v>
      </c>
      <c r="K123" s="36" t="s">
        <v>190</v>
      </c>
      <c r="L123" s="36" t="s">
        <v>201</v>
      </c>
      <c r="M123" s="37">
        <v>7237527000</v>
      </c>
      <c r="N123" s="37">
        <v>655957000</v>
      </c>
      <c r="O123" s="37">
        <v>7893484000</v>
      </c>
      <c r="P123" s="36" t="s">
        <v>122</v>
      </c>
      <c r="Q123" s="37">
        <v>12000000</v>
      </c>
      <c r="R123" s="36" t="s">
        <v>279</v>
      </c>
      <c r="S123" s="38">
        <v>42165</v>
      </c>
      <c r="T123" s="38">
        <v>42051</v>
      </c>
      <c r="U123" s="38">
        <v>44742</v>
      </c>
      <c r="V123" s="27" t="s">
        <v>9365</v>
      </c>
      <c r="W123" s="37"/>
      <c r="X123" s="37"/>
      <c r="Y123" s="37" t="s">
        <v>242</v>
      </c>
      <c r="Z123" s="37"/>
      <c r="AA123" s="37"/>
      <c r="AB123" s="37"/>
      <c r="AC123" s="37"/>
      <c r="AD123" s="37"/>
      <c r="AE123" s="37"/>
      <c r="AF123" s="37"/>
    </row>
    <row r="124" spans="2:32" ht="75" customHeight="1" x14ac:dyDescent="0.25">
      <c r="B124" s="31" t="s">
        <v>695</v>
      </c>
      <c r="C124" s="32">
        <v>2015</v>
      </c>
      <c r="D124" s="33">
        <f t="shared" si="1"/>
        <v>2020</v>
      </c>
      <c r="E124" s="31" t="s">
        <v>126</v>
      </c>
      <c r="F124" s="31" t="s">
        <v>696</v>
      </c>
      <c r="G124" s="31" t="s">
        <v>697</v>
      </c>
      <c r="H124" s="31" t="s">
        <v>366</v>
      </c>
      <c r="I124" s="31" t="s">
        <v>305</v>
      </c>
      <c r="J124" s="31" t="s">
        <v>306</v>
      </c>
      <c r="K124" s="31" t="s">
        <v>315</v>
      </c>
      <c r="L124" s="31" t="s">
        <v>127</v>
      </c>
      <c r="M124" s="34">
        <v>2500000000</v>
      </c>
      <c r="N124" s="34">
        <v>0</v>
      </c>
      <c r="O124" s="34">
        <v>2500000000</v>
      </c>
      <c r="P124" s="31" t="s">
        <v>122</v>
      </c>
      <c r="Q124" s="34">
        <v>5000000</v>
      </c>
      <c r="R124" s="31" t="s">
        <v>150</v>
      </c>
      <c r="S124" s="35">
        <v>42093</v>
      </c>
      <c r="T124" s="35">
        <v>42076</v>
      </c>
      <c r="U124" s="35">
        <v>44196</v>
      </c>
      <c r="V124" s="27" t="s">
        <v>9366</v>
      </c>
      <c r="W124" s="34"/>
      <c r="X124" s="34"/>
      <c r="Y124" s="34" t="s">
        <v>125</v>
      </c>
      <c r="Z124" s="34"/>
      <c r="AA124" s="34"/>
      <c r="AB124" s="34"/>
      <c r="AC124" s="34"/>
      <c r="AD124" s="34"/>
      <c r="AE124" s="34"/>
      <c r="AF124" s="34"/>
    </row>
    <row r="125" spans="2:32" ht="60" customHeight="1" x14ac:dyDescent="0.25">
      <c r="B125" s="36" t="s">
        <v>699</v>
      </c>
      <c r="C125" s="33">
        <v>2015</v>
      </c>
      <c r="D125" s="33">
        <f t="shared" si="1"/>
        <v>2020</v>
      </c>
      <c r="E125" s="36" t="s">
        <v>126</v>
      </c>
      <c r="F125" s="36" t="s">
        <v>700</v>
      </c>
      <c r="G125" s="36" t="s">
        <v>701</v>
      </c>
      <c r="H125" s="36" t="s">
        <v>366</v>
      </c>
      <c r="I125" s="36" t="s">
        <v>471</v>
      </c>
      <c r="J125" s="36" t="s">
        <v>472</v>
      </c>
      <c r="K125" s="36" t="s">
        <v>369</v>
      </c>
      <c r="L125" s="36" t="s">
        <v>127</v>
      </c>
      <c r="M125" s="37">
        <v>40176000000</v>
      </c>
      <c r="N125" s="37">
        <v>0</v>
      </c>
      <c r="O125" s="37">
        <v>40176000000</v>
      </c>
      <c r="P125" s="36" t="s">
        <v>357</v>
      </c>
      <c r="Q125" s="37">
        <v>496000000</v>
      </c>
      <c r="R125" s="36" t="s">
        <v>150</v>
      </c>
      <c r="S125" s="38">
        <v>42101</v>
      </c>
      <c r="T125" s="38">
        <v>42032</v>
      </c>
      <c r="U125" s="38">
        <v>44104</v>
      </c>
      <c r="V125" s="27" t="s">
        <v>9308</v>
      </c>
      <c r="W125" s="37"/>
      <c r="X125" s="37"/>
      <c r="Y125" s="37" t="s">
        <v>242</v>
      </c>
      <c r="Z125" s="37"/>
      <c r="AA125" s="37"/>
      <c r="AB125" s="37"/>
      <c r="AC125" s="37"/>
      <c r="AD125" s="37"/>
      <c r="AE125" s="37"/>
      <c r="AF125" s="37"/>
    </row>
    <row r="126" spans="2:32" ht="60" customHeight="1" x14ac:dyDescent="0.25">
      <c r="B126" s="31" t="s">
        <v>702</v>
      </c>
      <c r="C126" s="32">
        <v>2015</v>
      </c>
      <c r="D126" s="33">
        <f t="shared" si="1"/>
        <v>2020</v>
      </c>
      <c r="E126" s="31" t="s">
        <v>126</v>
      </c>
      <c r="F126" s="31" t="s">
        <v>703</v>
      </c>
      <c r="G126" s="31" t="s">
        <v>704</v>
      </c>
      <c r="H126" s="31" t="s">
        <v>353</v>
      </c>
      <c r="I126" s="31" t="s">
        <v>137</v>
      </c>
      <c r="J126" s="31" t="s">
        <v>138</v>
      </c>
      <c r="K126" s="31" t="s">
        <v>118</v>
      </c>
      <c r="L126" s="31" t="s">
        <v>127</v>
      </c>
      <c r="M126" s="34">
        <v>10000000000</v>
      </c>
      <c r="N126" s="34">
        <v>0</v>
      </c>
      <c r="O126" s="34">
        <v>10000000000</v>
      </c>
      <c r="P126" s="31" t="s">
        <v>136</v>
      </c>
      <c r="Q126" s="34">
        <v>10000000000</v>
      </c>
      <c r="R126" s="31" t="s">
        <v>128</v>
      </c>
      <c r="S126" s="35">
        <v>42101</v>
      </c>
      <c r="T126" s="35">
        <v>42088</v>
      </c>
      <c r="U126" s="35">
        <v>44012</v>
      </c>
      <c r="V126" s="27" t="s">
        <v>9361</v>
      </c>
      <c r="W126" s="34"/>
      <c r="X126" s="34"/>
      <c r="Y126" s="34" t="s">
        <v>125</v>
      </c>
      <c r="Z126" s="34"/>
      <c r="AA126" s="34"/>
      <c r="AB126" s="34"/>
      <c r="AC126" s="34"/>
      <c r="AD126" s="34"/>
      <c r="AE126" s="34"/>
      <c r="AF126" s="34"/>
    </row>
    <row r="127" spans="2:32" ht="120" customHeight="1" x14ac:dyDescent="0.25">
      <c r="B127" s="36" t="s">
        <v>705</v>
      </c>
      <c r="C127" s="33">
        <v>2015</v>
      </c>
      <c r="D127" s="33">
        <f t="shared" si="1"/>
        <v>2020</v>
      </c>
      <c r="E127" s="36" t="s">
        <v>126</v>
      </c>
      <c r="F127" s="36" t="s">
        <v>706</v>
      </c>
      <c r="G127" s="36" t="s">
        <v>707</v>
      </c>
      <c r="H127" s="36" t="s">
        <v>589</v>
      </c>
      <c r="I127" s="36" t="s">
        <v>137</v>
      </c>
      <c r="J127" s="36" t="s">
        <v>138</v>
      </c>
      <c r="K127" s="36" t="s">
        <v>263</v>
      </c>
      <c r="L127" s="36" t="s">
        <v>127</v>
      </c>
      <c r="M127" s="37">
        <v>8000000000</v>
      </c>
      <c r="N127" s="37">
        <v>0</v>
      </c>
      <c r="O127" s="37">
        <v>8000000000</v>
      </c>
      <c r="P127" s="36" t="s">
        <v>136</v>
      </c>
      <c r="Q127" s="37">
        <v>8000000000</v>
      </c>
      <c r="R127" s="36" t="s">
        <v>128</v>
      </c>
      <c r="S127" s="38">
        <v>42179</v>
      </c>
      <c r="T127" s="38">
        <v>42101</v>
      </c>
      <c r="U127" s="38">
        <v>44196</v>
      </c>
      <c r="V127" s="27" t="s">
        <v>9335</v>
      </c>
      <c r="W127" s="37"/>
      <c r="X127" s="37"/>
      <c r="Y127" s="37" t="s">
        <v>125</v>
      </c>
      <c r="Z127" s="37"/>
      <c r="AA127" s="37"/>
      <c r="AB127" s="37"/>
      <c r="AC127" s="37"/>
      <c r="AD127" s="37"/>
      <c r="AE127" s="37"/>
      <c r="AF127" s="37"/>
    </row>
    <row r="128" spans="2:32" ht="60" customHeight="1" x14ac:dyDescent="0.25">
      <c r="B128" s="31" t="s">
        <v>708</v>
      </c>
      <c r="C128" s="32">
        <v>2015</v>
      </c>
      <c r="D128" s="33">
        <f t="shared" si="1"/>
        <v>2018</v>
      </c>
      <c r="E128" s="31" t="s">
        <v>126</v>
      </c>
      <c r="F128" s="31" t="s">
        <v>709</v>
      </c>
      <c r="G128" s="31" t="s">
        <v>710</v>
      </c>
      <c r="H128" s="31" t="s">
        <v>366</v>
      </c>
      <c r="I128" s="31" t="s">
        <v>711</v>
      </c>
      <c r="J128" s="31" t="s">
        <v>712</v>
      </c>
      <c r="K128" s="31" t="s">
        <v>118</v>
      </c>
      <c r="L128" s="31" t="s">
        <v>127</v>
      </c>
      <c r="M128" s="34">
        <v>5000000000</v>
      </c>
      <c r="N128" s="34">
        <v>0</v>
      </c>
      <c r="O128" s="34">
        <v>5000000000</v>
      </c>
      <c r="P128" s="31" t="s">
        <v>136</v>
      </c>
      <c r="Q128" s="34">
        <v>5000000000</v>
      </c>
      <c r="R128" s="31" t="s">
        <v>443</v>
      </c>
      <c r="S128" s="35">
        <v>42139</v>
      </c>
      <c r="T128" s="35">
        <v>42128</v>
      </c>
      <c r="U128" s="35">
        <v>43465</v>
      </c>
      <c r="V128" s="27" t="s">
        <v>9308</v>
      </c>
      <c r="W128" s="34"/>
      <c r="X128" s="34"/>
      <c r="Y128" s="34" t="s">
        <v>442</v>
      </c>
      <c r="Z128" s="34"/>
      <c r="AA128" s="34"/>
      <c r="AB128" s="34"/>
      <c r="AC128" s="34"/>
      <c r="AD128" s="34"/>
      <c r="AE128" s="34"/>
      <c r="AF128" s="34"/>
    </row>
    <row r="129" spans="2:32" ht="60" customHeight="1" x14ac:dyDescent="0.25">
      <c r="B129" s="36" t="s">
        <v>713</v>
      </c>
      <c r="C129" s="33">
        <v>2015</v>
      </c>
      <c r="D129" s="33">
        <f t="shared" si="1"/>
        <v>2017</v>
      </c>
      <c r="E129" s="36" t="s">
        <v>126</v>
      </c>
      <c r="F129" s="36" t="s">
        <v>714</v>
      </c>
      <c r="G129" s="36" t="s">
        <v>715</v>
      </c>
      <c r="H129" s="36" t="s">
        <v>172</v>
      </c>
      <c r="I129" s="36" t="s">
        <v>716</v>
      </c>
      <c r="J129" s="36" t="s">
        <v>717</v>
      </c>
      <c r="K129" s="36" t="s">
        <v>163</v>
      </c>
      <c r="L129" s="36" t="s">
        <v>127</v>
      </c>
      <c r="M129" s="37">
        <v>75000000000</v>
      </c>
      <c r="N129" s="37">
        <v>0</v>
      </c>
      <c r="O129" s="37">
        <v>75000000000</v>
      </c>
      <c r="P129" s="36" t="s">
        <v>122</v>
      </c>
      <c r="Q129" s="37">
        <v>150000000</v>
      </c>
      <c r="R129" s="36" t="s">
        <v>718</v>
      </c>
      <c r="S129" s="38">
        <v>42164</v>
      </c>
      <c r="T129" s="38">
        <v>42045</v>
      </c>
      <c r="U129" s="38">
        <v>43100</v>
      </c>
      <c r="V129" s="27" t="s">
        <v>9308</v>
      </c>
      <c r="W129" s="37"/>
      <c r="X129" s="37"/>
      <c r="Y129" s="37" t="s">
        <v>125</v>
      </c>
      <c r="Z129" s="37"/>
      <c r="AA129" s="37"/>
      <c r="AB129" s="37"/>
      <c r="AC129" s="37"/>
      <c r="AD129" s="37"/>
      <c r="AE129" s="37"/>
      <c r="AF129" s="37"/>
    </row>
    <row r="130" spans="2:32" ht="60" customHeight="1" x14ac:dyDescent="0.25">
      <c r="B130" s="31" t="s">
        <v>719</v>
      </c>
      <c r="C130" s="32">
        <v>2015</v>
      </c>
      <c r="D130" s="33">
        <f t="shared" si="1"/>
        <v>2016</v>
      </c>
      <c r="E130" s="31" t="s">
        <v>126</v>
      </c>
      <c r="F130" s="31" t="s">
        <v>720</v>
      </c>
      <c r="G130" s="31" t="s">
        <v>721</v>
      </c>
      <c r="H130" s="31" t="s">
        <v>172</v>
      </c>
      <c r="I130" s="31" t="s">
        <v>716</v>
      </c>
      <c r="J130" s="31" t="s">
        <v>717</v>
      </c>
      <c r="K130" s="31" t="s">
        <v>190</v>
      </c>
      <c r="L130" s="31" t="s">
        <v>127</v>
      </c>
      <c r="M130" s="34">
        <v>15000000000</v>
      </c>
      <c r="N130" s="34">
        <v>0</v>
      </c>
      <c r="O130" s="34">
        <v>15000000000</v>
      </c>
      <c r="P130" s="31" t="s">
        <v>122</v>
      </c>
      <c r="Q130" s="34">
        <v>30000000</v>
      </c>
      <c r="R130" s="31" t="s">
        <v>718</v>
      </c>
      <c r="S130" s="35">
        <v>42164</v>
      </c>
      <c r="T130" s="35">
        <v>42135</v>
      </c>
      <c r="U130" s="35">
        <v>42643</v>
      </c>
      <c r="V130" s="27" t="s">
        <v>9308</v>
      </c>
      <c r="W130" s="34"/>
      <c r="X130" s="34"/>
      <c r="Y130" s="34" t="s">
        <v>125</v>
      </c>
      <c r="Z130" s="34"/>
      <c r="AA130" s="34"/>
      <c r="AB130" s="34"/>
      <c r="AC130" s="34"/>
      <c r="AD130" s="34"/>
      <c r="AE130" s="34"/>
      <c r="AF130" s="34"/>
    </row>
    <row r="131" spans="2:32" ht="105" customHeight="1" x14ac:dyDescent="0.25">
      <c r="B131" s="36" t="s">
        <v>722</v>
      </c>
      <c r="C131" s="33">
        <v>2015</v>
      </c>
      <c r="D131" s="33">
        <f t="shared" si="1"/>
        <v>2022</v>
      </c>
      <c r="E131" s="36" t="s">
        <v>126</v>
      </c>
      <c r="F131" s="36" t="s">
        <v>723</v>
      </c>
      <c r="G131" s="36" t="s">
        <v>724</v>
      </c>
      <c r="H131" s="36" t="s">
        <v>366</v>
      </c>
      <c r="I131" s="36" t="s">
        <v>168</v>
      </c>
      <c r="J131" s="36" t="s">
        <v>169</v>
      </c>
      <c r="K131" s="36" t="s">
        <v>190</v>
      </c>
      <c r="L131" s="36" t="s">
        <v>127</v>
      </c>
      <c r="M131" s="37">
        <v>10000000000</v>
      </c>
      <c r="N131" s="37">
        <v>0</v>
      </c>
      <c r="O131" s="37">
        <v>10000000000</v>
      </c>
      <c r="P131" s="36" t="s">
        <v>551</v>
      </c>
      <c r="Q131" s="37">
        <v>16670000</v>
      </c>
      <c r="R131" s="36" t="s">
        <v>552</v>
      </c>
      <c r="S131" s="38">
        <v>42167</v>
      </c>
      <c r="T131" s="38">
        <v>42164</v>
      </c>
      <c r="U131" s="38">
        <v>44926</v>
      </c>
      <c r="V131" s="27" t="s">
        <v>9367</v>
      </c>
      <c r="W131" s="37"/>
      <c r="X131" s="37"/>
      <c r="Y131" s="37" t="s">
        <v>125</v>
      </c>
      <c r="Z131" s="37"/>
      <c r="AA131" s="37"/>
      <c r="AB131" s="37"/>
      <c r="AC131" s="37"/>
      <c r="AD131" s="37"/>
      <c r="AE131" s="37"/>
      <c r="AF131" s="37"/>
    </row>
    <row r="132" spans="2:32" ht="60" customHeight="1" x14ac:dyDescent="0.25">
      <c r="B132" s="31" t="s">
        <v>727</v>
      </c>
      <c r="C132" s="32">
        <v>2015</v>
      </c>
      <c r="D132" s="33">
        <f t="shared" si="1"/>
        <v>2016</v>
      </c>
      <c r="E132" s="31" t="s">
        <v>126</v>
      </c>
      <c r="F132" s="31" t="s">
        <v>728</v>
      </c>
      <c r="G132" s="31" t="s">
        <v>729</v>
      </c>
      <c r="H132" s="31" t="s">
        <v>326</v>
      </c>
      <c r="I132" s="31" t="s">
        <v>178</v>
      </c>
      <c r="J132" s="31" t="s">
        <v>179</v>
      </c>
      <c r="K132" s="31" t="s">
        <v>205</v>
      </c>
      <c r="L132" s="31" t="s">
        <v>127</v>
      </c>
      <c r="M132" s="34">
        <v>20000000000</v>
      </c>
      <c r="N132" s="34">
        <v>0</v>
      </c>
      <c r="O132" s="34">
        <v>20000000000</v>
      </c>
      <c r="P132" s="31" t="s">
        <v>177</v>
      </c>
      <c r="Q132" s="34">
        <v>29000000</v>
      </c>
      <c r="R132" s="31" t="s">
        <v>150</v>
      </c>
      <c r="S132" s="35">
        <v>42179</v>
      </c>
      <c r="T132" s="35">
        <v>42172</v>
      </c>
      <c r="U132" s="35">
        <v>42735</v>
      </c>
      <c r="V132" s="27" t="s">
        <v>9313</v>
      </c>
      <c r="W132" s="34"/>
      <c r="X132" s="34"/>
      <c r="Y132" s="34" t="s">
        <v>125</v>
      </c>
      <c r="Z132" s="34"/>
      <c r="AA132" s="34"/>
      <c r="AB132" s="34"/>
      <c r="AC132" s="34"/>
      <c r="AD132" s="34"/>
      <c r="AE132" s="34"/>
      <c r="AF132" s="34"/>
    </row>
    <row r="133" spans="2:32" ht="75" customHeight="1" x14ac:dyDescent="0.25">
      <c r="B133" s="36" t="s">
        <v>730</v>
      </c>
      <c r="C133" s="33">
        <v>2015</v>
      </c>
      <c r="D133" s="33">
        <f t="shared" si="1"/>
        <v>2021</v>
      </c>
      <c r="E133" s="36" t="s">
        <v>126</v>
      </c>
      <c r="F133" s="36" t="s">
        <v>731</v>
      </c>
      <c r="G133" s="36" t="s">
        <v>732</v>
      </c>
      <c r="H133" s="36" t="s">
        <v>326</v>
      </c>
      <c r="I133" s="36" t="s">
        <v>337</v>
      </c>
      <c r="J133" s="36" t="s">
        <v>338</v>
      </c>
      <c r="K133" s="36" t="s">
        <v>315</v>
      </c>
      <c r="L133" s="36" t="s">
        <v>159</v>
      </c>
      <c r="M133" s="37">
        <v>0</v>
      </c>
      <c r="N133" s="37">
        <v>6559570000</v>
      </c>
      <c r="O133" s="37">
        <v>6559570000</v>
      </c>
      <c r="P133" s="36" t="s">
        <v>122</v>
      </c>
      <c r="Q133" s="37">
        <v>10000000</v>
      </c>
      <c r="R133" s="36" t="s">
        <v>159</v>
      </c>
      <c r="S133" s="38">
        <v>42187</v>
      </c>
      <c r="T133" s="38">
        <v>42179</v>
      </c>
      <c r="U133" s="38">
        <v>44561</v>
      </c>
      <c r="V133" s="27" t="s">
        <v>9308</v>
      </c>
      <c r="W133" s="37"/>
      <c r="X133" s="37"/>
      <c r="Y133" s="37" t="s">
        <v>242</v>
      </c>
      <c r="Z133" s="37"/>
      <c r="AA133" s="37"/>
      <c r="AB133" s="37"/>
      <c r="AC133" s="37"/>
      <c r="AD133" s="37"/>
      <c r="AE133" s="37"/>
      <c r="AF133" s="37"/>
    </row>
    <row r="134" spans="2:32" ht="60" customHeight="1" x14ac:dyDescent="0.25">
      <c r="B134" s="31" t="s">
        <v>733</v>
      </c>
      <c r="C134" s="41">
        <v>2015</v>
      </c>
      <c r="D134" s="42" t="e">
        <f t="shared" si="1"/>
        <v>#VALUE!</v>
      </c>
      <c r="E134" s="31" t="s">
        <v>126</v>
      </c>
      <c r="F134" s="31" t="s">
        <v>734</v>
      </c>
      <c r="G134" s="31" t="s">
        <v>735</v>
      </c>
      <c r="H134" s="31" t="s">
        <v>172</v>
      </c>
      <c r="I134" s="31" t="s">
        <v>675</v>
      </c>
      <c r="J134" s="31" t="s">
        <v>676</v>
      </c>
      <c r="K134" s="31" t="s">
        <v>369</v>
      </c>
      <c r="L134" s="31" t="s">
        <v>127</v>
      </c>
      <c r="M134" s="34">
        <v>8800000000</v>
      </c>
      <c r="N134" s="34">
        <v>0</v>
      </c>
      <c r="O134" s="34">
        <v>8800000000</v>
      </c>
      <c r="P134" s="31" t="s">
        <v>136</v>
      </c>
      <c r="Q134" s="34">
        <v>8800000000</v>
      </c>
      <c r="R134" s="31" t="s">
        <v>443</v>
      </c>
      <c r="S134" s="35">
        <v>42207</v>
      </c>
      <c r="T134" s="35">
        <v>42139</v>
      </c>
      <c r="U134" s="35" t="s">
        <v>650</v>
      </c>
      <c r="V134" s="27" t="s">
        <v>9308</v>
      </c>
      <c r="W134" s="34"/>
      <c r="X134" s="34"/>
      <c r="Y134" s="34" t="s">
        <v>442</v>
      </c>
      <c r="Z134" s="34"/>
      <c r="AA134" s="34"/>
      <c r="AB134" s="34"/>
      <c r="AC134" s="34"/>
      <c r="AD134" s="34"/>
      <c r="AE134" s="34"/>
      <c r="AF134" s="34"/>
    </row>
    <row r="135" spans="2:32" ht="60" customHeight="1" x14ac:dyDescent="0.25">
      <c r="B135" s="36" t="s">
        <v>736</v>
      </c>
      <c r="C135" s="42">
        <v>2015</v>
      </c>
      <c r="D135" s="42" t="e">
        <f t="shared" ref="D135:D198" si="2">YEAR(U135)</f>
        <v>#VALUE!</v>
      </c>
      <c r="E135" s="36" t="s">
        <v>126</v>
      </c>
      <c r="F135" s="36" t="s">
        <v>734</v>
      </c>
      <c r="G135" s="36" t="s">
        <v>737</v>
      </c>
      <c r="H135" s="36" t="s">
        <v>172</v>
      </c>
      <c r="I135" s="36" t="s">
        <v>738</v>
      </c>
      <c r="J135" s="36" t="s">
        <v>739</v>
      </c>
      <c r="K135" s="36" t="s">
        <v>369</v>
      </c>
      <c r="L135" s="36" t="s">
        <v>127</v>
      </c>
      <c r="M135" s="37">
        <v>3000000000</v>
      </c>
      <c r="N135" s="37">
        <v>0</v>
      </c>
      <c r="O135" s="37">
        <v>3000000000</v>
      </c>
      <c r="P135" s="36" t="s">
        <v>136</v>
      </c>
      <c r="Q135" s="37">
        <v>3000000000</v>
      </c>
      <c r="R135" s="36" t="s">
        <v>443</v>
      </c>
      <c r="S135" s="38">
        <v>42207</v>
      </c>
      <c r="T135" s="38">
        <v>42139</v>
      </c>
      <c r="U135" s="38" t="s">
        <v>650</v>
      </c>
      <c r="V135" s="27" t="s">
        <v>9308</v>
      </c>
      <c r="W135" s="37"/>
      <c r="X135" s="37"/>
      <c r="Y135" s="37" t="s">
        <v>442</v>
      </c>
      <c r="Z135" s="37"/>
      <c r="AA135" s="37"/>
      <c r="AB135" s="37"/>
      <c r="AC135" s="37"/>
      <c r="AD135" s="37"/>
      <c r="AE135" s="37"/>
      <c r="AF135" s="37"/>
    </row>
    <row r="136" spans="2:32" ht="45" customHeight="1" x14ac:dyDescent="0.25">
      <c r="B136" s="31" t="s">
        <v>740</v>
      </c>
      <c r="C136" s="41">
        <v>2015</v>
      </c>
      <c r="D136" s="42" t="e">
        <f t="shared" si="2"/>
        <v>#VALUE!</v>
      </c>
      <c r="E136" s="31" t="s">
        <v>126</v>
      </c>
      <c r="F136" s="31" t="s">
        <v>734</v>
      </c>
      <c r="G136" s="31" t="s">
        <v>741</v>
      </c>
      <c r="H136" s="31" t="s">
        <v>172</v>
      </c>
      <c r="I136" s="31" t="s">
        <v>581</v>
      </c>
      <c r="J136" s="31" t="s">
        <v>582</v>
      </c>
      <c r="K136" s="31" t="s">
        <v>369</v>
      </c>
      <c r="L136" s="31" t="s">
        <v>127</v>
      </c>
      <c r="M136" s="34">
        <v>13730000000</v>
      </c>
      <c r="N136" s="34">
        <v>0</v>
      </c>
      <c r="O136" s="34">
        <v>13730000000</v>
      </c>
      <c r="P136" s="31" t="s">
        <v>136</v>
      </c>
      <c r="Q136" s="34">
        <v>13730000000</v>
      </c>
      <c r="R136" s="31" t="s">
        <v>443</v>
      </c>
      <c r="S136" s="35">
        <v>42207</v>
      </c>
      <c r="T136" s="35">
        <v>42139</v>
      </c>
      <c r="U136" s="35" t="s">
        <v>650</v>
      </c>
      <c r="V136" s="27" t="s">
        <v>9308</v>
      </c>
      <c r="W136" s="34"/>
      <c r="X136" s="34"/>
      <c r="Y136" s="34" t="s">
        <v>442</v>
      </c>
      <c r="Z136" s="34"/>
      <c r="AA136" s="34"/>
      <c r="AB136" s="34"/>
      <c r="AC136" s="34"/>
      <c r="AD136" s="34"/>
      <c r="AE136" s="34"/>
      <c r="AF136" s="34"/>
    </row>
    <row r="137" spans="2:32" ht="60" customHeight="1" x14ac:dyDescent="0.25">
      <c r="B137" s="36" t="s">
        <v>742</v>
      </c>
      <c r="C137" s="42">
        <v>2015</v>
      </c>
      <c r="D137" s="42" t="e">
        <f t="shared" si="2"/>
        <v>#VALUE!</v>
      </c>
      <c r="E137" s="36" t="s">
        <v>126</v>
      </c>
      <c r="F137" s="36" t="s">
        <v>734</v>
      </c>
      <c r="G137" s="36" t="s">
        <v>743</v>
      </c>
      <c r="H137" s="36" t="s">
        <v>172</v>
      </c>
      <c r="I137" s="36" t="s">
        <v>441</v>
      </c>
      <c r="J137" s="36" t="s">
        <v>441</v>
      </c>
      <c r="K137" s="36" t="s">
        <v>369</v>
      </c>
      <c r="L137" s="36" t="s">
        <v>127</v>
      </c>
      <c r="M137" s="37">
        <v>10000000000</v>
      </c>
      <c r="N137" s="37">
        <v>0</v>
      </c>
      <c r="O137" s="37">
        <v>10000000000</v>
      </c>
      <c r="P137" s="36" t="s">
        <v>136</v>
      </c>
      <c r="Q137" s="37">
        <v>10000000000</v>
      </c>
      <c r="R137" s="36" t="s">
        <v>443</v>
      </c>
      <c r="S137" s="38">
        <v>42207</v>
      </c>
      <c r="T137" s="38">
        <v>42139</v>
      </c>
      <c r="U137" s="38" t="s">
        <v>650</v>
      </c>
      <c r="V137" s="27" t="s">
        <v>9308</v>
      </c>
      <c r="W137" s="37"/>
      <c r="X137" s="37"/>
      <c r="Y137" s="37" t="s">
        <v>442</v>
      </c>
      <c r="Z137" s="37"/>
      <c r="AA137" s="37"/>
      <c r="AB137" s="37"/>
      <c r="AC137" s="37"/>
      <c r="AD137" s="37"/>
      <c r="AE137" s="37"/>
      <c r="AF137" s="37"/>
    </row>
    <row r="138" spans="2:32" ht="60" customHeight="1" x14ac:dyDescent="0.25">
      <c r="B138" s="31" t="s">
        <v>744</v>
      </c>
      <c r="C138" s="32">
        <v>2015</v>
      </c>
      <c r="D138" s="33">
        <f t="shared" si="2"/>
        <v>2021</v>
      </c>
      <c r="E138" s="31" t="s">
        <v>126</v>
      </c>
      <c r="F138" s="31" t="s">
        <v>745</v>
      </c>
      <c r="G138" s="31" t="s">
        <v>746</v>
      </c>
      <c r="H138" s="31" t="s">
        <v>353</v>
      </c>
      <c r="I138" s="31" t="s">
        <v>137</v>
      </c>
      <c r="J138" s="31" t="s">
        <v>138</v>
      </c>
      <c r="K138" s="31" t="s">
        <v>205</v>
      </c>
      <c r="L138" s="31" t="s">
        <v>127</v>
      </c>
      <c r="M138" s="34">
        <v>15000000000</v>
      </c>
      <c r="N138" s="34">
        <v>0</v>
      </c>
      <c r="O138" s="34">
        <v>15000000000</v>
      </c>
      <c r="P138" s="31" t="s">
        <v>136</v>
      </c>
      <c r="Q138" s="34">
        <v>15000000000</v>
      </c>
      <c r="R138" s="31" t="s">
        <v>128</v>
      </c>
      <c r="S138" s="35">
        <v>42271</v>
      </c>
      <c r="T138" s="35">
        <v>42207</v>
      </c>
      <c r="U138" s="35">
        <v>44561</v>
      </c>
      <c r="V138" s="27" t="s">
        <v>9368</v>
      </c>
      <c r="W138" s="34"/>
      <c r="X138" s="34"/>
      <c r="Y138" s="34" t="s">
        <v>125</v>
      </c>
      <c r="Z138" s="34"/>
      <c r="AA138" s="34"/>
      <c r="AB138" s="34"/>
      <c r="AC138" s="34"/>
      <c r="AD138" s="34"/>
      <c r="AE138" s="34"/>
      <c r="AF138" s="34"/>
    </row>
    <row r="139" spans="2:32" ht="60" customHeight="1" x14ac:dyDescent="0.25">
      <c r="B139" s="36" t="s">
        <v>749</v>
      </c>
      <c r="C139" s="33">
        <v>2015</v>
      </c>
      <c r="D139" s="33">
        <f t="shared" si="2"/>
        <v>2022</v>
      </c>
      <c r="E139" s="36" t="s">
        <v>126</v>
      </c>
      <c r="F139" s="36" t="s">
        <v>750</v>
      </c>
      <c r="G139" s="36" t="s">
        <v>751</v>
      </c>
      <c r="H139" s="36" t="s">
        <v>326</v>
      </c>
      <c r="I139" s="36" t="s">
        <v>240</v>
      </c>
      <c r="J139" s="36" t="s">
        <v>241</v>
      </c>
      <c r="K139" s="36" t="s">
        <v>216</v>
      </c>
      <c r="L139" s="36" t="s">
        <v>127</v>
      </c>
      <c r="M139" s="37">
        <v>8537808015</v>
      </c>
      <c r="N139" s="37">
        <v>0</v>
      </c>
      <c r="O139" s="37">
        <v>8537808015</v>
      </c>
      <c r="P139" s="36" t="s">
        <v>609</v>
      </c>
      <c r="Q139" s="37">
        <v>5000000</v>
      </c>
      <c r="R139" s="36" t="s">
        <v>150</v>
      </c>
      <c r="S139" s="38">
        <v>42289</v>
      </c>
      <c r="T139" s="38">
        <v>42216</v>
      </c>
      <c r="U139" s="38">
        <v>44926</v>
      </c>
      <c r="V139" s="27" t="s">
        <v>9369</v>
      </c>
      <c r="W139" s="37"/>
      <c r="X139" s="37"/>
      <c r="Y139" s="37" t="s">
        <v>242</v>
      </c>
      <c r="Z139" s="37"/>
      <c r="AA139" s="37"/>
      <c r="AB139" s="37"/>
      <c r="AC139" s="37"/>
      <c r="AD139" s="37"/>
      <c r="AE139" s="37"/>
      <c r="AF139" s="37"/>
    </row>
    <row r="140" spans="2:32" ht="60" customHeight="1" x14ac:dyDescent="0.25">
      <c r="B140" s="31" t="s">
        <v>753</v>
      </c>
      <c r="C140" s="32">
        <v>2015</v>
      </c>
      <c r="D140" s="33">
        <f t="shared" si="2"/>
        <v>2017</v>
      </c>
      <c r="E140" s="31" t="s">
        <v>126</v>
      </c>
      <c r="F140" s="31" t="s">
        <v>754</v>
      </c>
      <c r="G140" s="31" t="s">
        <v>755</v>
      </c>
      <c r="H140" s="31" t="s">
        <v>366</v>
      </c>
      <c r="I140" s="31" t="s">
        <v>581</v>
      </c>
      <c r="J140" s="31" t="s">
        <v>582</v>
      </c>
      <c r="K140" s="31" t="s">
        <v>142</v>
      </c>
      <c r="L140" s="31" t="s">
        <v>127</v>
      </c>
      <c r="M140" s="34">
        <v>30000000000</v>
      </c>
      <c r="N140" s="34">
        <v>0</v>
      </c>
      <c r="O140" s="34">
        <v>30000000000</v>
      </c>
      <c r="P140" s="31" t="s">
        <v>136</v>
      </c>
      <c r="Q140" s="34">
        <v>30000000000</v>
      </c>
      <c r="R140" s="31" t="s">
        <v>443</v>
      </c>
      <c r="S140" s="35">
        <v>42235</v>
      </c>
      <c r="T140" s="35">
        <v>42046</v>
      </c>
      <c r="U140" s="35">
        <v>43100</v>
      </c>
      <c r="V140" s="27" t="s">
        <v>9341</v>
      </c>
      <c r="W140" s="34"/>
      <c r="X140" s="34"/>
      <c r="Y140" s="34" t="s">
        <v>442</v>
      </c>
      <c r="Z140" s="34"/>
      <c r="AA140" s="34"/>
      <c r="AB140" s="34"/>
      <c r="AC140" s="34"/>
      <c r="AD140" s="34"/>
      <c r="AE140" s="34"/>
      <c r="AF140" s="34"/>
    </row>
    <row r="141" spans="2:32" ht="45" customHeight="1" x14ac:dyDescent="0.25">
      <c r="B141" s="36" t="s">
        <v>756</v>
      </c>
      <c r="C141" s="33">
        <v>2015</v>
      </c>
      <c r="D141" s="33">
        <f t="shared" si="2"/>
        <v>2019</v>
      </c>
      <c r="E141" s="36" t="s">
        <v>126</v>
      </c>
      <c r="F141" s="36" t="s">
        <v>757</v>
      </c>
      <c r="G141" s="36" t="s">
        <v>758</v>
      </c>
      <c r="H141" s="36" t="s">
        <v>366</v>
      </c>
      <c r="I141" s="36" t="s">
        <v>675</v>
      </c>
      <c r="J141" s="36" t="s">
        <v>676</v>
      </c>
      <c r="K141" s="36" t="s">
        <v>118</v>
      </c>
      <c r="L141" s="36" t="s">
        <v>127</v>
      </c>
      <c r="M141" s="37">
        <v>11000000000</v>
      </c>
      <c r="N141" s="37">
        <v>0</v>
      </c>
      <c r="O141" s="37">
        <v>11000000000</v>
      </c>
      <c r="P141" s="36" t="s">
        <v>136</v>
      </c>
      <c r="Q141" s="37">
        <v>11000000000</v>
      </c>
      <c r="R141" s="36" t="s">
        <v>443</v>
      </c>
      <c r="S141" s="38">
        <v>42326</v>
      </c>
      <c r="T141" s="38">
        <v>42242</v>
      </c>
      <c r="U141" s="38">
        <v>43830</v>
      </c>
      <c r="V141" s="27" t="s">
        <v>9308</v>
      </c>
      <c r="W141" s="37"/>
      <c r="X141" s="37"/>
      <c r="Y141" s="37" t="s">
        <v>442</v>
      </c>
      <c r="Z141" s="37"/>
      <c r="AA141" s="37"/>
      <c r="AB141" s="37"/>
      <c r="AC141" s="37"/>
      <c r="AD141" s="37"/>
      <c r="AE141" s="37"/>
      <c r="AF141" s="37"/>
    </row>
    <row r="142" spans="2:32" ht="60" customHeight="1" x14ac:dyDescent="0.25">
      <c r="B142" s="31" t="s">
        <v>759</v>
      </c>
      <c r="C142" s="32">
        <v>2015</v>
      </c>
      <c r="D142" s="33">
        <f t="shared" si="2"/>
        <v>2019</v>
      </c>
      <c r="E142" s="31" t="s">
        <v>126</v>
      </c>
      <c r="F142" s="31" t="s">
        <v>757</v>
      </c>
      <c r="G142" s="31" t="s">
        <v>760</v>
      </c>
      <c r="H142" s="31" t="s">
        <v>366</v>
      </c>
      <c r="I142" s="31" t="s">
        <v>738</v>
      </c>
      <c r="J142" s="31" t="s">
        <v>739</v>
      </c>
      <c r="K142" s="31" t="s">
        <v>118</v>
      </c>
      <c r="L142" s="31" t="s">
        <v>127</v>
      </c>
      <c r="M142" s="34">
        <v>2000000000</v>
      </c>
      <c r="N142" s="34">
        <v>0</v>
      </c>
      <c r="O142" s="34">
        <v>2000000000</v>
      </c>
      <c r="P142" s="31" t="s">
        <v>136</v>
      </c>
      <c r="Q142" s="34">
        <v>2000000000</v>
      </c>
      <c r="R142" s="31" t="s">
        <v>443</v>
      </c>
      <c r="S142" s="35">
        <v>42326</v>
      </c>
      <c r="T142" s="35">
        <v>42242</v>
      </c>
      <c r="U142" s="35">
        <v>43830</v>
      </c>
      <c r="V142" s="27" t="s">
        <v>9308</v>
      </c>
      <c r="W142" s="34"/>
      <c r="X142" s="34"/>
      <c r="Y142" s="34" t="s">
        <v>442</v>
      </c>
      <c r="Z142" s="34"/>
      <c r="AA142" s="34"/>
      <c r="AB142" s="34"/>
      <c r="AC142" s="34"/>
      <c r="AD142" s="34"/>
      <c r="AE142" s="34"/>
      <c r="AF142" s="34"/>
    </row>
    <row r="143" spans="2:32" ht="60" customHeight="1" x14ac:dyDescent="0.25">
      <c r="B143" s="36" t="s">
        <v>761</v>
      </c>
      <c r="C143" s="33">
        <v>2015</v>
      </c>
      <c r="D143" s="33">
        <f t="shared" si="2"/>
        <v>2019</v>
      </c>
      <c r="E143" s="36" t="s">
        <v>126</v>
      </c>
      <c r="F143" s="36" t="s">
        <v>757</v>
      </c>
      <c r="G143" s="36" t="s">
        <v>762</v>
      </c>
      <c r="H143" s="36" t="s">
        <v>366</v>
      </c>
      <c r="I143" s="36" t="s">
        <v>763</v>
      </c>
      <c r="J143" s="36" t="s">
        <v>764</v>
      </c>
      <c r="K143" s="36" t="s">
        <v>118</v>
      </c>
      <c r="L143" s="36" t="s">
        <v>127</v>
      </c>
      <c r="M143" s="37">
        <v>2000000000</v>
      </c>
      <c r="N143" s="37">
        <v>0</v>
      </c>
      <c r="O143" s="37">
        <v>2000000000</v>
      </c>
      <c r="P143" s="36" t="s">
        <v>136</v>
      </c>
      <c r="Q143" s="37">
        <v>2000000000</v>
      </c>
      <c r="R143" s="36" t="s">
        <v>443</v>
      </c>
      <c r="S143" s="38">
        <v>42326</v>
      </c>
      <c r="T143" s="38">
        <v>42242</v>
      </c>
      <c r="U143" s="38">
        <v>43830</v>
      </c>
      <c r="V143" s="27" t="s">
        <v>9308</v>
      </c>
      <c r="W143" s="37"/>
      <c r="X143" s="37"/>
      <c r="Y143" s="37" t="s">
        <v>442</v>
      </c>
      <c r="Z143" s="37"/>
      <c r="AA143" s="37"/>
      <c r="AB143" s="37"/>
      <c r="AC143" s="37"/>
      <c r="AD143" s="37"/>
      <c r="AE143" s="37"/>
      <c r="AF143" s="37"/>
    </row>
    <row r="144" spans="2:32" ht="60" customHeight="1" x14ac:dyDescent="0.25">
      <c r="B144" s="31" t="s">
        <v>765</v>
      </c>
      <c r="C144" s="32">
        <v>2015</v>
      </c>
      <c r="D144" s="33">
        <f t="shared" si="2"/>
        <v>2023</v>
      </c>
      <c r="E144" s="31" t="s">
        <v>126</v>
      </c>
      <c r="F144" s="31" t="s">
        <v>766</v>
      </c>
      <c r="G144" s="31" t="s">
        <v>767</v>
      </c>
      <c r="H144" s="31" t="s">
        <v>326</v>
      </c>
      <c r="I144" s="31" t="s">
        <v>768</v>
      </c>
      <c r="J144" s="31" t="s">
        <v>769</v>
      </c>
      <c r="K144" s="31" t="s">
        <v>163</v>
      </c>
      <c r="L144" s="31" t="s">
        <v>159</v>
      </c>
      <c r="M144" s="34">
        <v>0</v>
      </c>
      <c r="N144" s="34">
        <v>206250000000</v>
      </c>
      <c r="O144" s="34">
        <v>206250000000</v>
      </c>
      <c r="P144" s="31" t="s">
        <v>624</v>
      </c>
      <c r="Q144" s="34">
        <v>375000000</v>
      </c>
      <c r="R144" s="31" t="s">
        <v>159</v>
      </c>
      <c r="S144" s="35">
        <v>42256</v>
      </c>
      <c r="T144" s="35">
        <v>42256</v>
      </c>
      <c r="U144" s="35">
        <v>45099</v>
      </c>
      <c r="V144" s="27" t="s">
        <v>9308</v>
      </c>
      <c r="W144" s="34"/>
      <c r="X144" s="34"/>
      <c r="Y144" s="34" t="s">
        <v>242</v>
      </c>
      <c r="Z144" s="34"/>
      <c r="AA144" s="34"/>
      <c r="AB144" s="34"/>
      <c r="AC144" s="34"/>
      <c r="AD144" s="34"/>
      <c r="AE144" s="34"/>
      <c r="AF144" s="34"/>
    </row>
    <row r="145" spans="2:32" ht="60" customHeight="1" x14ac:dyDescent="0.25">
      <c r="B145" s="36" t="s">
        <v>770</v>
      </c>
      <c r="C145" s="33">
        <v>2015</v>
      </c>
      <c r="D145" s="33">
        <f t="shared" si="2"/>
        <v>2021</v>
      </c>
      <c r="E145" s="36" t="s">
        <v>126</v>
      </c>
      <c r="F145" s="36" t="s">
        <v>771</v>
      </c>
      <c r="G145" s="36" t="s">
        <v>772</v>
      </c>
      <c r="H145" s="36" t="s">
        <v>366</v>
      </c>
      <c r="I145" s="36" t="s">
        <v>277</v>
      </c>
      <c r="J145" s="36" t="s">
        <v>278</v>
      </c>
      <c r="K145" s="36" t="s">
        <v>142</v>
      </c>
      <c r="L145" s="36" t="s">
        <v>127</v>
      </c>
      <c r="M145" s="37">
        <v>8460000000</v>
      </c>
      <c r="N145" s="37">
        <v>0</v>
      </c>
      <c r="O145" s="37">
        <v>8460000000</v>
      </c>
      <c r="P145" s="36" t="s">
        <v>276</v>
      </c>
      <c r="Q145" s="37">
        <v>11530000</v>
      </c>
      <c r="R145" s="36" t="s">
        <v>150</v>
      </c>
      <c r="S145" s="38">
        <v>42354</v>
      </c>
      <c r="T145" s="38">
        <v>42262</v>
      </c>
      <c r="U145" s="38">
        <v>44561</v>
      </c>
      <c r="V145" s="27" t="s">
        <v>9335</v>
      </c>
      <c r="W145" s="37"/>
      <c r="X145" s="37"/>
      <c r="Y145" s="37" t="s">
        <v>125</v>
      </c>
      <c r="Z145" s="37"/>
      <c r="AA145" s="37"/>
      <c r="AB145" s="37"/>
      <c r="AC145" s="37"/>
      <c r="AD145" s="37"/>
      <c r="AE145" s="37"/>
      <c r="AF145" s="37"/>
    </row>
    <row r="146" spans="2:32" ht="45" customHeight="1" x14ac:dyDescent="0.25">
      <c r="B146" s="31" t="s">
        <v>773</v>
      </c>
      <c r="C146" s="32">
        <v>2015</v>
      </c>
      <c r="D146" s="33">
        <f t="shared" si="2"/>
        <v>2020</v>
      </c>
      <c r="E146" s="31" t="s">
        <v>126</v>
      </c>
      <c r="F146" s="31" t="s">
        <v>771</v>
      </c>
      <c r="G146" s="31" t="s">
        <v>774</v>
      </c>
      <c r="H146" s="31" t="s">
        <v>139</v>
      </c>
      <c r="I146" s="31" t="s">
        <v>775</v>
      </c>
      <c r="J146" s="31" t="s">
        <v>775</v>
      </c>
      <c r="K146" s="31" t="s">
        <v>142</v>
      </c>
      <c r="L146" s="31" t="s">
        <v>127</v>
      </c>
      <c r="M146" s="34">
        <v>15156000000</v>
      </c>
      <c r="N146" s="34">
        <v>0</v>
      </c>
      <c r="O146" s="34">
        <v>15156000000</v>
      </c>
      <c r="P146" s="31" t="s">
        <v>136</v>
      </c>
      <c r="Q146" s="34">
        <v>15156000000</v>
      </c>
      <c r="R146" s="31" t="s">
        <v>443</v>
      </c>
      <c r="S146" s="35">
        <v>42354</v>
      </c>
      <c r="T146" s="35">
        <v>42137</v>
      </c>
      <c r="U146" s="35">
        <v>44196</v>
      </c>
      <c r="V146" s="27" t="s">
        <v>9335</v>
      </c>
      <c r="W146" s="34"/>
      <c r="X146" s="34"/>
      <c r="Y146" s="34" t="s">
        <v>442</v>
      </c>
      <c r="Z146" s="34"/>
      <c r="AA146" s="34"/>
      <c r="AB146" s="34"/>
      <c r="AC146" s="34"/>
      <c r="AD146" s="34"/>
      <c r="AE146" s="34"/>
      <c r="AF146" s="34"/>
    </row>
    <row r="147" spans="2:32" ht="60" customHeight="1" x14ac:dyDescent="0.25">
      <c r="B147" s="36" t="s">
        <v>776</v>
      </c>
      <c r="C147" s="33">
        <v>2015</v>
      </c>
      <c r="D147" s="33">
        <f t="shared" si="2"/>
        <v>2018</v>
      </c>
      <c r="E147" s="36" t="s">
        <v>126</v>
      </c>
      <c r="F147" s="36" t="s">
        <v>777</v>
      </c>
      <c r="G147" s="36" t="s">
        <v>778</v>
      </c>
      <c r="H147" s="36" t="s">
        <v>326</v>
      </c>
      <c r="I147" s="36" t="s">
        <v>581</v>
      </c>
      <c r="J147" s="36" t="s">
        <v>582</v>
      </c>
      <c r="K147" s="36" t="s">
        <v>446</v>
      </c>
      <c r="L147" s="36" t="s">
        <v>127</v>
      </c>
      <c r="M147" s="37">
        <v>10000000000</v>
      </c>
      <c r="N147" s="37">
        <v>0</v>
      </c>
      <c r="O147" s="37">
        <v>10000000000</v>
      </c>
      <c r="P147" s="36" t="s">
        <v>136</v>
      </c>
      <c r="Q147" s="37">
        <v>10000000000</v>
      </c>
      <c r="R147" s="36" t="s">
        <v>443</v>
      </c>
      <c r="S147" s="38">
        <v>42264</v>
      </c>
      <c r="T147" s="38">
        <v>42138</v>
      </c>
      <c r="U147" s="38">
        <v>43465</v>
      </c>
      <c r="V147" s="27" t="s">
        <v>9308</v>
      </c>
      <c r="W147" s="37"/>
      <c r="X147" s="37"/>
      <c r="Y147" s="37" t="s">
        <v>442</v>
      </c>
      <c r="Z147" s="37"/>
      <c r="AA147" s="37"/>
      <c r="AB147" s="37"/>
      <c r="AC147" s="37"/>
      <c r="AD147" s="37"/>
      <c r="AE147" s="37"/>
      <c r="AF147" s="37"/>
    </row>
    <row r="148" spans="2:32" ht="75" customHeight="1" x14ac:dyDescent="0.25">
      <c r="B148" s="31" t="s">
        <v>779</v>
      </c>
      <c r="C148" s="32">
        <v>2015</v>
      </c>
      <c r="D148" s="33">
        <f t="shared" si="2"/>
        <v>2016</v>
      </c>
      <c r="E148" s="31" t="s">
        <v>126</v>
      </c>
      <c r="F148" s="31" t="s">
        <v>780</v>
      </c>
      <c r="G148" s="31" t="s">
        <v>781</v>
      </c>
      <c r="H148" s="31" t="s">
        <v>372</v>
      </c>
      <c r="I148" s="31" t="s">
        <v>178</v>
      </c>
      <c r="J148" s="31" t="s">
        <v>179</v>
      </c>
      <c r="K148" s="31" t="s">
        <v>163</v>
      </c>
      <c r="L148" s="31" t="s">
        <v>127</v>
      </c>
      <c r="M148" s="34">
        <v>10000000000</v>
      </c>
      <c r="N148" s="34">
        <v>0</v>
      </c>
      <c r="O148" s="34">
        <v>10000000000</v>
      </c>
      <c r="P148" s="31" t="s">
        <v>624</v>
      </c>
      <c r="Q148" s="34">
        <v>20000000</v>
      </c>
      <c r="R148" s="31" t="s">
        <v>150</v>
      </c>
      <c r="S148" s="35">
        <v>42325</v>
      </c>
      <c r="T148" s="35">
        <v>42282</v>
      </c>
      <c r="U148" s="35">
        <v>42735</v>
      </c>
      <c r="V148" s="27" t="s">
        <v>9308</v>
      </c>
      <c r="W148" s="34"/>
      <c r="X148" s="34"/>
      <c r="Y148" s="34" t="s">
        <v>125</v>
      </c>
      <c r="Z148" s="34"/>
      <c r="AA148" s="34"/>
      <c r="AB148" s="34"/>
      <c r="AC148" s="34"/>
      <c r="AD148" s="34"/>
      <c r="AE148" s="34"/>
      <c r="AF148" s="34"/>
    </row>
    <row r="149" spans="2:32" ht="60" customHeight="1" x14ac:dyDescent="0.25">
      <c r="B149" s="36" t="s">
        <v>782</v>
      </c>
      <c r="C149" s="33">
        <v>2015</v>
      </c>
      <c r="D149" s="33">
        <f t="shared" si="2"/>
        <v>2019</v>
      </c>
      <c r="E149" s="36" t="s">
        <v>785</v>
      </c>
      <c r="F149" s="36" t="s">
        <v>783</v>
      </c>
      <c r="G149" s="36" t="s">
        <v>784</v>
      </c>
      <c r="H149" s="36" t="s">
        <v>366</v>
      </c>
      <c r="I149" s="36" t="s">
        <v>305</v>
      </c>
      <c r="J149" s="36" t="s">
        <v>306</v>
      </c>
      <c r="K149" s="36" t="s">
        <v>446</v>
      </c>
      <c r="L149" s="36" t="s">
        <v>127</v>
      </c>
      <c r="M149" s="37">
        <v>2750000000</v>
      </c>
      <c r="N149" s="37">
        <v>0</v>
      </c>
      <c r="O149" s="37">
        <v>2750000000</v>
      </c>
      <c r="P149" s="36" t="s">
        <v>624</v>
      </c>
      <c r="Q149" s="37">
        <v>5000000</v>
      </c>
      <c r="R149" s="36" t="s">
        <v>150</v>
      </c>
      <c r="S149" s="38">
        <v>42287</v>
      </c>
      <c r="T149" s="38">
        <v>42076</v>
      </c>
      <c r="U149" s="38">
        <v>43830</v>
      </c>
      <c r="V149" s="27" t="s">
        <v>9308</v>
      </c>
      <c r="W149" s="37"/>
      <c r="X149" s="37"/>
      <c r="Y149" s="37" t="s">
        <v>125</v>
      </c>
      <c r="Z149" s="37"/>
      <c r="AA149" s="37"/>
      <c r="AB149" s="37"/>
      <c r="AC149" s="37"/>
      <c r="AD149" s="37"/>
      <c r="AE149" s="37"/>
      <c r="AF149" s="37"/>
    </row>
    <row r="150" spans="2:32" ht="60" customHeight="1" x14ac:dyDescent="0.25">
      <c r="B150" s="31" t="s">
        <v>786</v>
      </c>
      <c r="C150" s="32">
        <v>2015</v>
      </c>
      <c r="D150" s="33">
        <f t="shared" si="2"/>
        <v>2019</v>
      </c>
      <c r="E150" s="31" t="s">
        <v>170</v>
      </c>
      <c r="F150" s="31" t="s">
        <v>787</v>
      </c>
      <c r="G150" s="31" t="s">
        <v>788</v>
      </c>
      <c r="H150" s="31" t="s">
        <v>326</v>
      </c>
      <c r="I150" s="31" t="s">
        <v>337</v>
      </c>
      <c r="J150" s="31" t="s">
        <v>338</v>
      </c>
      <c r="K150" s="31" t="s">
        <v>163</v>
      </c>
      <c r="L150" s="31" t="s">
        <v>159</v>
      </c>
      <c r="M150" s="34">
        <v>0</v>
      </c>
      <c r="N150" s="34">
        <v>327000000</v>
      </c>
      <c r="O150" s="34">
        <v>327000000</v>
      </c>
      <c r="P150" s="31" t="s">
        <v>122</v>
      </c>
      <c r="Q150" s="34">
        <v>500000</v>
      </c>
      <c r="R150" s="31" t="s">
        <v>159</v>
      </c>
      <c r="S150" s="35">
        <v>42292</v>
      </c>
      <c r="T150" s="35">
        <v>42073</v>
      </c>
      <c r="U150" s="35">
        <v>43830</v>
      </c>
      <c r="V150" s="27" t="s">
        <v>9308</v>
      </c>
      <c r="W150" s="34"/>
      <c r="X150" s="34"/>
      <c r="Y150" s="34" t="s">
        <v>242</v>
      </c>
      <c r="Z150" s="34"/>
      <c r="AA150" s="34"/>
      <c r="AB150" s="34"/>
      <c r="AC150" s="34"/>
      <c r="AD150" s="34"/>
      <c r="AE150" s="34"/>
      <c r="AF150" s="34"/>
    </row>
    <row r="151" spans="2:32" ht="75" customHeight="1" x14ac:dyDescent="0.25">
      <c r="B151" s="36" t="s">
        <v>789</v>
      </c>
      <c r="C151" s="42">
        <v>2015</v>
      </c>
      <c r="D151" s="42" t="e">
        <f t="shared" si="2"/>
        <v>#VALUE!</v>
      </c>
      <c r="E151" s="36" t="s">
        <v>126</v>
      </c>
      <c r="F151" s="36" t="s">
        <v>790</v>
      </c>
      <c r="G151" s="36" t="s">
        <v>791</v>
      </c>
      <c r="H151" s="36" t="s">
        <v>172</v>
      </c>
      <c r="I151" s="36" t="s">
        <v>738</v>
      </c>
      <c r="J151" s="36" t="s">
        <v>739</v>
      </c>
      <c r="K151" s="36" t="s">
        <v>205</v>
      </c>
      <c r="L151" s="36" t="s">
        <v>127</v>
      </c>
      <c r="M151" s="37">
        <v>3000000000</v>
      </c>
      <c r="N151" s="37">
        <v>0</v>
      </c>
      <c r="O151" s="37">
        <v>3000000000</v>
      </c>
      <c r="P151" s="36" t="s">
        <v>136</v>
      </c>
      <c r="Q151" s="37">
        <v>3000000000</v>
      </c>
      <c r="R151" s="36" t="s">
        <v>443</v>
      </c>
      <c r="S151" s="38">
        <v>42321</v>
      </c>
      <c r="T151" s="38">
        <v>42227</v>
      </c>
      <c r="U151" s="38" t="s">
        <v>650</v>
      </c>
      <c r="V151" s="27" t="s">
        <v>9307</v>
      </c>
      <c r="W151" s="37"/>
      <c r="X151" s="37"/>
      <c r="Y151" s="37" t="s">
        <v>442</v>
      </c>
      <c r="Z151" s="37"/>
      <c r="AA151" s="37"/>
      <c r="AB151" s="37"/>
      <c r="AC151" s="37"/>
      <c r="AD151" s="37"/>
      <c r="AE151" s="37"/>
      <c r="AF151" s="37"/>
    </row>
    <row r="152" spans="2:32" ht="75" customHeight="1" x14ac:dyDescent="0.25">
      <c r="B152" s="31" t="s">
        <v>792</v>
      </c>
      <c r="C152" s="32">
        <v>2015</v>
      </c>
      <c r="D152" s="33">
        <f t="shared" si="2"/>
        <v>2021</v>
      </c>
      <c r="E152" s="31" t="s">
        <v>126</v>
      </c>
      <c r="F152" s="31" t="s">
        <v>793</v>
      </c>
      <c r="G152" s="31" t="s">
        <v>794</v>
      </c>
      <c r="H152" s="31" t="s">
        <v>366</v>
      </c>
      <c r="I152" s="31" t="s">
        <v>277</v>
      </c>
      <c r="J152" s="31" t="s">
        <v>278</v>
      </c>
      <c r="K152" s="31" t="s">
        <v>263</v>
      </c>
      <c r="L152" s="31" t="s">
        <v>127</v>
      </c>
      <c r="M152" s="34">
        <v>5500000000</v>
      </c>
      <c r="N152" s="34">
        <v>0</v>
      </c>
      <c r="O152" s="34">
        <v>5500000000</v>
      </c>
      <c r="P152" s="31" t="s">
        <v>276</v>
      </c>
      <c r="Q152" s="34">
        <v>6000000</v>
      </c>
      <c r="R152" s="31" t="s">
        <v>150</v>
      </c>
      <c r="S152" s="35">
        <v>42354</v>
      </c>
      <c r="T152" s="35">
        <v>42324</v>
      </c>
      <c r="U152" s="35">
        <v>44561</v>
      </c>
      <c r="V152" s="27" t="s">
        <v>9370</v>
      </c>
      <c r="W152" s="34"/>
      <c r="X152" s="34"/>
      <c r="Y152" s="34" t="s">
        <v>125</v>
      </c>
      <c r="Z152" s="34"/>
      <c r="AA152" s="34"/>
      <c r="AB152" s="34"/>
      <c r="AC152" s="34"/>
      <c r="AD152" s="34"/>
      <c r="AE152" s="34"/>
      <c r="AF152" s="34"/>
    </row>
    <row r="153" spans="2:32" ht="51" customHeight="1" x14ac:dyDescent="0.25">
      <c r="B153" s="36" t="s">
        <v>797</v>
      </c>
      <c r="C153" s="33">
        <v>2015</v>
      </c>
      <c r="D153" s="33">
        <f t="shared" si="2"/>
        <v>2023</v>
      </c>
      <c r="E153" s="36" t="s">
        <v>126</v>
      </c>
      <c r="F153" s="36" t="s">
        <v>798</v>
      </c>
      <c r="G153" s="36" t="s">
        <v>799</v>
      </c>
      <c r="H153" s="36" t="s">
        <v>366</v>
      </c>
      <c r="I153" s="36" t="s">
        <v>277</v>
      </c>
      <c r="J153" s="36" t="s">
        <v>278</v>
      </c>
      <c r="K153" s="36" t="s">
        <v>190</v>
      </c>
      <c r="L153" s="36" t="s">
        <v>159</v>
      </c>
      <c r="M153" s="37">
        <v>0</v>
      </c>
      <c r="N153" s="37">
        <v>13200000000</v>
      </c>
      <c r="O153" s="37">
        <v>13200000000</v>
      </c>
      <c r="P153" s="36" t="s">
        <v>624</v>
      </c>
      <c r="Q153" s="37">
        <v>24000000</v>
      </c>
      <c r="R153" s="36" t="s">
        <v>159</v>
      </c>
      <c r="S153" s="38">
        <v>42354</v>
      </c>
      <c r="T153" s="38">
        <v>42324</v>
      </c>
      <c r="U153" s="38">
        <v>45107</v>
      </c>
      <c r="V153" s="27" t="s">
        <v>9371</v>
      </c>
      <c r="W153" s="37"/>
      <c r="X153" s="37"/>
      <c r="Y153" s="37" t="s">
        <v>125</v>
      </c>
      <c r="Z153" s="37"/>
      <c r="AA153" s="37"/>
      <c r="AB153" s="37"/>
      <c r="AC153" s="37"/>
      <c r="AD153" s="37"/>
      <c r="AE153" s="37"/>
      <c r="AF153" s="37"/>
    </row>
    <row r="154" spans="2:32" ht="60" customHeight="1" x14ac:dyDescent="0.25">
      <c r="B154" s="31" t="s">
        <v>801</v>
      </c>
      <c r="C154" s="32">
        <v>2015</v>
      </c>
      <c r="D154" s="33">
        <f t="shared" si="2"/>
        <v>2017</v>
      </c>
      <c r="E154" s="31" t="s">
        <v>317</v>
      </c>
      <c r="F154" s="31" t="s">
        <v>802</v>
      </c>
      <c r="G154" s="31" t="s">
        <v>803</v>
      </c>
      <c r="H154" s="31" t="s">
        <v>366</v>
      </c>
      <c r="I154" s="31" t="s">
        <v>277</v>
      </c>
      <c r="J154" s="31" t="s">
        <v>278</v>
      </c>
      <c r="K154" s="31" t="s">
        <v>163</v>
      </c>
      <c r="L154" s="31" t="s">
        <v>127</v>
      </c>
      <c r="M154" s="34">
        <v>4100000000</v>
      </c>
      <c r="N154" s="34">
        <v>0</v>
      </c>
      <c r="O154" s="34">
        <v>4100000000</v>
      </c>
      <c r="P154" s="31" t="s">
        <v>276</v>
      </c>
      <c r="Q154" s="34">
        <v>4970000</v>
      </c>
      <c r="R154" s="31" t="s">
        <v>150</v>
      </c>
      <c r="S154" s="35">
        <v>42333</v>
      </c>
      <c r="T154" s="35">
        <v>42324</v>
      </c>
      <c r="U154" s="35">
        <v>43100</v>
      </c>
      <c r="V154" s="27" t="s">
        <v>9308</v>
      </c>
      <c r="W154" s="34"/>
      <c r="X154" s="34"/>
      <c r="Y154" s="34" t="s">
        <v>125</v>
      </c>
      <c r="Z154" s="34"/>
      <c r="AA154" s="34"/>
      <c r="AB154" s="34"/>
      <c r="AC154" s="34"/>
      <c r="AD154" s="34"/>
      <c r="AE154" s="34"/>
      <c r="AF154" s="34"/>
    </row>
    <row r="155" spans="2:32" ht="60" customHeight="1" x14ac:dyDescent="0.25">
      <c r="B155" s="36" t="s">
        <v>804</v>
      </c>
      <c r="C155" s="33">
        <v>2015</v>
      </c>
      <c r="D155" s="33">
        <f t="shared" si="2"/>
        <v>2018</v>
      </c>
      <c r="E155" s="36" t="s">
        <v>126</v>
      </c>
      <c r="F155" s="36" t="s">
        <v>805</v>
      </c>
      <c r="G155" s="36" t="s">
        <v>807</v>
      </c>
      <c r="H155" s="36" t="s">
        <v>172</v>
      </c>
      <c r="I155" s="36" t="s">
        <v>775</v>
      </c>
      <c r="J155" s="36" t="s">
        <v>775</v>
      </c>
      <c r="K155" s="36" t="s">
        <v>806</v>
      </c>
      <c r="L155" s="36" t="s">
        <v>127</v>
      </c>
      <c r="M155" s="37">
        <v>2000000000</v>
      </c>
      <c r="N155" s="37">
        <v>0</v>
      </c>
      <c r="O155" s="37">
        <v>2000000000</v>
      </c>
      <c r="P155" s="36" t="s">
        <v>136</v>
      </c>
      <c r="Q155" s="37">
        <v>2000000000</v>
      </c>
      <c r="R155" s="36" t="s">
        <v>443</v>
      </c>
      <c r="S155" s="38">
        <v>42324</v>
      </c>
      <c r="T155" s="38">
        <v>42137</v>
      </c>
      <c r="U155" s="38">
        <v>43465</v>
      </c>
      <c r="V155" s="27" t="s">
        <v>9372</v>
      </c>
      <c r="W155" s="37"/>
      <c r="X155" s="37"/>
      <c r="Y155" s="37" t="s">
        <v>442</v>
      </c>
      <c r="Z155" s="37"/>
      <c r="AA155" s="37"/>
      <c r="AB155" s="37"/>
      <c r="AC155" s="37"/>
      <c r="AD155" s="37"/>
      <c r="AE155" s="37"/>
      <c r="AF155" s="37"/>
    </row>
    <row r="156" spans="2:32" ht="60" customHeight="1" x14ac:dyDescent="0.25">
      <c r="B156" s="31" t="s">
        <v>810</v>
      </c>
      <c r="C156" s="32">
        <v>2015</v>
      </c>
      <c r="D156" s="33">
        <f t="shared" si="2"/>
        <v>2020</v>
      </c>
      <c r="E156" s="31" t="s">
        <v>126</v>
      </c>
      <c r="F156" s="31" t="s">
        <v>811</v>
      </c>
      <c r="G156" s="31" t="s">
        <v>812</v>
      </c>
      <c r="H156" s="31" t="s">
        <v>172</v>
      </c>
      <c r="I156" s="31" t="s">
        <v>775</v>
      </c>
      <c r="J156" s="31" t="s">
        <v>775</v>
      </c>
      <c r="K156" s="31" t="s">
        <v>118</v>
      </c>
      <c r="L156" s="31" t="s">
        <v>127</v>
      </c>
      <c r="M156" s="34">
        <v>25000000000</v>
      </c>
      <c r="N156" s="34">
        <v>0</v>
      </c>
      <c r="O156" s="34">
        <v>25000000000</v>
      </c>
      <c r="P156" s="31" t="s">
        <v>136</v>
      </c>
      <c r="Q156" s="34">
        <v>25000000000</v>
      </c>
      <c r="R156" s="31" t="s">
        <v>443</v>
      </c>
      <c r="S156" s="35">
        <v>42341</v>
      </c>
      <c r="T156" s="35">
        <v>42137</v>
      </c>
      <c r="U156" s="35">
        <v>44196</v>
      </c>
      <c r="V156" s="27" t="s">
        <v>9308</v>
      </c>
      <c r="W156" s="34"/>
      <c r="X156" s="34"/>
      <c r="Y156" s="34" t="s">
        <v>442</v>
      </c>
      <c r="Z156" s="34"/>
      <c r="AA156" s="34"/>
      <c r="AB156" s="34"/>
      <c r="AC156" s="34"/>
      <c r="AD156" s="34"/>
      <c r="AE156" s="34"/>
      <c r="AF156" s="34"/>
    </row>
    <row r="157" spans="2:32" ht="60" customHeight="1" x14ac:dyDescent="0.25">
      <c r="B157" s="36" t="s">
        <v>813</v>
      </c>
      <c r="C157" s="33">
        <v>2015</v>
      </c>
      <c r="D157" s="33">
        <f t="shared" si="2"/>
        <v>2019</v>
      </c>
      <c r="E157" s="36" t="s">
        <v>126</v>
      </c>
      <c r="F157" s="36" t="s">
        <v>814</v>
      </c>
      <c r="G157" s="36" t="s">
        <v>815</v>
      </c>
      <c r="H157" s="36" t="s">
        <v>366</v>
      </c>
      <c r="I157" s="36" t="s">
        <v>675</v>
      </c>
      <c r="J157" s="36" t="s">
        <v>676</v>
      </c>
      <c r="K157" s="36" t="s">
        <v>142</v>
      </c>
      <c r="L157" s="36" t="s">
        <v>127</v>
      </c>
      <c r="M157" s="37">
        <v>23000000000</v>
      </c>
      <c r="N157" s="37">
        <v>0</v>
      </c>
      <c r="O157" s="37">
        <v>23000000000</v>
      </c>
      <c r="P157" s="36" t="s">
        <v>136</v>
      </c>
      <c r="Q157" s="37">
        <v>23000000000</v>
      </c>
      <c r="R157" s="36" t="s">
        <v>443</v>
      </c>
      <c r="S157" s="38">
        <v>42349</v>
      </c>
      <c r="T157" s="38">
        <v>42088</v>
      </c>
      <c r="U157" s="38">
        <v>43830</v>
      </c>
      <c r="V157" s="27" t="s">
        <v>9373</v>
      </c>
      <c r="W157" s="37"/>
      <c r="X157" s="37"/>
      <c r="Y157" s="37" t="s">
        <v>442</v>
      </c>
      <c r="Z157" s="37"/>
      <c r="AA157" s="37"/>
      <c r="AB157" s="37"/>
      <c r="AC157" s="37"/>
      <c r="AD157" s="37"/>
      <c r="AE157" s="37"/>
      <c r="AF157" s="37"/>
    </row>
    <row r="158" spans="2:32" ht="60" customHeight="1" x14ac:dyDescent="0.25">
      <c r="B158" s="31" t="s">
        <v>819</v>
      </c>
      <c r="C158" s="32">
        <v>2015</v>
      </c>
      <c r="D158" s="33">
        <f t="shared" si="2"/>
        <v>2020</v>
      </c>
      <c r="E158" s="31" t="s">
        <v>126</v>
      </c>
      <c r="F158" s="31" t="s">
        <v>820</v>
      </c>
      <c r="G158" s="31" t="s">
        <v>821</v>
      </c>
      <c r="H158" s="31" t="s">
        <v>129</v>
      </c>
      <c r="I158" s="31" t="s">
        <v>822</v>
      </c>
      <c r="J158" s="31" t="s">
        <v>823</v>
      </c>
      <c r="K158" s="31" t="s">
        <v>118</v>
      </c>
      <c r="L158" s="31" t="s">
        <v>127</v>
      </c>
      <c r="M158" s="34">
        <v>55756345000</v>
      </c>
      <c r="N158" s="34">
        <v>0</v>
      </c>
      <c r="O158" s="34">
        <v>55756345000</v>
      </c>
      <c r="P158" s="31" t="s">
        <v>122</v>
      </c>
      <c r="Q158" s="34">
        <v>85000000</v>
      </c>
      <c r="R158" s="31" t="s">
        <v>824</v>
      </c>
      <c r="S158" s="35">
        <v>42353</v>
      </c>
      <c r="T158" s="35">
        <v>42166</v>
      </c>
      <c r="U158" s="35">
        <v>44012</v>
      </c>
      <c r="V158" s="27" t="s">
        <v>9308</v>
      </c>
      <c r="W158" s="34"/>
      <c r="X158" s="34"/>
      <c r="Y158" s="34" t="s">
        <v>242</v>
      </c>
      <c r="Z158" s="34"/>
      <c r="AA158" s="34"/>
      <c r="AB158" s="34"/>
      <c r="AC158" s="34"/>
      <c r="AD158" s="34"/>
      <c r="AE158" s="34"/>
      <c r="AF158" s="34"/>
    </row>
    <row r="159" spans="2:32" ht="60" customHeight="1" x14ac:dyDescent="0.25">
      <c r="B159" s="36" t="s">
        <v>825</v>
      </c>
      <c r="C159" s="33">
        <v>2015</v>
      </c>
      <c r="D159" s="33">
        <f t="shared" si="2"/>
        <v>2021</v>
      </c>
      <c r="E159" s="36" t="s">
        <v>126</v>
      </c>
      <c r="F159" s="36" t="s">
        <v>826</v>
      </c>
      <c r="G159" s="36" t="s">
        <v>827</v>
      </c>
      <c r="H159" s="36" t="s">
        <v>151</v>
      </c>
      <c r="I159" s="36" t="s">
        <v>471</v>
      </c>
      <c r="J159" s="36" t="s">
        <v>472</v>
      </c>
      <c r="K159" s="36" t="s">
        <v>118</v>
      </c>
      <c r="L159" s="36" t="s">
        <v>127</v>
      </c>
      <c r="M159" s="37">
        <v>105605655000</v>
      </c>
      <c r="N159" s="37">
        <v>0</v>
      </c>
      <c r="O159" s="37">
        <v>105605655000</v>
      </c>
      <c r="P159" s="36" t="s">
        <v>624</v>
      </c>
      <c r="Q159" s="37">
        <v>211311310</v>
      </c>
      <c r="R159" s="36" t="s">
        <v>824</v>
      </c>
      <c r="S159" s="38">
        <v>42356</v>
      </c>
      <c r="T159" s="38">
        <v>42032</v>
      </c>
      <c r="U159" s="38">
        <v>44561</v>
      </c>
      <c r="V159" s="27" t="s">
        <v>9374</v>
      </c>
      <c r="W159" s="37"/>
      <c r="X159" s="37"/>
      <c r="Y159" s="37" t="s">
        <v>242</v>
      </c>
      <c r="Z159" s="37"/>
      <c r="AA159" s="37"/>
      <c r="AB159" s="37"/>
      <c r="AC159" s="37"/>
      <c r="AD159" s="37"/>
      <c r="AE159" s="37"/>
      <c r="AF159" s="37"/>
    </row>
    <row r="160" spans="2:32" ht="60" customHeight="1" x14ac:dyDescent="0.25">
      <c r="B160" s="31" t="s">
        <v>830</v>
      </c>
      <c r="C160" s="32">
        <v>2015</v>
      </c>
      <c r="D160" s="33">
        <f t="shared" si="2"/>
        <v>2019</v>
      </c>
      <c r="E160" s="31" t="s">
        <v>126</v>
      </c>
      <c r="F160" s="31" t="s">
        <v>831</v>
      </c>
      <c r="G160" s="31" t="s">
        <v>832</v>
      </c>
      <c r="H160" s="31" t="s">
        <v>129</v>
      </c>
      <c r="I160" s="31" t="s">
        <v>267</v>
      </c>
      <c r="J160" s="31" t="s">
        <v>267</v>
      </c>
      <c r="K160" s="31" t="s">
        <v>190</v>
      </c>
      <c r="L160" s="31" t="s">
        <v>159</v>
      </c>
      <c r="M160" s="34">
        <v>0</v>
      </c>
      <c r="N160" s="34">
        <v>7871484000</v>
      </c>
      <c r="O160" s="34">
        <v>7871484000</v>
      </c>
      <c r="P160" s="31" t="s">
        <v>122</v>
      </c>
      <c r="Q160" s="34">
        <v>12000000</v>
      </c>
      <c r="R160" s="31" t="s">
        <v>159</v>
      </c>
      <c r="S160" s="35">
        <v>42359</v>
      </c>
      <c r="T160" s="35">
        <v>42311</v>
      </c>
      <c r="U160" s="35">
        <v>43830</v>
      </c>
      <c r="V160" s="27" t="s">
        <v>9308</v>
      </c>
      <c r="W160" s="34"/>
      <c r="X160" s="34"/>
      <c r="Y160" s="34" t="s">
        <v>242</v>
      </c>
      <c r="Z160" s="34"/>
      <c r="AA160" s="34"/>
      <c r="AB160" s="34"/>
      <c r="AC160" s="34"/>
      <c r="AD160" s="34"/>
      <c r="AE160" s="34"/>
      <c r="AF160" s="34"/>
    </row>
    <row r="161" spans="2:32" ht="60" customHeight="1" x14ac:dyDescent="0.25">
      <c r="B161" s="36" t="s">
        <v>833</v>
      </c>
      <c r="C161" s="33">
        <v>2015</v>
      </c>
      <c r="D161" s="33">
        <f t="shared" si="2"/>
        <v>2019</v>
      </c>
      <c r="E161" s="36" t="s">
        <v>126</v>
      </c>
      <c r="F161" s="36" t="s">
        <v>834</v>
      </c>
      <c r="G161" s="36" t="s">
        <v>835</v>
      </c>
      <c r="H161" s="36" t="s">
        <v>129</v>
      </c>
      <c r="I161" s="36" t="s">
        <v>267</v>
      </c>
      <c r="J161" s="36" t="s">
        <v>267</v>
      </c>
      <c r="K161" s="36" t="s">
        <v>163</v>
      </c>
      <c r="L161" s="36" t="s">
        <v>159</v>
      </c>
      <c r="M161" s="37">
        <v>0</v>
      </c>
      <c r="N161" s="37">
        <v>6559750000</v>
      </c>
      <c r="O161" s="37">
        <v>6559750000</v>
      </c>
      <c r="P161" s="36" t="s">
        <v>122</v>
      </c>
      <c r="Q161" s="37">
        <v>10000000</v>
      </c>
      <c r="R161" s="36" t="s">
        <v>159</v>
      </c>
      <c r="S161" s="38">
        <v>42368</v>
      </c>
      <c r="T161" s="38">
        <v>42352</v>
      </c>
      <c r="U161" s="38">
        <v>43830</v>
      </c>
      <c r="V161" s="27" t="s">
        <v>9307</v>
      </c>
      <c r="W161" s="37"/>
      <c r="X161" s="37"/>
      <c r="Y161" s="37" t="s">
        <v>242</v>
      </c>
      <c r="Z161" s="37"/>
      <c r="AA161" s="37"/>
      <c r="AB161" s="37"/>
      <c r="AC161" s="37"/>
      <c r="AD161" s="37"/>
      <c r="AE161" s="37"/>
      <c r="AF161" s="37"/>
    </row>
    <row r="162" spans="2:32" ht="60" customHeight="1" x14ac:dyDescent="0.25">
      <c r="B162" s="31" t="s">
        <v>836</v>
      </c>
      <c r="C162" s="32">
        <v>2015</v>
      </c>
      <c r="D162" s="33">
        <f t="shared" si="2"/>
        <v>2018</v>
      </c>
      <c r="E162" s="31" t="s">
        <v>126</v>
      </c>
      <c r="F162" s="31" t="s">
        <v>837</v>
      </c>
      <c r="G162" s="31" t="s">
        <v>838</v>
      </c>
      <c r="H162" s="31" t="s">
        <v>151</v>
      </c>
      <c r="I162" s="31" t="s">
        <v>441</v>
      </c>
      <c r="J162" s="31" t="s">
        <v>441</v>
      </c>
      <c r="K162" s="31" t="s">
        <v>142</v>
      </c>
      <c r="L162" s="31" t="s">
        <v>127</v>
      </c>
      <c r="M162" s="34">
        <v>15983239315</v>
      </c>
      <c r="N162" s="34">
        <v>0</v>
      </c>
      <c r="O162" s="34">
        <v>15983239315</v>
      </c>
      <c r="P162" s="31" t="s">
        <v>136</v>
      </c>
      <c r="Q162" s="34">
        <v>15983239315</v>
      </c>
      <c r="R162" s="31" t="s">
        <v>841</v>
      </c>
      <c r="S162" s="35">
        <v>42368</v>
      </c>
      <c r="T162" s="35">
        <v>42060</v>
      </c>
      <c r="U162" s="35">
        <v>43465</v>
      </c>
      <c r="V162" s="27" t="s">
        <v>9375</v>
      </c>
      <c r="W162" s="34"/>
      <c r="X162" s="34"/>
      <c r="Y162" s="34" t="s">
        <v>442</v>
      </c>
      <c r="Z162" s="34"/>
      <c r="AA162" s="34"/>
      <c r="AB162" s="34"/>
      <c r="AC162" s="34"/>
      <c r="AD162" s="34"/>
      <c r="AE162" s="34"/>
      <c r="AF162" s="34"/>
    </row>
    <row r="163" spans="2:32" ht="76.5" customHeight="1" x14ac:dyDescent="0.25">
      <c r="B163" s="36" t="s">
        <v>842</v>
      </c>
      <c r="C163" s="33">
        <v>2015</v>
      </c>
      <c r="D163" s="33">
        <f t="shared" si="2"/>
        <v>2023</v>
      </c>
      <c r="E163" s="36" t="s">
        <v>126</v>
      </c>
      <c r="F163" s="36" t="s">
        <v>843</v>
      </c>
      <c r="G163" s="36" t="s">
        <v>844</v>
      </c>
      <c r="H163" s="36" t="s">
        <v>847</v>
      </c>
      <c r="I163" s="36" t="s">
        <v>337</v>
      </c>
      <c r="J163" s="36" t="s">
        <v>338</v>
      </c>
      <c r="K163" s="36" t="s">
        <v>190</v>
      </c>
      <c r="L163" s="36" t="s">
        <v>127</v>
      </c>
      <c r="M163" s="37">
        <v>7871484000</v>
      </c>
      <c r="N163" s="37">
        <v>0</v>
      </c>
      <c r="O163" s="37">
        <v>7871484000</v>
      </c>
      <c r="P163" s="36" t="s">
        <v>122</v>
      </c>
      <c r="Q163" s="37">
        <v>12000000</v>
      </c>
      <c r="R163" s="36" t="s">
        <v>150</v>
      </c>
      <c r="S163" s="38">
        <v>42051</v>
      </c>
      <c r="T163" s="37"/>
      <c r="U163" s="38">
        <v>44957</v>
      </c>
      <c r="V163" s="27" t="s">
        <v>9376</v>
      </c>
      <c r="W163" s="37"/>
      <c r="X163" s="37"/>
      <c r="Y163" s="37" t="s">
        <v>242</v>
      </c>
      <c r="Z163" s="37"/>
      <c r="AA163" s="37"/>
      <c r="AB163" s="37"/>
      <c r="AC163" s="37"/>
      <c r="AD163" s="37"/>
      <c r="AE163" s="37"/>
      <c r="AF163" s="37"/>
    </row>
    <row r="164" spans="2:32" ht="60" customHeight="1" x14ac:dyDescent="0.25">
      <c r="B164" s="31" t="s">
        <v>848</v>
      </c>
      <c r="C164" s="41">
        <v>2016</v>
      </c>
      <c r="D164" s="42">
        <f t="shared" si="2"/>
        <v>2024</v>
      </c>
      <c r="E164" s="31" t="s">
        <v>126</v>
      </c>
      <c r="F164" s="31" t="s">
        <v>826</v>
      </c>
      <c r="G164" s="31" t="s">
        <v>849</v>
      </c>
      <c r="H164" s="31" t="s">
        <v>151</v>
      </c>
      <c r="I164" s="31" t="s">
        <v>471</v>
      </c>
      <c r="J164" s="31" t="s">
        <v>472</v>
      </c>
      <c r="K164" s="31" t="s">
        <v>118</v>
      </c>
      <c r="L164" s="31" t="s">
        <v>127</v>
      </c>
      <c r="M164" s="34">
        <v>32400000000</v>
      </c>
      <c r="N164" s="34">
        <v>0</v>
      </c>
      <c r="O164" s="34">
        <v>32400000000</v>
      </c>
      <c r="P164" s="31" t="s">
        <v>357</v>
      </c>
      <c r="Q164" s="34">
        <v>400000000</v>
      </c>
      <c r="R164" s="31" t="s">
        <v>150</v>
      </c>
      <c r="S164" s="35">
        <v>42604</v>
      </c>
      <c r="T164" s="35">
        <v>42563</v>
      </c>
      <c r="U164" s="35">
        <v>45657</v>
      </c>
      <c r="V164" s="27" t="s">
        <v>9374</v>
      </c>
      <c r="W164" s="34"/>
      <c r="X164" s="34"/>
      <c r="Y164" s="34" t="s">
        <v>242</v>
      </c>
      <c r="Z164" s="34"/>
      <c r="AA164" s="34"/>
      <c r="AB164" s="34"/>
      <c r="AC164" s="34"/>
      <c r="AD164" s="34"/>
      <c r="AE164" s="34"/>
      <c r="AF164" s="34"/>
    </row>
    <row r="165" spans="2:32" ht="60" customHeight="1" x14ac:dyDescent="0.25">
      <c r="B165" s="36" t="s">
        <v>850</v>
      </c>
      <c r="C165" s="33">
        <v>2016</v>
      </c>
      <c r="D165" s="33">
        <f t="shared" si="2"/>
        <v>2018</v>
      </c>
      <c r="E165" s="36" t="s">
        <v>235</v>
      </c>
      <c r="F165" s="36" t="s">
        <v>851</v>
      </c>
      <c r="G165" s="36" t="s">
        <v>852</v>
      </c>
      <c r="H165" s="36" t="s">
        <v>853</v>
      </c>
      <c r="I165" s="36" t="s">
        <v>123</v>
      </c>
      <c r="J165" s="36" t="s">
        <v>124</v>
      </c>
      <c r="K165" s="36" t="s">
        <v>163</v>
      </c>
      <c r="L165" s="36" t="s">
        <v>127</v>
      </c>
      <c r="M165" s="37">
        <v>3000000000</v>
      </c>
      <c r="N165" s="37">
        <v>0</v>
      </c>
      <c r="O165" s="37">
        <v>3000000000</v>
      </c>
      <c r="P165" s="36" t="s">
        <v>136</v>
      </c>
      <c r="Q165" s="37">
        <v>3000000000</v>
      </c>
      <c r="R165" s="36" t="s">
        <v>236</v>
      </c>
      <c r="S165" s="38">
        <v>42464</v>
      </c>
      <c r="T165" s="38">
        <v>42387</v>
      </c>
      <c r="U165" s="38">
        <v>43465</v>
      </c>
      <c r="V165" s="27" t="s">
        <v>9307</v>
      </c>
      <c r="W165" s="37"/>
      <c r="X165" s="37"/>
      <c r="Y165" s="37" t="s">
        <v>125</v>
      </c>
      <c r="Z165" s="37"/>
      <c r="AA165" s="37"/>
      <c r="AB165" s="37"/>
      <c r="AC165" s="37"/>
      <c r="AD165" s="37"/>
      <c r="AE165" s="37"/>
      <c r="AF165" s="37"/>
    </row>
    <row r="166" spans="2:32" ht="51" customHeight="1" x14ac:dyDescent="0.25">
      <c r="B166" s="31" t="s">
        <v>854</v>
      </c>
      <c r="C166" s="41">
        <v>2016</v>
      </c>
      <c r="D166" s="42">
        <f t="shared" si="2"/>
        <v>2023</v>
      </c>
      <c r="E166" s="31" t="s">
        <v>126</v>
      </c>
      <c r="F166" s="31" t="s">
        <v>855</v>
      </c>
      <c r="G166" s="31" t="s">
        <v>857</v>
      </c>
      <c r="H166" s="31" t="s">
        <v>129</v>
      </c>
      <c r="I166" s="31" t="s">
        <v>738</v>
      </c>
      <c r="J166" s="31" t="s">
        <v>739</v>
      </c>
      <c r="K166" s="31" t="s">
        <v>190</v>
      </c>
      <c r="L166" s="31" t="s">
        <v>127</v>
      </c>
      <c r="M166" s="34">
        <v>16984914535</v>
      </c>
      <c r="N166" s="34">
        <v>0</v>
      </c>
      <c r="O166" s="34">
        <v>16984914535</v>
      </c>
      <c r="P166" s="31" t="s">
        <v>136</v>
      </c>
      <c r="Q166" s="34">
        <v>16984914535</v>
      </c>
      <c r="R166" s="31" t="s">
        <v>443</v>
      </c>
      <c r="S166" s="35">
        <v>42501</v>
      </c>
      <c r="T166" s="35">
        <v>42401</v>
      </c>
      <c r="U166" s="35">
        <v>45291</v>
      </c>
      <c r="V166" s="27" t="s">
        <v>9377</v>
      </c>
      <c r="W166" s="31" t="s">
        <v>557</v>
      </c>
      <c r="X166" s="31" t="s">
        <v>859</v>
      </c>
      <c r="Y166" s="31" t="s">
        <v>442</v>
      </c>
      <c r="Z166" s="31" t="s">
        <v>856</v>
      </c>
      <c r="AA166" s="31" t="s">
        <v>862</v>
      </c>
      <c r="AB166" s="31" t="s">
        <v>861</v>
      </c>
      <c r="AC166" s="31" t="s">
        <v>863</v>
      </c>
      <c r="AD166" s="34">
        <v>2.2999999999999998</v>
      </c>
      <c r="AE166" s="31" t="s">
        <v>864</v>
      </c>
      <c r="AF166" s="31" t="s">
        <v>860</v>
      </c>
    </row>
    <row r="167" spans="2:32" ht="60" customHeight="1" x14ac:dyDescent="0.25">
      <c r="B167" s="36" t="s">
        <v>865</v>
      </c>
      <c r="C167" s="42">
        <v>2016</v>
      </c>
      <c r="D167" s="42">
        <f t="shared" si="2"/>
        <v>2023</v>
      </c>
      <c r="E167" s="36" t="s">
        <v>126</v>
      </c>
      <c r="F167" s="36" t="s">
        <v>855</v>
      </c>
      <c r="G167" s="36" t="s">
        <v>866</v>
      </c>
      <c r="H167" s="36" t="s">
        <v>853</v>
      </c>
      <c r="I167" s="36" t="s">
        <v>123</v>
      </c>
      <c r="J167" s="36" t="s">
        <v>124</v>
      </c>
      <c r="K167" s="36" t="s">
        <v>190</v>
      </c>
      <c r="L167" s="36" t="s">
        <v>127</v>
      </c>
      <c r="M167" s="37">
        <v>15000000000</v>
      </c>
      <c r="N167" s="37">
        <v>0</v>
      </c>
      <c r="O167" s="37">
        <v>15000000000</v>
      </c>
      <c r="P167" s="36" t="s">
        <v>136</v>
      </c>
      <c r="Q167" s="37">
        <v>15000000000</v>
      </c>
      <c r="R167" s="36" t="s">
        <v>128</v>
      </c>
      <c r="S167" s="38">
        <v>42432</v>
      </c>
      <c r="T167" s="38">
        <v>42401</v>
      </c>
      <c r="U167" s="38">
        <v>45291</v>
      </c>
      <c r="V167" s="27" t="s">
        <v>9377</v>
      </c>
      <c r="W167" s="36" t="s">
        <v>557</v>
      </c>
      <c r="X167" s="36" t="s">
        <v>859</v>
      </c>
      <c r="Y167" s="36" t="s">
        <v>125</v>
      </c>
      <c r="Z167" s="36" t="s">
        <v>856</v>
      </c>
      <c r="AA167" s="36" t="s">
        <v>862</v>
      </c>
      <c r="AB167" s="36" t="s">
        <v>861</v>
      </c>
      <c r="AC167" s="36" t="s">
        <v>863</v>
      </c>
      <c r="AD167" s="37">
        <v>2.2999999999999998</v>
      </c>
      <c r="AE167" s="36" t="s">
        <v>864</v>
      </c>
      <c r="AF167" s="36" t="s">
        <v>860</v>
      </c>
    </row>
    <row r="168" spans="2:32" ht="60" customHeight="1" x14ac:dyDescent="0.25">
      <c r="B168" s="31" t="s">
        <v>867</v>
      </c>
      <c r="C168" s="41">
        <v>2016</v>
      </c>
      <c r="D168" s="42">
        <f t="shared" si="2"/>
        <v>2023</v>
      </c>
      <c r="E168" s="31" t="s">
        <v>126</v>
      </c>
      <c r="F168" s="31" t="s">
        <v>855</v>
      </c>
      <c r="G168" s="31" t="s">
        <v>868</v>
      </c>
      <c r="H168" s="31" t="s">
        <v>139</v>
      </c>
      <c r="I168" s="31" t="s">
        <v>137</v>
      </c>
      <c r="J168" s="31" t="s">
        <v>138</v>
      </c>
      <c r="K168" s="31" t="s">
        <v>190</v>
      </c>
      <c r="L168" s="31" t="s">
        <v>127</v>
      </c>
      <c r="M168" s="34">
        <v>15000000000</v>
      </c>
      <c r="N168" s="34">
        <v>0</v>
      </c>
      <c r="O168" s="34">
        <v>15000000000</v>
      </c>
      <c r="P168" s="31" t="s">
        <v>136</v>
      </c>
      <c r="Q168" s="34">
        <v>15000000000</v>
      </c>
      <c r="R168" s="31" t="s">
        <v>128</v>
      </c>
      <c r="S168" s="35">
        <v>42510</v>
      </c>
      <c r="T168" s="35">
        <v>42401</v>
      </c>
      <c r="U168" s="35">
        <v>45291</v>
      </c>
      <c r="V168" s="27" t="s">
        <v>9377</v>
      </c>
      <c r="W168" s="31" t="s">
        <v>557</v>
      </c>
      <c r="X168" s="31" t="s">
        <v>859</v>
      </c>
      <c r="Y168" s="31" t="s">
        <v>125</v>
      </c>
      <c r="Z168" s="31" t="s">
        <v>856</v>
      </c>
      <c r="AA168" s="31" t="s">
        <v>862</v>
      </c>
      <c r="AB168" s="31" t="s">
        <v>861</v>
      </c>
      <c r="AC168" s="31" t="s">
        <v>863</v>
      </c>
      <c r="AD168" s="34">
        <v>2.2999999999999998</v>
      </c>
      <c r="AE168" s="31" t="s">
        <v>864</v>
      </c>
      <c r="AF168" s="31" t="s">
        <v>860</v>
      </c>
    </row>
    <row r="169" spans="2:32" ht="60" customHeight="1" x14ac:dyDescent="0.25">
      <c r="B169" s="36" t="s">
        <v>869</v>
      </c>
      <c r="C169" s="42">
        <v>2016</v>
      </c>
      <c r="D169" s="42">
        <f t="shared" si="2"/>
        <v>2023</v>
      </c>
      <c r="E169" s="36" t="s">
        <v>126</v>
      </c>
      <c r="F169" s="36" t="s">
        <v>855</v>
      </c>
      <c r="G169" s="36" t="s">
        <v>870</v>
      </c>
      <c r="H169" s="36" t="s">
        <v>326</v>
      </c>
      <c r="I169" s="36" t="s">
        <v>612</v>
      </c>
      <c r="J169" s="36" t="s">
        <v>149</v>
      </c>
      <c r="K169" s="36" t="s">
        <v>190</v>
      </c>
      <c r="L169" s="36" t="s">
        <v>127</v>
      </c>
      <c r="M169" s="37">
        <v>7000000000</v>
      </c>
      <c r="N169" s="37">
        <v>0</v>
      </c>
      <c r="O169" s="37">
        <v>7000000000</v>
      </c>
      <c r="P169" s="36" t="s">
        <v>624</v>
      </c>
      <c r="Q169" s="37">
        <v>12000000</v>
      </c>
      <c r="R169" s="36" t="s">
        <v>150</v>
      </c>
      <c r="S169" s="38">
        <v>42683</v>
      </c>
      <c r="T169" s="38">
        <v>42535</v>
      </c>
      <c r="U169" s="38">
        <v>45291</v>
      </c>
      <c r="V169" s="27" t="s">
        <v>9377</v>
      </c>
      <c r="W169" s="36" t="s">
        <v>557</v>
      </c>
      <c r="X169" s="36" t="s">
        <v>859</v>
      </c>
      <c r="Y169" s="36" t="s">
        <v>125</v>
      </c>
      <c r="Z169" s="36" t="s">
        <v>856</v>
      </c>
      <c r="AA169" s="36" t="s">
        <v>862</v>
      </c>
      <c r="AB169" s="36" t="s">
        <v>861</v>
      </c>
      <c r="AC169" s="36" t="s">
        <v>863</v>
      </c>
      <c r="AD169" s="37">
        <v>2.2999999999999998</v>
      </c>
      <c r="AE169" s="36" t="s">
        <v>864</v>
      </c>
      <c r="AF169" s="36" t="s">
        <v>860</v>
      </c>
    </row>
    <row r="170" spans="2:32" ht="60" customHeight="1" x14ac:dyDescent="0.25">
      <c r="B170" s="31" t="s">
        <v>871</v>
      </c>
      <c r="C170" s="32">
        <v>2016</v>
      </c>
      <c r="D170" s="33">
        <f t="shared" si="2"/>
        <v>2018</v>
      </c>
      <c r="E170" s="31" t="s">
        <v>235</v>
      </c>
      <c r="F170" s="31" t="s">
        <v>872</v>
      </c>
      <c r="G170" s="31" t="s">
        <v>874</v>
      </c>
      <c r="H170" s="31" t="s">
        <v>181</v>
      </c>
      <c r="I170" s="31" t="s">
        <v>178</v>
      </c>
      <c r="J170" s="31" t="s">
        <v>179</v>
      </c>
      <c r="K170" s="31" t="s">
        <v>873</v>
      </c>
      <c r="L170" s="31" t="s">
        <v>127</v>
      </c>
      <c r="M170" s="34">
        <v>15000000000</v>
      </c>
      <c r="N170" s="34">
        <v>0</v>
      </c>
      <c r="O170" s="34">
        <v>15000000000</v>
      </c>
      <c r="P170" s="31" t="s">
        <v>624</v>
      </c>
      <c r="Q170" s="34">
        <v>25000000</v>
      </c>
      <c r="R170" s="31" t="s">
        <v>236</v>
      </c>
      <c r="S170" s="35">
        <v>42472</v>
      </c>
      <c r="T170" s="35">
        <v>42405</v>
      </c>
      <c r="U170" s="35">
        <v>43465</v>
      </c>
      <c r="V170" s="27" t="s">
        <v>9378</v>
      </c>
      <c r="W170" s="34"/>
      <c r="X170" s="34"/>
      <c r="Y170" s="34" t="s">
        <v>125</v>
      </c>
      <c r="Z170" s="34"/>
      <c r="AA170" s="34"/>
      <c r="AB170" s="34"/>
      <c r="AC170" s="34"/>
      <c r="AD170" s="34"/>
      <c r="AE170" s="34"/>
      <c r="AF170" s="34"/>
    </row>
    <row r="171" spans="2:32" ht="60" customHeight="1" x14ac:dyDescent="0.25">
      <c r="B171" s="36" t="s">
        <v>877</v>
      </c>
      <c r="C171" s="42">
        <v>2016</v>
      </c>
      <c r="D171" s="42">
        <f t="shared" si="2"/>
        <v>2021</v>
      </c>
      <c r="E171" s="36" t="s">
        <v>126</v>
      </c>
      <c r="F171" s="36" t="s">
        <v>878</v>
      </c>
      <c r="G171" s="36" t="s">
        <v>879</v>
      </c>
      <c r="H171" s="36" t="s">
        <v>151</v>
      </c>
      <c r="I171" s="36" t="s">
        <v>168</v>
      </c>
      <c r="J171" s="36" t="s">
        <v>169</v>
      </c>
      <c r="K171" s="36" t="s">
        <v>446</v>
      </c>
      <c r="L171" s="36" t="s">
        <v>127</v>
      </c>
      <c r="M171" s="37">
        <v>5500000000</v>
      </c>
      <c r="N171" s="37">
        <v>0</v>
      </c>
      <c r="O171" s="37">
        <v>5500000000</v>
      </c>
      <c r="P171" s="36" t="s">
        <v>624</v>
      </c>
      <c r="Q171" s="37">
        <v>10000000</v>
      </c>
      <c r="R171" s="36" t="s">
        <v>150</v>
      </c>
      <c r="S171" s="38">
        <v>42515</v>
      </c>
      <c r="T171" s="38">
        <v>42433</v>
      </c>
      <c r="U171" s="38">
        <v>44561</v>
      </c>
      <c r="V171" s="27" t="s">
        <v>9308</v>
      </c>
      <c r="W171" s="36" t="s">
        <v>557</v>
      </c>
      <c r="X171" s="36" t="s">
        <v>880</v>
      </c>
      <c r="Y171" s="36" t="s">
        <v>125</v>
      </c>
      <c r="Z171" s="36" t="s">
        <v>856</v>
      </c>
      <c r="AA171" s="36" t="s">
        <v>862</v>
      </c>
      <c r="AB171" s="36" t="s">
        <v>861</v>
      </c>
      <c r="AC171" s="36" t="s">
        <v>863</v>
      </c>
      <c r="AD171" s="37">
        <v>2.2999999999999998</v>
      </c>
      <c r="AE171" s="36" t="s">
        <v>864</v>
      </c>
      <c r="AF171" s="36" t="s">
        <v>860</v>
      </c>
    </row>
    <row r="172" spans="2:32" ht="60" customHeight="1" x14ac:dyDescent="0.25">
      <c r="B172" s="31" t="s">
        <v>881</v>
      </c>
      <c r="C172" s="32">
        <v>2016</v>
      </c>
      <c r="D172" s="33">
        <f t="shared" si="2"/>
        <v>2022</v>
      </c>
      <c r="E172" s="31" t="s">
        <v>126</v>
      </c>
      <c r="F172" s="31" t="s">
        <v>882</v>
      </c>
      <c r="G172" s="31" t="s">
        <v>883</v>
      </c>
      <c r="H172" s="31" t="s">
        <v>151</v>
      </c>
      <c r="I172" s="31" t="s">
        <v>168</v>
      </c>
      <c r="J172" s="31" t="s">
        <v>169</v>
      </c>
      <c r="K172" s="31" t="s">
        <v>142</v>
      </c>
      <c r="L172" s="31" t="s">
        <v>127</v>
      </c>
      <c r="M172" s="34">
        <v>2750000000</v>
      </c>
      <c r="N172" s="34">
        <v>0</v>
      </c>
      <c r="O172" s="34">
        <v>2750000000</v>
      </c>
      <c r="P172" s="31" t="s">
        <v>624</v>
      </c>
      <c r="Q172" s="34">
        <v>5000000</v>
      </c>
      <c r="R172" s="31" t="s">
        <v>150</v>
      </c>
      <c r="S172" s="35">
        <v>42525</v>
      </c>
      <c r="T172" s="35">
        <v>42439</v>
      </c>
      <c r="U172" s="35">
        <v>44926</v>
      </c>
      <c r="V172" s="27" t="s">
        <v>9342</v>
      </c>
      <c r="W172" s="34"/>
      <c r="X172" s="34"/>
      <c r="Y172" s="34" t="s">
        <v>125</v>
      </c>
      <c r="Z172" s="34"/>
      <c r="AA172" s="34"/>
      <c r="AB172" s="34"/>
      <c r="AC172" s="34"/>
      <c r="AD172" s="34"/>
      <c r="AE172" s="34"/>
      <c r="AF172" s="34"/>
    </row>
    <row r="173" spans="2:32" ht="60" customHeight="1" x14ac:dyDescent="0.25">
      <c r="B173" s="36" t="s">
        <v>884</v>
      </c>
      <c r="C173" s="33">
        <v>2016</v>
      </c>
      <c r="D173" s="33">
        <f t="shared" si="2"/>
        <v>2021</v>
      </c>
      <c r="E173" s="36" t="s">
        <v>126</v>
      </c>
      <c r="F173" s="36" t="s">
        <v>885</v>
      </c>
      <c r="G173" s="36" t="s">
        <v>886</v>
      </c>
      <c r="H173" s="36" t="s">
        <v>139</v>
      </c>
      <c r="I173" s="36" t="s">
        <v>137</v>
      </c>
      <c r="J173" s="36" t="s">
        <v>138</v>
      </c>
      <c r="K173" s="36" t="s">
        <v>142</v>
      </c>
      <c r="L173" s="36" t="s">
        <v>127</v>
      </c>
      <c r="M173" s="37">
        <v>10000000000</v>
      </c>
      <c r="N173" s="37">
        <v>0</v>
      </c>
      <c r="O173" s="37">
        <v>10000000000</v>
      </c>
      <c r="P173" s="36" t="s">
        <v>136</v>
      </c>
      <c r="Q173" s="37">
        <v>10000000000</v>
      </c>
      <c r="R173" s="36" t="s">
        <v>128</v>
      </c>
      <c r="S173" s="38">
        <v>42501</v>
      </c>
      <c r="T173" s="38">
        <v>42443</v>
      </c>
      <c r="U173" s="38">
        <v>44561</v>
      </c>
      <c r="V173" s="27" t="s">
        <v>9379</v>
      </c>
      <c r="W173" s="37"/>
      <c r="X173" s="37"/>
      <c r="Y173" s="37" t="s">
        <v>125</v>
      </c>
      <c r="Z173" s="37"/>
      <c r="AA173" s="37"/>
      <c r="AB173" s="37"/>
      <c r="AC173" s="37"/>
      <c r="AD173" s="37"/>
      <c r="AE173" s="37"/>
      <c r="AF173" s="37"/>
    </row>
    <row r="174" spans="2:32" ht="60" customHeight="1" x14ac:dyDescent="0.25">
      <c r="B174" s="31" t="s">
        <v>888</v>
      </c>
      <c r="C174" s="41">
        <v>2016</v>
      </c>
      <c r="D174" s="42">
        <f t="shared" si="2"/>
        <v>2020</v>
      </c>
      <c r="E174" s="31" t="s">
        <v>126</v>
      </c>
      <c r="F174" s="31" t="s">
        <v>889</v>
      </c>
      <c r="G174" s="31" t="s">
        <v>890</v>
      </c>
      <c r="H174" s="31" t="s">
        <v>129</v>
      </c>
      <c r="I174" s="31" t="s">
        <v>892</v>
      </c>
      <c r="J174" s="31" t="s">
        <v>893</v>
      </c>
      <c r="K174" s="31" t="s">
        <v>263</v>
      </c>
      <c r="L174" s="31" t="s">
        <v>159</v>
      </c>
      <c r="M174" s="34">
        <v>0</v>
      </c>
      <c r="N174" s="34">
        <v>5300000000</v>
      </c>
      <c r="O174" s="34">
        <v>5300000000</v>
      </c>
      <c r="P174" s="31" t="s">
        <v>624</v>
      </c>
      <c r="Q174" s="34">
        <v>10710000</v>
      </c>
      <c r="R174" s="31" t="s">
        <v>159</v>
      </c>
      <c r="S174" s="35">
        <v>42502</v>
      </c>
      <c r="T174" s="35">
        <v>42460</v>
      </c>
      <c r="U174" s="35">
        <v>44196</v>
      </c>
      <c r="V174" s="27" t="s">
        <v>9380</v>
      </c>
      <c r="W174" s="31" t="s">
        <v>557</v>
      </c>
      <c r="X174" s="31" t="s">
        <v>880</v>
      </c>
      <c r="Y174" s="31" t="s">
        <v>242</v>
      </c>
      <c r="Z174" s="31" t="s">
        <v>555</v>
      </c>
      <c r="AA174" s="31" t="s">
        <v>561</v>
      </c>
      <c r="AB174" s="31" t="s">
        <v>560</v>
      </c>
      <c r="AC174" s="31" t="s">
        <v>562</v>
      </c>
      <c r="AD174" s="34">
        <v>6.1</v>
      </c>
      <c r="AE174" s="31" t="s">
        <v>563</v>
      </c>
      <c r="AF174" s="31" t="s">
        <v>860</v>
      </c>
    </row>
    <row r="175" spans="2:32" ht="105" customHeight="1" x14ac:dyDescent="0.25">
      <c r="B175" s="36" t="s">
        <v>894</v>
      </c>
      <c r="C175" s="42">
        <v>2016</v>
      </c>
      <c r="D175" s="42">
        <f t="shared" si="2"/>
        <v>2023</v>
      </c>
      <c r="E175" s="36" t="s">
        <v>126</v>
      </c>
      <c r="F175" s="36" t="s">
        <v>895</v>
      </c>
      <c r="G175" s="36" t="s">
        <v>897</v>
      </c>
      <c r="H175" s="36" t="s">
        <v>151</v>
      </c>
      <c r="I175" s="36" t="s">
        <v>168</v>
      </c>
      <c r="J175" s="36" t="s">
        <v>169</v>
      </c>
      <c r="K175" s="36" t="s">
        <v>315</v>
      </c>
      <c r="L175" s="36" t="s">
        <v>127</v>
      </c>
      <c r="M175" s="37">
        <v>96200000000</v>
      </c>
      <c r="N175" s="37">
        <v>0</v>
      </c>
      <c r="O175" s="37">
        <v>96200000000</v>
      </c>
      <c r="P175" s="36" t="s">
        <v>122</v>
      </c>
      <c r="Q175" s="37">
        <v>146650000</v>
      </c>
      <c r="R175" s="36" t="s">
        <v>903</v>
      </c>
      <c r="S175" s="38">
        <v>42515</v>
      </c>
      <c r="T175" s="38">
        <v>42467</v>
      </c>
      <c r="U175" s="38">
        <v>45291</v>
      </c>
      <c r="V175" s="27" t="s">
        <v>9381</v>
      </c>
      <c r="W175" s="36" t="s">
        <v>557</v>
      </c>
      <c r="X175" s="36" t="s">
        <v>558</v>
      </c>
      <c r="Y175" s="36" t="s">
        <v>125</v>
      </c>
      <c r="Z175" s="36" t="s">
        <v>896</v>
      </c>
      <c r="AA175" s="36" t="s">
        <v>900</v>
      </c>
      <c r="AB175" s="36" t="s">
        <v>861</v>
      </c>
      <c r="AC175" s="36" t="s">
        <v>901</v>
      </c>
      <c r="AD175" s="37">
        <v>4.0999999999999996</v>
      </c>
      <c r="AE175" s="36" t="s">
        <v>902</v>
      </c>
      <c r="AF175" s="36" t="s">
        <v>860</v>
      </c>
    </row>
    <row r="176" spans="2:32" ht="60" customHeight="1" x14ac:dyDescent="0.25">
      <c r="B176" s="31" t="s">
        <v>904</v>
      </c>
      <c r="C176" s="32">
        <v>2016</v>
      </c>
      <c r="D176" s="33">
        <f t="shared" si="2"/>
        <v>2021</v>
      </c>
      <c r="E176" s="31" t="s">
        <v>126</v>
      </c>
      <c r="F176" s="31" t="s">
        <v>905</v>
      </c>
      <c r="G176" s="31" t="s">
        <v>906</v>
      </c>
      <c r="H176" s="31" t="s">
        <v>151</v>
      </c>
      <c r="I176" s="31" t="s">
        <v>168</v>
      </c>
      <c r="J176" s="31" t="s">
        <v>169</v>
      </c>
      <c r="K176" s="31" t="s">
        <v>446</v>
      </c>
      <c r="L176" s="31" t="s">
        <v>127</v>
      </c>
      <c r="M176" s="34">
        <v>16500000000</v>
      </c>
      <c r="N176" s="34">
        <v>0</v>
      </c>
      <c r="O176" s="34">
        <v>16500000000</v>
      </c>
      <c r="P176" s="31" t="s">
        <v>624</v>
      </c>
      <c r="Q176" s="34">
        <v>30000000</v>
      </c>
      <c r="R176" s="31" t="s">
        <v>907</v>
      </c>
      <c r="S176" s="35">
        <v>42515</v>
      </c>
      <c r="T176" s="35">
        <v>42467</v>
      </c>
      <c r="U176" s="35">
        <v>44561</v>
      </c>
      <c r="V176" s="27" t="s">
        <v>9308</v>
      </c>
      <c r="W176" s="34"/>
      <c r="X176" s="34"/>
      <c r="Y176" s="34" t="s">
        <v>125</v>
      </c>
      <c r="Z176" s="34"/>
      <c r="AA176" s="34"/>
      <c r="AB176" s="34"/>
      <c r="AC176" s="34"/>
      <c r="AD176" s="34"/>
      <c r="AE176" s="34"/>
      <c r="AF176" s="34"/>
    </row>
    <row r="177" spans="2:32" ht="60" customHeight="1" x14ac:dyDescent="0.25">
      <c r="B177" s="36" t="s">
        <v>908</v>
      </c>
      <c r="C177" s="33">
        <v>2016</v>
      </c>
      <c r="D177" s="33">
        <f t="shared" si="2"/>
        <v>2021</v>
      </c>
      <c r="E177" s="36" t="s">
        <v>126</v>
      </c>
      <c r="F177" s="36" t="s">
        <v>905</v>
      </c>
      <c r="G177" s="36" t="s">
        <v>909</v>
      </c>
      <c r="H177" s="36" t="s">
        <v>151</v>
      </c>
      <c r="I177" s="36" t="s">
        <v>910</v>
      </c>
      <c r="J177" s="36" t="s">
        <v>911</v>
      </c>
      <c r="K177" s="36" t="s">
        <v>446</v>
      </c>
      <c r="L177" s="36" t="s">
        <v>127</v>
      </c>
      <c r="M177" s="37">
        <v>11000000000</v>
      </c>
      <c r="N177" s="37">
        <v>0</v>
      </c>
      <c r="O177" s="37">
        <v>11000000000</v>
      </c>
      <c r="P177" s="36" t="s">
        <v>624</v>
      </c>
      <c r="Q177" s="37">
        <v>20000000</v>
      </c>
      <c r="R177" s="36" t="s">
        <v>127</v>
      </c>
      <c r="S177" s="38">
        <v>42515</v>
      </c>
      <c r="T177" s="38">
        <v>42467</v>
      </c>
      <c r="U177" s="38">
        <v>44561</v>
      </c>
      <c r="V177" s="27" t="s">
        <v>9308</v>
      </c>
      <c r="W177" s="37"/>
      <c r="X177" s="37"/>
      <c r="Y177" s="37" t="s">
        <v>125</v>
      </c>
      <c r="Z177" s="37"/>
      <c r="AA177" s="37"/>
      <c r="AB177" s="37"/>
      <c r="AC177" s="37"/>
      <c r="AD177" s="37"/>
      <c r="AE177" s="37"/>
      <c r="AF177" s="37"/>
    </row>
    <row r="178" spans="2:32" ht="60" customHeight="1" x14ac:dyDescent="0.25">
      <c r="B178" s="31" t="s">
        <v>912</v>
      </c>
      <c r="C178" s="32">
        <v>2016</v>
      </c>
      <c r="D178" s="33">
        <f t="shared" si="2"/>
        <v>2022</v>
      </c>
      <c r="E178" s="31" t="s">
        <v>126</v>
      </c>
      <c r="F178" s="31" t="s">
        <v>913</v>
      </c>
      <c r="G178" s="31" t="s">
        <v>914</v>
      </c>
      <c r="H178" s="31" t="s">
        <v>129</v>
      </c>
      <c r="I178" s="31" t="s">
        <v>267</v>
      </c>
      <c r="J178" s="31" t="s">
        <v>267</v>
      </c>
      <c r="K178" s="31" t="s">
        <v>263</v>
      </c>
      <c r="L178" s="31" t="s">
        <v>159</v>
      </c>
      <c r="M178" s="34">
        <v>0</v>
      </c>
      <c r="N178" s="34">
        <v>9839355000</v>
      </c>
      <c r="O178" s="34">
        <v>9839355000</v>
      </c>
      <c r="P178" s="31" t="s">
        <v>122</v>
      </c>
      <c r="Q178" s="34">
        <v>15000000</v>
      </c>
      <c r="R178" s="31" t="s">
        <v>159</v>
      </c>
      <c r="S178" s="35">
        <v>42654</v>
      </c>
      <c r="T178" s="35">
        <v>42474</v>
      </c>
      <c r="U178" s="35">
        <v>44926</v>
      </c>
      <c r="V178" s="27" t="s">
        <v>9382</v>
      </c>
      <c r="W178" s="34"/>
      <c r="X178" s="34"/>
      <c r="Y178" s="34" t="s">
        <v>242</v>
      </c>
      <c r="Z178" s="34"/>
      <c r="AA178" s="34"/>
      <c r="AB178" s="34"/>
      <c r="AC178" s="34"/>
      <c r="AD178" s="34"/>
      <c r="AE178" s="34"/>
      <c r="AF178" s="34"/>
    </row>
    <row r="179" spans="2:32" ht="120" customHeight="1" x14ac:dyDescent="0.25">
      <c r="B179" s="36" t="s">
        <v>916</v>
      </c>
      <c r="C179" s="33">
        <v>2016</v>
      </c>
      <c r="D179" s="33">
        <f t="shared" si="2"/>
        <v>2022</v>
      </c>
      <c r="E179" s="36" t="s">
        <v>126</v>
      </c>
      <c r="F179" s="36" t="s">
        <v>917</v>
      </c>
      <c r="G179" s="36" t="s">
        <v>918</v>
      </c>
      <c r="H179" s="36" t="s">
        <v>129</v>
      </c>
      <c r="I179" s="36" t="s">
        <v>337</v>
      </c>
      <c r="J179" s="36" t="s">
        <v>338</v>
      </c>
      <c r="K179" s="36" t="s">
        <v>315</v>
      </c>
      <c r="L179" s="36" t="s">
        <v>201</v>
      </c>
      <c r="M179" s="37">
        <v>9839355000</v>
      </c>
      <c r="N179" s="37">
        <v>655957000</v>
      </c>
      <c r="O179" s="37">
        <v>10495312000</v>
      </c>
      <c r="P179" s="36" t="s">
        <v>122</v>
      </c>
      <c r="Q179" s="37">
        <v>16000000</v>
      </c>
      <c r="R179" s="36" t="s">
        <v>279</v>
      </c>
      <c r="S179" s="38">
        <v>42559</v>
      </c>
      <c r="T179" s="38">
        <v>42558</v>
      </c>
      <c r="U179" s="38">
        <v>44834</v>
      </c>
      <c r="V179" s="27" t="s">
        <v>9351</v>
      </c>
      <c r="W179" s="37"/>
      <c r="X179" s="37"/>
      <c r="Y179" s="37" t="s">
        <v>242</v>
      </c>
      <c r="Z179" s="37"/>
      <c r="AA179" s="37"/>
      <c r="AB179" s="37"/>
      <c r="AC179" s="37"/>
      <c r="AD179" s="37"/>
      <c r="AE179" s="37"/>
      <c r="AF179" s="37"/>
    </row>
    <row r="180" spans="2:32" ht="60" customHeight="1" x14ac:dyDescent="0.25">
      <c r="B180" s="31" t="s">
        <v>919</v>
      </c>
      <c r="C180" s="32">
        <v>2016</v>
      </c>
      <c r="D180" s="33">
        <f t="shared" si="2"/>
        <v>2021</v>
      </c>
      <c r="E180" s="31" t="s">
        <v>126</v>
      </c>
      <c r="F180" s="31" t="s">
        <v>920</v>
      </c>
      <c r="G180" s="31" t="s">
        <v>921</v>
      </c>
      <c r="H180" s="31" t="s">
        <v>129</v>
      </c>
      <c r="I180" s="31" t="s">
        <v>337</v>
      </c>
      <c r="J180" s="31" t="s">
        <v>338</v>
      </c>
      <c r="K180" s="31" t="s">
        <v>163</v>
      </c>
      <c r="L180" s="31" t="s">
        <v>159</v>
      </c>
      <c r="M180" s="34">
        <v>0</v>
      </c>
      <c r="N180" s="34">
        <v>327978500</v>
      </c>
      <c r="O180" s="34">
        <v>327978500</v>
      </c>
      <c r="P180" s="31" t="s">
        <v>122</v>
      </c>
      <c r="Q180" s="34">
        <v>500000</v>
      </c>
      <c r="R180" s="31" t="s">
        <v>159</v>
      </c>
      <c r="S180" s="35">
        <v>42559</v>
      </c>
      <c r="T180" s="35">
        <v>42558</v>
      </c>
      <c r="U180" s="35">
        <v>44561</v>
      </c>
      <c r="V180" s="27" t="s">
        <v>9307</v>
      </c>
      <c r="W180" s="34"/>
      <c r="X180" s="34"/>
      <c r="Y180" s="34" t="s">
        <v>242</v>
      </c>
      <c r="Z180" s="34"/>
      <c r="AA180" s="34"/>
      <c r="AB180" s="34"/>
      <c r="AC180" s="34"/>
      <c r="AD180" s="34"/>
      <c r="AE180" s="34"/>
      <c r="AF180" s="34"/>
    </row>
    <row r="181" spans="2:32" ht="60" customHeight="1" x14ac:dyDescent="0.25">
      <c r="B181" s="36" t="s">
        <v>922</v>
      </c>
      <c r="C181" s="33">
        <v>2016</v>
      </c>
      <c r="D181" s="33">
        <f t="shared" si="2"/>
        <v>2019</v>
      </c>
      <c r="E181" s="36" t="s">
        <v>126</v>
      </c>
      <c r="F181" s="36" t="s">
        <v>923</v>
      </c>
      <c r="G181" s="36" t="s">
        <v>924</v>
      </c>
      <c r="H181" s="36" t="s">
        <v>151</v>
      </c>
      <c r="I181" s="36" t="s">
        <v>675</v>
      </c>
      <c r="J181" s="36" t="s">
        <v>676</v>
      </c>
      <c r="K181" s="36" t="s">
        <v>142</v>
      </c>
      <c r="L181" s="36" t="s">
        <v>127</v>
      </c>
      <c r="M181" s="37">
        <v>64288219505</v>
      </c>
      <c r="N181" s="37">
        <v>0</v>
      </c>
      <c r="O181" s="37">
        <v>64288219505</v>
      </c>
      <c r="P181" s="36" t="s">
        <v>136</v>
      </c>
      <c r="Q181" s="37">
        <v>64288219505</v>
      </c>
      <c r="R181" s="36" t="s">
        <v>443</v>
      </c>
      <c r="S181" s="38">
        <v>42573</v>
      </c>
      <c r="T181" s="38">
        <v>42501</v>
      </c>
      <c r="U181" s="38">
        <v>43830</v>
      </c>
      <c r="V181" s="27" t="s">
        <v>9383</v>
      </c>
      <c r="W181" s="37"/>
      <c r="X181" s="37"/>
      <c r="Y181" s="37" t="s">
        <v>442</v>
      </c>
      <c r="Z181" s="37"/>
      <c r="AA181" s="37"/>
      <c r="AB181" s="37"/>
      <c r="AC181" s="37"/>
      <c r="AD181" s="37"/>
      <c r="AE181" s="37"/>
      <c r="AF181" s="37"/>
    </row>
    <row r="182" spans="2:32" ht="105" customHeight="1" x14ac:dyDescent="0.25">
      <c r="B182" s="31" t="s">
        <v>927</v>
      </c>
      <c r="C182" s="32">
        <v>2016</v>
      </c>
      <c r="D182" s="33">
        <f t="shared" si="2"/>
        <v>2022</v>
      </c>
      <c r="E182" s="31" t="s">
        <v>126</v>
      </c>
      <c r="F182" s="31" t="s">
        <v>928</v>
      </c>
      <c r="G182" s="31" t="s">
        <v>929</v>
      </c>
      <c r="H182" s="31" t="s">
        <v>366</v>
      </c>
      <c r="I182" s="31" t="s">
        <v>168</v>
      </c>
      <c r="J182" s="31" t="s">
        <v>169</v>
      </c>
      <c r="K182" s="31" t="s">
        <v>142</v>
      </c>
      <c r="L182" s="31" t="s">
        <v>127</v>
      </c>
      <c r="M182" s="34">
        <v>44684446797</v>
      </c>
      <c r="N182" s="34">
        <v>0</v>
      </c>
      <c r="O182" s="34">
        <v>44684446797</v>
      </c>
      <c r="P182" s="31" t="s">
        <v>122</v>
      </c>
      <c r="Q182" s="34">
        <v>68121000</v>
      </c>
      <c r="R182" s="31" t="s">
        <v>903</v>
      </c>
      <c r="S182" s="35">
        <v>42590</v>
      </c>
      <c r="T182" s="35">
        <v>42515</v>
      </c>
      <c r="U182" s="35">
        <v>44926</v>
      </c>
      <c r="V182" s="27" t="s">
        <v>9342</v>
      </c>
      <c r="W182" s="34"/>
      <c r="X182" s="34"/>
      <c r="Y182" s="34" t="s">
        <v>125</v>
      </c>
      <c r="Z182" s="34"/>
      <c r="AA182" s="34"/>
      <c r="AB182" s="34"/>
      <c r="AC182" s="34"/>
      <c r="AD182" s="34"/>
      <c r="AE182" s="34"/>
      <c r="AF182" s="34"/>
    </row>
    <row r="183" spans="2:32" ht="60" customHeight="1" x14ac:dyDescent="0.25">
      <c r="B183" s="36" t="s">
        <v>930</v>
      </c>
      <c r="C183" s="33">
        <v>2016</v>
      </c>
      <c r="D183" s="33">
        <f t="shared" si="2"/>
        <v>2020</v>
      </c>
      <c r="E183" s="36" t="s">
        <v>126</v>
      </c>
      <c r="F183" s="36" t="s">
        <v>931</v>
      </c>
      <c r="G183" s="36" t="s">
        <v>932</v>
      </c>
      <c r="H183" s="36" t="s">
        <v>326</v>
      </c>
      <c r="I183" s="36" t="s">
        <v>738</v>
      </c>
      <c r="J183" s="36" t="s">
        <v>739</v>
      </c>
      <c r="K183" s="36" t="s">
        <v>142</v>
      </c>
      <c r="L183" s="36" t="s">
        <v>127</v>
      </c>
      <c r="M183" s="37">
        <v>29505766907</v>
      </c>
      <c r="N183" s="37">
        <v>0</v>
      </c>
      <c r="O183" s="37">
        <v>29505766907</v>
      </c>
      <c r="P183" s="36" t="s">
        <v>136</v>
      </c>
      <c r="Q183" s="37">
        <v>29505766907</v>
      </c>
      <c r="R183" s="36" t="s">
        <v>443</v>
      </c>
      <c r="S183" s="38">
        <v>42614</v>
      </c>
      <c r="T183" s="38">
        <v>42501</v>
      </c>
      <c r="U183" s="38">
        <v>44196</v>
      </c>
      <c r="V183" s="27" t="s">
        <v>9384</v>
      </c>
      <c r="W183" s="37"/>
      <c r="X183" s="37"/>
      <c r="Y183" s="37" t="s">
        <v>442</v>
      </c>
      <c r="Z183" s="37"/>
      <c r="AA183" s="37"/>
      <c r="AB183" s="37"/>
      <c r="AC183" s="37"/>
      <c r="AD183" s="37"/>
      <c r="AE183" s="37"/>
      <c r="AF183" s="37"/>
    </row>
    <row r="184" spans="2:32" ht="75" customHeight="1" x14ac:dyDescent="0.25">
      <c r="B184" s="31" t="s">
        <v>935</v>
      </c>
      <c r="C184" s="41">
        <v>2016</v>
      </c>
      <c r="D184" s="42">
        <f t="shared" si="2"/>
        <v>2023</v>
      </c>
      <c r="E184" s="31" t="s">
        <v>126</v>
      </c>
      <c r="F184" s="31" t="s">
        <v>936</v>
      </c>
      <c r="G184" s="31" t="s">
        <v>938</v>
      </c>
      <c r="H184" s="31" t="s">
        <v>372</v>
      </c>
      <c r="I184" s="31" t="s">
        <v>178</v>
      </c>
      <c r="J184" s="31" t="s">
        <v>179</v>
      </c>
      <c r="K184" s="31" t="s">
        <v>873</v>
      </c>
      <c r="L184" s="31" t="s">
        <v>127</v>
      </c>
      <c r="M184" s="34">
        <v>30108426300</v>
      </c>
      <c r="N184" s="34">
        <v>0</v>
      </c>
      <c r="O184" s="34">
        <v>30108426300</v>
      </c>
      <c r="P184" s="31" t="s">
        <v>624</v>
      </c>
      <c r="Q184" s="34">
        <v>50000000</v>
      </c>
      <c r="R184" s="31" t="s">
        <v>150</v>
      </c>
      <c r="S184" s="35">
        <v>42628</v>
      </c>
      <c r="T184" s="35">
        <v>42453</v>
      </c>
      <c r="U184" s="35">
        <v>45289</v>
      </c>
      <c r="V184" s="27" t="s">
        <v>9378</v>
      </c>
      <c r="W184" s="31" t="s">
        <v>557</v>
      </c>
      <c r="X184" s="31" t="s">
        <v>558</v>
      </c>
      <c r="Y184" s="31" t="s">
        <v>125</v>
      </c>
      <c r="Z184" s="31" t="s">
        <v>937</v>
      </c>
      <c r="AA184" s="31" t="s">
        <v>862</v>
      </c>
      <c r="AB184" s="31" t="s">
        <v>861</v>
      </c>
      <c r="AC184" s="31" t="s">
        <v>939</v>
      </c>
      <c r="AD184" s="34">
        <v>11.3</v>
      </c>
      <c r="AE184" s="31" t="s">
        <v>902</v>
      </c>
      <c r="AF184" s="31" t="s">
        <v>860</v>
      </c>
    </row>
    <row r="185" spans="2:32" ht="60" customHeight="1" x14ac:dyDescent="0.25">
      <c r="B185" s="36" t="s">
        <v>940</v>
      </c>
      <c r="C185" s="33">
        <v>2016</v>
      </c>
      <c r="D185" s="33">
        <f t="shared" si="2"/>
        <v>2018</v>
      </c>
      <c r="E185" s="36" t="s">
        <v>126</v>
      </c>
      <c r="F185" s="36" t="s">
        <v>941</v>
      </c>
      <c r="G185" s="36" t="s">
        <v>942</v>
      </c>
      <c r="H185" s="36" t="s">
        <v>326</v>
      </c>
      <c r="I185" s="36" t="s">
        <v>484</v>
      </c>
      <c r="J185" s="36" t="s">
        <v>484</v>
      </c>
      <c r="K185" s="36" t="s">
        <v>263</v>
      </c>
      <c r="L185" s="36" t="s">
        <v>159</v>
      </c>
      <c r="M185" s="37">
        <v>0</v>
      </c>
      <c r="N185" s="37">
        <v>6203460000</v>
      </c>
      <c r="O185" s="37">
        <v>6203460000</v>
      </c>
      <c r="P185" s="36" t="s">
        <v>122</v>
      </c>
      <c r="Q185" s="37">
        <v>6203460000</v>
      </c>
      <c r="R185" s="36" t="s">
        <v>159</v>
      </c>
      <c r="S185" s="38">
        <v>42628</v>
      </c>
      <c r="T185" s="38">
        <v>42474</v>
      </c>
      <c r="U185" s="38">
        <v>43465</v>
      </c>
      <c r="V185" s="27" t="s">
        <v>9308</v>
      </c>
      <c r="W185" s="37"/>
      <c r="X185" s="37"/>
      <c r="Y185" s="37" t="s">
        <v>242</v>
      </c>
      <c r="Z185" s="37"/>
      <c r="AA185" s="37"/>
      <c r="AB185" s="37"/>
      <c r="AC185" s="37"/>
      <c r="AD185" s="37"/>
      <c r="AE185" s="37"/>
      <c r="AF185" s="37"/>
    </row>
    <row r="186" spans="2:32" ht="60" customHeight="1" x14ac:dyDescent="0.25">
      <c r="B186" s="31" t="s">
        <v>943</v>
      </c>
      <c r="C186" s="32">
        <v>2016</v>
      </c>
      <c r="D186" s="33">
        <f t="shared" si="2"/>
        <v>2022</v>
      </c>
      <c r="E186" s="31" t="s">
        <v>126</v>
      </c>
      <c r="F186" s="31" t="s">
        <v>944</v>
      </c>
      <c r="G186" s="31" t="s">
        <v>945</v>
      </c>
      <c r="H186" s="31" t="s">
        <v>372</v>
      </c>
      <c r="I186" s="31" t="s">
        <v>178</v>
      </c>
      <c r="J186" s="31" t="s">
        <v>179</v>
      </c>
      <c r="K186" s="31" t="s">
        <v>163</v>
      </c>
      <c r="L186" s="31" t="s">
        <v>127</v>
      </c>
      <c r="M186" s="34">
        <v>17317264800</v>
      </c>
      <c r="N186" s="34">
        <v>0</v>
      </c>
      <c r="O186" s="34">
        <v>17317264800</v>
      </c>
      <c r="P186" s="31" t="s">
        <v>122</v>
      </c>
      <c r="Q186" s="34">
        <v>26400000</v>
      </c>
      <c r="R186" s="31" t="s">
        <v>150</v>
      </c>
      <c r="S186" s="35">
        <v>42650</v>
      </c>
      <c r="T186" s="35">
        <v>42544</v>
      </c>
      <c r="U186" s="35">
        <v>44926</v>
      </c>
      <c r="V186" s="27" t="s">
        <v>9307</v>
      </c>
      <c r="W186" s="34"/>
      <c r="X186" s="34"/>
      <c r="Y186" s="34" t="s">
        <v>125</v>
      </c>
      <c r="Z186" s="34"/>
      <c r="AA186" s="34"/>
      <c r="AB186" s="34"/>
      <c r="AC186" s="34"/>
      <c r="AD186" s="34"/>
      <c r="AE186" s="34"/>
      <c r="AF186" s="34"/>
    </row>
    <row r="187" spans="2:32" ht="60" customHeight="1" x14ac:dyDescent="0.25">
      <c r="B187" s="36" t="s">
        <v>946</v>
      </c>
      <c r="C187" s="42">
        <v>2016</v>
      </c>
      <c r="D187" s="42">
        <f t="shared" si="2"/>
        <v>2022</v>
      </c>
      <c r="E187" s="36" t="s">
        <v>317</v>
      </c>
      <c r="F187" s="36" t="s">
        <v>947</v>
      </c>
      <c r="G187" s="36" t="s">
        <v>948</v>
      </c>
      <c r="H187" s="36" t="s">
        <v>326</v>
      </c>
      <c r="I187" s="36" t="s">
        <v>484</v>
      </c>
      <c r="J187" s="36" t="s">
        <v>484</v>
      </c>
      <c r="K187" s="36" t="s">
        <v>263</v>
      </c>
      <c r="L187" s="36" t="s">
        <v>159</v>
      </c>
      <c r="M187" s="37">
        <v>0</v>
      </c>
      <c r="N187" s="37">
        <v>21892598250</v>
      </c>
      <c r="O187" s="37">
        <v>21892598250</v>
      </c>
      <c r="P187" s="36" t="s">
        <v>122</v>
      </c>
      <c r="Q187" s="37">
        <v>33375000</v>
      </c>
      <c r="R187" s="36" t="s">
        <v>159</v>
      </c>
      <c r="S187" s="38">
        <v>42703</v>
      </c>
      <c r="T187" s="38">
        <v>42654</v>
      </c>
      <c r="U187" s="38">
        <v>44926</v>
      </c>
      <c r="V187" s="27" t="s">
        <v>9385</v>
      </c>
      <c r="W187" s="36" t="s">
        <v>557</v>
      </c>
      <c r="X187" s="36" t="s">
        <v>880</v>
      </c>
      <c r="Y187" s="36" t="s">
        <v>242</v>
      </c>
      <c r="Z187" s="36" t="s">
        <v>555</v>
      </c>
      <c r="AA187" s="36" t="s">
        <v>561</v>
      </c>
      <c r="AB187" s="36" t="s">
        <v>560</v>
      </c>
      <c r="AC187" s="36" t="s">
        <v>562</v>
      </c>
      <c r="AD187" s="37">
        <v>6.1</v>
      </c>
      <c r="AE187" s="36" t="s">
        <v>563</v>
      </c>
      <c r="AF187" s="36" t="s">
        <v>860</v>
      </c>
    </row>
    <row r="188" spans="2:32" ht="60" customHeight="1" x14ac:dyDescent="0.25">
      <c r="B188" s="31" t="s">
        <v>950</v>
      </c>
      <c r="C188" s="41">
        <v>2016</v>
      </c>
      <c r="D188" s="42">
        <f t="shared" si="2"/>
        <v>2022</v>
      </c>
      <c r="E188" s="31" t="s">
        <v>126</v>
      </c>
      <c r="F188" s="31" t="s">
        <v>951</v>
      </c>
      <c r="G188" s="31" t="s">
        <v>953</v>
      </c>
      <c r="H188" s="31" t="s">
        <v>326</v>
      </c>
      <c r="I188" s="31" t="s">
        <v>689</v>
      </c>
      <c r="J188" s="31" t="s">
        <v>690</v>
      </c>
      <c r="K188" s="31" t="s">
        <v>263</v>
      </c>
      <c r="L188" s="31" t="s">
        <v>127</v>
      </c>
      <c r="M188" s="34">
        <v>19678710000</v>
      </c>
      <c r="N188" s="34">
        <v>0</v>
      </c>
      <c r="O188" s="34">
        <v>19678710000</v>
      </c>
      <c r="P188" s="31" t="s">
        <v>122</v>
      </c>
      <c r="Q188" s="34">
        <v>30000000</v>
      </c>
      <c r="R188" s="31" t="s">
        <v>127</v>
      </c>
      <c r="S188" s="35">
        <v>42712</v>
      </c>
      <c r="T188" s="35">
        <v>42514</v>
      </c>
      <c r="U188" s="35">
        <v>44926</v>
      </c>
      <c r="V188" s="27" t="s">
        <v>9307</v>
      </c>
      <c r="W188" s="31" t="s">
        <v>557</v>
      </c>
      <c r="X188" s="31" t="s">
        <v>558</v>
      </c>
      <c r="Y188" s="31" t="s">
        <v>125</v>
      </c>
      <c r="Z188" s="31" t="s">
        <v>952</v>
      </c>
      <c r="AA188" s="31" t="s">
        <v>561</v>
      </c>
      <c r="AB188" s="31" t="s">
        <v>560</v>
      </c>
      <c r="AC188" s="31" t="s">
        <v>562</v>
      </c>
      <c r="AD188" s="34">
        <v>6.1</v>
      </c>
      <c r="AE188" s="31" t="s">
        <v>563</v>
      </c>
      <c r="AF188" s="31" t="s">
        <v>860</v>
      </c>
    </row>
    <row r="189" spans="2:32" ht="60" customHeight="1" x14ac:dyDescent="0.25">
      <c r="B189" s="36" t="s">
        <v>954</v>
      </c>
      <c r="C189" s="33">
        <v>2016</v>
      </c>
      <c r="D189" s="33">
        <f t="shared" si="2"/>
        <v>2018</v>
      </c>
      <c r="E189" s="36" t="s">
        <v>284</v>
      </c>
      <c r="F189" s="36" t="s">
        <v>955</v>
      </c>
      <c r="G189" s="36" t="s">
        <v>956</v>
      </c>
      <c r="H189" s="36" t="s">
        <v>326</v>
      </c>
      <c r="I189" s="36" t="s">
        <v>267</v>
      </c>
      <c r="J189" s="36" t="s">
        <v>267</v>
      </c>
      <c r="K189" s="36" t="s">
        <v>282</v>
      </c>
      <c r="L189" s="36" t="s">
        <v>159</v>
      </c>
      <c r="M189" s="37">
        <v>0</v>
      </c>
      <c r="N189" s="37">
        <v>9839355000</v>
      </c>
      <c r="O189" s="37">
        <v>9839355000</v>
      </c>
      <c r="P189" s="36" t="s">
        <v>122</v>
      </c>
      <c r="Q189" s="37">
        <v>15000000</v>
      </c>
      <c r="R189" s="36" t="s">
        <v>159</v>
      </c>
      <c r="S189" s="38">
        <v>42724</v>
      </c>
      <c r="T189" s="38">
        <v>42718</v>
      </c>
      <c r="U189" s="38">
        <v>43465</v>
      </c>
      <c r="V189" s="27" t="s">
        <v>9308</v>
      </c>
      <c r="W189" s="37"/>
      <c r="X189" s="37"/>
      <c r="Y189" s="37" t="s">
        <v>242</v>
      </c>
      <c r="Z189" s="37"/>
      <c r="AA189" s="37"/>
      <c r="AB189" s="37"/>
      <c r="AC189" s="37"/>
      <c r="AD189" s="37"/>
      <c r="AE189" s="37"/>
      <c r="AF189" s="37"/>
    </row>
    <row r="190" spans="2:32" ht="75" customHeight="1" x14ac:dyDescent="0.25">
      <c r="B190" s="31" t="s">
        <v>957</v>
      </c>
      <c r="C190" s="32">
        <v>2016</v>
      </c>
      <c r="D190" s="33">
        <f t="shared" si="2"/>
        <v>2020</v>
      </c>
      <c r="E190" s="31" t="s">
        <v>126</v>
      </c>
      <c r="F190" s="31" t="s">
        <v>958</v>
      </c>
      <c r="G190" s="31" t="s">
        <v>959</v>
      </c>
      <c r="H190" s="31" t="s">
        <v>326</v>
      </c>
      <c r="I190" s="31" t="s">
        <v>123</v>
      </c>
      <c r="J190" s="31" t="s">
        <v>124</v>
      </c>
      <c r="K190" s="31" t="s">
        <v>118</v>
      </c>
      <c r="L190" s="31" t="s">
        <v>127</v>
      </c>
      <c r="M190" s="34">
        <v>15000000000</v>
      </c>
      <c r="N190" s="34">
        <v>0</v>
      </c>
      <c r="O190" s="34">
        <v>15000000000</v>
      </c>
      <c r="P190" s="31" t="s">
        <v>136</v>
      </c>
      <c r="Q190" s="34">
        <v>15000000000</v>
      </c>
      <c r="R190" s="31" t="s">
        <v>128</v>
      </c>
      <c r="S190" s="35">
        <v>42727</v>
      </c>
      <c r="T190" s="35">
        <v>42464</v>
      </c>
      <c r="U190" s="35">
        <v>44012</v>
      </c>
      <c r="V190" s="27" t="s">
        <v>9361</v>
      </c>
      <c r="W190" s="34"/>
      <c r="X190" s="34"/>
      <c r="Y190" s="34" t="s">
        <v>125</v>
      </c>
      <c r="Z190" s="34"/>
      <c r="AA190" s="34"/>
      <c r="AB190" s="34"/>
      <c r="AC190" s="34"/>
      <c r="AD190" s="34"/>
      <c r="AE190" s="34"/>
      <c r="AF190" s="34"/>
    </row>
    <row r="191" spans="2:32" ht="60" customHeight="1" x14ac:dyDescent="0.25">
      <c r="B191" s="36" t="s">
        <v>960</v>
      </c>
      <c r="C191" s="42">
        <v>2016</v>
      </c>
      <c r="D191" s="42">
        <f t="shared" si="2"/>
        <v>2021</v>
      </c>
      <c r="E191" s="36" t="s">
        <v>126</v>
      </c>
      <c r="F191" s="36" t="s">
        <v>961</v>
      </c>
      <c r="G191" s="36" t="s">
        <v>963</v>
      </c>
      <c r="H191" s="36" t="s">
        <v>129</v>
      </c>
      <c r="I191" s="36" t="s">
        <v>574</v>
      </c>
      <c r="J191" s="36" t="s">
        <v>575</v>
      </c>
      <c r="K191" s="36" t="s">
        <v>282</v>
      </c>
      <c r="L191" s="36" t="s">
        <v>159</v>
      </c>
      <c r="M191" s="37">
        <v>0</v>
      </c>
      <c r="N191" s="37">
        <v>9839355000</v>
      </c>
      <c r="O191" s="37">
        <v>9839355000</v>
      </c>
      <c r="P191" s="36" t="s">
        <v>122</v>
      </c>
      <c r="Q191" s="37">
        <v>15000000</v>
      </c>
      <c r="R191" s="36" t="s">
        <v>159</v>
      </c>
      <c r="S191" s="38">
        <v>42453</v>
      </c>
      <c r="T191" s="38">
        <v>42410</v>
      </c>
      <c r="U191" s="38">
        <v>44561</v>
      </c>
      <c r="V191" s="27" t="s">
        <v>9308</v>
      </c>
      <c r="W191" s="36" t="s">
        <v>557</v>
      </c>
      <c r="X191" s="36" t="s">
        <v>880</v>
      </c>
      <c r="Y191" s="36" t="s">
        <v>125</v>
      </c>
      <c r="Z191" s="36" t="s">
        <v>962</v>
      </c>
      <c r="AA191" s="36" t="s">
        <v>965</v>
      </c>
      <c r="AB191" s="36" t="s">
        <v>964</v>
      </c>
      <c r="AC191" s="36" t="s">
        <v>939</v>
      </c>
      <c r="AD191" s="37">
        <v>11.3</v>
      </c>
      <c r="AE191" s="36" t="s">
        <v>902</v>
      </c>
      <c r="AF191" s="36" t="s">
        <v>860</v>
      </c>
    </row>
    <row r="192" spans="2:32" ht="60" customHeight="1" x14ac:dyDescent="0.25">
      <c r="B192" s="31" t="s">
        <v>966</v>
      </c>
      <c r="C192" s="41">
        <v>2016</v>
      </c>
      <c r="D192" s="42">
        <f t="shared" si="2"/>
        <v>2021</v>
      </c>
      <c r="E192" s="31" t="s">
        <v>126</v>
      </c>
      <c r="F192" s="31" t="s">
        <v>967</v>
      </c>
      <c r="G192" s="31" t="s">
        <v>969</v>
      </c>
      <c r="H192" s="31" t="s">
        <v>326</v>
      </c>
      <c r="I192" s="31" t="s">
        <v>574</v>
      </c>
      <c r="J192" s="31" t="s">
        <v>575</v>
      </c>
      <c r="K192" s="31" t="s">
        <v>142</v>
      </c>
      <c r="L192" s="31" t="s">
        <v>159</v>
      </c>
      <c r="M192" s="34">
        <v>0</v>
      </c>
      <c r="N192" s="34">
        <v>6589091344.7799997</v>
      </c>
      <c r="O192" s="34">
        <v>6589091344.7799997</v>
      </c>
      <c r="P192" s="31" t="s">
        <v>122</v>
      </c>
      <c r="Q192" s="34">
        <v>10045005</v>
      </c>
      <c r="R192" s="31" t="s">
        <v>159</v>
      </c>
      <c r="S192" s="45"/>
      <c r="T192" s="35">
        <v>42453</v>
      </c>
      <c r="U192" s="35">
        <v>44561</v>
      </c>
      <c r="V192" s="27" t="s">
        <v>9386</v>
      </c>
      <c r="W192" s="31" t="s">
        <v>557</v>
      </c>
      <c r="X192" s="31" t="s">
        <v>880</v>
      </c>
      <c r="Y192" s="31" t="s">
        <v>125</v>
      </c>
      <c r="Z192" s="31" t="s">
        <v>968</v>
      </c>
      <c r="AA192" s="31" t="s">
        <v>862</v>
      </c>
      <c r="AB192" s="31" t="s">
        <v>861</v>
      </c>
      <c r="AC192" s="31" t="s">
        <v>971</v>
      </c>
      <c r="AD192" s="34">
        <v>9.1</v>
      </c>
      <c r="AE192" s="31" t="s">
        <v>864</v>
      </c>
      <c r="AF192" s="31" t="s">
        <v>860</v>
      </c>
    </row>
    <row r="193" spans="2:32" ht="90" customHeight="1" x14ac:dyDescent="0.25">
      <c r="B193" s="36" t="s">
        <v>972</v>
      </c>
      <c r="C193" s="42">
        <v>2016</v>
      </c>
      <c r="D193" s="42">
        <f t="shared" si="2"/>
        <v>2022</v>
      </c>
      <c r="E193" s="36" t="s">
        <v>126</v>
      </c>
      <c r="F193" s="36" t="s">
        <v>973</v>
      </c>
      <c r="G193" s="36" t="s">
        <v>975</v>
      </c>
      <c r="H193" s="36" t="s">
        <v>129</v>
      </c>
      <c r="I193" s="36" t="s">
        <v>574</v>
      </c>
      <c r="J193" s="36" t="s">
        <v>575</v>
      </c>
      <c r="K193" s="36" t="s">
        <v>190</v>
      </c>
      <c r="L193" s="36" t="s">
        <v>159</v>
      </c>
      <c r="M193" s="37">
        <v>0</v>
      </c>
      <c r="N193" s="37">
        <v>7215527000</v>
      </c>
      <c r="O193" s="37">
        <v>7215527000</v>
      </c>
      <c r="P193" s="36" t="s">
        <v>122</v>
      </c>
      <c r="Q193" s="37">
        <v>11000000</v>
      </c>
      <c r="R193" s="36" t="s">
        <v>159</v>
      </c>
      <c r="S193" s="38">
        <v>42481</v>
      </c>
      <c r="T193" s="38">
        <v>42453</v>
      </c>
      <c r="U193" s="38">
        <v>44742</v>
      </c>
      <c r="V193" s="27" t="s">
        <v>9324</v>
      </c>
      <c r="W193" s="36" t="s">
        <v>557</v>
      </c>
      <c r="X193" s="36" t="s">
        <v>880</v>
      </c>
      <c r="Y193" s="36" t="s">
        <v>125</v>
      </c>
      <c r="Z193" s="36" t="s">
        <v>974</v>
      </c>
      <c r="AA193" s="36" t="s">
        <v>862</v>
      </c>
      <c r="AB193" s="36" t="s">
        <v>861</v>
      </c>
      <c r="AC193" s="36" t="s">
        <v>863</v>
      </c>
      <c r="AD193" s="37">
        <v>2.2999999999999998</v>
      </c>
      <c r="AE193" s="36" t="s">
        <v>864</v>
      </c>
      <c r="AF193" s="36" t="s">
        <v>860</v>
      </c>
    </row>
    <row r="194" spans="2:32" ht="90" customHeight="1" x14ac:dyDescent="0.25">
      <c r="B194" s="31" t="s">
        <v>976</v>
      </c>
      <c r="C194" s="41">
        <v>2016</v>
      </c>
      <c r="D194" s="42">
        <f t="shared" si="2"/>
        <v>2022</v>
      </c>
      <c r="E194" s="31" t="s">
        <v>317</v>
      </c>
      <c r="F194" s="31" t="s">
        <v>977</v>
      </c>
      <c r="G194" s="31" t="s">
        <v>979</v>
      </c>
      <c r="H194" s="31" t="s">
        <v>129</v>
      </c>
      <c r="I194" s="31" t="s">
        <v>574</v>
      </c>
      <c r="J194" s="31" t="s">
        <v>575</v>
      </c>
      <c r="K194" s="31" t="s">
        <v>282</v>
      </c>
      <c r="L194" s="31" t="s">
        <v>159</v>
      </c>
      <c r="M194" s="34">
        <v>0</v>
      </c>
      <c r="N194" s="34">
        <v>6887548500</v>
      </c>
      <c r="O194" s="34">
        <v>6887548500</v>
      </c>
      <c r="P194" s="31" t="s">
        <v>122</v>
      </c>
      <c r="Q194" s="34">
        <v>10500000</v>
      </c>
      <c r="R194" s="31" t="s">
        <v>159</v>
      </c>
      <c r="S194" s="35">
        <v>42453</v>
      </c>
      <c r="T194" s="35">
        <v>42410</v>
      </c>
      <c r="U194" s="35">
        <v>44926</v>
      </c>
      <c r="V194" s="27" t="s">
        <v>9308</v>
      </c>
      <c r="W194" s="31" t="s">
        <v>557</v>
      </c>
      <c r="X194" s="31" t="s">
        <v>880</v>
      </c>
      <c r="Y194" s="31" t="s">
        <v>125</v>
      </c>
      <c r="Z194" s="31" t="s">
        <v>978</v>
      </c>
      <c r="AA194" s="31" t="s">
        <v>965</v>
      </c>
      <c r="AB194" s="31" t="s">
        <v>964</v>
      </c>
      <c r="AC194" s="31" t="s">
        <v>939</v>
      </c>
      <c r="AD194" s="34">
        <v>11.3</v>
      </c>
      <c r="AE194" s="31" t="s">
        <v>902</v>
      </c>
      <c r="AF194" s="31" t="s">
        <v>860</v>
      </c>
    </row>
    <row r="195" spans="2:32" ht="60" customHeight="1" x14ac:dyDescent="0.25">
      <c r="B195" s="36" t="s">
        <v>980</v>
      </c>
      <c r="C195" s="42">
        <v>2016</v>
      </c>
      <c r="D195" s="42">
        <f t="shared" si="2"/>
        <v>2022</v>
      </c>
      <c r="E195" s="36" t="s">
        <v>126</v>
      </c>
      <c r="F195" s="36" t="s">
        <v>981</v>
      </c>
      <c r="G195" s="36" t="s">
        <v>983</v>
      </c>
      <c r="H195" s="36" t="s">
        <v>172</v>
      </c>
      <c r="I195" s="36" t="s">
        <v>358</v>
      </c>
      <c r="J195" s="36" t="s">
        <v>358</v>
      </c>
      <c r="K195" s="36" t="s">
        <v>873</v>
      </c>
      <c r="L195" s="36" t="s">
        <v>127</v>
      </c>
      <c r="M195" s="37">
        <v>17329200000</v>
      </c>
      <c r="N195" s="37">
        <v>0</v>
      </c>
      <c r="O195" s="37">
        <v>17329200000</v>
      </c>
      <c r="P195" s="36" t="s">
        <v>357</v>
      </c>
      <c r="Q195" s="37">
        <v>210000000</v>
      </c>
      <c r="R195" s="36" t="s">
        <v>127</v>
      </c>
      <c r="S195" s="38">
        <v>42658</v>
      </c>
      <c r="T195" s="38">
        <v>42604</v>
      </c>
      <c r="U195" s="38">
        <v>44926</v>
      </c>
      <c r="V195" s="27" t="s">
        <v>9387</v>
      </c>
      <c r="W195" s="36" t="s">
        <v>557</v>
      </c>
      <c r="X195" s="36" t="s">
        <v>558</v>
      </c>
      <c r="Y195" s="36" t="s">
        <v>242</v>
      </c>
      <c r="Z195" s="36" t="s">
        <v>982</v>
      </c>
      <c r="AA195" s="36" t="s">
        <v>862</v>
      </c>
      <c r="AB195" s="36" t="s">
        <v>861</v>
      </c>
      <c r="AC195" s="36" t="s">
        <v>939</v>
      </c>
      <c r="AD195" s="37">
        <v>11.3</v>
      </c>
      <c r="AE195" s="36" t="s">
        <v>902</v>
      </c>
      <c r="AF195" s="36" t="s">
        <v>860</v>
      </c>
    </row>
    <row r="196" spans="2:32" ht="60" customHeight="1" x14ac:dyDescent="0.25">
      <c r="B196" s="31" t="s">
        <v>984</v>
      </c>
      <c r="C196" s="41">
        <v>2016</v>
      </c>
      <c r="D196" s="42">
        <f t="shared" si="2"/>
        <v>2021</v>
      </c>
      <c r="E196" s="31" t="s">
        <v>126</v>
      </c>
      <c r="F196" s="31" t="s">
        <v>985</v>
      </c>
      <c r="G196" s="31" t="s">
        <v>987</v>
      </c>
      <c r="H196" s="31" t="s">
        <v>172</v>
      </c>
      <c r="I196" s="31" t="s">
        <v>358</v>
      </c>
      <c r="J196" s="31" t="s">
        <v>358</v>
      </c>
      <c r="K196" s="31" t="s">
        <v>806</v>
      </c>
      <c r="L196" s="31" t="s">
        <v>159</v>
      </c>
      <c r="M196" s="34">
        <v>0</v>
      </c>
      <c r="N196" s="34">
        <v>12526536</v>
      </c>
      <c r="O196" s="34">
        <v>12526536</v>
      </c>
      <c r="P196" s="31" t="s">
        <v>357</v>
      </c>
      <c r="Q196" s="34">
        <v>151800</v>
      </c>
      <c r="R196" s="31" t="s">
        <v>159</v>
      </c>
      <c r="S196" s="35">
        <v>42658</v>
      </c>
      <c r="T196" s="35">
        <v>42604</v>
      </c>
      <c r="U196" s="35">
        <v>44561</v>
      </c>
      <c r="V196" s="27" t="s">
        <v>9388</v>
      </c>
      <c r="W196" s="31" t="s">
        <v>557</v>
      </c>
      <c r="X196" s="31" t="s">
        <v>880</v>
      </c>
      <c r="Y196" s="31" t="s">
        <v>242</v>
      </c>
      <c r="Z196" s="31" t="s">
        <v>986</v>
      </c>
      <c r="AA196" s="31" t="s">
        <v>561</v>
      </c>
      <c r="AB196" s="31" t="s">
        <v>560</v>
      </c>
      <c r="AC196" s="31" t="s">
        <v>989</v>
      </c>
      <c r="AD196" s="34">
        <v>3.8</v>
      </c>
      <c r="AE196" s="31" t="s">
        <v>902</v>
      </c>
      <c r="AF196" s="31" t="s">
        <v>860</v>
      </c>
    </row>
    <row r="197" spans="2:32" ht="75" customHeight="1" x14ac:dyDescent="0.25">
      <c r="B197" s="36" t="s">
        <v>990</v>
      </c>
      <c r="C197" s="42">
        <v>2016</v>
      </c>
      <c r="D197" s="42">
        <f t="shared" si="2"/>
        <v>2017</v>
      </c>
      <c r="E197" s="36" t="s">
        <v>625</v>
      </c>
      <c r="F197" s="36" t="s">
        <v>991</v>
      </c>
      <c r="G197" s="36" t="s">
        <v>993</v>
      </c>
      <c r="H197" s="36" t="s">
        <v>366</v>
      </c>
      <c r="I197" s="36" t="s">
        <v>277</v>
      </c>
      <c r="J197" s="36" t="s">
        <v>278</v>
      </c>
      <c r="K197" s="36" t="s">
        <v>216</v>
      </c>
      <c r="L197" s="36" t="s">
        <v>127</v>
      </c>
      <c r="M197" s="37">
        <v>4109865602</v>
      </c>
      <c r="N197" s="37">
        <v>0</v>
      </c>
      <c r="O197" s="37">
        <v>4109865602</v>
      </c>
      <c r="P197" s="36" t="s">
        <v>122</v>
      </c>
      <c r="Q197" s="37">
        <v>6265449.7199999997</v>
      </c>
      <c r="R197" s="36" t="s">
        <v>128</v>
      </c>
      <c r="S197" s="38">
        <v>42467</v>
      </c>
      <c r="T197" s="38">
        <v>42432</v>
      </c>
      <c r="U197" s="38">
        <v>43100</v>
      </c>
      <c r="V197" s="27" t="s">
        <v>9389</v>
      </c>
      <c r="W197" s="36" t="s">
        <v>557</v>
      </c>
      <c r="X197" s="36" t="s">
        <v>558</v>
      </c>
      <c r="Y197" s="36" t="s">
        <v>125</v>
      </c>
      <c r="Z197" s="36" t="s">
        <v>992</v>
      </c>
      <c r="AA197" s="36" t="s">
        <v>561</v>
      </c>
      <c r="AB197" s="36" t="s">
        <v>560</v>
      </c>
      <c r="AC197" s="36" t="s">
        <v>989</v>
      </c>
      <c r="AD197" s="37">
        <v>3.8</v>
      </c>
      <c r="AE197" s="36" t="s">
        <v>902</v>
      </c>
      <c r="AF197" s="36" t="s">
        <v>860</v>
      </c>
    </row>
    <row r="198" spans="2:32" ht="60" customHeight="1" x14ac:dyDescent="0.25">
      <c r="B198" s="31" t="s">
        <v>996</v>
      </c>
      <c r="C198" s="41">
        <v>2016</v>
      </c>
      <c r="D198" s="42">
        <f t="shared" si="2"/>
        <v>2019</v>
      </c>
      <c r="E198" s="31" t="s">
        <v>126</v>
      </c>
      <c r="F198" s="31" t="s">
        <v>997</v>
      </c>
      <c r="G198" s="31" t="s">
        <v>999</v>
      </c>
      <c r="H198" s="31" t="s">
        <v>172</v>
      </c>
      <c r="I198" s="31" t="s">
        <v>358</v>
      </c>
      <c r="J198" s="31" t="s">
        <v>358</v>
      </c>
      <c r="K198" s="31" t="s">
        <v>315</v>
      </c>
      <c r="L198" s="31" t="s">
        <v>159</v>
      </c>
      <c r="M198" s="34">
        <v>0</v>
      </c>
      <c r="N198" s="34">
        <v>404383700</v>
      </c>
      <c r="O198" s="34">
        <v>404383700</v>
      </c>
      <c r="P198" s="31" t="s">
        <v>357</v>
      </c>
      <c r="Q198" s="34">
        <v>4900432.62</v>
      </c>
      <c r="R198" s="31" t="s">
        <v>159</v>
      </c>
      <c r="S198" s="35">
        <v>42658</v>
      </c>
      <c r="T198" s="35">
        <v>42604</v>
      </c>
      <c r="U198" s="35">
        <v>43830</v>
      </c>
      <c r="V198" s="27" t="s">
        <v>9390</v>
      </c>
      <c r="W198" s="31" t="s">
        <v>557</v>
      </c>
      <c r="X198" s="31" t="s">
        <v>880</v>
      </c>
      <c r="Y198" s="31" t="s">
        <v>242</v>
      </c>
      <c r="Z198" s="31" t="s">
        <v>998</v>
      </c>
      <c r="AA198" s="31" t="s">
        <v>900</v>
      </c>
      <c r="AB198" s="31" t="s">
        <v>861</v>
      </c>
      <c r="AC198" s="31" t="s">
        <v>901</v>
      </c>
      <c r="AD198" s="34">
        <v>4.0999999999999996</v>
      </c>
      <c r="AE198" s="31" t="s">
        <v>902</v>
      </c>
      <c r="AF198" s="31" t="s">
        <v>860</v>
      </c>
    </row>
    <row r="199" spans="2:32" ht="60" customHeight="1" x14ac:dyDescent="0.25">
      <c r="B199" s="36" t="s">
        <v>1000</v>
      </c>
      <c r="C199" s="42">
        <v>2016</v>
      </c>
      <c r="D199" s="42">
        <f t="shared" ref="D199:D262" si="3">YEAR(U199)</f>
        <v>2022</v>
      </c>
      <c r="E199" s="36" t="s">
        <v>126</v>
      </c>
      <c r="F199" s="36" t="s">
        <v>1001</v>
      </c>
      <c r="G199" s="36" t="s">
        <v>1002</v>
      </c>
      <c r="H199" s="36" t="s">
        <v>129</v>
      </c>
      <c r="I199" s="36" t="s">
        <v>267</v>
      </c>
      <c r="J199" s="36" t="s">
        <v>267</v>
      </c>
      <c r="K199" s="36" t="s">
        <v>190</v>
      </c>
      <c r="L199" s="36" t="s">
        <v>159</v>
      </c>
      <c r="M199" s="37">
        <v>0</v>
      </c>
      <c r="N199" s="37">
        <v>885541950</v>
      </c>
      <c r="O199" s="37">
        <v>885541950</v>
      </c>
      <c r="P199" s="36" t="s">
        <v>122</v>
      </c>
      <c r="Q199" s="37">
        <v>1350000</v>
      </c>
      <c r="R199" s="36" t="s">
        <v>159</v>
      </c>
      <c r="S199" s="38">
        <v>42725</v>
      </c>
      <c r="T199" s="38">
        <v>42718</v>
      </c>
      <c r="U199" s="38">
        <v>44651</v>
      </c>
      <c r="V199" s="27" t="s">
        <v>9391</v>
      </c>
      <c r="W199" s="36" t="s">
        <v>557</v>
      </c>
      <c r="X199" s="36" t="s">
        <v>880</v>
      </c>
      <c r="Y199" s="36" t="s">
        <v>242</v>
      </c>
      <c r="Z199" s="36" t="s">
        <v>974</v>
      </c>
      <c r="AA199" s="36" t="s">
        <v>862</v>
      </c>
      <c r="AB199" s="36" t="s">
        <v>861</v>
      </c>
      <c r="AC199" s="36" t="s">
        <v>863</v>
      </c>
      <c r="AD199" s="37">
        <v>2.2999999999999998</v>
      </c>
      <c r="AE199" s="36" t="s">
        <v>864</v>
      </c>
      <c r="AF199" s="36" t="s">
        <v>860</v>
      </c>
    </row>
    <row r="200" spans="2:32" ht="60" customHeight="1" x14ac:dyDescent="0.25">
      <c r="B200" s="31" t="s">
        <v>1004</v>
      </c>
      <c r="C200" s="41">
        <v>2016</v>
      </c>
      <c r="D200" s="42">
        <f t="shared" si="3"/>
        <v>2020</v>
      </c>
      <c r="E200" s="31" t="s">
        <v>126</v>
      </c>
      <c r="F200" s="31" t="s">
        <v>1005</v>
      </c>
      <c r="G200" s="31" t="s">
        <v>1007</v>
      </c>
      <c r="H200" s="31" t="s">
        <v>172</v>
      </c>
      <c r="I200" s="31" t="s">
        <v>1010</v>
      </c>
      <c r="J200" s="31" t="s">
        <v>1011</v>
      </c>
      <c r="K200" s="31" t="s">
        <v>205</v>
      </c>
      <c r="L200" s="31" t="s">
        <v>159</v>
      </c>
      <c r="M200" s="34">
        <v>0</v>
      </c>
      <c r="N200" s="34">
        <v>77902209</v>
      </c>
      <c r="O200" s="34">
        <v>77902209</v>
      </c>
      <c r="P200" s="31" t="s">
        <v>624</v>
      </c>
      <c r="Q200" s="34">
        <v>141640.38</v>
      </c>
      <c r="R200" s="31" t="s">
        <v>159</v>
      </c>
      <c r="S200" s="35">
        <v>42705</v>
      </c>
      <c r="T200" s="35">
        <v>42453</v>
      </c>
      <c r="U200" s="35">
        <v>44196</v>
      </c>
      <c r="V200" s="27" t="s">
        <v>9392</v>
      </c>
      <c r="W200" s="31" t="s">
        <v>557</v>
      </c>
      <c r="X200" s="31" t="s">
        <v>880</v>
      </c>
      <c r="Y200" s="31" t="s">
        <v>125</v>
      </c>
      <c r="Z200" s="31" t="s">
        <v>1006</v>
      </c>
      <c r="AA200" s="31" t="s">
        <v>1012</v>
      </c>
      <c r="AB200" s="31" t="s">
        <v>560</v>
      </c>
      <c r="AC200" s="31" t="s">
        <v>939</v>
      </c>
      <c r="AD200" s="34">
        <v>11.3</v>
      </c>
      <c r="AE200" s="31" t="s">
        <v>563</v>
      </c>
      <c r="AF200" s="31" t="s">
        <v>860</v>
      </c>
    </row>
    <row r="201" spans="2:32" ht="60" customHeight="1" x14ac:dyDescent="0.25">
      <c r="B201" s="36" t="s">
        <v>1013</v>
      </c>
      <c r="C201" s="42">
        <v>2016</v>
      </c>
      <c r="D201" s="42">
        <f t="shared" si="3"/>
        <v>2021</v>
      </c>
      <c r="E201" s="36" t="s">
        <v>317</v>
      </c>
      <c r="F201" s="36" t="s">
        <v>1014</v>
      </c>
      <c r="G201" s="36" t="s">
        <v>1015</v>
      </c>
      <c r="H201" s="36" t="s">
        <v>129</v>
      </c>
      <c r="I201" s="36" t="s">
        <v>267</v>
      </c>
      <c r="J201" s="36" t="s">
        <v>267</v>
      </c>
      <c r="K201" s="36" t="s">
        <v>263</v>
      </c>
      <c r="L201" s="36" t="s">
        <v>159</v>
      </c>
      <c r="M201" s="37">
        <v>0</v>
      </c>
      <c r="N201" s="37">
        <v>2328647350</v>
      </c>
      <c r="O201" s="37">
        <v>2328647350</v>
      </c>
      <c r="P201" s="36" t="s">
        <v>122</v>
      </c>
      <c r="Q201" s="37">
        <v>3550000</v>
      </c>
      <c r="R201" s="36" t="s">
        <v>159</v>
      </c>
      <c r="S201" s="38">
        <v>42725</v>
      </c>
      <c r="T201" s="38">
        <v>42559</v>
      </c>
      <c r="U201" s="38">
        <v>44561</v>
      </c>
      <c r="V201" s="27" t="s">
        <v>9308</v>
      </c>
      <c r="W201" s="36" t="s">
        <v>557</v>
      </c>
      <c r="X201" s="36" t="s">
        <v>880</v>
      </c>
      <c r="Y201" s="36" t="s">
        <v>242</v>
      </c>
      <c r="Z201" s="36" t="s">
        <v>555</v>
      </c>
      <c r="AA201" s="36" t="s">
        <v>561</v>
      </c>
      <c r="AB201" s="36" t="s">
        <v>560</v>
      </c>
      <c r="AC201" s="36" t="s">
        <v>562</v>
      </c>
      <c r="AD201" s="37">
        <v>6.1</v>
      </c>
      <c r="AE201" s="36" t="s">
        <v>563</v>
      </c>
      <c r="AF201" s="36" t="s">
        <v>860</v>
      </c>
    </row>
    <row r="202" spans="2:32" ht="60" customHeight="1" x14ac:dyDescent="0.25">
      <c r="B202" s="31" t="s">
        <v>1016</v>
      </c>
      <c r="C202" s="41">
        <v>2016</v>
      </c>
      <c r="D202" s="42">
        <f t="shared" si="3"/>
        <v>2020</v>
      </c>
      <c r="E202" s="31" t="s">
        <v>126</v>
      </c>
      <c r="F202" s="31" t="s">
        <v>1017</v>
      </c>
      <c r="G202" s="31" t="s">
        <v>1019</v>
      </c>
      <c r="H202" s="31" t="s">
        <v>172</v>
      </c>
      <c r="I202" s="31" t="s">
        <v>1020</v>
      </c>
      <c r="J202" s="31" t="s">
        <v>1021</v>
      </c>
      <c r="K202" s="31" t="s">
        <v>315</v>
      </c>
      <c r="L202" s="31" t="s">
        <v>159</v>
      </c>
      <c r="M202" s="34">
        <v>0</v>
      </c>
      <c r="N202" s="34">
        <v>174467150</v>
      </c>
      <c r="O202" s="34">
        <v>174467150</v>
      </c>
      <c r="P202" s="31" t="s">
        <v>624</v>
      </c>
      <c r="Q202" s="34">
        <v>317213</v>
      </c>
      <c r="R202" s="31" t="s">
        <v>159</v>
      </c>
      <c r="S202" s="45"/>
      <c r="T202" s="35">
        <v>42453</v>
      </c>
      <c r="U202" s="35">
        <v>44104</v>
      </c>
      <c r="V202" s="27" t="s">
        <v>9308</v>
      </c>
      <c r="W202" s="31" t="s">
        <v>557</v>
      </c>
      <c r="X202" s="31" t="s">
        <v>880</v>
      </c>
      <c r="Y202" s="31" t="s">
        <v>242</v>
      </c>
      <c r="Z202" s="31" t="s">
        <v>1018</v>
      </c>
      <c r="AA202" s="31" t="s">
        <v>561</v>
      </c>
      <c r="AB202" s="31" t="s">
        <v>560</v>
      </c>
      <c r="AC202" s="31" t="s">
        <v>1022</v>
      </c>
      <c r="AD202" s="34">
        <v>1.3</v>
      </c>
      <c r="AE202" s="31" t="s">
        <v>902</v>
      </c>
      <c r="AF202" s="31" t="s">
        <v>860</v>
      </c>
    </row>
    <row r="203" spans="2:32" ht="60" customHeight="1" x14ac:dyDescent="0.25">
      <c r="B203" s="36" t="s">
        <v>1023</v>
      </c>
      <c r="C203" s="42">
        <v>2016</v>
      </c>
      <c r="D203" s="42">
        <f t="shared" si="3"/>
        <v>2021</v>
      </c>
      <c r="E203" s="36" t="s">
        <v>317</v>
      </c>
      <c r="F203" s="36" t="s">
        <v>1024</v>
      </c>
      <c r="G203" s="36" t="s">
        <v>1026</v>
      </c>
      <c r="H203" s="36" t="s">
        <v>172</v>
      </c>
      <c r="I203" s="36" t="s">
        <v>1020</v>
      </c>
      <c r="J203" s="36" t="s">
        <v>1021</v>
      </c>
      <c r="K203" s="36" t="s">
        <v>216</v>
      </c>
      <c r="L203" s="36" t="s">
        <v>159</v>
      </c>
      <c r="M203" s="37">
        <v>0</v>
      </c>
      <c r="N203" s="37">
        <v>2479718450</v>
      </c>
      <c r="O203" s="37">
        <v>2479718450</v>
      </c>
      <c r="P203" s="36" t="s">
        <v>624</v>
      </c>
      <c r="Q203" s="37">
        <v>4508579</v>
      </c>
      <c r="R203" s="36" t="s">
        <v>159</v>
      </c>
      <c r="S203" s="38">
        <v>42509</v>
      </c>
      <c r="T203" s="38">
        <v>42453</v>
      </c>
      <c r="U203" s="38">
        <v>44469</v>
      </c>
      <c r="V203" s="27" t="s">
        <v>9308</v>
      </c>
      <c r="W203" s="36" t="s">
        <v>557</v>
      </c>
      <c r="X203" s="36" t="s">
        <v>880</v>
      </c>
      <c r="Y203" s="36" t="s">
        <v>242</v>
      </c>
      <c r="Z203" s="36" t="s">
        <v>1025</v>
      </c>
      <c r="AA203" s="36" t="s">
        <v>561</v>
      </c>
      <c r="AB203" s="36" t="s">
        <v>560</v>
      </c>
      <c r="AC203" s="36" t="s">
        <v>989</v>
      </c>
      <c r="AD203" s="37">
        <v>3.8</v>
      </c>
      <c r="AE203" s="36" t="s">
        <v>902</v>
      </c>
      <c r="AF203" s="36" t="s">
        <v>860</v>
      </c>
    </row>
    <row r="204" spans="2:32" ht="60" customHeight="1" x14ac:dyDescent="0.25">
      <c r="B204" s="31" t="s">
        <v>1027</v>
      </c>
      <c r="C204" s="41">
        <v>2016</v>
      </c>
      <c r="D204" s="42">
        <f t="shared" si="3"/>
        <v>2019</v>
      </c>
      <c r="E204" s="31" t="s">
        <v>317</v>
      </c>
      <c r="F204" s="31" t="s">
        <v>1028</v>
      </c>
      <c r="G204" s="31" t="s">
        <v>1030</v>
      </c>
      <c r="H204" s="31" t="s">
        <v>129</v>
      </c>
      <c r="I204" s="31" t="s">
        <v>267</v>
      </c>
      <c r="J204" s="31" t="s">
        <v>267</v>
      </c>
      <c r="K204" s="31" t="s">
        <v>282</v>
      </c>
      <c r="L204" s="31" t="s">
        <v>159</v>
      </c>
      <c r="M204" s="34">
        <v>0</v>
      </c>
      <c r="N204" s="34">
        <v>12935472040</v>
      </c>
      <c r="O204" s="34">
        <v>12935472040</v>
      </c>
      <c r="P204" s="31" t="s">
        <v>122</v>
      </c>
      <c r="Q204" s="34">
        <v>19720000</v>
      </c>
      <c r="R204" s="31" t="s">
        <v>159</v>
      </c>
      <c r="S204" s="35">
        <v>42370</v>
      </c>
      <c r="T204" s="35">
        <v>42718</v>
      </c>
      <c r="U204" s="35">
        <v>43830</v>
      </c>
      <c r="V204" s="27" t="s">
        <v>9308</v>
      </c>
      <c r="W204" s="31" t="s">
        <v>557</v>
      </c>
      <c r="X204" s="31" t="s">
        <v>880</v>
      </c>
      <c r="Y204" s="31" t="s">
        <v>242</v>
      </c>
      <c r="Z204" s="31" t="s">
        <v>1029</v>
      </c>
      <c r="AA204" s="31" t="s">
        <v>965</v>
      </c>
      <c r="AB204" s="31" t="s">
        <v>964</v>
      </c>
      <c r="AC204" s="31" t="s">
        <v>939</v>
      </c>
      <c r="AD204" s="34">
        <v>11.3</v>
      </c>
      <c r="AE204" s="31" t="s">
        <v>902</v>
      </c>
      <c r="AF204" s="31" t="s">
        <v>860</v>
      </c>
    </row>
    <row r="205" spans="2:32" ht="60" customHeight="1" x14ac:dyDescent="0.25">
      <c r="B205" s="36" t="s">
        <v>1031</v>
      </c>
      <c r="C205" s="42">
        <v>2016</v>
      </c>
      <c r="D205" s="42">
        <f t="shared" si="3"/>
        <v>2019</v>
      </c>
      <c r="E205" s="36" t="s">
        <v>126</v>
      </c>
      <c r="F205" s="36" t="s">
        <v>1032</v>
      </c>
      <c r="G205" s="36" t="s">
        <v>1034</v>
      </c>
      <c r="H205" s="36" t="s">
        <v>129</v>
      </c>
      <c r="I205" s="36" t="s">
        <v>267</v>
      </c>
      <c r="J205" s="36" t="s">
        <v>267</v>
      </c>
      <c r="K205" s="36" t="s">
        <v>163</v>
      </c>
      <c r="L205" s="36" t="s">
        <v>159</v>
      </c>
      <c r="M205" s="37">
        <v>0</v>
      </c>
      <c r="N205" s="37">
        <v>852744100</v>
      </c>
      <c r="O205" s="37">
        <v>852744100</v>
      </c>
      <c r="P205" s="36" t="s">
        <v>122</v>
      </c>
      <c r="Q205" s="37">
        <v>1300000</v>
      </c>
      <c r="R205" s="36" t="s">
        <v>159</v>
      </c>
      <c r="S205" s="38">
        <v>42714</v>
      </c>
      <c r="T205" s="38">
        <v>42500</v>
      </c>
      <c r="U205" s="38">
        <v>43830</v>
      </c>
      <c r="V205" s="27" t="s">
        <v>9307</v>
      </c>
      <c r="W205" s="36" t="s">
        <v>557</v>
      </c>
      <c r="X205" s="36" t="s">
        <v>880</v>
      </c>
      <c r="Y205" s="36" t="s">
        <v>242</v>
      </c>
      <c r="Z205" s="36" t="s">
        <v>1033</v>
      </c>
      <c r="AA205" s="36" t="s">
        <v>1035</v>
      </c>
      <c r="AB205" s="36" t="s">
        <v>964</v>
      </c>
      <c r="AC205" s="36" t="s">
        <v>1036</v>
      </c>
      <c r="AD205" s="37">
        <v>16.600000000000001</v>
      </c>
      <c r="AE205" s="36" t="s">
        <v>902</v>
      </c>
      <c r="AF205" s="36" t="s">
        <v>860</v>
      </c>
    </row>
    <row r="206" spans="2:32" ht="60" customHeight="1" x14ac:dyDescent="0.25">
      <c r="B206" s="31" t="s">
        <v>1037</v>
      </c>
      <c r="C206" s="41">
        <v>2016</v>
      </c>
      <c r="D206" s="42" t="e">
        <f t="shared" si="3"/>
        <v>#VALUE!</v>
      </c>
      <c r="E206" s="31" t="s">
        <v>1048</v>
      </c>
      <c r="F206" s="31" t="s">
        <v>1038</v>
      </c>
      <c r="G206" s="31" t="s">
        <v>1041</v>
      </c>
      <c r="H206" s="31" t="s">
        <v>172</v>
      </c>
      <c r="I206" s="31" t="s">
        <v>1044</v>
      </c>
      <c r="J206" s="31" t="s">
        <v>1045</v>
      </c>
      <c r="K206" s="31" t="s">
        <v>1039</v>
      </c>
      <c r="L206" s="31" t="s">
        <v>127</v>
      </c>
      <c r="M206" s="34">
        <v>345807020250</v>
      </c>
      <c r="N206" s="34">
        <v>0</v>
      </c>
      <c r="O206" s="34">
        <v>345807020250</v>
      </c>
      <c r="P206" s="31" t="s">
        <v>136</v>
      </c>
      <c r="Q206" s="34">
        <v>345807020250</v>
      </c>
      <c r="R206" s="31" t="s">
        <v>1049</v>
      </c>
      <c r="S206" s="35">
        <v>42370</v>
      </c>
      <c r="T206" s="35">
        <v>42453</v>
      </c>
      <c r="U206" s="35" t="s">
        <v>1042</v>
      </c>
      <c r="V206" s="27" t="s">
        <v>9308</v>
      </c>
      <c r="W206" s="31" t="s">
        <v>1043</v>
      </c>
      <c r="X206" s="31" t="s">
        <v>1038</v>
      </c>
      <c r="Y206" s="31" t="s">
        <v>1044</v>
      </c>
      <c r="Z206" s="31" t="s">
        <v>1040</v>
      </c>
      <c r="AA206" s="31" t="s">
        <v>1046</v>
      </c>
      <c r="AB206" s="31" t="s">
        <v>861</v>
      </c>
      <c r="AC206" s="31" t="s">
        <v>1047</v>
      </c>
      <c r="AD206" s="34">
        <v>17.170000000000002</v>
      </c>
      <c r="AE206" s="31" t="s">
        <v>864</v>
      </c>
      <c r="AF206" s="31" t="s">
        <v>860</v>
      </c>
    </row>
    <row r="207" spans="2:32" ht="90" customHeight="1" x14ac:dyDescent="0.25">
      <c r="B207" s="36" t="s">
        <v>1050</v>
      </c>
      <c r="C207" s="42">
        <v>2016</v>
      </c>
      <c r="D207" s="42">
        <f t="shared" si="3"/>
        <v>2021</v>
      </c>
      <c r="E207" s="36" t="s">
        <v>317</v>
      </c>
      <c r="F207" s="36" t="s">
        <v>1051</v>
      </c>
      <c r="G207" s="36" t="s">
        <v>1053</v>
      </c>
      <c r="H207" s="36" t="s">
        <v>172</v>
      </c>
      <c r="I207" s="36" t="s">
        <v>1010</v>
      </c>
      <c r="J207" s="36" t="s">
        <v>1011</v>
      </c>
      <c r="K207" s="36" t="s">
        <v>205</v>
      </c>
      <c r="L207" s="36" t="s">
        <v>159</v>
      </c>
      <c r="M207" s="37">
        <v>0</v>
      </c>
      <c r="N207" s="37">
        <v>174319750</v>
      </c>
      <c r="O207" s="37">
        <v>174319750</v>
      </c>
      <c r="P207" s="36" t="s">
        <v>624</v>
      </c>
      <c r="Q207" s="37">
        <v>316945</v>
      </c>
      <c r="R207" s="36" t="s">
        <v>159</v>
      </c>
      <c r="S207" s="38">
        <v>42478</v>
      </c>
      <c r="T207" s="38">
        <v>42453</v>
      </c>
      <c r="U207" s="38">
        <v>44561</v>
      </c>
      <c r="V207" s="27" t="s">
        <v>9308</v>
      </c>
      <c r="W207" s="36" t="s">
        <v>557</v>
      </c>
      <c r="X207" s="36" t="s">
        <v>880</v>
      </c>
      <c r="Y207" s="36" t="s">
        <v>125</v>
      </c>
      <c r="Z207" s="36" t="s">
        <v>1052</v>
      </c>
      <c r="AA207" s="36" t="s">
        <v>1012</v>
      </c>
      <c r="AB207" s="36" t="s">
        <v>560</v>
      </c>
      <c r="AC207" s="36" t="s">
        <v>939</v>
      </c>
      <c r="AD207" s="37">
        <v>11.3</v>
      </c>
      <c r="AE207" s="36" t="s">
        <v>563</v>
      </c>
      <c r="AF207" s="36" t="s">
        <v>860</v>
      </c>
    </row>
    <row r="208" spans="2:32" ht="60" customHeight="1" x14ac:dyDescent="0.25">
      <c r="B208" s="31" t="s">
        <v>1054</v>
      </c>
      <c r="C208" s="41">
        <v>2016</v>
      </c>
      <c r="D208" s="42">
        <f t="shared" si="3"/>
        <v>2020</v>
      </c>
      <c r="E208" s="31" t="s">
        <v>126</v>
      </c>
      <c r="F208" s="31" t="s">
        <v>1055</v>
      </c>
      <c r="G208" s="31" t="s">
        <v>1056</v>
      </c>
      <c r="H208" s="31" t="s">
        <v>172</v>
      </c>
      <c r="I208" s="31" t="s">
        <v>1020</v>
      </c>
      <c r="J208" s="31" t="s">
        <v>1021</v>
      </c>
      <c r="K208" s="31" t="s">
        <v>142</v>
      </c>
      <c r="L208" s="31" t="s">
        <v>159</v>
      </c>
      <c r="M208" s="34">
        <v>0</v>
      </c>
      <c r="N208" s="34">
        <v>913761200</v>
      </c>
      <c r="O208" s="34">
        <v>913761200</v>
      </c>
      <c r="P208" s="31" t="s">
        <v>624</v>
      </c>
      <c r="Q208" s="34">
        <v>1661384</v>
      </c>
      <c r="R208" s="31" t="s">
        <v>159</v>
      </c>
      <c r="S208" s="35">
        <v>42370</v>
      </c>
      <c r="T208" s="35">
        <v>42453</v>
      </c>
      <c r="U208" s="35">
        <v>44104</v>
      </c>
      <c r="V208" s="27" t="s">
        <v>9393</v>
      </c>
      <c r="W208" s="31" t="s">
        <v>557</v>
      </c>
      <c r="X208" s="31" t="s">
        <v>880</v>
      </c>
      <c r="Y208" s="31" t="s">
        <v>242</v>
      </c>
      <c r="Z208" s="31" t="s">
        <v>968</v>
      </c>
      <c r="AA208" s="31" t="s">
        <v>862</v>
      </c>
      <c r="AB208" s="31" t="s">
        <v>861</v>
      </c>
      <c r="AC208" s="31" t="s">
        <v>971</v>
      </c>
      <c r="AD208" s="34">
        <v>9.1</v>
      </c>
      <c r="AE208" s="31" t="s">
        <v>864</v>
      </c>
      <c r="AF208" s="31" t="s">
        <v>860</v>
      </c>
    </row>
    <row r="209" spans="2:32" ht="60" customHeight="1" x14ac:dyDescent="0.25">
      <c r="B209" s="36" t="s">
        <v>1058</v>
      </c>
      <c r="C209" s="42">
        <v>2016</v>
      </c>
      <c r="D209" s="42">
        <f t="shared" si="3"/>
        <v>2021</v>
      </c>
      <c r="E209" s="36" t="s">
        <v>126</v>
      </c>
      <c r="F209" s="36" t="s">
        <v>1059</v>
      </c>
      <c r="G209" s="36" t="s">
        <v>1061</v>
      </c>
      <c r="H209" s="36" t="s">
        <v>172</v>
      </c>
      <c r="I209" s="36" t="s">
        <v>1020</v>
      </c>
      <c r="J209" s="36" t="s">
        <v>1021</v>
      </c>
      <c r="K209" s="36" t="s">
        <v>216</v>
      </c>
      <c r="L209" s="36" t="s">
        <v>159</v>
      </c>
      <c r="M209" s="37">
        <v>0</v>
      </c>
      <c r="N209" s="37">
        <v>116103350</v>
      </c>
      <c r="O209" s="37">
        <v>116103350</v>
      </c>
      <c r="P209" s="36" t="s">
        <v>624</v>
      </c>
      <c r="Q209" s="37">
        <v>211097</v>
      </c>
      <c r="R209" s="36" t="s">
        <v>159</v>
      </c>
      <c r="S209" s="38">
        <v>42509</v>
      </c>
      <c r="T209" s="38">
        <v>42453</v>
      </c>
      <c r="U209" s="38">
        <v>44469</v>
      </c>
      <c r="V209" s="27" t="s">
        <v>9308</v>
      </c>
      <c r="W209" s="36" t="s">
        <v>557</v>
      </c>
      <c r="X209" s="36" t="s">
        <v>880</v>
      </c>
      <c r="Y209" s="36" t="s">
        <v>242</v>
      </c>
      <c r="Z209" s="36" t="s">
        <v>1060</v>
      </c>
      <c r="AA209" s="36" t="s">
        <v>561</v>
      </c>
      <c r="AB209" s="36" t="s">
        <v>560</v>
      </c>
      <c r="AC209" s="36" t="s">
        <v>989</v>
      </c>
      <c r="AD209" s="37">
        <v>3.8</v>
      </c>
      <c r="AE209" s="36" t="s">
        <v>902</v>
      </c>
      <c r="AF209" s="36" t="s">
        <v>860</v>
      </c>
    </row>
    <row r="210" spans="2:32" ht="60" customHeight="1" x14ac:dyDescent="0.25">
      <c r="B210" s="31" t="s">
        <v>1062</v>
      </c>
      <c r="C210" s="41">
        <v>2016</v>
      </c>
      <c r="D210" s="42">
        <f t="shared" si="3"/>
        <v>2021</v>
      </c>
      <c r="E210" s="31" t="s">
        <v>126</v>
      </c>
      <c r="F210" s="31" t="s">
        <v>1063</v>
      </c>
      <c r="G210" s="31" t="s">
        <v>1065</v>
      </c>
      <c r="H210" s="31" t="s">
        <v>172</v>
      </c>
      <c r="I210" s="31" t="s">
        <v>1020</v>
      </c>
      <c r="J210" s="31" t="s">
        <v>1021</v>
      </c>
      <c r="K210" s="31" t="s">
        <v>216</v>
      </c>
      <c r="L210" s="31" t="s">
        <v>159</v>
      </c>
      <c r="M210" s="34">
        <v>0</v>
      </c>
      <c r="N210" s="34">
        <v>261250000</v>
      </c>
      <c r="O210" s="34">
        <v>261250000</v>
      </c>
      <c r="P210" s="31" t="s">
        <v>624</v>
      </c>
      <c r="Q210" s="34">
        <v>475000</v>
      </c>
      <c r="R210" s="31" t="s">
        <v>159</v>
      </c>
      <c r="S210" s="35">
        <v>42509</v>
      </c>
      <c r="T210" s="35">
        <v>42453</v>
      </c>
      <c r="U210" s="35">
        <v>44469</v>
      </c>
      <c r="V210" s="27" t="s">
        <v>9308</v>
      </c>
      <c r="W210" s="31" t="s">
        <v>557</v>
      </c>
      <c r="X210" s="31" t="s">
        <v>880</v>
      </c>
      <c r="Y210" s="31" t="s">
        <v>242</v>
      </c>
      <c r="Z210" s="31" t="s">
        <v>1064</v>
      </c>
      <c r="AA210" s="31" t="s">
        <v>561</v>
      </c>
      <c r="AB210" s="31" t="s">
        <v>560</v>
      </c>
      <c r="AC210" s="31" t="s">
        <v>989</v>
      </c>
      <c r="AD210" s="34">
        <v>3.8</v>
      </c>
      <c r="AE210" s="31" t="s">
        <v>902</v>
      </c>
      <c r="AF210" s="31" t="s">
        <v>860</v>
      </c>
    </row>
    <row r="211" spans="2:32" ht="60" customHeight="1" x14ac:dyDescent="0.25">
      <c r="B211" s="36" t="s">
        <v>1066</v>
      </c>
      <c r="C211" s="42">
        <v>2016</v>
      </c>
      <c r="D211" s="42">
        <f t="shared" si="3"/>
        <v>2021</v>
      </c>
      <c r="E211" s="36" t="s">
        <v>126</v>
      </c>
      <c r="F211" s="36" t="s">
        <v>1067</v>
      </c>
      <c r="G211" s="36" t="s">
        <v>1069</v>
      </c>
      <c r="H211" s="36" t="s">
        <v>129</v>
      </c>
      <c r="I211" s="36" t="s">
        <v>267</v>
      </c>
      <c r="J211" s="36" t="s">
        <v>267</v>
      </c>
      <c r="K211" s="36" t="s">
        <v>205</v>
      </c>
      <c r="L211" s="36" t="s">
        <v>159</v>
      </c>
      <c r="M211" s="37">
        <v>0</v>
      </c>
      <c r="N211" s="37">
        <v>1311914000</v>
      </c>
      <c r="O211" s="37">
        <v>1311914000</v>
      </c>
      <c r="P211" s="36" t="s">
        <v>122</v>
      </c>
      <c r="Q211" s="37">
        <v>2000000</v>
      </c>
      <c r="R211" s="36" t="s">
        <v>159</v>
      </c>
      <c r="S211" s="38">
        <v>42725</v>
      </c>
      <c r="T211" s="38">
        <v>42718</v>
      </c>
      <c r="U211" s="38">
        <v>44561</v>
      </c>
      <c r="V211" s="27" t="s">
        <v>9394</v>
      </c>
      <c r="W211" s="36" t="s">
        <v>557</v>
      </c>
      <c r="X211" s="36" t="s">
        <v>880</v>
      </c>
      <c r="Y211" s="36" t="s">
        <v>242</v>
      </c>
      <c r="Z211" s="36" t="s">
        <v>1068</v>
      </c>
      <c r="AA211" s="36" t="s">
        <v>1012</v>
      </c>
      <c r="AB211" s="36" t="s">
        <v>560</v>
      </c>
      <c r="AC211" s="36" t="s">
        <v>939</v>
      </c>
      <c r="AD211" s="37">
        <v>11.3</v>
      </c>
      <c r="AE211" s="36" t="s">
        <v>563</v>
      </c>
      <c r="AF211" s="36" t="s">
        <v>860</v>
      </c>
    </row>
    <row r="212" spans="2:32" ht="60" customHeight="1" x14ac:dyDescent="0.25">
      <c r="B212" s="31" t="s">
        <v>1070</v>
      </c>
      <c r="C212" s="41">
        <v>2016</v>
      </c>
      <c r="D212" s="42">
        <f t="shared" si="3"/>
        <v>2020</v>
      </c>
      <c r="E212" s="31" t="s">
        <v>126</v>
      </c>
      <c r="F212" s="31" t="s">
        <v>1071</v>
      </c>
      <c r="G212" s="31" t="s">
        <v>1073</v>
      </c>
      <c r="H212" s="31" t="s">
        <v>172</v>
      </c>
      <c r="I212" s="31" t="s">
        <v>1020</v>
      </c>
      <c r="J212" s="31" t="s">
        <v>1021</v>
      </c>
      <c r="K212" s="31" t="s">
        <v>216</v>
      </c>
      <c r="L212" s="31" t="s">
        <v>159</v>
      </c>
      <c r="M212" s="34">
        <v>0</v>
      </c>
      <c r="N212" s="34">
        <v>175327900</v>
      </c>
      <c r="O212" s="34">
        <v>175327900</v>
      </c>
      <c r="P212" s="31" t="s">
        <v>624</v>
      </c>
      <c r="Q212" s="34">
        <v>318778</v>
      </c>
      <c r="R212" s="31" t="s">
        <v>159</v>
      </c>
      <c r="S212" s="35">
        <v>42724</v>
      </c>
      <c r="T212" s="35">
        <v>42453</v>
      </c>
      <c r="U212" s="35">
        <v>44104</v>
      </c>
      <c r="V212" s="27" t="s">
        <v>9307</v>
      </c>
      <c r="W212" s="31" t="s">
        <v>557</v>
      </c>
      <c r="X212" s="31" t="s">
        <v>880</v>
      </c>
      <c r="Y212" s="31" t="s">
        <v>242</v>
      </c>
      <c r="Z212" s="31" t="s">
        <v>1072</v>
      </c>
      <c r="AA212" s="31" t="s">
        <v>561</v>
      </c>
      <c r="AB212" s="31" t="s">
        <v>560</v>
      </c>
      <c r="AC212" s="31" t="s">
        <v>989</v>
      </c>
      <c r="AD212" s="34">
        <v>3.8</v>
      </c>
      <c r="AE212" s="31" t="s">
        <v>902</v>
      </c>
      <c r="AF212" s="31" t="s">
        <v>860</v>
      </c>
    </row>
    <row r="213" spans="2:32" ht="60" customHeight="1" x14ac:dyDescent="0.25">
      <c r="B213" s="36" t="s">
        <v>1074</v>
      </c>
      <c r="C213" s="42">
        <v>2016</v>
      </c>
      <c r="D213" s="42">
        <f t="shared" si="3"/>
        <v>2020</v>
      </c>
      <c r="E213" s="36" t="s">
        <v>126</v>
      </c>
      <c r="F213" s="36" t="s">
        <v>1075</v>
      </c>
      <c r="G213" s="36" t="s">
        <v>1077</v>
      </c>
      <c r="H213" s="36" t="s">
        <v>172</v>
      </c>
      <c r="I213" s="36" t="s">
        <v>1020</v>
      </c>
      <c r="J213" s="36" t="s">
        <v>1021</v>
      </c>
      <c r="K213" s="36" t="s">
        <v>163</v>
      </c>
      <c r="L213" s="36" t="s">
        <v>159</v>
      </c>
      <c r="M213" s="37">
        <v>0</v>
      </c>
      <c r="N213" s="37">
        <v>38299250</v>
      </c>
      <c r="O213" s="37">
        <v>38299250</v>
      </c>
      <c r="P213" s="36" t="s">
        <v>624</v>
      </c>
      <c r="Q213" s="37">
        <v>69635</v>
      </c>
      <c r="R213" s="36" t="s">
        <v>159</v>
      </c>
      <c r="S213" s="38">
        <v>42509</v>
      </c>
      <c r="T213" s="38">
        <v>42453</v>
      </c>
      <c r="U213" s="38">
        <v>44104</v>
      </c>
      <c r="V213" s="27" t="s">
        <v>9307</v>
      </c>
      <c r="W213" s="36" t="s">
        <v>557</v>
      </c>
      <c r="X213" s="36" t="s">
        <v>880</v>
      </c>
      <c r="Y213" s="36" t="s">
        <v>242</v>
      </c>
      <c r="Z213" s="36" t="s">
        <v>1076</v>
      </c>
      <c r="AA213" s="36" t="s">
        <v>965</v>
      </c>
      <c r="AB213" s="36" t="s">
        <v>964</v>
      </c>
      <c r="AC213" s="36" t="s">
        <v>1036</v>
      </c>
      <c r="AD213" s="37">
        <v>16.600000000000001</v>
      </c>
      <c r="AE213" s="36" t="s">
        <v>902</v>
      </c>
      <c r="AF213" s="36" t="s">
        <v>860</v>
      </c>
    </row>
    <row r="214" spans="2:32" ht="60" customHeight="1" x14ac:dyDescent="0.25">
      <c r="B214" s="31" t="s">
        <v>1078</v>
      </c>
      <c r="C214" s="41">
        <v>2016</v>
      </c>
      <c r="D214" s="42">
        <f t="shared" si="3"/>
        <v>2019</v>
      </c>
      <c r="E214" s="31" t="s">
        <v>126</v>
      </c>
      <c r="F214" s="31" t="s">
        <v>1079</v>
      </c>
      <c r="G214" s="31" t="s">
        <v>1081</v>
      </c>
      <c r="H214" s="31" t="s">
        <v>129</v>
      </c>
      <c r="I214" s="31" t="s">
        <v>267</v>
      </c>
      <c r="J214" s="31" t="s">
        <v>267</v>
      </c>
      <c r="K214" s="31" t="s">
        <v>1039</v>
      </c>
      <c r="L214" s="31" t="s">
        <v>159</v>
      </c>
      <c r="M214" s="34">
        <v>0</v>
      </c>
      <c r="N214" s="34">
        <v>229584950</v>
      </c>
      <c r="O214" s="34">
        <v>229584950</v>
      </c>
      <c r="P214" s="31" t="s">
        <v>122</v>
      </c>
      <c r="Q214" s="34">
        <v>350000</v>
      </c>
      <c r="R214" s="31" t="s">
        <v>159</v>
      </c>
      <c r="S214" s="35">
        <v>42714</v>
      </c>
      <c r="T214" s="35">
        <v>42444</v>
      </c>
      <c r="U214" s="35">
        <v>43830</v>
      </c>
      <c r="V214" s="27" t="s">
        <v>9307</v>
      </c>
      <c r="W214" s="31" t="s">
        <v>557</v>
      </c>
      <c r="X214" s="31" t="s">
        <v>880</v>
      </c>
      <c r="Y214" s="31" t="s">
        <v>242</v>
      </c>
      <c r="Z214" s="31" t="s">
        <v>1080</v>
      </c>
      <c r="AA214" s="31" t="s">
        <v>1046</v>
      </c>
      <c r="AB214" s="31" t="s">
        <v>861</v>
      </c>
      <c r="AC214" s="31" t="s">
        <v>1047</v>
      </c>
      <c r="AD214" s="34">
        <v>17.170000000000002</v>
      </c>
      <c r="AE214" s="31" t="s">
        <v>864</v>
      </c>
      <c r="AF214" s="31" t="s">
        <v>860</v>
      </c>
    </row>
    <row r="215" spans="2:32" ht="60" customHeight="1" x14ac:dyDescent="0.25">
      <c r="B215" s="36" t="s">
        <v>1082</v>
      </c>
      <c r="C215" s="42">
        <v>2016</v>
      </c>
      <c r="D215" s="42">
        <f t="shared" si="3"/>
        <v>2020</v>
      </c>
      <c r="E215" s="36" t="s">
        <v>126</v>
      </c>
      <c r="F215" s="36" t="s">
        <v>1083</v>
      </c>
      <c r="G215" s="36" t="s">
        <v>1084</v>
      </c>
      <c r="H215" s="36" t="s">
        <v>172</v>
      </c>
      <c r="I215" s="36" t="s">
        <v>1010</v>
      </c>
      <c r="J215" s="36" t="s">
        <v>1011</v>
      </c>
      <c r="K215" s="36" t="s">
        <v>216</v>
      </c>
      <c r="L215" s="36" t="s">
        <v>159</v>
      </c>
      <c r="M215" s="37">
        <v>0</v>
      </c>
      <c r="N215" s="37">
        <v>34235300</v>
      </c>
      <c r="O215" s="37">
        <v>34235300</v>
      </c>
      <c r="P215" s="36" t="s">
        <v>624</v>
      </c>
      <c r="Q215" s="37">
        <v>62246</v>
      </c>
      <c r="R215" s="36" t="s">
        <v>159</v>
      </c>
      <c r="S215" s="38">
        <v>42713</v>
      </c>
      <c r="T215" s="38">
        <v>42453</v>
      </c>
      <c r="U215" s="38">
        <v>44196</v>
      </c>
      <c r="V215" s="27" t="s">
        <v>9308</v>
      </c>
      <c r="W215" s="36" t="s">
        <v>557</v>
      </c>
      <c r="X215" s="36" t="s">
        <v>880</v>
      </c>
      <c r="Y215" s="36" t="s">
        <v>125</v>
      </c>
      <c r="Z215" s="36" t="s">
        <v>1025</v>
      </c>
      <c r="AA215" s="36" t="s">
        <v>561</v>
      </c>
      <c r="AB215" s="36" t="s">
        <v>560</v>
      </c>
      <c r="AC215" s="36" t="s">
        <v>989</v>
      </c>
      <c r="AD215" s="37">
        <v>3.8</v>
      </c>
      <c r="AE215" s="36" t="s">
        <v>902</v>
      </c>
      <c r="AF215" s="36" t="s">
        <v>860</v>
      </c>
    </row>
    <row r="216" spans="2:32" ht="60" customHeight="1" x14ac:dyDescent="0.25">
      <c r="B216" s="31" t="s">
        <v>1085</v>
      </c>
      <c r="C216" s="41">
        <v>2016</v>
      </c>
      <c r="D216" s="42">
        <f t="shared" si="3"/>
        <v>2021</v>
      </c>
      <c r="E216" s="31" t="s">
        <v>170</v>
      </c>
      <c r="F216" s="31" t="s">
        <v>1086</v>
      </c>
      <c r="G216" s="31" t="s">
        <v>1088</v>
      </c>
      <c r="H216" s="31" t="s">
        <v>172</v>
      </c>
      <c r="I216" s="31" t="s">
        <v>1010</v>
      </c>
      <c r="J216" s="31" t="s">
        <v>1011</v>
      </c>
      <c r="K216" s="31" t="s">
        <v>163</v>
      </c>
      <c r="L216" s="31" t="s">
        <v>159</v>
      </c>
      <c r="M216" s="34">
        <v>0</v>
      </c>
      <c r="N216" s="34">
        <v>87410950</v>
      </c>
      <c r="O216" s="34">
        <v>87410950</v>
      </c>
      <c r="P216" s="31" t="s">
        <v>624</v>
      </c>
      <c r="Q216" s="34">
        <v>158929</v>
      </c>
      <c r="R216" s="31" t="s">
        <v>159</v>
      </c>
      <c r="S216" s="35">
        <v>42474</v>
      </c>
      <c r="T216" s="35">
        <v>42453</v>
      </c>
      <c r="U216" s="35">
        <v>44561</v>
      </c>
      <c r="V216" s="27" t="s">
        <v>9308</v>
      </c>
      <c r="W216" s="31" t="s">
        <v>557</v>
      </c>
      <c r="X216" s="31" t="s">
        <v>880</v>
      </c>
      <c r="Y216" s="31" t="s">
        <v>125</v>
      </c>
      <c r="Z216" s="31" t="s">
        <v>1087</v>
      </c>
      <c r="AA216" s="31" t="s">
        <v>1046</v>
      </c>
      <c r="AB216" s="31" t="s">
        <v>861</v>
      </c>
      <c r="AC216" s="31" t="s">
        <v>1036</v>
      </c>
      <c r="AD216" s="34">
        <v>16.600000000000001</v>
      </c>
      <c r="AE216" s="31" t="s">
        <v>902</v>
      </c>
      <c r="AF216" s="31" t="s">
        <v>860</v>
      </c>
    </row>
    <row r="217" spans="2:32" ht="60" customHeight="1" x14ac:dyDescent="0.25">
      <c r="B217" s="36" t="s">
        <v>1089</v>
      </c>
      <c r="C217" s="42">
        <v>2016</v>
      </c>
      <c r="D217" s="42">
        <f t="shared" si="3"/>
        <v>2020</v>
      </c>
      <c r="E217" s="36" t="s">
        <v>126</v>
      </c>
      <c r="F217" s="36" t="s">
        <v>1090</v>
      </c>
      <c r="G217" s="36" t="s">
        <v>1092</v>
      </c>
      <c r="H217" s="36" t="s">
        <v>172</v>
      </c>
      <c r="I217" s="36" t="s">
        <v>1020</v>
      </c>
      <c r="J217" s="36" t="s">
        <v>1021</v>
      </c>
      <c r="K217" s="36" t="s">
        <v>216</v>
      </c>
      <c r="L217" s="36" t="s">
        <v>159</v>
      </c>
      <c r="M217" s="37">
        <v>0</v>
      </c>
      <c r="N217" s="37">
        <v>275000000</v>
      </c>
      <c r="O217" s="37">
        <v>275000000</v>
      </c>
      <c r="P217" s="36" t="s">
        <v>624</v>
      </c>
      <c r="Q217" s="37">
        <v>500000</v>
      </c>
      <c r="R217" s="36" t="s">
        <v>159</v>
      </c>
      <c r="S217" s="38">
        <v>42703</v>
      </c>
      <c r="T217" s="38">
        <v>42453</v>
      </c>
      <c r="U217" s="38">
        <v>44104</v>
      </c>
      <c r="V217" s="27" t="s">
        <v>9308</v>
      </c>
      <c r="W217" s="36" t="s">
        <v>557</v>
      </c>
      <c r="X217" s="36" t="s">
        <v>880</v>
      </c>
      <c r="Y217" s="36" t="s">
        <v>242</v>
      </c>
      <c r="Z217" s="36" t="s">
        <v>1091</v>
      </c>
      <c r="AA217" s="36" t="s">
        <v>561</v>
      </c>
      <c r="AB217" s="36" t="s">
        <v>560</v>
      </c>
      <c r="AC217" s="36" t="s">
        <v>989</v>
      </c>
      <c r="AD217" s="37">
        <v>3.8</v>
      </c>
      <c r="AE217" s="36" t="s">
        <v>902</v>
      </c>
      <c r="AF217" s="36" t="s">
        <v>860</v>
      </c>
    </row>
    <row r="218" spans="2:32" ht="60" customHeight="1" x14ac:dyDescent="0.25">
      <c r="B218" s="31" t="s">
        <v>1093</v>
      </c>
      <c r="C218" s="41">
        <v>2016</v>
      </c>
      <c r="D218" s="42">
        <f t="shared" si="3"/>
        <v>2019</v>
      </c>
      <c r="E218" s="31" t="s">
        <v>126</v>
      </c>
      <c r="F218" s="31" t="s">
        <v>1094</v>
      </c>
      <c r="G218" s="31" t="s">
        <v>1096</v>
      </c>
      <c r="H218" s="31" t="s">
        <v>172</v>
      </c>
      <c r="I218" s="31" t="s">
        <v>1020</v>
      </c>
      <c r="J218" s="31" t="s">
        <v>1021</v>
      </c>
      <c r="K218" s="31" t="s">
        <v>526</v>
      </c>
      <c r="L218" s="31" t="s">
        <v>159</v>
      </c>
      <c r="M218" s="34">
        <v>0</v>
      </c>
      <c r="N218" s="34">
        <v>27500000</v>
      </c>
      <c r="O218" s="34">
        <v>27500000</v>
      </c>
      <c r="P218" s="31" t="s">
        <v>624</v>
      </c>
      <c r="Q218" s="34">
        <v>50000</v>
      </c>
      <c r="R218" s="31" t="s">
        <v>159</v>
      </c>
      <c r="S218" s="35">
        <v>42515</v>
      </c>
      <c r="T218" s="35">
        <v>42453</v>
      </c>
      <c r="U218" s="35">
        <v>43738</v>
      </c>
      <c r="V218" s="27" t="s">
        <v>9308</v>
      </c>
      <c r="W218" s="31" t="s">
        <v>557</v>
      </c>
      <c r="X218" s="31" t="s">
        <v>880</v>
      </c>
      <c r="Y218" s="31" t="s">
        <v>242</v>
      </c>
      <c r="Z218" s="31" t="s">
        <v>1095</v>
      </c>
      <c r="AA218" s="31" t="s">
        <v>561</v>
      </c>
      <c r="AB218" s="31" t="s">
        <v>560</v>
      </c>
      <c r="AC218" s="31" t="s">
        <v>1022</v>
      </c>
      <c r="AD218" s="34">
        <v>1.3</v>
      </c>
      <c r="AE218" s="31" t="s">
        <v>902</v>
      </c>
      <c r="AF218" s="31" t="s">
        <v>860</v>
      </c>
    </row>
    <row r="219" spans="2:32" ht="60" customHeight="1" x14ac:dyDescent="0.25">
      <c r="B219" s="36" t="s">
        <v>1097</v>
      </c>
      <c r="C219" s="42">
        <v>2016</v>
      </c>
      <c r="D219" s="42">
        <f t="shared" si="3"/>
        <v>2020</v>
      </c>
      <c r="E219" s="36" t="s">
        <v>317</v>
      </c>
      <c r="F219" s="36" t="s">
        <v>1098</v>
      </c>
      <c r="G219" s="36" t="s">
        <v>1100</v>
      </c>
      <c r="H219" s="36" t="s">
        <v>172</v>
      </c>
      <c r="I219" s="36" t="s">
        <v>1010</v>
      </c>
      <c r="J219" s="36" t="s">
        <v>1011</v>
      </c>
      <c r="K219" s="36" t="s">
        <v>526</v>
      </c>
      <c r="L219" s="36" t="s">
        <v>159</v>
      </c>
      <c r="M219" s="37">
        <v>0</v>
      </c>
      <c r="N219" s="37">
        <v>1279508494</v>
      </c>
      <c r="O219" s="37">
        <v>1279508494</v>
      </c>
      <c r="P219" s="36" t="s">
        <v>624</v>
      </c>
      <c r="Q219" s="37">
        <v>2326379.08</v>
      </c>
      <c r="R219" s="36" t="s">
        <v>159</v>
      </c>
      <c r="S219" s="38">
        <v>42481</v>
      </c>
      <c r="T219" s="38">
        <v>42453</v>
      </c>
      <c r="U219" s="38">
        <v>44196</v>
      </c>
      <c r="V219" s="27" t="s">
        <v>9308</v>
      </c>
      <c r="W219" s="36" t="s">
        <v>557</v>
      </c>
      <c r="X219" s="36" t="s">
        <v>880</v>
      </c>
      <c r="Y219" s="36" t="s">
        <v>125</v>
      </c>
      <c r="Z219" s="36" t="s">
        <v>1099</v>
      </c>
      <c r="AA219" s="36" t="s">
        <v>561</v>
      </c>
      <c r="AB219" s="36" t="s">
        <v>560</v>
      </c>
      <c r="AC219" s="36" t="s">
        <v>1022</v>
      </c>
      <c r="AD219" s="37">
        <v>1.3</v>
      </c>
      <c r="AE219" s="36" t="s">
        <v>902</v>
      </c>
      <c r="AF219" s="36" t="s">
        <v>860</v>
      </c>
    </row>
    <row r="220" spans="2:32" ht="45" customHeight="1" x14ac:dyDescent="0.25">
      <c r="B220" s="31" t="s">
        <v>1101</v>
      </c>
      <c r="C220" s="41">
        <v>2016</v>
      </c>
      <c r="D220" s="42">
        <f t="shared" si="3"/>
        <v>2020</v>
      </c>
      <c r="E220" s="31" t="s">
        <v>126</v>
      </c>
      <c r="F220" s="31" t="s">
        <v>1102</v>
      </c>
      <c r="G220" s="31" t="s">
        <v>1104</v>
      </c>
      <c r="H220" s="31" t="s">
        <v>172</v>
      </c>
      <c r="I220" s="31" t="s">
        <v>1020</v>
      </c>
      <c r="J220" s="31" t="s">
        <v>1021</v>
      </c>
      <c r="K220" s="31" t="s">
        <v>216</v>
      </c>
      <c r="L220" s="31" t="s">
        <v>159</v>
      </c>
      <c r="M220" s="34">
        <v>0</v>
      </c>
      <c r="N220" s="34">
        <v>2255000000</v>
      </c>
      <c r="O220" s="34">
        <v>2255000000</v>
      </c>
      <c r="P220" s="31" t="s">
        <v>624</v>
      </c>
      <c r="Q220" s="34">
        <v>4100000</v>
      </c>
      <c r="R220" s="31" t="s">
        <v>159</v>
      </c>
      <c r="S220" s="35">
        <v>42509</v>
      </c>
      <c r="T220" s="35">
        <v>42453</v>
      </c>
      <c r="U220" s="35">
        <v>44104</v>
      </c>
      <c r="V220" s="27" t="s">
        <v>9395</v>
      </c>
      <c r="W220" s="31" t="s">
        <v>557</v>
      </c>
      <c r="X220" s="31" t="s">
        <v>880</v>
      </c>
      <c r="Y220" s="31" t="s">
        <v>242</v>
      </c>
      <c r="Z220" s="31" t="s">
        <v>1103</v>
      </c>
      <c r="AA220" s="31" t="s">
        <v>561</v>
      </c>
      <c r="AB220" s="31" t="s">
        <v>560</v>
      </c>
      <c r="AC220" s="31" t="s">
        <v>989</v>
      </c>
      <c r="AD220" s="34">
        <v>3.8</v>
      </c>
      <c r="AE220" s="31" t="s">
        <v>902</v>
      </c>
      <c r="AF220" s="31" t="s">
        <v>860</v>
      </c>
    </row>
    <row r="221" spans="2:32" ht="60" customHeight="1" x14ac:dyDescent="0.25">
      <c r="B221" s="36" t="s">
        <v>1106</v>
      </c>
      <c r="C221" s="42">
        <v>2016</v>
      </c>
      <c r="D221" s="42">
        <f t="shared" si="3"/>
        <v>2020</v>
      </c>
      <c r="E221" s="36" t="s">
        <v>317</v>
      </c>
      <c r="F221" s="36" t="s">
        <v>1107</v>
      </c>
      <c r="G221" s="36" t="s">
        <v>1109</v>
      </c>
      <c r="H221" s="36" t="s">
        <v>129</v>
      </c>
      <c r="I221" s="36" t="s">
        <v>822</v>
      </c>
      <c r="J221" s="36" t="s">
        <v>823</v>
      </c>
      <c r="K221" s="36" t="s">
        <v>315</v>
      </c>
      <c r="L221" s="36" t="s">
        <v>159</v>
      </c>
      <c r="M221" s="37">
        <v>0</v>
      </c>
      <c r="N221" s="37">
        <v>1211544000</v>
      </c>
      <c r="O221" s="37">
        <v>1211544000</v>
      </c>
      <c r="P221" s="36" t="s">
        <v>1110</v>
      </c>
      <c r="Q221" s="37">
        <v>2019240</v>
      </c>
      <c r="R221" s="36" t="s">
        <v>159</v>
      </c>
      <c r="S221" s="38">
        <v>42653</v>
      </c>
      <c r="T221" s="38">
        <v>42472</v>
      </c>
      <c r="U221" s="38">
        <v>44196</v>
      </c>
      <c r="V221" s="27" t="s">
        <v>9396</v>
      </c>
      <c r="W221" s="36" t="s">
        <v>557</v>
      </c>
      <c r="X221" s="36" t="s">
        <v>880</v>
      </c>
      <c r="Y221" s="36" t="s">
        <v>242</v>
      </c>
      <c r="Z221" s="36" t="s">
        <v>1108</v>
      </c>
      <c r="AA221" s="36" t="s">
        <v>900</v>
      </c>
      <c r="AB221" s="36" t="s">
        <v>861</v>
      </c>
      <c r="AC221" s="36" t="s">
        <v>901</v>
      </c>
      <c r="AD221" s="37">
        <v>4.0999999999999996</v>
      </c>
      <c r="AE221" s="36" t="s">
        <v>902</v>
      </c>
      <c r="AF221" s="36" t="s">
        <v>860</v>
      </c>
    </row>
    <row r="222" spans="2:32" ht="60" customHeight="1" x14ac:dyDescent="0.25">
      <c r="B222" s="31" t="s">
        <v>1111</v>
      </c>
      <c r="C222" s="41">
        <v>2016</v>
      </c>
      <c r="D222" s="42">
        <f t="shared" si="3"/>
        <v>2020</v>
      </c>
      <c r="E222" s="31" t="s">
        <v>317</v>
      </c>
      <c r="F222" s="31" t="s">
        <v>1112</v>
      </c>
      <c r="G222" s="31" t="s">
        <v>1114</v>
      </c>
      <c r="H222" s="31" t="s">
        <v>129</v>
      </c>
      <c r="I222" s="31" t="s">
        <v>822</v>
      </c>
      <c r="J222" s="31" t="s">
        <v>823</v>
      </c>
      <c r="K222" s="31" t="s">
        <v>282</v>
      </c>
      <c r="L222" s="31" t="s">
        <v>159</v>
      </c>
      <c r="M222" s="34">
        <v>0</v>
      </c>
      <c r="N222" s="34">
        <v>3787600000</v>
      </c>
      <c r="O222" s="34">
        <v>3787600000</v>
      </c>
      <c r="P222" s="31" t="s">
        <v>1110</v>
      </c>
      <c r="Q222" s="34">
        <v>6800000</v>
      </c>
      <c r="R222" s="31" t="s">
        <v>159</v>
      </c>
      <c r="S222" s="35">
        <v>42653</v>
      </c>
      <c r="T222" s="35">
        <v>42472</v>
      </c>
      <c r="U222" s="35">
        <v>44196</v>
      </c>
      <c r="V222" s="27" t="s">
        <v>9396</v>
      </c>
      <c r="W222" s="31" t="s">
        <v>557</v>
      </c>
      <c r="X222" s="31" t="s">
        <v>880</v>
      </c>
      <c r="Y222" s="31" t="s">
        <v>242</v>
      </c>
      <c r="Z222" s="31" t="s">
        <v>1113</v>
      </c>
      <c r="AA222" s="31" t="s">
        <v>965</v>
      </c>
      <c r="AB222" s="31" t="s">
        <v>964</v>
      </c>
      <c r="AC222" s="31" t="s">
        <v>939</v>
      </c>
      <c r="AD222" s="34">
        <v>11.3</v>
      </c>
      <c r="AE222" s="31" t="s">
        <v>902</v>
      </c>
      <c r="AF222" s="31" t="s">
        <v>860</v>
      </c>
    </row>
    <row r="223" spans="2:32" ht="60" customHeight="1" x14ac:dyDescent="0.25">
      <c r="B223" s="36" t="s">
        <v>1115</v>
      </c>
      <c r="C223" s="42">
        <v>2016</v>
      </c>
      <c r="D223" s="42">
        <f t="shared" si="3"/>
        <v>2021</v>
      </c>
      <c r="E223" s="36" t="s">
        <v>126</v>
      </c>
      <c r="F223" s="36" t="s">
        <v>1116</v>
      </c>
      <c r="G223" s="36" t="s">
        <v>1117</v>
      </c>
      <c r="H223" s="36" t="s">
        <v>172</v>
      </c>
      <c r="I223" s="36" t="s">
        <v>1010</v>
      </c>
      <c r="J223" s="36" t="s">
        <v>1011</v>
      </c>
      <c r="K223" s="36" t="s">
        <v>163</v>
      </c>
      <c r="L223" s="36" t="s">
        <v>159</v>
      </c>
      <c r="M223" s="37">
        <v>0</v>
      </c>
      <c r="N223" s="37">
        <v>229051570</v>
      </c>
      <c r="O223" s="37">
        <v>229051570</v>
      </c>
      <c r="P223" s="36" t="s">
        <v>624</v>
      </c>
      <c r="Q223" s="37">
        <v>416457.4</v>
      </c>
      <c r="R223" s="36" t="s">
        <v>159</v>
      </c>
      <c r="S223" s="38">
        <v>42370</v>
      </c>
      <c r="T223" s="38">
        <v>42453</v>
      </c>
      <c r="U223" s="38">
        <v>44561</v>
      </c>
      <c r="V223" s="27" t="s">
        <v>9307</v>
      </c>
      <c r="W223" s="36" t="s">
        <v>557</v>
      </c>
      <c r="X223" s="36" t="s">
        <v>880</v>
      </c>
      <c r="Y223" s="36" t="s">
        <v>125</v>
      </c>
      <c r="Z223" s="36" t="s">
        <v>962</v>
      </c>
      <c r="AA223" s="36" t="s">
        <v>1035</v>
      </c>
      <c r="AB223" s="36" t="s">
        <v>964</v>
      </c>
      <c r="AC223" s="36" t="s">
        <v>1036</v>
      </c>
      <c r="AD223" s="37">
        <v>16.600000000000001</v>
      </c>
      <c r="AE223" s="36" t="s">
        <v>902</v>
      </c>
      <c r="AF223" s="36" t="s">
        <v>860</v>
      </c>
    </row>
    <row r="224" spans="2:32" ht="60" customHeight="1" x14ac:dyDescent="0.25">
      <c r="B224" s="31" t="s">
        <v>1118</v>
      </c>
      <c r="C224" s="41">
        <v>2016</v>
      </c>
      <c r="D224" s="42">
        <f t="shared" si="3"/>
        <v>2020</v>
      </c>
      <c r="E224" s="31" t="s">
        <v>126</v>
      </c>
      <c r="F224" s="31" t="s">
        <v>1119</v>
      </c>
      <c r="G224" s="31" t="s">
        <v>1120</v>
      </c>
      <c r="H224" s="31" t="s">
        <v>172</v>
      </c>
      <c r="I224" s="31" t="s">
        <v>1020</v>
      </c>
      <c r="J224" s="31" t="s">
        <v>1021</v>
      </c>
      <c r="K224" s="31" t="s">
        <v>216</v>
      </c>
      <c r="L224" s="31" t="s">
        <v>159</v>
      </c>
      <c r="M224" s="34">
        <v>0</v>
      </c>
      <c r="N224" s="34">
        <v>551046650</v>
      </c>
      <c r="O224" s="34">
        <v>551046650</v>
      </c>
      <c r="P224" s="31" t="s">
        <v>624</v>
      </c>
      <c r="Q224" s="34">
        <v>1001903</v>
      </c>
      <c r="R224" s="31" t="s">
        <v>159</v>
      </c>
      <c r="S224" s="35">
        <v>42724</v>
      </c>
      <c r="T224" s="35">
        <v>42453</v>
      </c>
      <c r="U224" s="35">
        <v>44104</v>
      </c>
      <c r="V224" s="27" t="s">
        <v>9308</v>
      </c>
      <c r="W224" s="31" t="s">
        <v>557</v>
      </c>
      <c r="X224" s="31" t="s">
        <v>880</v>
      </c>
      <c r="Y224" s="31" t="s">
        <v>242</v>
      </c>
      <c r="Z224" s="31" t="s">
        <v>1103</v>
      </c>
      <c r="AA224" s="31" t="s">
        <v>561</v>
      </c>
      <c r="AB224" s="31" t="s">
        <v>560</v>
      </c>
      <c r="AC224" s="31" t="s">
        <v>989</v>
      </c>
      <c r="AD224" s="34">
        <v>3.8</v>
      </c>
      <c r="AE224" s="31" t="s">
        <v>902</v>
      </c>
      <c r="AF224" s="31" t="s">
        <v>860</v>
      </c>
    </row>
    <row r="225" spans="2:32" ht="60" customHeight="1" x14ac:dyDescent="0.25">
      <c r="B225" s="36" t="s">
        <v>1121</v>
      </c>
      <c r="C225" s="42">
        <v>2016</v>
      </c>
      <c r="D225" s="42">
        <f t="shared" si="3"/>
        <v>2019</v>
      </c>
      <c r="E225" s="36" t="s">
        <v>126</v>
      </c>
      <c r="F225" s="36" t="s">
        <v>1122</v>
      </c>
      <c r="G225" s="36" t="s">
        <v>1123</v>
      </c>
      <c r="H225" s="36" t="s">
        <v>129</v>
      </c>
      <c r="I225" s="36" t="s">
        <v>267</v>
      </c>
      <c r="J225" s="36" t="s">
        <v>267</v>
      </c>
      <c r="K225" s="36" t="s">
        <v>163</v>
      </c>
      <c r="L225" s="36" t="s">
        <v>159</v>
      </c>
      <c r="M225" s="37">
        <v>0</v>
      </c>
      <c r="N225" s="37">
        <v>524765600</v>
      </c>
      <c r="O225" s="37">
        <v>524765600</v>
      </c>
      <c r="P225" s="36" t="s">
        <v>122</v>
      </c>
      <c r="Q225" s="37">
        <v>800000</v>
      </c>
      <c r="R225" s="36" t="s">
        <v>159</v>
      </c>
      <c r="S225" s="38">
        <v>42727</v>
      </c>
      <c r="T225" s="38">
        <v>42718</v>
      </c>
      <c r="U225" s="38">
        <v>43830</v>
      </c>
      <c r="V225" s="27" t="s">
        <v>9307</v>
      </c>
      <c r="W225" s="36" t="s">
        <v>557</v>
      </c>
      <c r="X225" s="36" t="s">
        <v>880</v>
      </c>
      <c r="Y225" s="36" t="s">
        <v>242</v>
      </c>
      <c r="Z225" s="36" t="s">
        <v>1033</v>
      </c>
      <c r="AA225" s="36" t="s">
        <v>1035</v>
      </c>
      <c r="AB225" s="36" t="s">
        <v>964</v>
      </c>
      <c r="AC225" s="36" t="s">
        <v>1036</v>
      </c>
      <c r="AD225" s="37">
        <v>16.600000000000001</v>
      </c>
      <c r="AE225" s="36" t="s">
        <v>902</v>
      </c>
      <c r="AF225" s="36" t="s">
        <v>860</v>
      </c>
    </row>
    <row r="226" spans="2:32" ht="60" customHeight="1" x14ac:dyDescent="0.25">
      <c r="B226" s="31" t="s">
        <v>1124</v>
      </c>
      <c r="C226" s="41">
        <v>2016</v>
      </c>
      <c r="D226" s="42">
        <f t="shared" si="3"/>
        <v>2022</v>
      </c>
      <c r="E226" s="31" t="s">
        <v>126</v>
      </c>
      <c r="F226" s="31" t="s">
        <v>1125</v>
      </c>
      <c r="G226" s="31" t="s">
        <v>1126</v>
      </c>
      <c r="H226" s="31" t="s">
        <v>129</v>
      </c>
      <c r="I226" s="31" t="s">
        <v>1128</v>
      </c>
      <c r="J226" s="31" t="s">
        <v>1128</v>
      </c>
      <c r="K226" s="31" t="s">
        <v>216</v>
      </c>
      <c r="L226" s="31" t="s">
        <v>159</v>
      </c>
      <c r="M226" s="34">
        <v>0</v>
      </c>
      <c r="N226" s="34">
        <v>1034400000</v>
      </c>
      <c r="O226" s="34">
        <v>1034400000</v>
      </c>
      <c r="P226" s="31" t="s">
        <v>1127</v>
      </c>
      <c r="Q226" s="34">
        <v>2400000</v>
      </c>
      <c r="R226" s="31" t="s">
        <v>159</v>
      </c>
      <c r="S226" s="35">
        <v>42718</v>
      </c>
      <c r="T226" s="35">
        <v>42500</v>
      </c>
      <c r="U226" s="35">
        <v>44651</v>
      </c>
      <c r="V226" s="27" t="s">
        <v>9308</v>
      </c>
      <c r="W226" s="31" t="s">
        <v>557</v>
      </c>
      <c r="X226" s="31" t="s">
        <v>880</v>
      </c>
      <c r="Y226" s="31" t="s">
        <v>242</v>
      </c>
      <c r="Z226" s="31" t="s">
        <v>1025</v>
      </c>
      <c r="AA226" s="31" t="s">
        <v>561</v>
      </c>
      <c r="AB226" s="31" t="s">
        <v>560</v>
      </c>
      <c r="AC226" s="31" t="s">
        <v>989</v>
      </c>
      <c r="AD226" s="34">
        <v>3.8</v>
      </c>
      <c r="AE226" s="31" t="s">
        <v>902</v>
      </c>
      <c r="AF226" s="31" t="s">
        <v>860</v>
      </c>
    </row>
    <row r="227" spans="2:32" ht="60" customHeight="1" x14ac:dyDescent="0.25">
      <c r="B227" s="36" t="s">
        <v>1129</v>
      </c>
      <c r="C227" s="42">
        <v>2016</v>
      </c>
      <c r="D227" s="42">
        <f t="shared" si="3"/>
        <v>2022</v>
      </c>
      <c r="E227" s="36" t="s">
        <v>126</v>
      </c>
      <c r="F227" s="36" t="s">
        <v>1130</v>
      </c>
      <c r="G227" s="36" t="s">
        <v>1132</v>
      </c>
      <c r="H227" s="36" t="s">
        <v>129</v>
      </c>
      <c r="I227" s="36" t="s">
        <v>1128</v>
      </c>
      <c r="J227" s="36" t="s">
        <v>1128</v>
      </c>
      <c r="K227" s="36" t="s">
        <v>526</v>
      </c>
      <c r="L227" s="36" t="s">
        <v>159</v>
      </c>
      <c r="M227" s="37">
        <v>0</v>
      </c>
      <c r="N227" s="37">
        <v>3986750000</v>
      </c>
      <c r="O227" s="37">
        <v>3986750000</v>
      </c>
      <c r="P227" s="36" t="s">
        <v>1127</v>
      </c>
      <c r="Q227" s="37">
        <v>9250000</v>
      </c>
      <c r="R227" s="36" t="s">
        <v>159</v>
      </c>
      <c r="S227" s="38">
        <v>42718</v>
      </c>
      <c r="T227" s="38">
        <v>42536</v>
      </c>
      <c r="U227" s="38">
        <v>44926</v>
      </c>
      <c r="V227" s="27" t="s">
        <v>9397</v>
      </c>
      <c r="W227" s="36" t="s">
        <v>557</v>
      </c>
      <c r="X227" s="36" t="s">
        <v>880</v>
      </c>
      <c r="Y227" s="36" t="s">
        <v>242</v>
      </c>
      <c r="Z227" s="36" t="s">
        <v>1131</v>
      </c>
      <c r="AA227" s="36" t="s">
        <v>561</v>
      </c>
      <c r="AB227" s="36" t="s">
        <v>560</v>
      </c>
      <c r="AC227" s="36" t="s">
        <v>1022</v>
      </c>
      <c r="AD227" s="37">
        <v>1.3</v>
      </c>
      <c r="AE227" s="36" t="s">
        <v>902</v>
      </c>
      <c r="AF227" s="36" t="s">
        <v>860</v>
      </c>
    </row>
    <row r="228" spans="2:32" ht="60" customHeight="1" x14ac:dyDescent="0.25">
      <c r="B228" s="31" t="s">
        <v>1134</v>
      </c>
      <c r="C228" s="41">
        <v>2016</v>
      </c>
      <c r="D228" s="42">
        <f t="shared" si="3"/>
        <v>2022</v>
      </c>
      <c r="E228" s="31" t="s">
        <v>126</v>
      </c>
      <c r="F228" s="31" t="s">
        <v>1135</v>
      </c>
      <c r="G228" s="31" t="s">
        <v>1136</v>
      </c>
      <c r="H228" s="31" t="s">
        <v>129</v>
      </c>
      <c r="I228" s="31" t="s">
        <v>1128</v>
      </c>
      <c r="J228" s="31" t="s">
        <v>1128</v>
      </c>
      <c r="K228" s="31" t="s">
        <v>526</v>
      </c>
      <c r="L228" s="31" t="s">
        <v>159</v>
      </c>
      <c r="M228" s="34">
        <v>0</v>
      </c>
      <c r="N228" s="34">
        <v>1048177346</v>
      </c>
      <c r="O228" s="34">
        <v>1048177346</v>
      </c>
      <c r="P228" s="31" t="s">
        <v>1127</v>
      </c>
      <c r="Q228" s="34">
        <v>2431966</v>
      </c>
      <c r="R228" s="31" t="s">
        <v>159</v>
      </c>
      <c r="S228" s="35">
        <v>42718</v>
      </c>
      <c r="T228" s="35">
        <v>42444</v>
      </c>
      <c r="U228" s="35">
        <v>44804</v>
      </c>
      <c r="V228" s="27" t="s">
        <v>9307</v>
      </c>
      <c r="W228" s="31" t="s">
        <v>557</v>
      </c>
      <c r="X228" s="31" t="s">
        <v>880</v>
      </c>
      <c r="Y228" s="31" t="s">
        <v>242</v>
      </c>
      <c r="Z228" s="31" t="s">
        <v>1095</v>
      </c>
      <c r="AA228" s="31" t="s">
        <v>561</v>
      </c>
      <c r="AB228" s="31" t="s">
        <v>560</v>
      </c>
      <c r="AC228" s="31" t="s">
        <v>1022</v>
      </c>
      <c r="AD228" s="34">
        <v>1.3</v>
      </c>
      <c r="AE228" s="31" t="s">
        <v>902</v>
      </c>
      <c r="AF228" s="31" t="s">
        <v>860</v>
      </c>
    </row>
    <row r="229" spans="2:32" ht="60" customHeight="1" x14ac:dyDescent="0.25">
      <c r="B229" s="36" t="s">
        <v>1137</v>
      </c>
      <c r="C229" s="42">
        <v>2016</v>
      </c>
      <c r="D229" s="42">
        <f t="shared" si="3"/>
        <v>2021</v>
      </c>
      <c r="E229" s="36" t="s">
        <v>317</v>
      </c>
      <c r="F229" s="36" t="s">
        <v>1138</v>
      </c>
      <c r="G229" s="36" t="s">
        <v>1139</v>
      </c>
      <c r="H229" s="36" t="s">
        <v>129</v>
      </c>
      <c r="I229" s="36" t="s">
        <v>1128</v>
      </c>
      <c r="J229" s="36" t="s">
        <v>1128</v>
      </c>
      <c r="K229" s="36" t="s">
        <v>282</v>
      </c>
      <c r="L229" s="36" t="s">
        <v>159</v>
      </c>
      <c r="M229" s="37">
        <v>0</v>
      </c>
      <c r="N229" s="37">
        <v>522587400</v>
      </c>
      <c r="O229" s="37">
        <v>522587400</v>
      </c>
      <c r="P229" s="36" t="s">
        <v>1127</v>
      </c>
      <c r="Q229" s="37">
        <v>1140000</v>
      </c>
      <c r="R229" s="36" t="s">
        <v>159</v>
      </c>
      <c r="S229" s="38">
        <v>42718</v>
      </c>
      <c r="T229" s="38">
        <v>42614</v>
      </c>
      <c r="U229" s="38">
        <v>44286</v>
      </c>
      <c r="V229" s="27" t="s">
        <v>9308</v>
      </c>
      <c r="W229" s="36" t="s">
        <v>557</v>
      </c>
      <c r="X229" s="36" t="s">
        <v>880</v>
      </c>
      <c r="Y229" s="36" t="s">
        <v>242</v>
      </c>
      <c r="Z229" s="36" t="s">
        <v>1087</v>
      </c>
      <c r="AA229" s="36" t="s">
        <v>965</v>
      </c>
      <c r="AB229" s="36" t="s">
        <v>964</v>
      </c>
      <c r="AC229" s="36" t="s">
        <v>939</v>
      </c>
      <c r="AD229" s="37">
        <v>11.3</v>
      </c>
      <c r="AE229" s="36" t="s">
        <v>902</v>
      </c>
      <c r="AF229" s="36" t="s">
        <v>860</v>
      </c>
    </row>
    <row r="230" spans="2:32" ht="60" customHeight="1" x14ac:dyDescent="0.25">
      <c r="B230" s="31" t="s">
        <v>1140</v>
      </c>
      <c r="C230" s="41">
        <v>2016</v>
      </c>
      <c r="D230" s="42">
        <f t="shared" si="3"/>
        <v>2019</v>
      </c>
      <c r="E230" s="31" t="s">
        <v>284</v>
      </c>
      <c r="F230" s="31" t="s">
        <v>1141</v>
      </c>
      <c r="G230" s="31" t="s">
        <v>1143</v>
      </c>
      <c r="H230" s="31" t="s">
        <v>129</v>
      </c>
      <c r="I230" s="31" t="s">
        <v>822</v>
      </c>
      <c r="J230" s="31" t="s">
        <v>823</v>
      </c>
      <c r="K230" s="31" t="s">
        <v>282</v>
      </c>
      <c r="L230" s="31" t="s">
        <v>159</v>
      </c>
      <c r="M230" s="34">
        <v>0</v>
      </c>
      <c r="N230" s="34">
        <v>3954700000</v>
      </c>
      <c r="O230" s="34">
        <v>3954700000</v>
      </c>
      <c r="P230" s="31" t="s">
        <v>1110</v>
      </c>
      <c r="Q230" s="34">
        <v>7100000</v>
      </c>
      <c r="R230" s="31" t="s">
        <v>159</v>
      </c>
      <c r="S230" s="35">
        <v>42653</v>
      </c>
      <c r="T230" s="35">
        <v>42452</v>
      </c>
      <c r="U230" s="35">
        <v>43830</v>
      </c>
      <c r="V230" s="27" t="s">
        <v>9308</v>
      </c>
      <c r="W230" s="31" t="s">
        <v>557</v>
      </c>
      <c r="X230" s="31" t="s">
        <v>880</v>
      </c>
      <c r="Y230" s="31" t="s">
        <v>242</v>
      </c>
      <c r="Z230" s="31" t="s">
        <v>1142</v>
      </c>
      <c r="AA230" s="31" t="s">
        <v>965</v>
      </c>
      <c r="AB230" s="31" t="s">
        <v>964</v>
      </c>
      <c r="AC230" s="31" t="s">
        <v>939</v>
      </c>
      <c r="AD230" s="34">
        <v>11.3</v>
      </c>
      <c r="AE230" s="31" t="s">
        <v>902</v>
      </c>
      <c r="AF230" s="31" t="s">
        <v>860</v>
      </c>
    </row>
    <row r="231" spans="2:32" ht="60" customHeight="1" x14ac:dyDescent="0.25">
      <c r="B231" s="36" t="s">
        <v>1144</v>
      </c>
      <c r="C231" s="42">
        <v>2016</v>
      </c>
      <c r="D231" s="42">
        <f t="shared" si="3"/>
        <v>2018</v>
      </c>
      <c r="E231" s="36" t="s">
        <v>126</v>
      </c>
      <c r="F231" s="36" t="s">
        <v>1145</v>
      </c>
      <c r="G231" s="36" t="s">
        <v>1147</v>
      </c>
      <c r="H231" s="36" t="s">
        <v>172</v>
      </c>
      <c r="I231" s="36" t="s">
        <v>1148</v>
      </c>
      <c r="J231" s="36" t="s">
        <v>1148</v>
      </c>
      <c r="K231" s="36" t="s">
        <v>315</v>
      </c>
      <c r="L231" s="36" t="s">
        <v>159</v>
      </c>
      <c r="M231" s="37">
        <v>0</v>
      </c>
      <c r="N231" s="37">
        <v>8070000000</v>
      </c>
      <c r="O231" s="37">
        <v>8070000000</v>
      </c>
      <c r="P231" s="36" t="s">
        <v>136</v>
      </c>
      <c r="Q231" s="37">
        <v>8070000000</v>
      </c>
      <c r="R231" s="36" t="s">
        <v>159</v>
      </c>
      <c r="S231" s="38">
        <v>42705</v>
      </c>
      <c r="T231" s="38">
        <v>42453</v>
      </c>
      <c r="U231" s="38">
        <v>43465</v>
      </c>
      <c r="V231" s="27" t="s">
        <v>9308</v>
      </c>
      <c r="W231" s="36" t="s">
        <v>557</v>
      </c>
      <c r="X231" s="36" t="s">
        <v>880</v>
      </c>
      <c r="Y231" s="36" t="s">
        <v>242</v>
      </c>
      <c r="Z231" s="36" t="s">
        <v>1146</v>
      </c>
      <c r="AA231" s="36" t="s">
        <v>900</v>
      </c>
      <c r="AB231" s="36" t="s">
        <v>861</v>
      </c>
      <c r="AC231" s="36" t="s">
        <v>901</v>
      </c>
      <c r="AD231" s="37">
        <v>4.0999999999999996</v>
      </c>
      <c r="AE231" s="36" t="s">
        <v>902</v>
      </c>
      <c r="AF231" s="36" t="s">
        <v>860</v>
      </c>
    </row>
    <row r="232" spans="2:32" ht="60" customHeight="1" x14ac:dyDescent="0.25">
      <c r="B232" s="31" t="s">
        <v>1149</v>
      </c>
      <c r="C232" s="41">
        <v>2016</v>
      </c>
      <c r="D232" s="42">
        <f t="shared" si="3"/>
        <v>2018</v>
      </c>
      <c r="E232" s="31" t="s">
        <v>126</v>
      </c>
      <c r="F232" s="31" t="s">
        <v>1150</v>
      </c>
      <c r="G232" s="31" t="s">
        <v>1151</v>
      </c>
      <c r="H232" s="31" t="s">
        <v>172</v>
      </c>
      <c r="I232" s="31" t="s">
        <v>1148</v>
      </c>
      <c r="J232" s="31" t="s">
        <v>1148</v>
      </c>
      <c r="K232" s="31" t="s">
        <v>315</v>
      </c>
      <c r="L232" s="31" t="s">
        <v>159</v>
      </c>
      <c r="M232" s="34">
        <v>0</v>
      </c>
      <c r="N232" s="34">
        <v>51290589</v>
      </c>
      <c r="O232" s="34">
        <v>51290589</v>
      </c>
      <c r="P232" s="31" t="s">
        <v>136</v>
      </c>
      <c r="Q232" s="34">
        <v>51290589</v>
      </c>
      <c r="R232" s="31" t="s">
        <v>159</v>
      </c>
      <c r="S232" s="35">
        <v>42453</v>
      </c>
      <c r="T232" s="35">
        <v>42401</v>
      </c>
      <c r="U232" s="35">
        <v>43465</v>
      </c>
      <c r="V232" s="27" t="s">
        <v>9398</v>
      </c>
      <c r="W232" s="31" t="s">
        <v>557</v>
      </c>
      <c r="X232" s="31" t="s">
        <v>880</v>
      </c>
      <c r="Y232" s="31" t="s">
        <v>242</v>
      </c>
      <c r="Z232" s="31" t="s">
        <v>1146</v>
      </c>
      <c r="AA232" s="31" t="s">
        <v>900</v>
      </c>
      <c r="AB232" s="31" t="s">
        <v>861</v>
      </c>
      <c r="AC232" s="31" t="s">
        <v>901</v>
      </c>
      <c r="AD232" s="34">
        <v>4.0999999999999996</v>
      </c>
      <c r="AE232" s="31" t="s">
        <v>902</v>
      </c>
      <c r="AF232" s="31" t="s">
        <v>860</v>
      </c>
    </row>
    <row r="233" spans="2:32" ht="60" customHeight="1" x14ac:dyDescent="0.25">
      <c r="B233" s="36" t="s">
        <v>1154</v>
      </c>
      <c r="C233" s="42">
        <v>2016</v>
      </c>
      <c r="D233" s="42">
        <f t="shared" si="3"/>
        <v>2018</v>
      </c>
      <c r="E233" s="36" t="s">
        <v>126</v>
      </c>
      <c r="F233" s="36" t="s">
        <v>1155</v>
      </c>
      <c r="G233" s="36" t="s">
        <v>1156</v>
      </c>
      <c r="H233" s="36" t="s">
        <v>172</v>
      </c>
      <c r="I233" s="36" t="s">
        <v>1148</v>
      </c>
      <c r="J233" s="36" t="s">
        <v>1148</v>
      </c>
      <c r="K233" s="36" t="s">
        <v>315</v>
      </c>
      <c r="L233" s="36" t="s">
        <v>159</v>
      </c>
      <c r="M233" s="37">
        <v>0</v>
      </c>
      <c r="N233" s="37">
        <v>98081970</v>
      </c>
      <c r="O233" s="37">
        <v>98081970</v>
      </c>
      <c r="P233" s="36" t="s">
        <v>136</v>
      </c>
      <c r="Q233" s="37">
        <v>98081970</v>
      </c>
      <c r="R233" s="36" t="s">
        <v>159</v>
      </c>
      <c r="S233" s="38">
        <v>42453</v>
      </c>
      <c r="T233" s="38">
        <v>42401</v>
      </c>
      <c r="U233" s="38">
        <v>43465</v>
      </c>
      <c r="V233" s="27" t="s">
        <v>9399</v>
      </c>
      <c r="W233" s="36" t="s">
        <v>557</v>
      </c>
      <c r="X233" s="36" t="s">
        <v>880</v>
      </c>
      <c r="Y233" s="36" t="s">
        <v>242</v>
      </c>
      <c r="Z233" s="36" t="s">
        <v>1146</v>
      </c>
      <c r="AA233" s="36" t="s">
        <v>900</v>
      </c>
      <c r="AB233" s="36" t="s">
        <v>861</v>
      </c>
      <c r="AC233" s="36" t="s">
        <v>901</v>
      </c>
      <c r="AD233" s="37">
        <v>4.0999999999999996</v>
      </c>
      <c r="AE233" s="36" t="s">
        <v>902</v>
      </c>
      <c r="AF233" s="36" t="s">
        <v>860</v>
      </c>
    </row>
    <row r="234" spans="2:32" ht="60" customHeight="1" x14ac:dyDescent="0.25">
      <c r="B234" s="31" t="s">
        <v>1160</v>
      </c>
      <c r="C234" s="41">
        <v>2016</v>
      </c>
      <c r="D234" s="42">
        <f t="shared" si="3"/>
        <v>2018</v>
      </c>
      <c r="E234" s="31" t="s">
        <v>126</v>
      </c>
      <c r="F234" s="31" t="s">
        <v>1161</v>
      </c>
      <c r="G234" s="31" t="s">
        <v>1162</v>
      </c>
      <c r="H234" s="31" t="s">
        <v>172</v>
      </c>
      <c r="I234" s="31" t="s">
        <v>1148</v>
      </c>
      <c r="J234" s="31" t="s">
        <v>1148</v>
      </c>
      <c r="K234" s="31" t="s">
        <v>315</v>
      </c>
      <c r="L234" s="31" t="s">
        <v>159</v>
      </c>
      <c r="M234" s="34">
        <v>0</v>
      </c>
      <c r="N234" s="34">
        <v>98095745</v>
      </c>
      <c r="O234" s="34">
        <v>98095745</v>
      </c>
      <c r="P234" s="31" t="s">
        <v>136</v>
      </c>
      <c r="Q234" s="34">
        <v>98095745</v>
      </c>
      <c r="R234" s="31" t="s">
        <v>159</v>
      </c>
      <c r="S234" s="35">
        <v>42648</v>
      </c>
      <c r="T234" s="35">
        <v>42453</v>
      </c>
      <c r="U234" s="35">
        <v>43465</v>
      </c>
      <c r="V234" s="27" t="s">
        <v>9400</v>
      </c>
      <c r="W234" s="31" t="s">
        <v>557</v>
      </c>
      <c r="X234" s="31" t="s">
        <v>880</v>
      </c>
      <c r="Y234" s="31" t="s">
        <v>242</v>
      </c>
      <c r="Z234" s="31" t="s">
        <v>998</v>
      </c>
      <c r="AA234" s="31" t="s">
        <v>900</v>
      </c>
      <c r="AB234" s="31" t="s">
        <v>861</v>
      </c>
      <c r="AC234" s="31" t="s">
        <v>901</v>
      </c>
      <c r="AD234" s="34">
        <v>4.0999999999999996</v>
      </c>
      <c r="AE234" s="31" t="s">
        <v>902</v>
      </c>
      <c r="AF234" s="31" t="s">
        <v>860</v>
      </c>
    </row>
    <row r="235" spans="2:32" ht="60" customHeight="1" x14ac:dyDescent="0.25">
      <c r="B235" s="36" t="s">
        <v>1164</v>
      </c>
      <c r="C235" s="42">
        <v>2016</v>
      </c>
      <c r="D235" s="42">
        <f t="shared" si="3"/>
        <v>2018</v>
      </c>
      <c r="E235" s="36" t="s">
        <v>126</v>
      </c>
      <c r="F235" s="36" t="s">
        <v>1165</v>
      </c>
      <c r="G235" s="36" t="s">
        <v>1166</v>
      </c>
      <c r="H235" s="36" t="s">
        <v>172</v>
      </c>
      <c r="I235" s="36" t="s">
        <v>1148</v>
      </c>
      <c r="J235" s="36" t="s">
        <v>1148</v>
      </c>
      <c r="K235" s="36" t="s">
        <v>315</v>
      </c>
      <c r="L235" s="36" t="s">
        <v>159</v>
      </c>
      <c r="M235" s="37">
        <v>0</v>
      </c>
      <c r="N235" s="37">
        <v>98028181</v>
      </c>
      <c r="O235" s="37">
        <v>98028181</v>
      </c>
      <c r="P235" s="36" t="s">
        <v>136</v>
      </c>
      <c r="Q235" s="37">
        <v>98028181</v>
      </c>
      <c r="R235" s="36" t="s">
        <v>159</v>
      </c>
      <c r="S235" s="38">
        <v>42453</v>
      </c>
      <c r="T235" s="38">
        <v>42401</v>
      </c>
      <c r="U235" s="38">
        <v>43465</v>
      </c>
      <c r="V235" s="27" t="s">
        <v>9401</v>
      </c>
      <c r="W235" s="36" t="s">
        <v>557</v>
      </c>
      <c r="X235" s="36" t="s">
        <v>880</v>
      </c>
      <c r="Y235" s="36" t="s">
        <v>242</v>
      </c>
      <c r="Z235" s="36" t="s">
        <v>998</v>
      </c>
      <c r="AA235" s="36" t="s">
        <v>900</v>
      </c>
      <c r="AB235" s="36" t="s">
        <v>861</v>
      </c>
      <c r="AC235" s="36" t="s">
        <v>901</v>
      </c>
      <c r="AD235" s="37">
        <v>4.0999999999999996</v>
      </c>
      <c r="AE235" s="36" t="s">
        <v>902</v>
      </c>
      <c r="AF235" s="36" t="s">
        <v>860</v>
      </c>
    </row>
    <row r="236" spans="2:32" ht="60" customHeight="1" x14ac:dyDescent="0.25">
      <c r="B236" s="31" t="s">
        <v>1169</v>
      </c>
      <c r="C236" s="41">
        <v>2016</v>
      </c>
      <c r="D236" s="42">
        <f t="shared" si="3"/>
        <v>2017</v>
      </c>
      <c r="E236" s="31" t="s">
        <v>126</v>
      </c>
      <c r="F236" s="31" t="s">
        <v>1170</v>
      </c>
      <c r="G236" s="31" t="s">
        <v>1172</v>
      </c>
      <c r="H236" s="31" t="s">
        <v>172</v>
      </c>
      <c r="I236" s="31" t="s">
        <v>1148</v>
      </c>
      <c r="J236" s="31" t="s">
        <v>1148</v>
      </c>
      <c r="K236" s="31" t="s">
        <v>118</v>
      </c>
      <c r="L236" s="31" t="s">
        <v>127</v>
      </c>
      <c r="M236" s="34">
        <v>655960000</v>
      </c>
      <c r="N236" s="34">
        <v>0</v>
      </c>
      <c r="O236" s="34">
        <v>655960000</v>
      </c>
      <c r="P236" s="31" t="s">
        <v>136</v>
      </c>
      <c r="Q236" s="34">
        <v>655960000</v>
      </c>
      <c r="R236" s="31" t="s">
        <v>150</v>
      </c>
      <c r="S236" s="35">
        <v>42453</v>
      </c>
      <c r="T236" s="35">
        <v>42401</v>
      </c>
      <c r="U236" s="35">
        <v>43100</v>
      </c>
      <c r="V236" s="27" t="s">
        <v>9308</v>
      </c>
      <c r="W236" s="31" t="s">
        <v>557</v>
      </c>
      <c r="X236" s="31" t="s">
        <v>558</v>
      </c>
      <c r="Y236" s="31" t="s">
        <v>242</v>
      </c>
      <c r="Z236" s="31" t="s">
        <v>1171</v>
      </c>
      <c r="AA236" s="31" t="s">
        <v>862</v>
      </c>
      <c r="AB236" s="31" t="s">
        <v>861</v>
      </c>
      <c r="AC236" s="31" t="s">
        <v>1173</v>
      </c>
      <c r="AD236" s="34">
        <v>7.1</v>
      </c>
      <c r="AE236" s="31" t="s">
        <v>864</v>
      </c>
      <c r="AF236" s="31" t="s">
        <v>860</v>
      </c>
    </row>
    <row r="237" spans="2:32" ht="60" customHeight="1" x14ac:dyDescent="0.25">
      <c r="B237" s="36" t="s">
        <v>1174</v>
      </c>
      <c r="C237" s="42">
        <v>2016</v>
      </c>
      <c r="D237" s="42">
        <f t="shared" si="3"/>
        <v>2021</v>
      </c>
      <c r="E237" s="36" t="s">
        <v>126</v>
      </c>
      <c r="F237" s="36" t="s">
        <v>1175</v>
      </c>
      <c r="G237" s="36" t="s">
        <v>1177</v>
      </c>
      <c r="H237" s="36" t="s">
        <v>172</v>
      </c>
      <c r="I237" s="36" t="s">
        <v>1010</v>
      </c>
      <c r="J237" s="36" t="s">
        <v>1011</v>
      </c>
      <c r="K237" s="36" t="s">
        <v>190</v>
      </c>
      <c r="L237" s="36" t="s">
        <v>159</v>
      </c>
      <c r="M237" s="37">
        <v>0</v>
      </c>
      <c r="N237" s="37">
        <v>268950000</v>
      </c>
      <c r="O237" s="37">
        <v>268950000</v>
      </c>
      <c r="P237" s="36" t="s">
        <v>624</v>
      </c>
      <c r="Q237" s="37">
        <v>489000</v>
      </c>
      <c r="R237" s="36" t="s">
        <v>159</v>
      </c>
      <c r="S237" s="38">
        <v>42453</v>
      </c>
      <c r="T237" s="38">
        <v>42408</v>
      </c>
      <c r="U237" s="38">
        <v>44561</v>
      </c>
      <c r="V237" s="27" t="s">
        <v>9308</v>
      </c>
      <c r="W237" s="36" t="s">
        <v>557</v>
      </c>
      <c r="X237" s="36" t="s">
        <v>880</v>
      </c>
      <c r="Y237" s="36" t="s">
        <v>125</v>
      </c>
      <c r="Z237" s="36" t="s">
        <v>1176</v>
      </c>
      <c r="AA237" s="36" t="s">
        <v>862</v>
      </c>
      <c r="AB237" s="36" t="s">
        <v>861</v>
      </c>
      <c r="AC237" s="36" t="s">
        <v>863</v>
      </c>
      <c r="AD237" s="37">
        <v>2.2999999999999998</v>
      </c>
      <c r="AE237" s="36" t="s">
        <v>864</v>
      </c>
      <c r="AF237" s="36" t="s">
        <v>860</v>
      </c>
    </row>
    <row r="238" spans="2:32" ht="45" customHeight="1" x14ac:dyDescent="0.25">
      <c r="B238" s="31" t="s">
        <v>1178</v>
      </c>
      <c r="C238" s="41">
        <v>2016</v>
      </c>
      <c r="D238" s="42">
        <f t="shared" si="3"/>
        <v>2020</v>
      </c>
      <c r="E238" s="31" t="s">
        <v>126</v>
      </c>
      <c r="F238" s="31" t="s">
        <v>1179</v>
      </c>
      <c r="G238" s="31" t="s">
        <v>1180</v>
      </c>
      <c r="H238" s="31" t="s">
        <v>172</v>
      </c>
      <c r="I238" s="31" t="s">
        <v>1010</v>
      </c>
      <c r="J238" s="31" t="s">
        <v>1011</v>
      </c>
      <c r="K238" s="31" t="s">
        <v>163</v>
      </c>
      <c r="L238" s="31" t="s">
        <v>159</v>
      </c>
      <c r="M238" s="34">
        <v>0</v>
      </c>
      <c r="N238" s="34">
        <v>281446000</v>
      </c>
      <c r="O238" s="34">
        <v>281446000</v>
      </c>
      <c r="P238" s="31" t="s">
        <v>624</v>
      </c>
      <c r="Q238" s="34">
        <v>511720</v>
      </c>
      <c r="R238" s="31" t="s">
        <v>159</v>
      </c>
      <c r="S238" s="35">
        <v>42474</v>
      </c>
      <c r="T238" s="35">
        <v>42453</v>
      </c>
      <c r="U238" s="35">
        <v>44196</v>
      </c>
      <c r="V238" s="27" t="s">
        <v>9307</v>
      </c>
      <c r="W238" s="31" t="s">
        <v>557</v>
      </c>
      <c r="X238" s="31" t="s">
        <v>880</v>
      </c>
      <c r="Y238" s="31" t="s">
        <v>125</v>
      </c>
      <c r="Z238" s="31" t="s">
        <v>962</v>
      </c>
      <c r="AA238" s="31" t="s">
        <v>1046</v>
      </c>
      <c r="AB238" s="31" t="s">
        <v>861</v>
      </c>
      <c r="AC238" s="31" t="s">
        <v>1036</v>
      </c>
      <c r="AD238" s="34">
        <v>16.600000000000001</v>
      </c>
      <c r="AE238" s="31" t="s">
        <v>902</v>
      </c>
      <c r="AF238" s="31" t="s">
        <v>860</v>
      </c>
    </row>
    <row r="239" spans="2:32" ht="60" customHeight="1" x14ac:dyDescent="0.25">
      <c r="B239" s="36" t="s">
        <v>1181</v>
      </c>
      <c r="C239" s="42">
        <v>2016</v>
      </c>
      <c r="D239" s="42">
        <f t="shared" si="3"/>
        <v>2020</v>
      </c>
      <c r="E239" s="36" t="s">
        <v>126</v>
      </c>
      <c r="F239" s="36" t="s">
        <v>1182</v>
      </c>
      <c r="G239" s="36" t="s">
        <v>1183</v>
      </c>
      <c r="H239" s="36" t="s">
        <v>172</v>
      </c>
      <c r="I239" s="36" t="s">
        <v>1184</v>
      </c>
      <c r="J239" s="36" t="s">
        <v>1184</v>
      </c>
      <c r="K239" s="36" t="s">
        <v>315</v>
      </c>
      <c r="L239" s="36" t="s">
        <v>159</v>
      </c>
      <c r="M239" s="37">
        <v>0</v>
      </c>
      <c r="N239" s="37">
        <v>175463805</v>
      </c>
      <c r="O239" s="37">
        <v>175463805</v>
      </c>
      <c r="P239" s="36" t="s">
        <v>624</v>
      </c>
      <c r="Q239" s="37">
        <v>319025.09999999998</v>
      </c>
      <c r="R239" s="36" t="s">
        <v>159</v>
      </c>
      <c r="S239" s="38">
        <v>42501</v>
      </c>
      <c r="T239" s="38">
        <v>42453</v>
      </c>
      <c r="U239" s="38">
        <v>44196</v>
      </c>
      <c r="V239" s="27" t="s">
        <v>9308</v>
      </c>
      <c r="W239" s="36" t="s">
        <v>557</v>
      </c>
      <c r="X239" s="36" t="s">
        <v>880</v>
      </c>
      <c r="Y239" s="36" t="s">
        <v>242</v>
      </c>
      <c r="Z239" s="36" t="s">
        <v>896</v>
      </c>
      <c r="AA239" s="36" t="s">
        <v>900</v>
      </c>
      <c r="AB239" s="36" t="s">
        <v>861</v>
      </c>
      <c r="AC239" s="36" t="s">
        <v>901</v>
      </c>
      <c r="AD239" s="37">
        <v>4.0999999999999996</v>
      </c>
      <c r="AE239" s="36" t="s">
        <v>902</v>
      </c>
      <c r="AF239" s="36" t="s">
        <v>860</v>
      </c>
    </row>
    <row r="240" spans="2:32" ht="45" customHeight="1" x14ac:dyDescent="0.25">
      <c r="B240" s="31" t="s">
        <v>1185</v>
      </c>
      <c r="C240" s="41">
        <v>2016</v>
      </c>
      <c r="D240" s="42">
        <f t="shared" si="3"/>
        <v>2017</v>
      </c>
      <c r="E240" s="31" t="s">
        <v>126</v>
      </c>
      <c r="F240" s="31" t="s">
        <v>1186</v>
      </c>
      <c r="G240" s="31" t="s">
        <v>1188</v>
      </c>
      <c r="H240" s="31" t="s">
        <v>172</v>
      </c>
      <c r="I240" s="31" t="s">
        <v>1184</v>
      </c>
      <c r="J240" s="31" t="s">
        <v>1184</v>
      </c>
      <c r="K240" s="31" t="s">
        <v>806</v>
      </c>
      <c r="L240" s="31" t="s">
        <v>159</v>
      </c>
      <c r="M240" s="34">
        <v>0</v>
      </c>
      <c r="N240" s="34">
        <v>23375000</v>
      </c>
      <c r="O240" s="34">
        <v>23375000</v>
      </c>
      <c r="P240" s="31" t="s">
        <v>624</v>
      </c>
      <c r="Q240" s="34">
        <v>42500</v>
      </c>
      <c r="R240" s="31" t="s">
        <v>159</v>
      </c>
      <c r="S240" s="35">
        <v>42713</v>
      </c>
      <c r="T240" s="35">
        <v>42453</v>
      </c>
      <c r="U240" s="35">
        <v>43100</v>
      </c>
      <c r="V240" s="27" t="s">
        <v>9308</v>
      </c>
      <c r="W240" s="31" t="s">
        <v>557</v>
      </c>
      <c r="X240" s="31" t="s">
        <v>880</v>
      </c>
      <c r="Y240" s="31" t="s">
        <v>242</v>
      </c>
      <c r="Z240" s="31" t="s">
        <v>1187</v>
      </c>
      <c r="AA240" s="31" t="s">
        <v>561</v>
      </c>
      <c r="AB240" s="31" t="s">
        <v>560</v>
      </c>
      <c r="AC240" s="31" t="s">
        <v>989</v>
      </c>
      <c r="AD240" s="34">
        <v>3.8</v>
      </c>
      <c r="AE240" s="31" t="s">
        <v>902</v>
      </c>
      <c r="AF240" s="31" t="s">
        <v>860</v>
      </c>
    </row>
    <row r="241" spans="2:32" ht="60" customHeight="1" x14ac:dyDescent="0.25">
      <c r="B241" s="36" t="s">
        <v>1189</v>
      </c>
      <c r="C241" s="42">
        <v>2016</v>
      </c>
      <c r="D241" s="42">
        <f t="shared" si="3"/>
        <v>2019</v>
      </c>
      <c r="E241" s="36" t="s">
        <v>126</v>
      </c>
      <c r="F241" s="36" t="s">
        <v>1190</v>
      </c>
      <c r="G241" s="36" t="s">
        <v>1192</v>
      </c>
      <c r="H241" s="36" t="s">
        <v>172</v>
      </c>
      <c r="I241" s="36" t="s">
        <v>1020</v>
      </c>
      <c r="J241" s="36" t="s">
        <v>1021</v>
      </c>
      <c r="K241" s="36" t="s">
        <v>315</v>
      </c>
      <c r="L241" s="36" t="s">
        <v>159</v>
      </c>
      <c r="M241" s="37">
        <v>0</v>
      </c>
      <c r="N241" s="37">
        <v>94252950</v>
      </c>
      <c r="O241" s="37">
        <v>94252950</v>
      </c>
      <c r="P241" s="36" t="s">
        <v>624</v>
      </c>
      <c r="Q241" s="37">
        <v>171369</v>
      </c>
      <c r="R241" s="36" t="s">
        <v>159</v>
      </c>
      <c r="S241" s="38">
        <v>42648</v>
      </c>
      <c r="T241" s="38">
        <v>42453</v>
      </c>
      <c r="U241" s="38">
        <v>43738</v>
      </c>
      <c r="V241" s="27" t="s">
        <v>9308</v>
      </c>
      <c r="W241" s="36" t="s">
        <v>557</v>
      </c>
      <c r="X241" s="36" t="s">
        <v>880</v>
      </c>
      <c r="Y241" s="36" t="s">
        <v>242</v>
      </c>
      <c r="Z241" s="36" t="s">
        <v>1191</v>
      </c>
      <c r="AA241" s="36" t="s">
        <v>900</v>
      </c>
      <c r="AB241" s="36" t="s">
        <v>861</v>
      </c>
      <c r="AC241" s="36" t="s">
        <v>901</v>
      </c>
      <c r="AD241" s="37">
        <v>4.0999999999999996</v>
      </c>
      <c r="AE241" s="36" t="s">
        <v>902</v>
      </c>
      <c r="AF241" s="36" t="s">
        <v>860</v>
      </c>
    </row>
    <row r="242" spans="2:32" ht="60" customHeight="1" x14ac:dyDescent="0.25">
      <c r="B242" s="31" t="s">
        <v>1193</v>
      </c>
      <c r="C242" s="41">
        <v>2016</v>
      </c>
      <c r="D242" s="42">
        <f t="shared" si="3"/>
        <v>2021</v>
      </c>
      <c r="E242" s="31" t="s">
        <v>317</v>
      </c>
      <c r="F242" s="31" t="s">
        <v>1194</v>
      </c>
      <c r="G242" s="31" t="s">
        <v>1195</v>
      </c>
      <c r="H242" s="31" t="s">
        <v>172</v>
      </c>
      <c r="I242" s="31" t="s">
        <v>1020</v>
      </c>
      <c r="J242" s="31" t="s">
        <v>1021</v>
      </c>
      <c r="K242" s="31" t="s">
        <v>216</v>
      </c>
      <c r="L242" s="31" t="s">
        <v>159</v>
      </c>
      <c r="M242" s="34">
        <v>0</v>
      </c>
      <c r="N242" s="34">
        <v>369097800</v>
      </c>
      <c r="O242" s="34">
        <v>369097800</v>
      </c>
      <c r="P242" s="31" t="s">
        <v>624</v>
      </c>
      <c r="Q242" s="34">
        <v>671086.91</v>
      </c>
      <c r="R242" s="31" t="s">
        <v>159</v>
      </c>
      <c r="S242" s="35">
        <v>42509</v>
      </c>
      <c r="T242" s="35">
        <v>42453</v>
      </c>
      <c r="U242" s="35">
        <v>44469</v>
      </c>
      <c r="V242" s="27" t="s">
        <v>9308</v>
      </c>
      <c r="W242" s="31" t="s">
        <v>557</v>
      </c>
      <c r="X242" s="31" t="s">
        <v>880</v>
      </c>
      <c r="Y242" s="31" t="s">
        <v>242</v>
      </c>
      <c r="Z242" s="31" t="s">
        <v>1103</v>
      </c>
      <c r="AA242" s="31" t="s">
        <v>561</v>
      </c>
      <c r="AB242" s="31" t="s">
        <v>560</v>
      </c>
      <c r="AC242" s="31" t="s">
        <v>989</v>
      </c>
      <c r="AD242" s="34">
        <v>3.8</v>
      </c>
      <c r="AE242" s="31" t="s">
        <v>902</v>
      </c>
      <c r="AF242" s="31" t="s">
        <v>860</v>
      </c>
    </row>
    <row r="243" spans="2:32" ht="60" customHeight="1" x14ac:dyDescent="0.25">
      <c r="B243" s="36" t="s">
        <v>1196</v>
      </c>
      <c r="C243" s="42">
        <v>2016</v>
      </c>
      <c r="D243" s="42">
        <f t="shared" si="3"/>
        <v>2020</v>
      </c>
      <c r="E243" s="36" t="s">
        <v>126</v>
      </c>
      <c r="F243" s="36" t="s">
        <v>1197</v>
      </c>
      <c r="G243" s="36" t="s">
        <v>1198</v>
      </c>
      <c r="H243" s="36" t="s">
        <v>326</v>
      </c>
      <c r="I243" s="36" t="s">
        <v>267</v>
      </c>
      <c r="J243" s="36" t="s">
        <v>267</v>
      </c>
      <c r="K243" s="36" t="s">
        <v>263</v>
      </c>
      <c r="L243" s="36" t="s">
        <v>201</v>
      </c>
      <c r="M243" s="37">
        <v>22499325100</v>
      </c>
      <c r="N243" s="37">
        <v>6100400100</v>
      </c>
      <c r="O243" s="37">
        <v>28599725200</v>
      </c>
      <c r="P243" s="36" t="s">
        <v>122</v>
      </c>
      <c r="Q243" s="37">
        <v>43600000</v>
      </c>
      <c r="R243" s="36" t="s">
        <v>279</v>
      </c>
      <c r="S243" s="38">
        <v>42590</v>
      </c>
      <c r="T243" s="38">
        <v>42718</v>
      </c>
      <c r="U243" s="38">
        <v>44196</v>
      </c>
      <c r="V243" s="27" t="s">
        <v>9308</v>
      </c>
      <c r="W243" s="36" t="s">
        <v>557</v>
      </c>
      <c r="X243" s="36" t="s">
        <v>859</v>
      </c>
      <c r="Y243" s="36" t="s">
        <v>242</v>
      </c>
      <c r="Z243" s="36" t="s">
        <v>555</v>
      </c>
      <c r="AA243" s="36" t="s">
        <v>561</v>
      </c>
      <c r="AB243" s="36" t="s">
        <v>560</v>
      </c>
      <c r="AC243" s="36" t="s">
        <v>562</v>
      </c>
      <c r="AD243" s="37">
        <v>6.1</v>
      </c>
      <c r="AE243" s="36" t="s">
        <v>563</v>
      </c>
      <c r="AF243" s="36" t="s">
        <v>860</v>
      </c>
    </row>
    <row r="244" spans="2:32" ht="60" customHeight="1" x14ac:dyDescent="0.25">
      <c r="B244" s="31" t="s">
        <v>1199</v>
      </c>
      <c r="C244" s="32">
        <v>2017</v>
      </c>
      <c r="D244" s="33">
        <f t="shared" si="3"/>
        <v>2023</v>
      </c>
      <c r="E244" s="31" t="s">
        <v>126</v>
      </c>
      <c r="F244" s="31" t="s">
        <v>1200</v>
      </c>
      <c r="G244" s="31" t="s">
        <v>1201</v>
      </c>
      <c r="H244" s="31" t="s">
        <v>353</v>
      </c>
      <c r="I244" s="31" t="s">
        <v>137</v>
      </c>
      <c r="J244" s="31" t="s">
        <v>138</v>
      </c>
      <c r="K244" s="31" t="s">
        <v>190</v>
      </c>
      <c r="L244" s="31" t="s">
        <v>127</v>
      </c>
      <c r="M244" s="34">
        <v>6500000000</v>
      </c>
      <c r="N244" s="34">
        <v>0</v>
      </c>
      <c r="O244" s="34">
        <v>6500000000</v>
      </c>
      <c r="P244" s="31" t="s">
        <v>136</v>
      </c>
      <c r="Q244" s="34">
        <v>6500000000</v>
      </c>
      <c r="R244" s="31" t="s">
        <v>128</v>
      </c>
      <c r="S244" s="35">
        <v>42998</v>
      </c>
      <c r="T244" s="35">
        <v>42739</v>
      </c>
      <c r="U244" s="35">
        <v>45107</v>
      </c>
      <c r="V244" s="27" t="s">
        <v>9308</v>
      </c>
      <c r="W244" s="34"/>
      <c r="X244" s="34"/>
      <c r="Y244" s="34" t="s">
        <v>125</v>
      </c>
      <c r="Z244" s="34"/>
      <c r="AA244" s="34"/>
      <c r="AB244" s="34"/>
      <c r="AC244" s="34"/>
      <c r="AD244" s="34"/>
      <c r="AE244" s="34"/>
      <c r="AF244" s="34"/>
    </row>
    <row r="245" spans="2:32" ht="60" customHeight="1" x14ac:dyDescent="0.25">
      <c r="B245" s="36" t="s">
        <v>1202</v>
      </c>
      <c r="C245" s="33">
        <v>2017</v>
      </c>
      <c r="D245" s="33">
        <f t="shared" si="3"/>
        <v>2023</v>
      </c>
      <c r="E245" s="36" t="s">
        <v>126</v>
      </c>
      <c r="F245" s="36" t="s">
        <v>1203</v>
      </c>
      <c r="G245" s="36" t="s">
        <v>1204</v>
      </c>
      <c r="H245" s="36" t="s">
        <v>372</v>
      </c>
      <c r="I245" s="36" t="s">
        <v>178</v>
      </c>
      <c r="J245" s="36" t="s">
        <v>179</v>
      </c>
      <c r="K245" s="36" t="s">
        <v>263</v>
      </c>
      <c r="L245" s="36" t="s">
        <v>127</v>
      </c>
      <c r="M245" s="37">
        <v>40734929700</v>
      </c>
      <c r="N245" s="37">
        <v>0</v>
      </c>
      <c r="O245" s="37">
        <v>40734929700</v>
      </c>
      <c r="P245" s="36" t="s">
        <v>122</v>
      </c>
      <c r="Q245" s="37">
        <v>62100000</v>
      </c>
      <c r="R245" s="36" t="s">
        <v>150</v>
      </c>
      <c r="S245" s="38">
        <v>42907</v>
      </c>
      <c r="T245" s="38">
        <v>42755</v>
      </c>
      <c r="U245" s="38">
        <v>45291</v>
      </c>
      <c r="V245" s="27" t="s">
        <v>9308</v>
      </c>
      <c r="W245" s="37"/>
      <c r="X245" s="37"/>
      <c r="Y245" s="37" t="s">
        <v>125</v>
      </c>
      <c r="Z245" s="37"/>
      <c r="AA245" s="37"/>
      <c r="AB245" s="37"/>
      <c r="AC245" s="37"/>
      <c r="AD245" s="37"/>
      <c r="AE245" s="37"/>
      <c r="AF245" s="37"/>
    </row>
    <row r="246" spans="2:32" ht="60" customHeight="1" x14ac:dyDescent="0.25">
      <c r="B246" s="31" t="s">
        <v>1205</v>
      </c>
      <c r="C246" s="32">
        <v>2017</v>
      </c>
      <c r="D246" s="33">
        <f t="shared" si="3"/>
        <v>2020</v>
      </c>
      <c r="E246" s="31" t="s">
        <v>126</v>
      </c>
      <c r="F246" s="31" t="s">
        <v>1206</v>
      </c>
      <c r="G246" s="31" t="s">
        <v>1207</v>
      </c>
      <c r="H246" s="31" t="s">
        <v>172</v>
      </c>
      <c r="I246" s="31" t="s">
        <v>675</v>
      </c>
      <c r="J246" s="31" t="s">
        <v>676</v>
      </c>
      <c r="K246" s="31" t="s">
        <v>163</v>
      </c>
      <c r="L246" s="31" t="s">
        <v>127</v>
      </c>
      <c r="M246" s="34">
        <v>12000000000</v>
      </c>
      <c r="N246" s="34">
        <v>0</v>
      </c>
      <c r="O246" s="34">
        <v>12000000000</v>
      </c>
      <c r="P246" s="31" t="s">
        <v>136</v>
      </c>
      <c r="Q246" s="34">
        <v>12000000000</v>
      </c>
      <c r="R246" s="31" t="s">
        <v>443</v>
      </c>
      <c r="S246" s="35">
        <v>42866</v>
      </c>
      <c r="T246" s="35">
        <v>42773</v>
      </c>
      <c r="U246" s="35">
        <v>44196</v>
      </c>
      <c r="V246" s="27" t="s">
        <v>9308</v>
      </c>
      <c r="W246" s="34"/>
      <c r="X246" s="34"/>
      <c r="Y246" s="34" t="s">
        <v>442</v>
      </c>
      <c r="Z246" s="34"/>
      <c r="AA246" s="34"/>
      <c r="AB246" s="34"/>
      <c r="AC246" s="34"/>
      <c r="AD246" s="34"/>
      <c r="AE246" s="34"/>
      <c r="AF246" s="34"/>
    </row>
    <row r="247" spans="2:32" ht="60" customHeight="1" x14ac:dyDescent="0.25">
      <c r="B247" s="36" t="s">
        <v>1208</v>
      </c>
      <c r="C247" s="33">
        <v>2017</v>
      </c>
      <c r="D247" s="33">
        <f t="shared" si="3"/>
        <v>2020</v>
      </c>
      <c r="E247" s="36" t="s">
        <v>126</v>
      </c>
      <c r="F247" s="36" t="s">
        <v>1206</v>
      </c>
      <c r="G247" s="36" t="s">
        <v>1209</v>
      </c>
      <c r="H247" s="36" t="s">
        <v>172</v>
      </c>
      <c r="I247" s="36" t="s">
        <v>581</v>
      </c>
      <c r="J247" s="36" t="s">
        <v>582</v>
      </c>
      <c r="K247" s="36" t="s">
        <v>163</v>
      </c>
      <c r="L247" s="36" t="s">
        <v>127</v>
      </c>
      <c r="M247" s="37">
        <v>12000000000</v>
      </c>
      <c r="N247" s="37">
        <v>0</v>
      </c>
      <c r="O247" s="37">
        <v>12000000000</v>
      </c>
      <c r="P247" s="36" t="s">
        <v>136</v>
      </c>
      <c r="Q247" s="37">
        <v>12000000000</v>
      </c>
      <c r="R247" s="36" t="s">
        <v>443</v>
      </c>
      <c r="S247" s="38">
        <v>42880</v>
      </c>
      <c r="T247" s="38">
        <v>42814</v>
      </c>
      <c r="U247" s="38">
        <v>44196</v>
      </c>
      <c r="V247" s="27" t="s">
        <v>9308</v>
      </c>
      <c r="W247" s="37"/>
      <c r="X247" s="37"/>
      <c r="Y247" s="37" t="s">
        <v>442</v>
      </c>
      <c r="Z247" s="37"/>
      <c r="AA247" s="37"/>
      <c r="AB247" s="37"/>
      <c r="AC247" s="37"/>
      <c r="AD247" s="37"/>
      <c r="AE247" s="37"/>
      <c r="AF247" s="37"/>
    </row>
    <row r="248" spans="2:32" ht="75" customHeight="1" x14ac:dyDescent="0.25">
      <c r="B248" s="31" t="s">
        <v>1210</v>
      </c>
      <c r="C248" s="32">
        <v>2017</v>
      </c>
      <c r="D248" s="33">
        <f t="shared" si="3"/>
        <v>2021</v>
      </c>
      <c r="E248" s="31" t="s">
        <v>126</v>
      </c>
      <c r="F248" s="31" t="s">
        <v>1211</v>
      </c>
      <c r="G248" s="31" t="s">
        <v>1212</v>
      </c>
      <c r="H248" s="31" t="s">
        <v>181</v>
      </c>
      <c r="I248" s="31" t="s">
        <v>178</v>
      </c>
      <c r="J248" s="31" t="s">
        <v>179</v>
      </c>
      <c r="K248" s="31" t="s">
        <v>190</v>
      </c>
      <c r="L248" s="31" t="s">
        <v>127</v>
      </c>
      <c r="M248" s="34">
        <v>12004013100</v>
      </c>
      <c r="N248" s="34">
        <v>0</v>
      </c>
      <c r="O248" s="34">
        <v>12004013100</v>
      </c>
      <c r="P248" s="31" t="s">
        <v>122</v>
      </c>
      <c r="Q248" s="34">
        <v>18300000</v>
      </c>
      <c r="R248" s="31" t="s">
        <v>150</v>
      </c>
      <c r="S248" s="35">
        <v>42915</v>
      </c>
      <c r="T248" s="35">
        <v>42794</v>
      </c>
      <c r="U248" s="35">
        <v>44561</v>
      </c>
      <c r="V248" s="27" t="s">
        <v>9310</v>
      </c>
      <c r="W248" s="34"/>
      <c r="X248" s="34"/>
      <c r="Y248" s="34" t="s">
        <v>125</v>
      </c>
      <c r="Z248" s="34"/>
      <c r="AA248" s="34"/>
      <c r="AB248" s="34"/>
      <c r="AC248" s="34"/>
      <c r="AD248" s="34"/>
      <c r="AE248" s="34"/>
      <c r="AF248" s="34"/>
    </row>
    <row r="249" spans="2:32" ht="75" customHeight="1" x14ac:dyDescent="0.25">
      <c r="B249" s="36" t="s">
        <v>1213</v>
      </c>
      <c r="C249" s="42">
        <v>2017</v>
      </c>
      <c r="D249" s="42">
        <f t="shared" si="3"/>
        <v>2023</v>
      </c>
      <c r="E249" s="36" t="s">
        <v>126</v>
      </c>
      <c r="F249" s="36" t="s">
        <v>1214</v>
      </c>
      <c r="G249" s="36" t="s">
        <v>1216</v>
      </c>
      <c r="H249" s="36" t="s">
        <v>139</v>
      </c>
      <c r="I249" s="36" t="s">
        <v>137</v>
      </c>
      <c r="J249" s="36" t="s">
        <v>138</v>
      </c>
      <c r="K249" s="36" t="s">
        <v>190</v>
      </c>
      <c r="L249" s="36" t="s">
        <v>127</v>
      </c>
      <c r="M249" s="37">
        <v>10000000000</v>
      </c>
      <c r="N249" s="37">
        <v>0</v>
      </c>
      <c r="O249" s="37">
        <v>10000000000</v>
      </c>
      <c r="P249" s="36" t="s">
        <v>136</v>
      </c>
      <c r="Q249" s="37">
        <v>10000000000</v>
      </c>
      <c r="R249" s="36" t="s">
        <v>128</v>
      </c>
      <c r="S249" s="38">
        <v>42998</v>
      </c>
      <c r="T249" s="38">
        <v>42800</v>
      </c>
      <c r="U249" s="38">
        <v>45291</v>
      </c>
      <c r="V249" s="27" t="s">
        <v>9402</v>
      </c>
      <c r="W249" s="36" t="s">
        <v>1043</v>
      </c>
      <c r="X249" s="36" t="s">
        <v>558</v>
      </c>
      <c r="Y249" s="36" t="s">
        <v>125</v>
      </c>
      <c r="Z249" s="36" t="s">
        <v>1215</v>
      </c>
      <c r="AA249" s="36" t="s">
        <v>561</v>
      </c>
      <c r="AB249" s="36" t="s">
        <v>560</v>
      </c>
      <c r="AC249" s="36" t="s">
        <v>562</v>
      </c>
      <c r="AD249" s="37">
        <v>6.1</v>
      </c>
      <c r="AE249" s="36" t="s">
        <v>563</v>
      </c>
      <c r="AF249" s="36" t="s">
        <v>860</v>
      </c>
    </row>
    <row r="250" spans="2:32" ht="75" customHeight="1" x14ac:dyDescent="0.25">
      <c r="B250" s="31" t="s">
        <v>1219</v>
      </c>
      <c r="C250" s="32">
        <v>2017</v>
      </c>
      <c r="D250" s="33">
        <f t="shared" si="3"/>
        <v>2020</v>
      </c>
      <c r="E250" s="31" t="s">
        <v>126</v>
      </c>
      <c r="F250" s="31" t="s">
        <v>1220</v>
      </c>
      <c r="G250" s="31" t="s">
        <v>1221</v>
      </c>
      <c r="H250" s="31" t="s">
        <v>151</v>
      </c>
      <c r="I250" s="31" t="s">
        <v>277</v>
      </c>
      <c r="J250" s="31" t="s">
        <v>278</v>
      </c>
      <c r="K250" s="31" t="s">
        <v>142</v>
      </c>
      <c r="L250" s="31" t="s">
        <v>127</v>
      </c>
      <c r="M250" s="34">
        <v>822459000</v>
      </c>
      <c r="N250" s="34">
        <v>0</v>
      </c>
      <c r="O250" s="34">
        <v>822459000</v>
      </c>
      <c r="P250" s="31" t="s">
        <v>276</v>
      </c>
      <c r="Q250" s="34">
        <v>1000000</v>
      </c>
      <c r="R250" s="31" t="s">
        <v>150</v>
      </c>
      <c r="S250" s="35">
        <v>42907</v>
      </c>
      <c r="T250" s="35">
        <v>42801</v>
      </c>
      <c r="U250" s="35">
        <v>44196</v>
      </c>
      <c r="V250" s="27" t="s">
        <v>9403</v>
      </c>
      <c r="W250" s="34"/>
      <c r="X250" s="34"/>
      <c r="Y250" s="34" t="s">
        <v>125</v>
      </c>
      <c r="Z250" s="34"/>
      <c r="AA250" s="34"/>
      <c r="AB250" s="34"/>
      <c r="AC250" s="34"/>
      <c r="AD250" s="34"/>
      <c r="AE250" s="34"/>
      <c r="AF250" s="34"/>
    </row>
    <row r="251" spans="2:32" ht="75" customHeight="1" x14ac:dyDescent="0.25">
      <c r="B251" s="36" t="s">
        <v>1222</v>
      </c>
      <c r="C251" s="33">
        <v>2017</v>
      </c>
      <c r="D251" s="33">
        <f t="shared" si="3"/>
        <v>2021</v>
      </c>
      <c r="E251" s="36" t="s">
        <v>126</v>
      </c>
      <c r="F251" s="36" t="s">
        <v>1223</v>
      </c>
      <c r="G251" s="36" t="s">
        <v>1224</v>
      </c>
      <c r="H251" s="36" t="s">
        <v>151</v>
      </c>
      <c r="I251" s="36" t="s">
        <v>277</v>
      </c>
      <c r="J251" s="36" t="s">
        <v>278</v>
      </c>
      <c r="K251" s="36" t="s">
        <v>142</v>
      </c>
      <c r="L251" s="36" t="s">
        <v>127</v>
      </c>
      <c r="M251" s="37">
        <v>822459000</v>
      </c>
      <c r="N251" s="37">
        <v>0</v>
      </c>
      <c r="O251" s="37">
        <v>822459000</v>
      </c>
      <c r="P251" s="36" t="s">
        <v>276</v>
      </c>
      <c r="Q251" s="37">
        <v>1000000</v>
      </c>
      <c r="R251" s="36" t="s">
        <v>150</v>
      </c>
      <c r="S251" s="38">
        <v>42866</v>
      </c>
      <c r="T251" s="38">
        <v>42801</v>
      </c>
      <c r="U251" s="38">
        <v>44561</v>
      </c>
      <c r="V251" s="27" t="s">
        <v>9404</v>
      </c>
      <c r="W251" s="37"/>
      <c r="X251" s="37"/>
      <c r="Y251" s="37" t="s">
        <v>125</v>
      </c>
      <c r="Z251" s="37"/>
      <c r="AA251" s="37"/>
      <c r="AB251" s="37"/>
      <c r="AC251" s="37"/>
      <c r="AD251" s="37"/>
      <c r="AE251" s="37"/>
      <c r="AF251" s="37"/>
    </row>
    <row r="252" spans="2:32" ht="90" customHeight="1" x14ac:dyDescent="0.25">
      <c r="B252" s="31" t="s">
        <v>1227</v>
      </c>
      <c r="C252" s="32">
        <v>2017</v>
      </c>
      <c r="D252" s="33">
        <f t="shared" si="3"/>
        <v>2019</v>
      </c>
      <c r="E252" s="31" t="s">
        <v>126</v>
      </c>
      <c r="F252" s="31" t="s">
        <v>1228</v>
      </c>
      <c r="G252" s="31" t="s">
        <v>1229</v>
      </c>
      <c r="H252" s="31" t="s">
        <v>151</v>
      </c>
      <c r="I252" s="31" t="s">
        <v>1230</v>
      </c>
      <c r="J252" s="31" t="s">
        <v>1230</v>
      </c>
      <c r="K252" s="31" t="s">
        <v>142</v>
      </c>
      <c r="L252" s="31" t="s">
        <v>127</v>
      </c>
      <c r="M252" s="34">
        <v>35249914360</v>
      </c>
      <c r="N252" s="34">
        <v>0</v>
      </c>
      <c r="O252" s="34">
        <v>35249914360</v>
      </c>
      <c r="P252" s="31" t="s">
        <v>136</v>
      </c>
      <c r="Q252" s="34">
        <v>35249914360</v>
      </c>
      <c r="R252" s="31" t="s">
        <v>443</v>
      </c>
      <c r="S252" s="35">
        <v>42831</v>
      </c>
      <c r="T252" s="35">
        <v>42774</v>
      </c>
      <c r="U252" s="35">
        <v>43830</v>
      </c>
      <c r="V252" s="27" t="s">
        <v>9383</v>
      </c>
      <c r="W252" s="34"/>
      <c r="X252" s="34"/>
      <c r="Y252" s="34" t="s">
        <v>442</v>
      </c>
      <c r="Z252" s="34"/>
      <c r="AA252" s="34"/>
      <c r="AB252" s="34"/>
      <c r="AC252" s="34"/>
      <c r="AD252" s="34"/>
      <c r="AE252" s="34"/>
      <c r="AF252" s="34"/>
    </row>
    <row r="253" spans="2:32" ht="60" customHeight="1" x14ac:dyDescent="0.25">
      <c r="B253" s="36" t="s">
        <v>1231</v>
      </c>
      <c r="C253" s="33">
        <v>2017</v>
      </c>
      <c r="D253" s="33">
        <f t="shared" si="3"/>
        <v>2022</v>
      </c>
      <c r="E253" s="36" t="s">
        <v>170</v>
      </c>
      <c r="F253" s="36" t="s">
        <v>1232</v>
      </c>
      <c r="G253" s="36" t="s">
        <v>1233</v>
      </c>
      <c r="H253" s="36" t="s">
        <v>181</v>
      </c>
      <c r="I253" s="36" t="s">
        <v>178</v>
      </c>
      <c r="J253" s="36" t="s">
        <v>179</v>
      </c>
      <c r="K253" s="36" t="s">
        <v>163</v>
      </c>
      <c r="L253" s="36" t="s">
        <v>159</v>
      </c>
      <c r="M253" s="37">
        <v>0</v>
      </c>
      <c r="N253" s="37">
        <v>158688040</v>
      </c>
      <c r="O253" s="37">
        <v>158688040</v>
      </c>
      <c r="P253" s="36" t="s">
        <v>624</v>
      </c>
      <c r="Q253" s="37">
        <v>264040</v>
      </c>
      <c r="R253" s="36" t="s">
        <v>159</v>
      </c>
      <c r="S253" s="38">
        <v>42985</v>
      </c>
      <c r="T253" s="38">
        <v>42832</v>
      </c>
      <c r="U253" s="38">
        <v>44926</v>
      </c>
      <c r="V253" s="27" t="s">
        <v>9307</v>
      </c>
      <c r="W253" s="37"/>
      <c r="X253" s="37"/>
      <c r="Y253" s="37" t="s">
        <v>125</v>
      </c>
      <c r="Z253" s="37"/>
      <c r="AA253" s="37"/>
      <c r="AB253" s="37"/>
      <c r="AC253" s="37"/>
      <c r="AD253" s="37"/>
      <c r="AE253" s="37"/>
      <c r="AF253" s="37"/>
    </row>
    <row r="254" spans="2:32" ht="120" customHeight="1" x14ac:dyDescent="0.25">
      <c r="B254" s="31" t="s">
        <v>1234</v>
      </c>
      <c r="C254" s="32">
        <v>2017</v>
      </c>
      <c r="D254" s="33">
        <f t="shared" si="3"/>
        <v>2026</v>
      </c>
      <c r="E254" s="31" t="s">
        <v>126</v>
      </c>
      <c r="F254" s="31" t="s">
        <v>1235</v>
      </c>
      <c r="G254" s="31" t="s">
        <v>1236</v>
      </c>
      <c r="H254" s="31" t="s">
        <v>129</v>
      </c>
      <c r="I254" s="31" t="s">
        <v>337</v>
      </c>
      <c r="J254" s="31" t="s">
        <v>338</v>
      </c>
      <c r="K254" s="31" t="s">
        <v>315</v>
      </c>
      <c r="L254" s="31" t="s">
        <v>201</v>
      </c>
      <c r="M254" s="34">
        <v>13119140000</v>
      </c>
      <c r="N254" s="34">
        <v>1967871000</v>
      </c>
      <c r="O254" s="34">
        <v>15087011000</v>
      </c>
      <c r="P254" s="31" t="s">
        <v>122</v>
      </c>
      <c r="Q254" s="34">
        <v>23000000</v>
      </c>
      <c r="R254" s="31" t="s">
        <v>279</v>
      </c>
      <c r="S254" s="35">
        <v>42894</v>
      </c>
      <c r="T254" s="35">
        <v>42835</v>
      </c>
      <c r="U254" s="35">
        <v>46387</v>
      </c>
      <c r="V254" s="27" t="s">
        <v>9308</v>
      </c>
      <c r="W254" s="34"/>
      <c r="X254" s="34"/>
      <c r="Y254" s="34" t="s">
        <v>242</v>
      </c>
      <c r="Z254" s="34"/>
      <c r="AA254" s="34"/>
      <c r="AB254" s="34"/>
      <c r="AC254" s="34"/>
      <c r="AD254" s="34"/>
      <c r="AE254" s="34"/>
      <c r="AF254" s="34"/>
    </row>
    <row r="255" spans="2:32" ht="75" customHeight="1" x14ac:dyDescent="0.25">
      <c r="B255" s="36" t="s">
        <v>1237</v>
      </c>
      <c r="C255" s="33">
        <v>2017</v>
      </c>
      <c r="D255" s="33">
        <f t="shared" si="3"/>
        <v>2022</v>
      </c>
      <c r="E255" s="36" t="s">
        <v>126</v>
      </c>
      <c r="F255" s="36" t="s">
        <v>1238</v>
      </c>
      <c r="G255" s="36" t="s">
        <v>1239</v>
      </c>
      <c r="H255" s="36" t="s">
        <v>129</v>
      </c>
      <c r="I255" s="36" t="s">
        <v>337</v>
      </c>
      <c r="J255" s="36" t="s">
        <v>338</v>
      </c>
      <c r="K255" s="36" t="s">
        <v>118</v>
      </c>
      <c r="L255" s="36" t="s">
        <v>127</v>
      </c>
      <c r="M255" s="37">
        <v>32797850000</v>
      </c>
      <c r="N255" s="37">
        <v>0</v>
      </c>
      <c r="O255" s="37">
        <v>32797850000</v>
      </c>
      <c r="P255" s="36" t="s">
        <v>122</v>
      </c>
      <c r="Q255" s="37">
        <v>50000000</v>
      </c>
      <c r="R255" s="36" t="s">
        <v>150</v>
      </c>
      <c r="S255" s="38">
        <v>42894</v>
      </c>
      <c r="T255" s="38">
        <v>42835</v>
      </c>
      <c r="U255" s="38">
        <v>44926</v>
      </c>
      <c r="V255" s="27" t="s">
        <v>9405</v>
      </c>
      <c r="W255" s="37"/>
      <c r="X255" s="37"/>
      <c r="Y255" s="37" t="s">
        <v>242</v>
      </c>
      <c r="Z255" s="37"/>
      <c r="AA255" s="37"/>
      <c r="AB255" s="37"/>
      <c r="AC255" s="37"/>
      <c r="AD255" s="37"/>
      <c r="AE255" s="37"/>
      <c r="AF255" s="37"/>
    </row>
    <row r="256" spans="2:32" ht="120" customHeight="1" x14ac:dyDescent="0.25">
      <c r="B256" s="31" t="s">
        <v>1243</v>
      </c>
      <c r="C256" s="41">
        <v>2017</v>
      </c>
      <c r="D256" s="42">
        <f t="shared" si="3"/>
        <v>2024</v>
      </c>
      <c r="E256" s="31" t="s">
        <v>126</v>
      </c>
      <c r="F256" s="31" t="s">
        <v>1244</v>
      </c>
      <c r="G256" s="31" t="s">
        <v>1245</v>
      </c>
      <c r="H256" s="31" t="s">
        <v>151</v>
      </c>
      <c r="I256" s="31" t="s">
        <v>277</v>
      </c>
      <c r="J256" s="31" t="s">
        <v>278</v>
      </c>
      <c r="K256" s="31" t="s">
        <v>205</v>
      </c>
      <c r="L256" s="31" t="s">
        <v>201</v>
      </c>
      <c r="M256" s="34">
        <v>4112292825</v>
      </c>
      <c r="N256" s="34">
        <v>519701939</v>
      </c>
      <c r="O256" s="34">
        <v>4631994764</v>
      </c>
      <c r="P256" s="31" t="s">
        <v>276</v>
      </c>
      <c r="Q256" s="34">
        <v>5631927</v>
      </c>
      <c r="R256" s="31" t="s">
        <v>279</v>
      </c>
      <c r="S256" s="35">
        <v>43033</v>
      </c>
      <c r="T256" s="35">
        <v>42835</v>
      </c>
      <c r="U256" s="35">
        <v>45657</v>
      </c>
      <c r="V256" s="27" t="s">
        <v>9406</v>
      </c>
      <c r="W256" s="34"/>
      <c r="X256" s="34"/>
      <c r="Y256" s="34" t="s">
        <v>125</v>
      </c>
      <c r="Z256" s="34"/>
      <c r="AA256" s="34"/>
      <c r="AB256" s="34"/>
      <c r="AC256" s="34"/>
      <c r="AD256" s="34"/>
      <c r="AE256" s="34"/>
      <c r="AF256" s="34"/>
    </row>
    <row r="257" spans="2:32" ht="60" customHeight="1" x14ac:dyDescent="0.25">
      <c r="B257" s="36" t="s">
        <v>1247</v>
      </c>
      <c r="C257" s="42">
        <v>2017</v>
      </c>
      <c r="D257" s="42">
        <f t="shared" si="3"/>
        <v>2024</v>
      </c>
      <c r="E257" s="36" t="s">
        <v>126</v>
      </c>
      <c r="F257" s="36" t="s">
        <v>1244</v>
      </c>
      <c r="G257" s="36" t="s">
        <v>1248</v>
      </c>
      <c r="H257" s="36" t="s">
        <v>181</v>
      </c>
      <c r="I257" s="36" t="s">
        <v>423</v>
      </c>
      <c r="J257" s="36" t="s">
        <v>424</v>
      </c>
      <c r="K257" s="36" t="s">
        <v>205</v>
      </c>
      <c r="L257" s="36" t="s">
        <v>159</v>
      </c>
      <c r="M257" s="37">
        <v>0</v>
      </c>
      <c r="N257" s="37">
        <v>1576335600</v>
      </c>
      <c r="O257" s="37">
        <v>1576335600</v>
      </c>
      <c r="P257" s="36" t="s">
        <v>624</v>
      </c>
      <c r="Q257" s="37">
        <v>2627226</v>
      </c>
      <c r="R257" s="36" t="s">
        <v>260</v>
      </c>
      <c r="S257" s="38">
        <v>43033</v>
      </c>
      <c r="T257" s="38">
        <v>42835</v>
      </c>
      <c r="U257" s="38">
        <v>45657</v>
      </c>
      <c r="V257" s="27" t="s">
        <v>9406</v>
      </c>
      <c r="W257" s="37"/>
      <c r="X257" s="37"/>
      <c r="Y257" s="37" t="s">
        <v>125</v>
      </c>
      <c r="Z257" s="37"/>
      <c r="AA257" s="37"/>
      <c r="AB257" s="37"/>
      <c r="AC257" s="37"/>
      <c r="AD257" s="37"/>
      <c r="AE257" s="37"/>
      <c r="AF257" s="37"/>
    </row>
    <row r="258" spans="2:32" ht="60" customHeight="1" x14ac:dyDescent="0.25">
      <c r="B258" s="31" t="s">
        <v>1249</v>
      </c>
      <c r="C258" s="32">
        <v>2017</v>
      </c>
      <c r="D258" s="33">
        <f t="shared" si="3"/>
        <v>2019</v>
      </c>
      <c r="E258" s="31" t="s">
        <v>180</v>
      </c>
      <c r="F258" s="31" t="s">
        <v>1250</v>
      </c>
      <c r="G258" s="31" t="s">
        <v>1251</v>
      </c>
      <c r="H258" s="31" t="s">
        <v>151</v>
      </c>
      <c r="I258" s="31" t="s">
        <v>277</v>
      </c>
      <c r="J258" s="31" t="s">
        <v>278</v>
      </c>
      <c r="K258" s="31" t="s">
        <v>118</v>
      </c>
      <c r="L258" s="31" t="s">
        <v>127</v>
      </c>
      <c r="M258" s="34">
        <v>16380000000</v>
      </c>
      <c r="N258" s="34">
        <v>0</v>
      </c>
      <c r="O258" s="34">
        <v>16380000000</v>
      </c>
      <c r="P258" s="31" t="s">
        <v>276</v>
      </c>
      <c r="Q258" s="34">
        <v>19920000</v>
      </c>
      <c r="R258" s="31" t="s">
        <v>1252</v>
      </c>
      <c r="S258" s="35">
        <v>43082</v>
      </c>
      <c r="T258" s="35">
        <v>42838</v>
      </c>
      <c r="U258" s="35">
        <v>43830</v>
      </c>
      <c r="V258" s="27" t="s">
        <v>9308</v>
      </c>
      <c r="W258" s="34"/>
      <c r="X258" s="34"/>
      <c r="Y258" s="34" t="s">
        <v>125</v>
      </c>
      <c r="Z258" s="34"/>
      <c r="AA258" s="34"/>
      <c r="AB258" s="34"/>
      <c r="AC258" s="34"/>
      <c r="AD258" s="34"/>
      <c r="AE258" s="34"/>
      <c r="AF258" s="34"/>
    </row>
    <row r="259" spans="2:32" ht="60" customHeight="1" x14ac:dyDescent="0.25">
      <c r="B259" s="36" t="s">
        <v>1253</v>
      </c>
      <c r="C259" s="33">
        <v>2017</v>
      </c>
      <c r="D259" s="33">
        <f t="shared" si="3"/>
        <v>2021</v>
      </c>
      <c r="E259" s="36" t="s">
        <v>126</v>
      </c>
      <c r="F259" s="36" t="s">
        <v>1254</v>
      </c>
      <c r="G259" s="36" t="s">
        <v>1255</v>
      </c>
      <c r="H259" s="36" t="s">
        <v>129</v>
      </c>
      <c r="I259" s="36" t="s">
        <v>484</v>
      </c>
      <c r="J259" s="36" t="s">
        <v>484</v>
      </c>
      <c r="K259" s="36" t="s">
        <v>205</v>
      </c>
      <c r="L259" s="36" t="s">
        <v>127</v>
      </c>
      <c r="M259" s="37">
        <v>32472995167</v>
      </c>
      <c r="N259" s="37">
        <v>0</v>
      </c>
      <c r="O259" s="37">
        <v>32472995167</v>
      </c>
      <c r="P259" s="36" t="s">
        <v>122</v>
      </c>
      <c r="Q259" s="37">
        <v>49504762</v>
      </c>
      <c r="R259" s="36" t="s">
        <v>443</v>
      </c>
      <c r="S259" s="38">
        <v>42877</v>
      </c>
      <c r="T259" s="38">
        <v>42866</v>
      </c>
      <c r="U259" s="38">
        <v>44561</v>
      </c>
      <c r="V259" s="27" t="s">
        <v>9356</v>
      </c>
      <c r="W259" s="37"/>
      <c r="X259" s="37"/>
      <c r="Y259" s="37" t="s">
        <v>242</v>
      </c>
      <c r="Z259" s="37"/>
      <c r="AA259" s="37"/>
      <c r="AB259" s="37"/>
      <c r="AC259" s="37"/>
      <c r="AD259" s="37"/>
      <c r="AE259" s="37"/>
      <c r="AF259" s="37"/>
    </row>
    <row r="260" spans="2:32" ht="60" customHeight="1" x14ac:dyDescent="0.25">
      <c r="B260" s="31" t="s">
        <v>1256</v>
      </c>
      <c r="C260" s="41">
        <v>2017</v>
      </c>
      <c r="D260" s="42">
        <f t="shared" si="3"/>
        <v>2022</v>
      </c>
      <c r="E260" s="31" t="s">
        <v>126</v>
      </c>
      <c r="F260" s="31" t="s">
        <v>1257</v>
      </c>
      <c r="G260" s="31" t="s">
        <v>1259</v>
      </c>
      <c r="H260" s="31" t="s">
        <v>151</v>
      </c>
      <c r="I260" s="31" t="s">
        <v>1261</v>
      </c>
      <c r="J260" s="31" t="s">
        <v>1262</v>
      </c>
      <c r="K260" s="31" t="s">
        <v>205</v>
      </c>
      <c r="L260" s="31" t="s">
        <v>127</v>
      </c>
      <c r="M260" s="34">
        <v>75231424058</v>
      </c>
      <c r="N260" s="34">
        <v>0</v>
      </c>
      <c r="O260" s="34">
        <v>75231424058</v>
      </c>
      <c r="P260" s="31" t="s">
        <v>122</v>
      </c>
      <c r="Q260" s="34">
        <v>114689566</v>
      </c>
      <c r="R260" s="31" t="s">
        <v>443</v>
      </c>
      <c r="S260" s="35">
        <v>42888</v>
      </c>
      <c r="T260" s="35">
        <v>42808</v>
      </c>
      <c r="U260" s="35">
        <v>44742</v>
      </c>
      <c r="V260" s="27" t="s">
        <v>9407</v>
      </c>
      <c r="W260" s="31" t="s">
        <v>1043</v>
      </c>
      <c r="X260" s="31" t="s">
        <v>558</v>
      </c>
      <c r="Y260" s="31" t="s">
        <v>442</v>
      </c>
      <c r="Z260" s="31" t="s">
        <v>1258</v>
      </c>
      <c r="AA260" s="31" t="s">
        <v>1012</v>
      </c>
      <c r="AB260" s="31" t="s">
        <v>560</v>
      </c>
      <c r="AC260" s="31" t="s">
        <v>939</v>
      </c>
      <c r="AD260" s="34">
        <v>11.3</v>
      </c>
      <c r="AE260" s="31" t="s">
        <v>563</v>
      </c>
      <c r="AF260" s="31" t="s">
        <v>860</v>
      </c>
    </row>
    <row r="261" spans="2:32" ht="60" customHeight="1" x14ac:dyDescent="0.25">
      <c r="B261" s="36" t="s">
        <v>1263</v>
      </c>
      <c r="C261" s="33">
        <v>2017</v>
      </c>
      <c r="D261" s="33">
        <f t="shared" si="3"/>
        <v>2021</v>
      </c>
      <c r="E261" s="36" t="s">
        <v>126</v>
      </c>
      <c r="F261" s="36" t="s">
        <v>1264</v>
      </c>
      <c r="G261" s="36" t="s">
        <v>1265</v>
      </c>
      <c r="H261" s="36" t="s">
        <v>181</v>
      </c>
      <c r="I261" s="36" t="s">
        <v>178</v>
      </c>
      <c r="J261" s="36" t="s">
        <v>179</v>
      </c>
      <c r="K261" s="36" t="s">
        <v>190</v>
      </c>
      <c r="L261" s="36" t="s">
        <v>127</v>
      </c>
      <c r="M261" s="37">
        <v>26100000000</v>
      </c>
      <c r="N261" s="37">
        <v>0</v>
      </c>
      <c r="O261" s="37">
        <v>26100000000</v>
      </c>
      <c r="P261" s="36" t="s">
        <v>122</v>
      </c>
      <c r="Q261" s="37">
        <v>41900000</v>
      </c>
      <c r="R261" s="36" t="s">
        <v>150</v>
      </c>
      <c r="S261" s="38">
        <v>43099</v>
      </c>
      <c r="T261" s="38">
        <v>42888</v>
      </c>
      <c r="U261" s="38">
        <v>44561</v>
      </c>
      <c r="V261" s="27" t="s">
        <v>9311</v>
      </c>
      <c r="W261" s="37"/>
      <c r="X261" s="37"/>
      <c r="Y261" s="37" t="s">
        <v>125</v>
      </c>
      <c r="Z261" s="37"/>
      <c r="AA261" s="37"/>
      <c r="AB261" s="37"/>
      <c r="AC261" s="37"/>
      <c r="AD261" s="37"/>
      <c r="AE261" s="37"/>
      <c r="AF261" s="37"/>
    </row>
    <row r="262" spans="2:32" ht="75" customHeight="1" x14ac:dyDescent="0.25">
      <c r="B262" s="31" t="s">
        <v>1266</v>
      </c>
      <c r="C262" s="32">
        <v>2017</v>
      </c>
      <c r="D262" s="33">
        <f t="shared" si="3"/>
        <v>2023</v>
      </c>
      <c r="E262" s="31" t="s">
        <v>126</v>
      </c>
      <c r="F262" s="31" t="s">
        <v>1267</v>
      </c>
      <c r="G262" s="31" t="s">
        <v>1268</v>
      </c>
      <c r="H262" s="31" t="s">
        <v>151</v>
      </c>
      <c r="I262" s="31" t="s">
        <v>1272</v>
      </c>
      <c r="J262" s="31" t="s">
        <v>1272</v>
      </c>
      <c r="K262" s="31" t="s">
        <v>142</v>
      </c>
      <c r="L262" s="31" t="s">
        <v>127</v>
      </c>
      <c r="M262" s="34">
        <v>103400000000</v>
      </c>
      <c r="N262" s="34">
        <v>0</v>
      </c>
      <c r="O262" s="34">
        <v>103400000000</v>
      </c>
      <c r="P262" s="31" t="s">
        <v>624</v>
      </c>
      <c r="Q262" s="34">
        <v>188000000</v>
      </c>
      <c r="R262" s="31" t="s">
        <v>824</v>
      </c>
      <c r="S262" s="35">
        <v>42928</v>
      </c>
      <c r="T262" s="35">
        <v>42823</v>
      </c>
      <c r="U262" s="35">
        <v>45291</v>
      </c>
      <c r="V262" s="27" t="s">
        <v>9408</v>
      </c>
      <c r="W262" s="34"/>
      <c r="X262" s="34"/>
      <c r="Y262" s="34" t="s">
        <v>242</v>
      </c>
      <c r="Z262" s="34"/>
      <c r="AA262" s="34"/>
      <c r="AB262" s="34"/>
      <c r="AC262" s="34"/>
      <c r="AD262" s="34"/>
      <c r="AE262" s="34"/>
      <c r="AF262" s="34"/>
    </row>
    <row r="263" spans="2:32" ht="60" customHeight="1" x14ac:dyDescent="0.25">
      <c r="B263" s="36" t="s">
        <v>1273</v>
      </c>
      <c r="C263" s="42">
        <v>2017</v>
      </c>
      <c r="D263" s="42">
        <f t="shared" ref="D263:D326" si="4">YEAR(U263)</f>
        <v>2023</v>
      </c>
      <c r="E263" s="36" t="s">
        <v>126</v>
      </c>
      <c r="F263" s="36" t="s">
        <v>1274</v>
      </c>
      <c r="G263" s="36" t="s">
        <v>1276</v>
      </c>
      <c r="H263" s="36" t="s">
        <v>181</v>
      </c>
      <c r="I263" s="36" t="s">
        <v>178</v>
      </c>
      <c r="J263" s="36" t="s">
        <v>179</v>
      </c>
      <c r="K263" s="36" t="s">
        <v>118</v>
      </c>
      <c r="L263" s="36" t="s">
        <v>127</v>
      </c>
      <c r="M263" s="37">
        <v>36012039300</v>
      </c>
      <c r="N263" s="37">
        <v>0</v>
      </c>
      <c r="O263" s="37">
        <v>36012039300</v>
      </c>
      <c r="P263" s="36" t="s">
        <v>122</v>
      </c>
      <c r="Q263" s="37">
        <v>54900000</v>
      </c>
      <c r="R263" s="36" t="s">
        <v>150</v>
      </c>
      <c r="S263" s="38">
        <v>42901</v>
      </c>
      <c r="T263" s="38">
        <v>42816</v>
      </c>
      <c r="U263" s="38">
        <v>45107</v>
      </c>
      <c r="V263" s="27" t="s">
        <v>9308</v>
      </c>
      <c r="W263" s="36" t="s">
        <v>557</v>
      </c>
      <c r="X263" s="36" t="s">
        <v>558</v>
      </c>
      <c r="Y263" s="36" t="s">
        <v>125</v>
      </c>
      <c r="Z263" s="36" t="s">
        <v>1275</v>
      </c>
      <c r="AA263" s="36" t="s">
        <v>862</v>
      </c>
      <c r="AB263" s="36" t="s">
        <v>861</v>
      </c>
      <c r="AC263" s="36" t="s">
        <v>1173</v>
      </c>
      <c r="AD263" s="37">
        <v>7.1</v>
      </c>
      <c r="AE263" s="36" t="s">
        <v>864</v>
      </c>
      <c r="AF263" s="36" t="s">
        <v>860</v>
      </c>
    </row>
    <row r="264" spans="2:32" ht="60" customHeight="1" x14ac:dyDescent="0.25">
      <c r="B264" s="31" t="s">
        <v>1277</v>
      </c>
      <c r="C264" s="32">
        <v>2017</v>
      </c>
      <c r="D264" s="33">
        <f t="shared" si="4"/>
        <v>2022</v>
      </c>
      <c r="E264" s="31" t="s">
        <v>126</v>
      </c>
      <c r="F264" s="31" t="s">
        <v>1278</v>
      </c>
      <c r="G264" s="31" t="s">
        <v>1279</v>
      </c>
      <c r="H264" s="31" t="s">
        <v>151</v>
      </c>
      <c r="I264" s="31" t="s">
        <v>471</v>
      </c>
      <c r="J264" s="31" t="s">
        <v>472</v>
      </c>
      <c r="K264" s="31" t="s">
        <v>263</v>
      </c>
      <c r="L264" s="31" t="s">
        <v>127</v>
      </c>
      <c r="M264" s="34">
        <v>50662759475</v>
      </c>
      <c r="N264" s="34">
        <v>0</v>
      </c>
      <c r="O264" s="34">
        <v>50662759475</v>
      </c>
      <c r="P264" s="31" t="s">
        <v>357</v>
      </c>
      <c r="Q264" s="34">
        <v>605744400</v>
      </c>
      <c r="R264" s="31" t="s">
        <v>150</v>
      </c>
      <c r="S264" s="35">
        <v>42970</v>
      </c>
      <c r="T264" s="35">
        <v>42866</v>
      </c>
      <c r="U264" s="35">
        <v>44926</v>
      </c>
      <c r="V264" s="27" t="s">
        <v>9409</v>
      </c>
      <c r="W264" s="34"/>
      <c r="X264" s="34"/>
      <c r="Y264" s="34" t="s">
        <v>242</v>
      </c>
      <c r="Z264" s="34"/>
      <c r="AA264" s="34"/>
      <c r="AB264" s="34"/>
      <c r="AC264" s="34"/>
      <c r="AD264" s="34"/>
      <c r="AE264" s="34"/>
      <c r="AF264" s="34"/>
    </row>
    <row r="265" spans="2:32" ht="60" customHeight="1" x14ac:dyDescent="0.25">
      <c r="B265" s="36" t="s">
        <v>1281</v>
      </c>
      <c r="C265" s="33">
        <v>2017</v>
      </c>
      <c r="D265" s="33">
        <f t="shared" si="4"/>
        <v>2018</v>
      </c>
      <c r="E265" s="36" t="s">
        <v>235</v>
      </c>
      <c r="F265" s="36" t="s">
        <v>1282</v>
      </c>
      <c r="G265" s="36" t="s">
        <v>1283</v>
      </c>
      <c r="H265" s="36" t="s">
        <v>181</v>
      </c>
      <c r="I265" s="36" t="s">
        <v>178</v>
      </c>
      <c r="J265" s="36" t="s">
        <v>179</v>
      </c>
      <c r="K265" s="36" t="s">
        <v>205</v>
      </c>
      <c r="L265" s="36" t="s">
        <v>127</v>
      </c>
      <c r="M265" s="37">
        <v>720000000</v>
      </c>
      <c r="N265" s="37">
        <v>0</v>
      </c>
      <c r="O265" s="37">
        <v>720000000</v>
      </c>
      <c r="P265" s="36" t="s">
        <v>624</v>
      </c>
      <c r="Q265" s="37">
        <v>1200000</v>
      </c>
      <c r="R265" s="36" t="s">
        <v>236</v>
      </c>
      <c r="S265" s="38">
        <v>42970</v>
      </c>
      <c r="T265" s="38">
        <v>42837</v>
      </c>
      <c r="U265" s="38">
        <v>43465</v>
      </c>
      <c r="V265" s="27" t="s">
        <v>9410</v>
      </c>
      <c r="W265" s="37"/>
      <c r="X265" s="37"/>
      <c r="Y265" s="37" t="s">
        <v>125</v>
      </c>
      <c r="Z265" s="37"/>
      <c r="AA265" s="37"/>
      <c r="AB265" s="37"/>
      <c r="AC265" s="37"/>
      <c r="AD265" s="37"/>
      <c r="AE265" s="37"/>
      <c r="AF265" s="37"/>
    </row>
    <row r="266" spans="2:32" ht="60" customHeight="1" x14ac:dyDescent="0.25">
      <c r="B266" s="31" t="s">
        <v>1286</v>
      </c>
      <c r="C266" s="32">
        <v>2017</v>
      </c>
      <c r="D266" s="33">
        <f t="shared" si="4"/>
        <v>2018</v>
      </c>
      <c r="E266" s="31" t="s">
        <v>235</v>
      </c>
      <c r="F266" s="31" t="s">
        <v>1287</v>
      </c>
      <c r="G266" s="31" t="s">
        <v>1288</v>
      </c>
      <c r="H266" s="31" t="s">
        <v>181</v>
      </c>
      <c r="I266" s="31" t="s">
        <v>178</v>
      </c>
      <c r="J266" s="31" t="s">
        <v>179</v>
      </c>
      <c r="K266" s="31" t="s">
        <v>282</v>
      </c>
      <c r="L266" s="31" t="s">
        <v>127</v>
      </c>
      <c r="M266" s="34">
        <v>1200000000</v>
      </c>
      <c r="N266" s="34">
        <v>0</v>
      </c>
      <c r="O266" s="34">
        <v>1200000000</v>
      </c>
      <c r="P266" s="31" t="s">
        <v>624</v>
      </c>
      <c r="Q266" s="34">
        <v>2000000</v>
      </c>
      <c r="R266" s="31" t="s">
        <v>236</v>
      </c>
      <c r="S266" s="35">
        <v>42978</v>
      </c>
      <c r="T266" s="35">
        <v>42865</v>
      </c>
      <c r="U266" s="35">
        <v>43281</v>
      </c>
      <c r="V266" s="27" t="s">
        <v>9308</v>
      </c>
      <c r="W266" s="34"/>
      <c r="X266" s="34"/>
      <c r="Y266" s="34" t="s">
        <v>125</v>
      </c>
      <c r="Z266" s="34"/>
      <c r="AA266" s="34"/>
      <c r="AB266" s="34"/>
      <c r="AC266" s="34"/>
      <c r="AD266" s="34"/>
      <c r="AE266" s="34"/>
      <c r="AF266" s="34"/>
    </row>
    <row r="267" spans="2:32" ht="60" customHeight="1" x14ac:dyDescent="0.25">
      <c r="B267" s="36" t="s">
        <v>1289</v>
      </c>
      <c r="C267" s="42">
        <v>2017</v>
      </c>
      <c r="D267" s="42">
        <f t="shared" si="4"/>
        <v>2024</v>
      </c>
      <c r="E267" s="36" t="s">
        <v>126</v>
      </c>
      <c r="F267" s="36" t="s">
        <v>1290</v>
      </c>
      <c r="G267" s="36" t="s">
        <v>1292</v>
      </c>
      <c r="H267" s="36" t="s">
        <v>139</v>
      </c>
      <c r="I267" s="36" t="s">
        <v>137</v>
      </c>
      <c r="J267" s="36" t="s">
        <v>138</v>
      </c>
      <c r="K267" s="36" t="s">
        <v>205</v>
      </c>
      <c r="L267" s="36" t="s">
        <v>127</v>
      </c>
      <c r="M267" s="37">
        <v>10000000000</v>
      </c>
      <c r="N267" s="37">
        <v>0</v>
      </c>
      <c r="O267" s="37">
        <v>10000000000</v>
      </c>
      <c r="P267" s="36" t="s">
        <v>136</v>
      </c>
      <c r="Q267" s="37">
        <v>10000000000</v>
      </c>
      <c r="R267" s="36" t="s">
        <v>128</v>
      </c>
      <c r="S267" s="38">
        <v>42990</v>
      </c>
      <c r="T267" s="38">
        <v>42912</v>
      </c>
      <c r="U267" s="38">
        <v>45657</v>
      </c>
      <c r="V267" s="27" t="s">
        <v>9411</v>
      </c>
      <c r="W267" s="36" t="s">
        <v>1043</v>
      </c>
      <c r="X267" s="36" t="s">
        <v>558</v>
      </c>
      <c r="Y267" s="36" t="s">
        <v>125</v>
      </c>
      <c r="Z267" s="36" t="s">
        <v>1291</v>
      </c>
      <c r="AA267" s="36" t="s">
        <v>1012</v>
      </c>
      <c r="AB267" s="36" t="s">
        <v>560</v>
      </c>
      <c r="AC267" s="36" t="s">
        <v>939</v>
      </c>
      <c r="AD267" s="37">
        <v>11.3</v>
      </c>
      <c r="AE267" s="36" t="s">
        <v>563</v>
      </c>
      <c r="AF267" s="36" t="s">
        <v>860</v>
      </c>
    </row>
    <row r="268" spans="2:32" ht="75" customHeight="1" x14ac:dyDescent="0.25">
      <c r="B268" s="31" t="s">
        <v>1294</v>
      </c>
      <c r="C268" s="41">
        <v>2017</v>
      </c>
      <c r="D268" s="42">
        <f t="shared" si="4"/>
        <v>2022</v>
      </c>
      <c r="E268" s="31" t="s">
        <v>126</v>
      </c>
      <c r="F268" s="31" t="s">
        <v>1295</v>
      </c>
      <c r="G268" s="31" t="s">
        <v>1296</v>
      </c>
      <c r="H268" s="31" t="s">
        <v>353</v>
      </c>
      <c r="I268" s="31" t="s">
        <v>137</v>
      </c>
      <c r="J268" s="31" t="s">
        <v>138</v>
      </c>
      <c r="K268" s="31" t="s">
        <v>142</v>
      </c>
      <c r="L268" s="31" t="s">
        <v>127</v>
      </c>
      <c r="M268" s="34">
        <v>25000000000</v>
      </c>
      <c r="N268" s="34">
        <v>0</v>
      </c>
      <c r="O268" s="34">
        <v>25000000000</v>
      </c>
      <c r="P268" s="31" t="s">
        <v>136</v>
      </c>
      <c r="Q268" s="34">
        <v>25000000000</v>
      </c>
      <c r="R268" s="31" t="s">
        <v>128</v>
      </c>
      <c r="S268" s="35">
        <v>42998</v>
      </c>
      <c r="T268" s="35">
        <v>42990</v>
      </c>
      <c r="U268" s="35">
        <v>44926</v>
      </c>
      <c r="V268" s="27" t="s">
        <v>9412</v>
      </c>
      <c r="W268" s="31" t="s">
        <v>1043</v>
      </c>
      <c r="X268" s="31" t="s">
        <v>558</v>
      </c>
      <c r="Y268" s="31" t="s">
        <v>125</v>
      </c>
      <c r="Z268" s="31" t="s">
        <v>968</v>
      </c>
      <c r="AA268" s="31" t="s">
        <v>862</v>
      </c>
      <c r="AB268" s="31" t="s">
        <v>861</v>
      </c>
      <c r="AC268" s="31" t="s">
        <v>971</v>
      </c>
      <c r="AD268" s="34">
        <v>9.1</v>
      </c>
      <c r="AE268" s="31" t="s">
        <v>864</v>
      </c>
      <c r="AF268" s="31" t="s">
        <v>860</v>
      </c>
    </row>
    <row r="269" spans="2:32" ht="60" customHeight="1" x14ac:dyDescent="0.25">
      <c r="B269" s="36" t="s">
        <v>1299</v>
      </c>
      <c r="C269" s="33">
        <v>2017</v>
      </c>
      <c r="D269" s="33">
        <f t="shared" si="4"/>
        <v>2022</v>
      </c>
      <c r="E269" s="36" t="s">
        <v>126</v>
      </c>
      <c r="F269" s="36" t="s">
        <v>1300</v>
      </c>
      <c r="G269" s="36" t="s">
        <v>1301</v>
      </c>
      <c r="H269" s="36" t="s">
        <v>326</v>
      </c>
      <c r="I269" s="36" t="s">
        <v>337</v>
      </c>
      <c r="J269" s="36" t="s">
        <v>338</v>
      </c>
      <c r="K269" s="36" t="s">
        <v>190</v>
      </c>
      <c r="L269" s="36" t="s">
        <v>159</v>
      </c>
      <c r="M269" s="37">
        <v>0</v>
      </c>
      <c r="N269" s="37">
        <v>6559570000</v>
      </c>
      <c r="O269" s="37">
        <v>6559570000</v>
      </c>
      <c r="P269" s="36" t="s">
        <v>122</v>
      </c>
      <c r="Q269" s="37">
        <v>10000000</v>
      </c>
      <c r="R269" s="36" t="s">
        <v>159</v>
      </c>
      <c r="S269" s="38">
        <v>42992</v>
      </c>
      <c r="T269" s="38">
        <v>42866</v>
      </c>
      <c r="U269" s="38">
        <v>44926</v>
      </c>
      <c r="V269" s="27" t="s">
        <v>9413</v>
      </c>
      <c r="W269" s="37"/>
      <c r="X269" s="37"/>
      <c r="Y269" s="37" t="s">
        <v>242</v>
      </c>
      <c r="Z269" s="37"/>
      <c r="AA269" s="37"/>
      <c r="AB269" s="37"/>
      <c r="AC269" s="37"/>
      <c r="AD269" s="37"/>
      <c r="AE269" s="37"/>
      <c r="AF269" s="37"/>
    </row>
    <row r="270" spans="2:32" ht="60" customHeight="1" x14ac:dyDescent="0.25">
      <c r="B270" s="31" t="s">
        <v>1303</v>
      </c>
      <c r="C270" s="32">
        <v>2017</v>
      </c>
      <c r="D270" s="33">
        <f t="shared" si="4"/>
        <v>2022</v>
      </c>
      <c r="E270" s="31" t="s">
        <v>235</v>
      </c>
      <c r="F270" s="31" t="s">
        <v>1304</v>
      </c>
      <c r="G270" s="31" t="s">
        <v>1305</v>
      </c>
      <c r="H270" s="31" t="s">
        <v>326</v>
      </c>
      <c r="I270" s="31" t="s">
        <v>337</v>
      </c>
      <c r="J270" s="31" t="s">
        <v>338</v>
      </c>
      <c r="K270" s="31" t="s">
        <v>163</v>
      </c>
      <c r="L270" s="31" t="s">
        <v>159</v>
      </c>
      <c r="M270" s="34">
        <v>0</v>
      </c>
      <c r="N270" s="34">
        <v>393574200</v>
      </c>
      <c r="O270" s="34">
        <v>393574200</v>
      </c>
      <c r="P270" s="31" t="s">
        <v>122</v>
      </c>
      <c r="Q270" s="34">
        <v>600000</v>
      </c>
      <c r="R270" s="31" t="s">
        <v>159</v>
      </c>
      <c r="S270" s="35">
        <v>42992</v>
      </c>
      <c r="T270" s="35">
        <v>42866</v>
      </c>
      <c r="U270" s="35">
        <v>44926</v>
      </c>
      <c r="V270" s="27" t="s">
        <v>9307</v>
      </c>
      <c r="W270" s="34"/>
      <c r="X270" s="34"/>
      <c r="Y270" s="34" t="s">
        <v>242</v>
      </c>
      <c r="Z270" s="34"/>
      <c r="AA270" s="34"/>
      <c r="AB270" s="34"/>
      <c r="AC270" s="34"/>
      <c r="AD270" s="34"/>
      <c r="AE270" s="34"/>
      <c r="AF270" s="34"/>
    </row>
    <row r="271" spans="2:32" ht="75" customHeight="1" x14ac:dyDescent="0.25">
      <c r="B271" s="36" t="s">
        <v>1306</v>
      </c>
      <c r="C271" s="33">
        <v>2017</v>
      </c>
      <c r="D271" s="33">
        <f t="shared" si="4"/>
        <v>2018</v>
      </c>
      <c r="E271" s="36" t="s">
        <v>235</v>
      </c>
      <c r="F271" s="36" t="s">
        <v>1307</v>
      </c>
      <c r="G271" s="36" t="s">
        <v>1308</v>
      </c>
      <c r="H271" s="36" t="s">
        <v>372</v>
      </c>
      <c r="I271" s="36" t="s">
        <v>178</v>
      </c>
      <c r="J271" s="36" t="s">
        <v>179</v>
      </c>
      <c r="K271" s="36" t="s">
        <v>190</v>
      </c>
      <c r="L271" s="36" t="s">
        <v>127</v>
      </c>
      <c r="M271" s="37">
        <v>1200000000</v>
      </c>
      <c r="N271" s="37">
        <v>0</v>
      </c>
      <c r="O271" s="37">
        <v>1200000000</v>
      </c>
      <c r="P271" s="36" t="s">
        <v>624</v>
      </c>
      <c r="Q271" s="37">
        <v>2000000</v>
      </c>
      <c r="R271" s="36" t="s">
        <v>236</v>
      </c>
      <c r="S271" s="38">
        <v>43039</v>
      </c>
      <c r="T271" s="38">
        <v>42906</v>
      </c>
      <c r="U271" s="38">
        <v>43465</v>
      </c>
      <c r="V271" s="27" t="s">
        <v>9308</v>
      </c>
      <c r="W271" s="37"/>
      <c r="X271" s="37"/>
      <c r="Y271" s="37" t="s">
        <v>125</v>
      </c>
      <c r="Z271" s="37"/>
      <c r="AA271" s="37"/>
      <c r="AB271" s="37"/>
      <c r="AC271" s="37"/>
      <c r="AD271" s="37"/>
      <c r="AE271" s="37"/>
      <c r="AF271" s="37"/>
    </row>
    <row r="272" spans="2:32" ht="60" customHeight="1" x14ac:dyDescent="0.25">
      <c r="B272" s="31" t="s">
        <v>1309</v>
      </c>
      <c r="C272" s="41">
        <v>2017</v>
      </c>
      <c r="D272" s="33">
        <f t="shared" si="4"/>
        <v>2024</v>
      </c>
      <c r="E272" s="31" t="s">
        <v>126</v>
      </c>
      <c r="F272" s="46" t="s">
        <v>1310</v>
      </c>
      <c r="G272" s="31" t="s">
        <v>1312</v>
      </c>
      <c r="H272" s="31" t="s">
        <v>326</v>
      </c>
      <c r="I272" s="31" t="s">
        <v>337</v>
      </c>
      <c r="J272" s="31" t="s">
        <v>338</v>
      </c>
      <c r="K272" s="31" t="s">
        <v>190</v>
      </c>
      <c r="L272" s="31" t="s">
        <v>159</v>
      </c>
      <c r="M272" s="34">
        <v>0</v>
      </c>
      <c r="N272" s="34">
        <v>3935742000</v>
      </c>
      <c r="O272" s="34">
        <v>3935742000</v>
      </c>
      <c r="P272" s="31" t="s">
        <v>122</v>
      </c>
      <c r="Q272" s="34">
        <v>6000000</v>
      </c>
      <c r="R272" s="31" t="s">
        <v>159</v>
      </c>
      <c r="S272" s="35">
        <v>43076</v>
      </c>
      <c r="T272" s="35">
        <v>43055</v>
      </c>
      <c r="U272" s="35">
        <v>45473</v>
      </c>
      <c r="V272" s="27" t="s">
        <v>9414</v>
      </c>
      <c r="W272" s="31" t="s">
        <v>557</v>
      </c>
      <c r="X272" s="31" t="s">
        <v>880</v>
      </c>
      <c r="Y272" s="31" t="s">
        <v>242</v>
      </c>
      <c r="Z272" s="31" t="s">
        <v>1311</v>
      </c>
      <c r="AA272" s="31" t="s">
        <v>862</v>
      </c>
      <c r="AB272" s="31" t="s">
        <v>861</v>
      </c>
      <c r="AC272" s="31" t="s">
        <v>863</v>
      </c>
      <c r="AD272" s="34">
        <v>2.2999999999999998</v>
      </c>
      <c r="AE272" s="31" t="s">
        <v>864</v>
      </c>
      <c r="AF272" s="31" t="s">
        <v>860</v>
      </c>
    </row>
    <row r="273" spans="2:32" ht="60" customHeight="1" x14ac:dyDescent="0.25">
      <c r="B273" s="36" t="s">
        <v>1314</v>
      </c>
      <c r="C273" s="33">
        <v>2017</v>
      </c>
      <c r="D273" s="33">
        <f t="shared" si="4"/>
        <v>2019</v>
      </c>
      <c r="E273" s="36" t="s">
        <v>235</v>
      </c>
      <c r="F273" s="36" t="s">
        <v>1315</v>
      </c>
      <c r="G273" s="36" t="s">
        <v>1316</v>
      </c>
      <c r="H273" s="36" t="s">
        <v>353</v>
      </c>
      <c r="I273" s="36" t="s">
        <v>137</v>
      </c>
      <c r="J273" s="36" t="s">
        <v>138</v>
      </c>
      <c r="K273" s="36" t="s">
        <v>526</v>
      </c>
      <c r="L273" s="36" t="s">
        <v>127</v>
      </c>
      <c r="M273" s="37">
        <v>200000000</v>
      </c>
      <c r="N273" s="37">
        <v>0</v>
      </c>
      <c r="O273" s="37">
        <v>200000000</v>
      </c>
      <c r="P273" s="36" t="s">
        <v>136</v>
      </c>
      <c r="Q273" s="37">
        <v>200000000</v>
      </c>
      <c r="R273" s="36" t="s">
        <v>236</v>
      </c>
      <c r="S273" s="38">
        <v>43056</v>
      </c>
      <c r="T273" s="38">
        <v>42912</v>
      </c>
      <c r="U273" s="38">
        <v>43830</v>
      </c>
      <c r="V273" s="27" t="s">
        <v>9308</v>
      </c>
      <c r="W273" s="37"/>
      <c r="X273" s="37"/>
      <c r="Y273" s="37" t="s">
        <v>125</v>
      </c>
      <c r="Z273" s="37"/>
      <c r="AA273" s="37"/>
      <c r="AB273" s="37"/>
      <c r="AC273" s="37"/>
      <c r="AD273" s="37"/>
      <c r="AE273" s="37"/>
      <c r="AF273" s="37"/>
    </row>
    <row r="274" spans="2:32" ht="90" customHeight="1" x14ac:dyDescent="0.25">
      <c r="B274" s="31" t="s">
        <v>1317</v>
      </c>
      <c r="C274" s="32">
        <v>2017</v>
      </c>
      <c r="D274" s="33">
        <f t="shared" si="4"/>
        <v>2019</v>
      </c>
      <c r="E274" s="31" t="s">
        <v>235</v>
      </c>
      <c r="F274" s="31" t="s">
        <v>1318</v>
      </c>
      <c r="G274" s="31" t="s">
        <v>1319</v>
      </c>
      <c r="H274" s="31" t="s">
        <v>353</v>
      </c>
      <c r="I274" s="31" t="s">
        <v>137</v>
      </c>
      <c r="J274" s="31" t="s">
        <v>138</v>
      </c>
      <c r="K274" s="31" t="s">
        <v>118</v>
      </c>
      <c r="L274" s="31" t="s">
        <v>127</v>
      </c>
      <c r="M274" s="34">
        <v>361000000</v>
      </c>
      <c r="N274" s="34">
        <v>0</v>
      </c>
      <c r="O274" s="34">
        <v>361000000</v>
      </c>
      <c r="P274" s="31" t="s">
        <v>136</v>
      </c>
      <c r="Q274" s="34">
        <v>361000000</v>
      </c>
      <c r="R274" s="31" t="s">
        <v>236</v>
      </c>
      <c r="S274" s="35">
        <v>43056</v>
      </c>
      <c r="T274" s="35">
        <v>43003</v>
      </c>
      <c r="U274" s="35">
        <v>43830</v>
      </c>
      <c r="V274" s="27" t="s">
        <v>9334</v>
      </c>
      <c r="W274" s="34"/>
      <c r="X274" s="34"/>
      <c r="Y274" s="34" t="s">
        <v>125</v>
      </c>
      <c r="Z274" s="34"/>
      <c r="AA274" s="34"/>
      <c r="AB274" s="34"/>
      <c r="AC274" s="34"/>
      <c r="AD274" s="34"/>
      <c r="AE274" s="34"/>
      <c r="AF274" s="34"/>
    </row>
    <row r="275" spans="2:32" ht="60" customHeight="1" x14ac:dyDescent="0.25">
      <c r="B275" s="36" t="s">
        <v>1320</v>
      </c>
      <c r="C275" s="33">
        <v>2017</v>
      </c>
      <c r="D275" s="33">
        <f t="shared" si="4"/>
        <v>2022</v>
      </c>
      <c r="E275" s="36" t="s">
        <v>126</v>
      </c>
      <c r="F275" s="36" t="s">
        <v>1321</v>
      </c>
      <c r="G275" s="36" t="s">
        <v>1322</v>
      </c>
      <c r="H275" s="36" t="s">
        <v>129</v>
      </c>
      <c r="I275" s="36" t="s">
        <v>337</v>
      </c>
      <c r="J275" s="36" t="s">
        <v>338</v>
      </c>
      <c r="K275" s="36" t="s">
        <v>118</v>
      </c>
      <c r="L275" s="36" t="s">
        <v>159</v>
      </c>
      <c r="M275" s="37">
        <v>0</v>
      </c>
      <c r="N275" s="37">
        <v>6559570000</v>
      </c>
      <c r="O275" s="37">
        <v>6559570000</v>
      </c>
      <c r="P275" s="36" t="s">
        <v>122</v>
      </c>
      <c r="Q275" s="37">
        <v>10000000</v>
      </c>
      <c r="R275" s="36" t="s">
        <v>1325</v>
      </c>
      <c r="S275" s="38">
        <v>43076</v>
      </c>
      <c r="T275" s="38">
        <v>42894</v>
      </c>
      <c r="U275" s="38">
        <v>44712</v>
      </c>
      <c r="V275" s="27" t="s">
        <v>9415</v>
      </c>
      <c r="W275" s="37"/>
      <c r="X275" s="37"/>
      <c r="Y275" s="37" t="s">
        <v>242</v>
      </c>
      <c r="Z275" s="37"/>
      <c r="AA275" s="37"/>
      <c r="AB275" s="37"/>
      <c r="AC275" s="37"/>
      <c r="AD275" s="37"/>
      <c r="AE275" s="37"/>
      <c r="AF275" s="37"/>
    </row>
    <row r="276" spans="2:32" ht="60" customHeight="1" x14ac:dyDescent="0.25">
      <c r="B276" s="31" t="s">
        <v>1326</v>
      </c>
      <c r="C276" s="32">
        <v>2017</v>
      </c>
      <c r="D276" s="33">
        <f t="shared" si="4"/>
        <v>2018</v>
      </c>
      <c r="E276" s="31" t="s">
        <v>126</v>
      </c>
      <c r="F276" s="31" t="s">
        <v>1327</v>
      </c>
      <c r="G276" s="31" t="s">
        <v>1328</v>
      </c>
      <c r="H276" s="31" t="s">
        <v>181</v>
      </c>
      <c r="I276" s="31" t="s">
        <v>178</v>
      </c>
      <c r="J276" s="31" t="s">
        <v>179</v>
      </c>
      <c r="K276" s="31" t="s">
        <v>163</v>
      </c>
      <c r="L276" s="31" t="s">
        <v>127</v>
      </c>
      <c r="M276" s="34">
        <v>22236942300</v>
      </c>
      <c r="N276" s="34">
        <v>0</v>
      </c>
      <c r="O276" s="34">
        <v>22236942300</v>
      </c>
      <c r="P276" s="31" t="s">
        <v>122</v>
      </c>
      <c r="Q276" s="34">
        <v>33900000</v>
      </c>
      <c r="R276" s="31" t="s">
        <v>150</v>
      </c>
      <c r="S276" s="35">
        <v>43083</v>
      </c>
      <c r="T276" s="35">
        <v>43081</v>
      </c>
      <c r="U276" s="35">
        <v>43465</v>
      </c>
      <c r="V276" s="27" t="s">
        <v>9308</v>
      </c>
      <c r="W276" s="34"/>
      <c r="X276" s="34"/>
      <c r="Y276" s="34" t="s">
        <v>125</v>
      </c>
      <c r="Z276" s="34"/>
      <c r="AA276" s="34"/>
      <c r="AB276" s="34"/>
      <c r="AC276" s="34"/>
      <c r="AD276" s="34"/>
      <c r="AE276" s="34"/>
      <c r="AF276" s="34"/>
    </row>
    <row r="277" spans="2:32" ht="60" customHeight="1" x14ac:dyDescent="0.25">
      <c r="B277" s="36" t="s">
        <v>1329</v>
      </c>
      <c r="C277" s="42">
        <v>2017</v>
      </c>
      <c r="D277" s="42">
        <f t="shared" si="4"/>
        <v>2022</v>
      </c>
      <c r="E277" s="36" t="s">
        <v>126</v>
      </c>
      <c r="F277" s="36" t="s">
        <v>1330</v>
      </c>
      <c r="G277" s="36" t="s">
        <v>1331</v>
      </c>
      <c r="H277" s="36" t="s">
        <v>129</v>
      </c>
      <c r="I277" s="36" t="s">
        <v>738</v>
      </c>
      <c r="J277" s="36" t="s">
        <v>739</v>
      </c>
      <c r="K277" s="36" t="s">
        <v>142</v>
      </c>
      <c r="L277" s="36" t="s">
        <v>127</v>
      </c>
      <c r="M277" s="37">
        <v>29505766907</v>
      </c>
      <c r="N277" s="37">
        <v>0</v>
      </c>
      <c r="O277" s="37">
        <v>29505766907</v>
      </c>
      <c r="P277" s="36" t="s">
        <v>136</v>
      </c>
      <c r="Q277" s="37">
        <v>29505766907</v>
      </c>
      <c r="R277" s="36" t="s">
        <v>443</v>
      </c>
      <c r="S277" s="38">
        <v>42873</v>
      </c>
      <c r="T277" s="38">
        <v>42808</v>
      </c>
      <c r="U277" s="38">
        <v>44926</v>
      </c>
      <c r="V277" s="27" t="s">
        <v>9384</v>
      </c>
      <c r="W277" s="36" t="s">
        <v>1043</v>
      </c>
      <c r="X277" s="36" t="s">
        <v>558</v>
      </c>
      <c r="Y277" s="36" t="s">
        <v>442</v>
      </c>
      <c r="Z277" s="36" t="s">
        <v>968</v>
      </c>
      <c r="AA277" s="36" t="s">
        <v>862</v>
      </c>
      <c r="AB277" s="36" t="s">
        <v>861</v>
      </c>
      <c r="AC277" s="36" t="s">
        <v>971</v>
      </c>
      <c r="AD277" s="37">
        <v>9.1</v>
      </c>
      <c r="AE277" s="36" t="s">
        <v>864</v>
      </c>
      <c r="AF277" s="36" t="s">
        <v>860</v>
      </c>
    </row>
    <row r="278" spans="2:32" ht="60" customHeight="1" x14ac:dyDescent="0.25">
      <c r="B278" s="31" t="s">
        <v>1332</v>
      </c>
      <c r="C278" s="41">
        <v>2017</v>
      </c>
      <c r="D278" s="42">
        <f t="shared" si="4"/>
        <v>2021</v>
      </c>
      <c r="E278" s="31" t="s">
        <v>1335</v>
      </c>
      <c r="F278" s="31" t="s">
        <v>1333</v>
      </c>
      <c r="G278" s="31" t="s">
        <v>1334</v>
      </c>
      <c r="H278" s="31" t="s">
        <v>129</v>
      </c>
      <c r="I278" s="31" t="s">
        <v>574</v>
      </c>
      <c r="J278" s="31" t="s">
        <v>575</v>
      </c>
      <c r="K278" s="31" t="s">
        <v>163</v>
      </c>
      <c r="L278" s="31" t="s">
        <v>159</v>
      </c>
      <c r="M278" s="34">
        <v>0</v>
      </c>
      <c r="N278" s="34">
        <v>22512444240</v>
      </c>
      <c r="O278" s="34">
        <v>22512444240</v>
      </c>
      <c r="P278" s="31" t="s">
        <v>122</v>
      </c>
      <c r="Q278" s="34">
        <v>34320000</v>
      </c>
      <c r="R278" s="31" t="s">
        <v>1252</v>
      </c>
      <c r="S278" s="35">
        <v>42948</v>
      </c>
      <c r="T278" s="35">
        <v>42866</v>
      </c>
      <c r="U278" s="35">
        <v>44561</v>
      </c>
      <c r="V278" s="27" t="s">
        <v>9308</v>
      </c>
      <c r="W278" s="31" t="s">
        <v>557</v>
      </c>
      <c r="X278" s="31" t="s">
        <v>880</v>
      </c>
      <c r="Y278" s="31" t="s">
        <v>125</v>
      </c>
      <c r="Z278" s="31" t="s">
        <v>1033</v>
      </c>
      <c r="AA278" s="31" t="s">
        <v>1046</v>
      </c>
      <c r="AB278" s="31" t="s">
        <v>861</v>
      </c>
      <c r="AC278" s="31" t="s">
        <v>1036</v>
      </c>
      <c r="AD278" s="34">
        <v>16.600000000000001</v>
      </c>
      <c r="AE278" s="31" t="s">
        <v>902</v>
      </c>
      <c r="AF278" s="31" t="s">
        <v>860</v>
      </c>
    </row>
    <row r="279" spans="2:32" ht="60" customHeight="1" x14ac:dyDescent="0.25">
      <c r="B279" s="36" t="s">
        <v>1336</v>
      </c>
      <c r="C279" s="42">
        <v>2017</v>
      </c>
      <c r="D279" s="42">
        <f t="shared" si="4"/>
        <v>2022</v>
      </c>
      <c r="E279" s="36" t="s">
        <v>126</v>
      </c>
      <c r="F279" s="36" t="s">
        <v>1337</v>
      </c>
      <c r="G279" s="36" t="s">
        <v>1338</v>
      </c>
      <c r="H279" s="36" t="s">
        <v>129</v>
      </c>
      <c r="I279" s="36" t="s">
        <v>574</v>
      </c>
      <c r="J279" s="36" t="s">
        <v>575</v>
      </c>
      <c r="K279" s="36" t="s">
        <v>205</v>
      </c>
      <c r="L279" s="36" t="s">
        <v>159</v>
      </c>
      <c r="M279" s="37">
        <v>0</v>
      </c>
      <c r="N279" s="37">
        <v>19678710000</v>
      </c>
      <c r="O279" s="37">
        <v>19678710000</v>
      </c>
      <c r="P279" s="36" t="s">
        <v>122</v>
      </c>
      <c r="Q279" s="37">
        <v>30000000</v>
      </c>
      <c r="R279" s="36" t="s">
        <v>159</v>
      </c>
      <c r="S279" s="38">
        <v>42894</v>
      </c>
      <c r="T279" s="38">
        <v>42866</v>
      </c>
      <c r="U279" s="38">
        <v>44926</v>
      </c>
      <c r="V279" s="27" t="s">
        <v>9392</v>
      </c>
      <c r="W279" s="36" t="s">
        <v>557</v>
      </c>
      <c r="X279" s="36" t="s">
        <v>880</v>
      </c>
      <c r="Y279" s="36" t="s">
        <v>125</v>
      </c>
      <c r="Z279" s="36" t="s">
        <v>1052</v>
      </c>
      <c r="AA279" s="36" t="s">
        <v>1012</v>
      </c>
      <c r="AB279" s="36" t="s">
        <v>560</v>
      </c>
      <c r="AC279" s="36" t="s">
        <v>939</v>
      </c>
      <c r="AD279" s="37">
        <v>11.3</v>
      </c>
      <c r="AE279" s="36" t="s">
        <v>563</v>
      </c>
      <c r="AF279" s="36" t="s">
        <v>860</v>
      </c>
    </row>
    <row r="280" spans="2:32" ht="60" customHeight="1" x14ac:dyDescent="0.25">
      <c r="B280" s="31" t="s">
        <v>1339</v>
      </c>
      <c r="C280" s="41">
        <v>2017</v>
      </c>
      <c r="D280" s="42">
        <f t="shared" si="4"/>
        <v>2022</v>
      </c>
      <c r="E280" s="31" t="s">
        <v>126</v>
      </c>
      <c r="F280" s="31" t="s">
        <v>1340</v>
      </c>
      <c r="G280" s="31" t="s">
        <v>1341</v>
      </c>
      <c r="H280" s="31" t="s">
        <v>151</v>
      </c>
      <c r="I280" s="31" t="s">
        <v>277</v>
      </c>
      <c r="J280" s="31" t="s">
        <v>278</v>
      </c>
      <c r="K280" s="31" t="s">
        <v>205</v>
      </c>
      <c r="L280" s="31" t="s">
        <v>159</v>
      </c>
      <c r="M280" s="34">
        <v>0</v>
      </c>
      <c r="N280" s="34">
        <v>373178935</v>
      </c>
      <c r="O280" s="34">
        <v>373178935</v>
      </c>
      <c r="P280" s="31" t="s">
        <v>276</v>
      </c>
      <c r="Q280" s="34">
        <v>466596</v>
      </c>
      <c r="R280" s="31" t="s">
        <v>159</v>
      </c>
      <c r="S280" s="35">
        <v>43033</v>
      </c>
      <c r="T280" s="35">
        <v>42818</v>
      </c>
      <c r="U280" s="35">
        <v>44926</v>
      </c>
      <c r="V280" s="27" t="s">
        <v>9308</v>
      </c>
      <c r="W280" s="31" t="s">
        <v>557</v>
      </c>
      <c r="X280" s="31" t="s">
        <v>880</v>
      </c>
      <c r="Y280" s="31" t="s">
        <v>125</v>
      </c>
      <c r="Z280" s="31" t="s">
        <v>1052</v>
      </c>
      <c r="AA280" s="31" t="s">
        <v>1012</v>
      </c>
      <c r="AB280" s="31" t="s">
        <v>560</v>
      </c>
      <c r="AC280" s="31" t="s">
        <v>939</v>
      </c>
      <c r="AD280" s="34">
        <v>11.3</v>
      </c>
      <c r="AE280" s="31" t="s">
        <v>563</v>
      </c>
      <c r="AF280" s="31" t="s">
        <v>860</v>
      </c>
    </row>
    <row r="281" spans="2:32" ht="60" customHeight="1" x14ac:dyDescent="0.25">
      <c r="B281" s="36" t="s">
        <v>1342</v>
      </c>
      <c r="C281" s="42">
        <v>2017</v>
      </c>
      <c r="D281" s="42">
        <f t="shared" si="4"/>
        <v>2021</v>
      </c>
      <c r="E281" s="36" t="s">
        <v>126</v>
      </c>
      <c r="F281" s="36" t="s">
        <v>1343</v>
      </c>
      <c r="G281" s="36" t="s">
        <v>1346</v>
      </c>
      <c r="H281" s="36" t="s">
        <v>172</v>
      </c>
      <c r="I281" s="36" t="s">
        <v>358</v>
      </c>
      <c r="J281" s="36" t="s">
        <v>358</v>
      </c>
      <c r="K281" s="36" t="s">
        <v>1344</v>
      </c>
      <c r="L281" s="36" t="s">
        <v>127</v>
      </c>
      <c r="M281" s="37">
        <v>24756000000</v>
      </c>
      <c r="N281" s="37">
        <v>0</v>
      </c>
      <c r="O281" s="37">
        <v>24756000000</v>
      </c>
      <c r="P281" s="36" t="s">
        <v>357</v>
      </c>
      <c r="Q281" s="37">
        <v>300000000</v>
      </c>
      <c r="R281" s="36" t="s">
        <v>127</v>
      </c>
      <c r="S281" s="38">
        <v>42835</v>
      </c>
      <c r="T281" s="38">
        <v>42823</v>
      </c>
      <c r="U281" s="38">
        <v>44561</v>
      </c>
      <c r="V281" s="27" t="s">
        <v>9416</v>
      </c>
      <c r="W281" s="36" t="s">
        <v>557</v>
      </c>
      <c r="X281" s="36" t="s">
        <v>558</v>
      </c>
      <c r="Y281" s="36" t="s">
        <v>242</v>
      </c>
      <c r="Z281" s="36" t="s">
        <v>1345</v>
      </c>
      <c r="AA281" s="36" t="s">
        <v>965</v>
      </c>
      <c r="AB281" s="36" t="s">
        <v>964</v>
      </c>
      <c r="AC281" s="36" t="s">
        <v>1036</v>
      </c>
      <c r="AD281" s="37">
        <v>16.600000000000001</v>
      </c>
      <c r="AE281" s="36" t="s">
        <v>902</v>
      </c>
      <c r="AF281" s="36" t="s">
        <v>860</v>
      </c>
    </row>
    <row r="282" spans="2:32" ht="60" customHeight="1" x14ac:dyDescent="0.25">
      <c r="B282" s="31" t="s">
        <v>1349</v>
      </c>
      <c r="C282" s="41">
        <v>2017</v>
      </c>
      <c r="D282" s="42">
        <f t="shared" si="4"/>
        <v>2018</v>
      </c>
      <c r="E282" s="31" t="s">
        <v>126</v>
      </c>
      <c r="F282" s="31" t="s">
        <v>1350</v>
      </c>
      <c r="G282" s="31" t="s">
        <v>1351</v>
      </c>
      <c r="H282" s="31" t="s">
        <v>172</v>
      </c>
      <c r="I282" s="31" t="s">
        <v>358</v>
      </c>
      <c r="J282" s="31" t="s">
        <v>358</v>
      </c>
      <c r="K282" s="31" t="s">
        <v>163</v>
      </c>
      <c r="L282" s="31" t="s">
        <v>159</v>
      </c>
      <c r="M282" s="34">
        <v>0</v>
      </c>
      <c r="N282" s="34">
        <v>1382210000</v>
      </c>
      <c r="O282" s="34">
        <v>1382210000</v>
      </c>
      <c r="P282" s="31" t="s">
        <v>357</v>
      </c>
      <c r="Q282" s="34">
        <v>16750000</v>
      </c>
      <c r="R282" s="31" t="s">
        <v>159</v>
      </c>
      <c r="S282" s="35">
        <v>42823</v>
      </c>
      <c r="T282" s="35">
        <v>42744</v>
      </c>
      <c r="U282" s="35">
        <v>43465</v>
      </c>
      <c r="V282" s="27" t="s">
        <v>9307</v>
      </c>
      <c r="W282" s="31" t="s">
        <v>557</v>
      </c>
      <c r="X282" s="31" t="s">
        <v>880</v>
      </c>
      <c r="Y282" s="31" t="s">
        <v>242</v>
      </c>
      <c r="Z282" s="31" t="s">
        <v>1087</v>
      </c>
      <c r="AA282" s="31" t="s">
        <v>1035</v>
      </c>
      <c r="AB282" s="31" t="s">
        <v>964</v>
      </c>
      <c r="AC282" s="31" t="s">
        <v>1036</v>
      </c>
      <c r="AD282" s="34">
        <v>16.600000000000001</v>
      </c>
      <c r="AE282" s="31" t="s">
        <v>902</v>
      </c>
      <c r="AF282" s="31" t="s">
        <v>860</v>
      </c>
    </row>
    <row r="283" spans="2:32" ht="60" customHeight="1" x14ac:dyDescent="0.25">
      <c r="B283" s="36" t="s">
        <v>1352</v>
      </c>
      <c r="C283" s="33">
        <v>2017</v>
      </c>
      <c r="D283" s="33">
        <f t="shared" si="4"/>
        <v>2019</v>
      </c>
      <c r="E283" s="36" t="s">
        <v>126</v>
      </c>
      <c r="F283" s="36" t="s">
        <v>1353</v>
      </c>
      <c r="G283" s="36" t="s">
        <v>1354</v>
      </c>
      <c r="H283" s="36" t="s">
        <v>172</v>
      </c>
      <c r="I283" s="36" t="s">
        <v>1355</v>
      </c>
      <c r="J283" s="36" t="s">
        <v>1356</v>
      </c>
      <c r="K283" s="36" t="s">
        <v>216</v>
      </c>
      <c r="L283" s="36" t="s">
        <v>127</v>
      </c>
      <c r="M283" s="37">
        <v>83306539000</v>
      </c>
      <c r="N283" s="37">
        <v>0</v>
      </c>
      <c r="O283" s="37">
        <v>83306539000</v>
      </c>
      <c r="P283" s="36" t="s">
        <v>122</v>
      </c>
      <c r="Q283" s="37">
        <v>127000000</v>
      </c>
      <c r="R283" s="36" t="s">
        <v>443</v>
      </c>
      <c r="S283" s="38">
        <v>43090</v>
      </c>
      <c r="T283" s="38">
        <v>42866</v>
      </c>
      <c r="U283" s="38">
        <v>43830</v>
      </c>
      <c r="V283" s="27" t="s">
        <v>9308</v>
      </c>
      <c r="W283" s="36" t="s">
        <v>1043</v>
      </c>
      <c r="X283" s="36" t="s">
        <v>558</v>
      </c>
      <c r="Y283" s="36" t="s">
        <v>442</v>
      </c>
      <c r="Z283" s="36" t="s">
        <v>1064</v>
      </c>
      <c r="AA283" s="36" t="s">
        <v>561</v>
      </c>
      <c r="AB283" s="36" t="s">
        <v>560</v>
      </c>
      <c r="AC283" s="36" t="s">
        <v>989</v>
      </c>
      <c r="AD283" s="37">
        <v>3.8</v>
      </c>
      <c r="AE283" s="36" t="s">
        <v>902</v>
      </c>
      <c r="AF283" s="37"/>
    </row>
    <row r="284" spans="2:32" ht="60" customHeight="1" x14ac:dyDescent="0.25">
      <c r="B284" s="31" t="s">
        <v>1357</v>
      </c>
      <c r="C284" s="41">
        <v>2017</v>
      </c>
      <c r="D284" s="42">
        <f t="shared" si="4"/>
        <v>2023</v>
      </c>
      <c r="E284" s="31" t="s">
        <v>126</v>
      </c>
      <c r="F284" s="31" t="s">
        <v>1358</v>
      </c>
      <c r="G284" s="31" t="s">
        <v>1359</v>
      </c>
      <c r="H284" s="31" t="s">
        <v>151</v>
      </c>
      <c r="I284" s="31" t="s">
        <v>297</v>
      </c>
      <c r="J284" s="43" t="s">
        <v>298</v>
      </c>
      <c r="K284" s="31" t="s">
        <v>315</v>
      </c>
      <c r="L284" s="31" t="s">
        <v>127</v>
      </c>
      <c r="M284" s="34">
        <v>22000000000</v>
      </c>
      <c r="N284" s="34">
        <v>0</v>
      </c>
      <c r="O284" s="34">
        <v>22000000000</v>
      </c>
      <c r="P284" s="31" t="s">
        <v>624</v>
      </c>
      <c r="Q284" s="34">
        <v>40000000</v>
      </c>
      <c r="R284" s="31" t="s">
        <v>150</v>
      </c>
      <c r="S284" s="35">
        <v>42978</v>
      </c>
      <c r="T284" s="35">
        <v>42823</v>
      </c>
      <c r="U284" s="35">
        <v>45291</v>
      </c>
      <c r="V284" s="27" t="s">
        <v>9417</v>
      </c>
      <c r="W284" s="31" t="s">
        <v>557</v>
      </c>
      <c r="X284" s="31" t="s">
        <v>558</v>
      </c>
      <c r="Y284" s="43" t="s">
        <v>242</v>
      </c>
      <c r="Z284" s="31" t="s">
        <v>998</v>
      </c>
      <c r="AA284" s="31" t="s">
        <v>900</v>
      </c>
      <c r="AB284" s="31" t="s">
        <v>861</v>
      </c>
      <c r="AC284" s="31" t="s">
        <v>901</v>
      </c>
      <c r="AD284" s="34">
        <v>4.0999999999999996</v>
      </c>
      <c r="AE284" s="31" t="s">
        <v>902</v>
      </c>
      <c r="AF284" s="31" t="s">
        <v>860</v>
      </c>
    </row>
    <row r="285" spans="2:32" ht="60" customHeight="1" x14ac:dyDescent="0.25">
      <c r="B285" s="36" t="s">
        <v>1362</v>
      </c>
      <c r="C285" s="42">
        <v>2017</v>
      </c>
      <c r="D285" s="42">
        <f t="shared" si="4"/>
        <v>2022</v>
      </c>
      <c r="E285" s="36" t="s">
        <v>126</v>
      </c>
      <c r="F285" s="36" t="s">
        <v>1363</v>
      </c>
      <c r="G285" s="36" t="s">
        <v>1364</v>
      </c>
      <c r="H285" s="36" t="s">
        <v>129</v>
      </c>
      <c r="I285" s="36" t="s">
        <v>484</v>
      </c>
      <c r="J285" s="36" t="s">
        <v>484</v>
      </c>
      <c r="K285" s="36" t="s">
        <v>205</v>
      </c>
      <c r="L285" s="36" t="s">
        <v>127</v>
      </c>
      <c r="M285" s="37">
        <v>39357420000</v>
      </c>
      <c r="N285" s="37">
        <v>0</v>
      </c>
      <c r="O285" s="37">
        <v>39357420000</v>
      </c>
      <c r="P285" s="36" t="s">
        <v>122</v>
      </c>
      <c r="Q285" s="37">
        <v>60000000</v>
      </c>
      <c r="R285" s="36" t="s">
        <v>127</v>
      </c>
      <c r="S285" s="38">
        <v>42970</v>
      </c>
      <c r="T285" s="38">
        <v>42823</v>
      </c>
      <c r="U285" s="38">
        <v>44926</v>
      </c>
      <c r="V285" s="27" t="s">
        <v>9418</v>
      </c>
      <c r="W285" s="36" t="s">
        <v>557</v>
      </c>
      <c r="X285" s="36" t="s">
        <v>558</v>
      </c>
      <c r="Y285" s="36" t="s">
        <v>242</v>
      </c>
      <c r="Z285" s="36" t="s">
        <v>1258</v>
      </c>
      <c r="AA285" s="36" t="s">
        <v>1012</v>
      </c>
      <c r="AB285" s="36" t="s">
        <v>560</v>
      </c>
      <c r="AC285" s="36" t="s">
        <v>939</v>
      </c>
      <c r="AD285" s="37">
        <v>11.3</v>
      </c>
      <c r="AE285" s="36" t="s">
        <v>563</v>
      </c>
      <c r="AF285" s="36" t="s">
        <v>860</v>
      </c>
    </row>
    <row r="286" spans="2:32" ht="60" customHeight="1" x14ac:dyDescent="0.25">
      <c r="B286" s="31" t="s">
        <v>1366</v>
      </c>
      <c r="C286" s="41">
        <v>2017</v>
      </c>
      <c r="D286" s="42">
        <f t="shared" si="4"/>
        <v>2022</v>
      </c>
      <c r="E286" s="31" t="s">
        <v>126</v>
      </c>
      <c r="F286" s="31" t="s">
        <v>1367</v>
      </c>
      <c r="G286" s="31" t="s">
        <v>1368</v>
      </c>
      <c r="H286" s="31" t="s">
        <v>151</v>
      </c>
      <c r="I286" s="31" t="s">
        <v>297</v>
      </c>
      <c r="J286" s="43" t="s">
        <v>298</v>
      </c>
      <c r="K286" s="31" t="s">
        <v>190</v>
      </c>
      <c r="L286" s="31" t="s">
        <v>127</v>
      </c>
      <c r="M286" s="34">
        <v>2750000000</v>
      </c>
      <c r="N286" s="34">
        <v>0</v>
      </c>
      <c r="O286" s="34">
        <v>2750000000</v>
      </c>
      <c r="P286" s="31" t="s">
        <v>624</v>
      </c>
      <c r="Q286" s="34">
        <v>5000000</v>
      </c>
      <c r="R286" s="31" t="s">
        <v>150</v>
      </c>
      <c r="S286" s="35">
        <v>42823</v>
      </c>
      <c r="T286" s="35">
        <v>42751</v>
      </c>
      <c r="U286" s="35">
        <v>44926</v>
      </c>
      <c r="V286" s="27" t="s">
        <v>9419</v>
      </c>
      <c r="W286" s="31" t="s">
        <v>557</v>
      </c>
      <c r="X286" s="31" t="s">
        <v>558</v>
      </c>
      <c r="Y286" s="43" t="s">
        <v>242</v>
      </c>
      <c r="Z286" s="31" t="s">
        <v>856</v>
      </c>
      <c r="AA286" s="31" t="s">
        <v>862</v>
      </c>
      <c r="AB286" s="31" t="s">
        <v>861</v>
      </c>
      <c r="AC286" s="31" t="s">
        <v>863</v>
      </c>
      <c r="AD286" s="34">
        <v>2.2999999999999998</v>
      </c>
      <c r="AE286" s="31" t="s">
        <v>864</v>
      </c>
      <c r="AF286" s="31" t="s">
        <v>860</v>
      </c>
    </row>
    <row r="287" spans="2:32" ht="45" customHeight="1" x14ac:dyDescent="0.25">
      <c r="B287" s="36" t="s">
        <v>1369</v>
      </c>
      <c r="C287" s="42">
        <v>2017</v>
      </c>
      <c r="D287" s="42">
        <f t="shared" si="4"/>
        <v>2020</v>
      </c>
      <c r="E287" s="36" t="s">
        <v>126</v>
      </c>
      <c r="F287" s="36" t="s">
        <v>1370</v>
      </c>
      <c r="G287" s="36" t="s">
        <v>1371</v>
      </c>
      <c r="H287" s="36" t="s">
        <v>129</v>
      </c>
      <c r="I287" s="36" t="s">
        <v>267</v>
      </c>
      <c r="J287" s="36" t="s">
        <v>267</v>
      </c>
      <c r="K287" s="36" t="s">
        <v>190</v>
      </c>
      <c r="L287" s="36" t="s">
        <v>159</v>
      </c>
      <c r="M287" s="37">
        <v>0</v>
      </c>
      <c r="N287" s="37">
        <v>459169900</v>
      </c>
      <c r="O287" s="37">
        <v>459169900</v>
      </c>
      <c r="P287" s="36" t="s">
        <v>122</v>
      </c>
      <c r="Q287" s="37">
        <v>700000</v>
      </c>
      <c r="R287" s="36" t="s">
        <v>159</v>
      </c>
      <c r="S287" s="38">
        <v>42866</v>
      </c>
      <c r="T287" s="38">
        <v>42755</v>
      </c>
      <c r="U287" s="38">
        <v>44196</v>
      </c>
      <c r="V287" s="27" t="s">
        <v>9308</v>
      </c>
      <c r="W287" s="36" t="s">
        <v>557</v>
      </c>
      <c r="X287" s="36" t="s">
        <v>880</v>
      </c>
      <c r="Y287" s="36" t="s">
        <v>242</v>
      </c>
      <c r="Z287" s="36" t="s">
        <v>856</v>
      </c>
      <c r="AA287" s="36" t="s">
        <v>862</v>
      </c>
      <c r="AB287" s="36" t="s">
        <v>861</v>
      </c>
      <c r="AC287" s="36" t="s">
        <v>863</v>
      </c>
      <c r="AD287" s="37">
        <v>2.2999999999999998</v>
      </c>
      <c r="AE287" s="36" t="s">
        <v>864</v>
      </c>
      <c r="AF287" s="36" t="s">
        <v>860</v>
      </c>
    </row>
    <row r="288" spans="2:32" ht="60" customHeight="1" x14ac:dyDescent="0.25">
      <c r="B288" s="31" t="s">
        <v>1372</v>
      </c>
      <c r="C288" s="41">
        <v>2017</v>
      </c>
      <c r="D288" s="42">
        <f t="shared" si="4"/>
        <v>2021</v>
      </c>
      <c r="E288" s="31" t="s">
        <v>317</v>
      </c>
      <c r="F288" s="31" t="s">
        <v>1373</v>
      </c>
      <c r="G288" s="31" t="s">
        <v>1374</v>
      </c>
      <c r="H288" s="31" t="s">
        <v>129</v>
      </c>
      <c r="I288" s="31" t="s">
        <v>822</v>
      </c>
      <c r="J288" s="31" t="s">
        <v>823</v>
      </c>
      <c r="K288" s="31" t="s">
        <v>190</v>
      </c>
      <c r="L288" s="31" t="s">
        <v>159</v>
      </c>
      <c r="M288" s="34">
        <v>0</v>
      </c>
      <c r="N288" s="34">
        <v>661261200</v>
      </c>
      <c r="O288" s="34">
        <v>661261200</v>
      </c>
      <c r="P288" s="31" t="s">
        <v>1110</v>
      </c>
      <c r="Q288" s="34">
        <v>1102102</v>
      </c>
      <c r="R288" s="31" t="s">
        <v>159</v>
      </c>
      <c r="S288" s="35">
        <v>42866</v>
      </c>
      <c r="T288" s="35">
        <v>42788</v>
      </c>
      <c r="U288" s="35">
        <v>44561</v>
      </c>
      <c r="V288" s="27" t="s">
        <v>9308</v>
      </c>
      <c r="W288" s="31" t="s">
        <v>557</v>
      </c>
      <c r="X288" s="31" t="s">
        <v>880</v>
      </c>
      <c r="Y288" s="31" t="s">
        <v>242</v>
      </c>
      <c r="Z288" s="31" t="s">
        <v>1095</v>
      </c>
      <c r="AA288" s="31" t="s">
        <v>862</v>
      </c>
      <c r="AB288" s="31" t="s">
        <v>861</v>
      </c>
      <c r="AC288" s="31" t="s">
        <v>863</v>
      </c>
      <c r="AD288" s="34">
        <v>2.2999999999999998</v>
      </c>
      <c r="AE288" s="31" t="s">
        <v>864</v>
      </c>
      <c r="AF288" s="31" t="s">
        <v>860</v>
      </c>
    </row>
    <row r="289" spans="2:32" ht="60" customHeight="1" x14ac:dyDescent="0.25">
      <c r="B289" s="36" t="s">
        <v>1375</v>
      </c>
      <c r="C289" s="42">
        <v>2017</v>
      </c>
      <c r="D289" s="42">
        <f t="shared" si="4"/>
        <v>2021</v>
      </c>
      <c r="E289" s="36" t="s">
        <v>126</v>
      </c>
      <c r="F289" s="36" t="s">
        <v>1376</v>
      </c>
      <c r="G289" s="36" t="s">
        <v>1377</v>
      </c>
      <c r="H289" s="36" t="s">
        <v>172</v>
      </c>
      <c r="I289" s="36" t="s">
        <v>1020</v>
      </c>
      <c r="J289" s="36" t="s">
        <v>1021</v>
      </c>
      <c r="K289" s="36" t="s">
        <v>216</v>
      </c>
      <c r="L289" s="36" t="s">
        <v>159</v>
      </c>
      <c r="M289" s="37">
        <v>0</v>
      </c>
      <c r="N289" s="37">
        <v>1591564700</v>
      </c>
      <c r="O289" s="37">
        <v>1591564700</v>
      </c>
      <c r="P289" s="36" t="s">
        <v>624</v>
      </c>
      <c r="Q289" s="37">
        <v>2893754</v>
      </c>
      <c r="R289" s="36" t="s">
        <v>159</v>
      </c>
      <c r="S289" s="38">
        <v>42866</v>
      </c>
      <c r="T289" s="38">
        <v>42794</v>
      </c>
      <c r="U289" s="38">
        <v>44469</v>
      </c>
      <c r="V289" s="27" t="s">
        <v>9324</v>
      </c>
      <c r="W289" s="36" t="s">
        <v>557</v>
      </c>
      <c r="X289" s="36" t="s">
        <v>880</v>
      </c>
      <c r="Y289" s="36" t="s">
        <v>242</v>
      </c>
      <c r="Z289" s="36" t="s">
        <v>992</v>
      </c>
      <c r="AA289" s="36" t="s">
        <v>561</v>
      </c>
      <c r="AB289" s="36" t="s">
        <v>560</v>
      </c>
      <c r="AC289" s="36" t="s">
        <v>989</v>
      </c>
      <c r="AD289" s="37">
        <v>3.8</v>
      </c>
      <c r="AE289" s="36" t="s">
        <v>902</v>
      </c>
      <c r="AF289" s="36" t="s">
        <v>860</v>
      </c>
    </row>
    <row r="290" spans="2:32" ht="60" customHeight="1" x14ac:dyDescent="0.25">
      <c r="B290" s="31" t="s">
        <v>1378</v>
      </c>
      <c r="C290" s="41">
        <v>2017</v>
      </c>
      <c r="D290" s="42">
        <f t="shared" si="4"/>
        <v>2022</v>
      </c>
      <c r="E290" s="31" t="s">
        <v>317</v>
      </c>
      <c r="F290" s="31" t="s">
        <v>1024</v>
      </c>
      <c r="G290" s="31" t="s">
        <v>1379</v>
      </c>
      <c r="H290" s="31" t="s">
        <v>172</v>
      </c>
      <c r="I290" s="31" t="s">
        <v>1020</v>
      </c>
      <c r="J290" s="31" t="s">
        <v>1021</v>
      </c>
      <c r="K290" s="31" t="s">
        <v>216</v>
      </c>
      <c r="L290" s="31" t="s">
        <v>159</v>
      </c>
      <c r="M290" s="34">
        <v>0</v>
      </c>
      <c r="N290" s="34">
        <v>971495250</v>
      </c>
      <c r="O290" s="34">
        <v>971495250</v>
      </c>
      <c r="P290" s="31" t="s">
        <v>624</v>
      </c>
      <c r="Q290" s="34">
        <v>1766355</v>
      </c>
      <c r="R290" s="31" t="s">
        <v>159</v>
      </c>
      <c r="S290" s="35">
        <v>42866</v>
      </c>
      <c r="T290" s="35">
        <v>42794</v>
      </c>
      <c r="U290" s="35">
        <v>44834</v>
      </c>
      <c r="V290" s="27" t="s">
        <v>9308</v>
      </c>
      <c r="W290" s="31" t="s">
        <v>557</v>
      </c>
      <c r="X290" s="31" t="s">
        <v>880</v>
      </c>
      <c r="Y290" s="31" t="s">
        <v>242</v>
      </c>
      <c r="Z290" s="31" t="s">
        <v>1025</v>
      </c>
      <c r="AA290" s="31" t="s">
        <v>561</v>
      </c>
      <c r="AB290" s="31" t="s">
        <v>560</v>
      </c>
      <c r="AC290" s="31" t="s">
        <v>989</v>
      </c>
      <c r="AD290" s="34">
        <v>3.8</v>
      </c>
      <c r="AE290" s="31" t="s">
        <v>902</v>
      </c>
      <c r="AF290" s="31" t="s">
        <v>860</v>
      </c>
    </row>
    <row r="291" spans="2:32" ht="60" customHeight="1" x14ac:dyDescent="0.25">
      <c r="B291" s="36" t="s">
        <v>1380</v>
      </c>
      <c r="C291" s="42">
        <v>2017</v>
      </c>
      <c r="D291" s="42">
        <f t="shared" si="4"/>
        <v>2020</v>
      </c>
      <c r="E291" s="36" t="s">
        <v>317</v>
      </c>
      <c r="F291" s="36" t="s">
        <v>1028</v>
      </c>
      <c r="G291" s="36" t="s">
        <v>1381</v>
      </c>
      <c r="H291" s="36" t="s">
        <v>129</v>
      </c>
      <c r="I291" s="36" t="s">
        <v>267</v>
      </c>
      <c r="J291" s="36" t="s">
        <v>267</v>
      </c>
      <c r="K291" s="36" t="s">
        <v>282</v>
      </c>
      <c r="L291" s="36" t="s">
        <v>159</v>
      </c>
      <c r="M291" s="37">
        <v>0</v>
      </c>
      <c r="N291" s="37">
        <v>8855419500</v>
      </c>
      <c r="O291" s="37">
        <v>8855419500</v>
      </c>
      <c r="P291" s="36" t="s">
        <v>122</v>
      </c>
      <c r="Q291" s="37">
        <v>13500000</v>
      </c>
      <c r="R291" s="36" t="s">
        <v>159</v>
      </c>
      <c r="S291" s="38">
        <v>42866</v>
      </c>
      <c r="T291" s="38">
        <v>42795</v>
      </c>
      <c r="U291" s="38">
        <v>44196</v>
      </c>
      <c r="V291" s="27" t="s">
        <v>9308</v>
      </c>
      <c r="W291" s="36" t="s">
        <v>557</v>
      </c>
      <c r="X291" s="36" t="s">
        <v>880</v>
      </c>
      <c r="Y291" s="36" t="s">
        <v>242</v>
      </c>
      <c r="Z291" s="36" t="s">
        <v>1029</v>
      </c>
      <c r="AA291" s="36" t="s">
        <v>965</v>
      </c>
      <c r="AB291" s="36" t="s">
        <v>964</v>
      </c>
      <c r="AC291" s="36" t="s">
        <v>939</v>
      </c>
      <c r="AD291" s="37">
        <v>11.3</v>
      </c>
      <c r="AE291" s="36" t="s">
        <v>902</v>
      </c>
      <c r="AF291" s="36" t="s">
        <v>860</v>
      </c>
    </row>
    <row r="292" spans="2:32" ht="75" customHeight="1" x14ac:dyDescent="0.25">
      <c r="B292" s="31" t="s">
        <v>1382</v>
      </c>
      <c r="C292" s="41">
        <v>2017</v>
      </c>
      <c r="D292" s="42">
        <f t="shared" si="4"/>
        <v>2021</v>
      </c>
      <c r="E292" s="31" t="s">
        <v>126</v>
      </c>
      <c r="F292" s="31" t="s">
        <v>1383</v>
      </c>
      <c r="G292" s="31" t="s">
        <v>1384</v>
      </c>
      <c r="H292" s="31" t="s">
        <v>172</v>
      </c>
      <c r="I292" s="31" t="s">
        <v>1020</v>
      </c>
      <c r="J292" s="31" t="s">
        <v>1021</v>
      </c>
      <c r="K292" s="31" t="s">
        <v>163</v>
      </c>
      <c r="L292" s="31" t="s">
        <v>159</v>
      </c>
      <c r="M292" s="34">
        <v>0</v>
      </c>
      <c r="N292" s="34">
        <v>265514700</v>
      </c>
      <c r="O292" s="34">
        <v>265514700</v>
      </c>
      <c r="P292" s="31" t="s">
        <v>624</v>
      </c>
      <c r="Q292" s="34">
        <v>482754</v>
      </c>
      <c r="R292" s="31" t="s">
        <v>159</v>
      </c>
      <c r="S292" s="35">
        <v>42923</v>
      </c>
      <c r="T292" s="35">
        <v>42866</v>
      </c>
      <c r="U292" s="35">
        <v>44469</v>
      </c>
      <c r="V292" s="27" t="s">
        <v>9308</v>
      </c>
      <c r="W292" s="31" t="s">
        <v>557</v>
      </c>
      <c r="X292" s="31" t="s">
        <v>880</v>
      </c>
      <c r="Y292" s="31" t="s">
        <v>242</v>
      </c>
      <c r="Z292" s="31" t="s">
        <v>962</v>
      </c>
      <c r="AA292" s="31" t="s">
        <v>1046</v>
      </c>
      <c r="AB292" s="31" t="s">
        <v>861</v>
      </c>
      <c r="AC292" s="31" t="s">
        <v>1036</v>
      </c>
      <c r="AD292" s="34">
        <v>16.600000000000001</v>
      </c>
      <c r="AE292" s="31" t="s">
        <v>902</v>
      </c>
      <c r="AF292" s="31" t="s">
        <v>860</v>
      </c>
    </row>
    <row r="293" spans="2:32" ht="60" customHeight="1" x14ac:dyDescent="0.25">
      <c r="B293" s="36" t="s">
        <v>1385</v>
      </c>
      <c r="C293" s="42">
        <v>2017</v>
      </c>
      <c r="D293" s="42">
        <f t="shared" si="4"/>
        <v>2021</v>
      </c>
      <c r="E293" s="36" t="s">
        <v>170</v>
      </c>
      <c r="F293" s="36" t="s">
        <v>1386</v>
      </c>
      <c r="G293" s="36" t="s">
        <v>1387</v>
      </c>
      <c r="H293" s="36" t="s">
        <v>172</v>
      </c>
      <c r="I293" s="36" t="s">
        <v>1020</v>
      </c>
      <c r="J293" s="36" t="s">
        <v>1021</v>
      </c>
      <c r="K293" s="36" t="s">
        <v>216</v>
      </c>
      <c r="L293" s="36" t="s">
        <v>159</v>
      </c>
      <c r="M293" s="37">
        <v>0</v>
      </c>
      <c r="N293" s="37">
        <v>1873303</v>
      </c>
      <c r="O293" s="37">
        <v>1873303</v>
      </c>
      <c r="P293" s="36" t="s">
        <v>136</v>
      </c>
      <c r="Q293" s="37">
        <v>1873303</v>
      </c>
      <c r="R293" s="36" t="s">
        <v>171</v>
      </c>
      <c r="S293" s="38">
        <v>42917</v>
      </c>
      <c r="T293" s="38">
        <v>42866</v>
      </c>
      <c r="U293" s="38">
        <v>44469</v>
      </c>
      <c r="V293" s="27" t="s">
        <v>9308</v>
      </c>
      <c r="W293" s="36" t="s">
        <v>557</v>
      </c>
      <c r="X293" s="36" t="s">
        <v>880</v>
      </c>
      <c r="Y293" s="36" t="s">
        <v>242</v>
      </c>
      <c r="Z293" s="36" t="s">
        <v>1060</v>
      </c>
      <c r="AA293" s="36" t="s">
        <v>561</v>
      </c>
      <c r="AB293" s="36" t="s">
        <v>560</v>
      </c>
      <c r="AC293" s="36" t="s">
        <v>989</v>
      </c>
      <c r="AD293" s="37">
        <v>3.8</v>
      </c>
      <c r="AE293" s="36" t="s">
        <v>902</v>
      </c>
      <c r="AF293" s="36" t="s">
        <v>860</v>
      </c>
    </row>
    <row r="294" spans="2:32" ht="45" customHeight="1" x14ac:dyDescent="0.25">
      <c r="B294" s="31" t="s">
        <v>1388</v>
      </c>
      <c r="C294" s="41">
        <v>2017</v>
      </c>
      <c r="D294" s="42">
        <f t="shared" si="4"/>
        <v>2021</v>
      </c>
      <c r="E294" s="31" t="s">
        <v>126</v>
      </c>
      <c r="F294" s="31" t="s">
        <v>1389</v>
      </c>
      <c r="G294" s="31" t="s">
        <v>1390</v>
      </c>
      <c r="H294" s="31" t="s">
        <v>172</v>
      </c>
      <c r="I294" s="31" t="s">
        <v>1010</v>
      </c>
      <c r="J294" s="31" t="s">
        <v>1011</v>
      </c>
      <c r="K294" s="31" t="s">
        <v>205</v>
      </c>
      <c r="L294" s="31" t="s">
        <v>159</v>
      </c>
      <c r="M294" s="34">
        <v>0</v>
      </c>
      <c r="N294" s="34">
        <v>167750000</v>
      </c>
      <c r="O294" s="34">
        <v>167750000</v>
      </c>
      <c r="P294" s="31" t="s">
        <v>624</v>
      </c>
      <c r="Q294" s="34">
        <v>305000</v>
      </c>
      <c r="R294" s="31" t="s">
        <v>159</v>
      </c>
      <c r="S294" s="35">
        <v>42866</v>
      </c>
      <c r="T294" s="35">
        <v>42806</v>
      </c>
      <c r="U294" s="35">
        <v>44561</v>
      </c>
      <c r="V294" s="27" t="s">
        <v>9308</v>
      </c>
      <c r="W294" s="31" t="s">
        <v>557</v>
      </c>
      <c r="X294" s="31" t="s">
        <v>880</v>
      </c>
      <c r="Y294" s="31" t="s">
        <v>125</v>
      </c>
      <c r="Z294" s="31" t="s">
        <v>1006</v>
      </c>
      <c r="AA294" s="31" t="s">
        <v>1012</v>
      </c>
      <c r="AB294" s="31" t="s">
        <v>560</v>
      </c>
      <c r="AC294" s="31" t="s">
        <v>939</v>
      </c>
      <c r="AD294" s="34">
        <v>11.3</v>
      </c>
      <c r="AE294" s="31" t="s">
        <v>563</v>
      </c>
      <c r="AF294" s="31" t="s">
        <v>860</v>
      </c>
    </row>
    <row r="295" spans="2:32" ht="45" customHeight="1" x14ac:dyDescent="0.25">
      <c r="B295" s="36" t="s">
        <v>1391</v>
      </c>
      <c r="C295" s="42">
        <v>2017</v>
      </c>
      <c r="D295" s="42">
        <f t="shared" si="4"/>
        <v>2018</v>
      </c>
      <c r="E295" s="36" t="s">
        <v>126</v>
      </c>
      <c r="F295" s="36" t="s">
        <v>1392</v>
      </c>
      <c r="G295" s="36" t="s">
        <v>1393</v>
      </c>
      <c r="H295" s="36" t="s">
        <v>172</v>
      </c>
      <c r="I295" s="36" t="s">
        <v>1010</v>
      </c>
      <c r="J295" s="36" t="s">
        <v>1011</v>
      </c>
      <c r="K295" s="36" t="s">
        <v>1039</v>
      </c>
      <c r="L295" s="36" t="s">
        <v>159</v>
      </c>
      <c r="M295" s="37">
        <v>0</v>
      </c>
      <c r="N295" s="37">
        <v>272684500</v>
      </c>
      <c r="O295" s="37">
        <v>272684500</v>
      </c>
      <c r="P295" s="36" t="s">
        <v>624</v>
      </c>
      <c r="Q295" s="37">
        <v>495790</v>
      </c>
      <c r="R295" s="36" t="s">
        <v>159</v>
      </c>
      <c r="S295" s="38">
        <v>42866</v>
      </c>
      <c r="T295" s="38">
        <v>42814</v>
      </c>
      <c r="U295" s="38">
        <v>43465</v>
      </c>
      <c r="V295" s="27" t="s">
        <v>9308</v>
      </c>
      <c r="W295" s="36" t="s">
        <v>557</v>
      </c>
      <c r="X295" s="36" t="s">
        <v>880</v>
      </c>
      <c r="Y295" s="36" t="s">
        <v>125</v>
      </c>
      <c r="Z295" s="36" t="s">
        <v>1040</v>
      </c>
      <c r="AA295" s="36" t="s">
        <v>1046</v>
      </c>
      <c r="AB295" s="36" t="s">
        <v>861</v>
      </c>
      <c r="AC295" s="36" t="s">
        <v>1047</v>
      </c>
      <c r="AD295" s="37">
        <v>17.170000000000002</v>
      </c>
      <c r="AE295" s="36" t="s">
        <v>864</v>
      </c>
      <c r="AF295" s="36" t="s">
        <v>860</v>
      </c>
    </row>
    <row r="296" spans="2:32" ht="90" customHeight="1" x14ac:dyDescent="0.25">
      <c r="B296" s="31" t="s">
        <v>1394</v>
      </c>
      <c r="C296" s="41">
        <v>2017</v>
      </c>
      <c r="D296" s="42">
        <f t="shared" si="4"/>
        <v>2021</v>
      </c>
      <c r="E296" s="31" t="s">
        <v>317</v>
      </c>
      <c r="F296" s="31" t="s">
        <v>1051</v>
      </c>
      <c r="G296" s="31" t="s">
        <v>1395</v>
      </c>
      <c r="H296" s="31" t="s">
        <v>172</v>
      </c>
      <c r="I296" s="31" t="s">
        <v>1010</v>
      </c>
      <c r="J296" s="31" t="s">
        <v>1011</v>
      </c>
      <c r="K296" s="31" t="s">
        <v>205</v>
      </c>
      <c r="L296" s="31" t="s">
        <v>159</v>
      </c>
      <c r="M296" s="34">
        <v>0</v>
      </c>
      <c r="N296" s="34">
        <v>282939800</v>
      </c>
      <c r="O296" s="34">
        <v>282939800</v>
      </c>
      <c r="P296" s="31" t="s">
        <v>624</v>
      </c>
      <c r="Q296" s="34">
        <v>514436</v>
      </c>
      <c r="R296" s="31" t="s">
        <v>159</v>
      </c>
      <c r="S296" s="35">
        <v>42866</v>
      </c>
      <c r="T296" s="35">
        <v>42745</v>
      </c>
      <c r="U296" s="35">
        <v>44561</v>
      </c>
      <c r="V296" s="27" t="s">
        <v>9308</v>
      </c>
      <c r="W296" s="31" t="s">
        <v>557</v>
      </c>
      <c r="X296" s="31" t="s">
        <v>880</v>
      </c>
      <c r="Y296" s="31" t="s">
        <v>125</v>
      </c>
      <c r="Z296" s="31" t="s">
        <v>1052</v>
      </c>
      <c r="AA296" s="31" t="s">
        <v>1012</v>
      </c>
      <c r="AB296" s="31" t="s">
        <v>560</v>
      </c>
      <c r="AC296" s="31" t="s">
        <v>939</v>
      </c>
      <c r="AD296" s="34">
        <v>11.3</v>
      </c>
      <c r="AE296" s="31" t="s">
        <v>563</v>
      </c>
      <c r="AF296" s="31" t="s">
        <v>860</v>
      </c>
    </row>
    <row r="297" spans="2:32" ht="60" customHeight="1" x14ac:dyDescent="0.25">
      <c r="B297" s="36" t="s">
        <v>1396</v>
      </c>
      <c r="C297" s="42">
        <v>2017</v>
      </c>
      <c r="D297" s="42">
        <f t="shared" si="4"/>
        <v>2021</v>
      </c>
      <c r="E297" s="36" t="s">
        <v>126</v>
      </c>
      <c r="F297" s="36" t="s">
        <v>1397</v>
      </c>
      <c r="G297" s="36" t="s">
        <v>1398</v>
      </c>
      <c r="H297" s="36" t="s">
        <v>172</v>
      </c>
      <c r="I297" s="36" t="s">
        <v>1010</v>
      </c>
      <c r="J297" s="36" t="s">
        <v>1011</v>
      </c>
      <c r="K297" s="36" t="s">
        <v>205</v>
      </c>
      <c r="L297" s="36" t="s">
        <v>159</v>
      </c>
      <c r="M297" s="37">
        <v>0</v>
      </c>
      <c r="N297" s="37">
        <v>1640838100</v>
      </c>
      <c r="O297" s="37">
        <v>1640838100</v>
      </c>
      <c r="P297" s="36" t="s">
        <v>624</v>
      </c>
      <c r="Q297" s="37">
        <v>2983342</v>
      </c>
      <c r="R297" s="36" t="s">
        <v>159</v>
      </c>
      <c r="S297" s="38">
        <v>43090</v>
      </c>
      <c r="T297" s="38">
        <v>42866</v>
      </c>
      <c r="U297" s="38">
        <v>44561</v>
      </c>
      <c r="V297" s="27" t="s">
        <v>9420</v>
      </c>
      <c r="W297" s="36" t="s">
        <v>557</v>
      </c>
      <c r="X297" s="36" t="s">
        <v>880</v>
      </c>
      <c r="Y297" s="36" t="s">
        <v>125</v>
      </c>
      <c r="Z297" s="36" t="s">
        <v>1006</v>
      </c>
      <c r="AA297" s="36" t="s">
        <v>1012</v>
      </c>
      <c r="AB297" s="36" t="s">
        <v>560</v>
      </c>
      <c r="AC297" s="36" t="s">
        <v>939</v>
      </c>
      <c r="AD297" s="37">
        <v>11.3</v>
      </c>
      <c r="AE297" s="36" t="s">
        <v>563</v>
      </c>
      <c r="AF297" s="36" t="s">
        <v>860</v>
      </c>
    </row>
    <row r="298" spans="2:32" ht="75" customHeight="1" x14ac:dyDescent="0.25">
      <c r="B298" s="31" t="s">
        <v>1400</v>
      </c>
      <c r="C298" s="41">
        <v>2017</v>
      </c>
      <c r="D298" s="42">
        <f t="shared" si="4"/>
        <v>2021</v>
      </c>
      <c r="E298" s="31" t="s">
        <v>126</v>
      </c>
      <c r="F298" s="31" t="s">
        <v>1059</v>
      </c>
      <c r="G298" s="31" t="s">
        <v>1401</v>
      </c>
      <c r="H298" s="31" t="s">
        <v>172</v>
      </c>
      <c r="I298" s="31" t="s">
        <v>1020</v>
      </c>
      <c r="J298" s="31" t="s">
        <v>1021</v>
      </c>
      <c r="K298" s="31" t="s">
        <v>216</v>
      </c>
      <c r="L298" s="31" t="s">
        <v>159</v>
      </c>
      <c r="M298" s="34">
        <v>0</v>
      </c>
      <c r="N298" s="34">
        <v>107250000</v>
      </c>
      <c r="O298" s="34">
        <v>107250000</v>
      </c>
      <c r="P298" s="31" t="s">
        <v>624</v>
      </c>
      <c r="Q298" s="34">
        <v>195000</v>
      </c>
      <c r="R298" s="31" t="s">
        <v>159</v>
      </c>
      <c r="S298" s="35">
        <v>42866</v>
      </c>
      <c r="T298" s="35">
        <v>42794</v>
      </c>
      <c r="U298" s="35">
        <v>44469</v>
      </c>
      <c r="V298" s="27" t="s">
        <v>9308</v>
      </c>
      <c r="W298" s="31" t="s">
        <v>557</v>
      </c>
      <c r="X298" s="31" t="s">
        <v>880</v>
      </c>
      <c r="Y298" s="31" t="s">
        <v>242</v>
      </c>
      <c r="Z298" s="31" t="s">
        <v>1060</v>
      </c>
      <c r="AA298" s="31" t="s">
        <v>561</v>
      </c>
      <c r="AB298" s="31" t="s">
        <v>560</v>
      </c>
      <c r="AC298" s="31" t="s">
        <v>989</v>
      </c>
      <c r="AD298" s="34">
        <v>3.8</v>
      </c>
      <c r="AE298" s="31" t="s">
        <v>902</v>
      </c>
      <c r="AF298" s="31" t="s">
        <v>860</v>
      </c>
    </row>
    <row r="299" spans="2:32" ht="60" customHeight="1" x14ac:dyDescent="0.25">
      <c r="B299" s="36" t="s">
        <v>1402</v>
      </c>
      <c r="C299" s="42">
        <v>2017</v>
      </c>
      <c r="D299" s="42">
        <f t="shared" si="4"/>
        <v>2021</v>
      </c>
      <c r="E299" s="36" t="s">
        <v>126</v>
      </c>
      <c r="F299" s="36" t="s">
        <v>1063</v>
      </c>
      <c r="G299" s="36" t="s">
        <v>1403</v>
      </c>
      <c r="H299" s="36" t="s">
        <v>172</v>
      </c>
      <c r="I299" s="36" t="s">
        <v>1020</v>
      </c>
      <c r="J299" s="36" t="s">
        <v>1021</v>
      </c>
      <c r="K299" s="36" t="s">
        <v>216</v>
      </c>
      <c r="L299" s="36" t="s">
        <v>159</v>
      </c>
      <c r="M299" s="37">
        <v>0</v>
      </c>
      <c r="N299" s="37">
        <v>577500000</v>
      </c>
      <c r="O299" s="37">
        <v>577500000</v>
      </c>
      <c r="P299" s="36" t="s">
        <v>624</v>
      </c>
      <c r="Q299" s="37">
        <v>1050000</v>
      </c>
      <c r="R299" s="36" t="s">
        <v>159</v>
      </c>
      <c r="S299" s="38">
        <v>42866</v>
      </c>
      <c r="T299" s="38">
        <v>42794</v>
      </c>
      <c r="U299" s="38">
        <v>44469</v>
      </c>
      <c r="V299" s="27" t="s">
        <v>9308</v>
      </c>
      <c r="W299" s="36" t="s">
        <v>557</v>
      </c>
      <c r="X299" s="36" t="s">
        <v>880</v>
      </c>
      <c r="Y299" s="36" t="s">
        <v>242</v>
      </c>
      <c r="Z299" s="36" t="s">
        <v>1064</v>
      </c>
      <c r="AA299" s="36" t="s">
        <v>561</v>
      </c>
      <c r="AB299" s="36" t="s">
        <v>560</v>
      </c>
      <c r="AC299" s="36" t="s">
        <v>989</v>
      </c>
      <c r="AD299" s="37">
        <v>3.8</v>
      </c>
      <c r="AE299" s="36" t="s">
        <v>902</v>
      </c>
      <c r="AF299" s="36" t="s">
        <v>860</v>
      </c>
    </row>
    <row r="300" spans="2:32" ht="45" customHeight="1" x14ac:dyDescent="0.25">
      <c r="B300" s="31" t="s">
        <v>1404</v>
      </c>
      <c r="C300" s="41">
        <v>2017</v>
      </c>
      <c r="D300" s="42">
        <f t="shared" si="4"/>
        <v>2022</v>
      </c>
      <c r="E300" s="31" t="s">
        <v>126</v>
      </c>
      <c r="F300" s="31" t="s">
        <v>1405</v>
      </c>
      <c r="G300" s="31" t="s">
        <v>1407</v>
      </c>
      <c r="H300" s="31" t="s">
        <v>129</v>
      </c>
      <c r="I300" s="31" t="s">
        <v>1128</v>
      </c>
      <c r="J300" s="31" t="s">
        <v>1128</v>
      </c>
      <c r="K300" s="31" t="s">
        <v>190</v>
      </c>
      <c r="L300" s="31" t="s">
        <v>159</v>
      </c>
      <c r="M300" s="34">
        <v>0</v>
      </c>
      <c r="N300" s="34">
        <v>2686282600</v>
      </c>
      <c r="O300" s="34">
        <v>2686282600</v>
      </c>
      <c r="P300" s="31" t="s">
        <v>1127</v>
      </c>
      <c r="Q300" s="34">
        <v>5860000</v>
      </c>
      <c r="R300" s="31" t="s">
        <v>159</v>
      </c>
      <c r="S300" s="35">
        <v>43090</v>
      </c>
      <c r="T300" s="35">
        <v>42866</v>
      </c>
      <c r="U300" s="35">
        <v>44926</v>
      </c>
      <c r="V300" s="27" t="s">
        <v>9308</v>
      </c>
      <c r="W300" s="31" t="s">
        <v>557</v>
      </c>
      <c r="X300" s="31" t="s">
        <v>880</v>
      </c>
      <c r="Y300" s="31" t="s">
        <v>242</v>
      </c>
      <c r="Z300" s="31" t="s">
        <v>1406</v>
      </c>
      <c r="AA300" s="31" t="s">
        <v>862</v>
      </c>
      <c r="AB300" s="31" t="s">
        <v>861</v>
      </c>
      <c r="AC300" s="31" t="s">
        <v>863</v>
      </c>
      <c r="AD300" s="34">
        <v>2.2999999999999998</v>
      </c>
      <c r="AE300" s="31" t="s">
        <v>864</v>
      </c>
      <c r="AF300" s="31" t="s">
        <v>860</v>
      </c>
    </row>
    <row r="301" spans="2:32" ht="60" customHeight="1" x14ac:dyDescent="0.25">
      <c r="B301" s="36" t="s">
        <v>1408</v>
      </c>
      <c r="C301" s="42">
        <v>2017</v>
      </c>
      <c r="D301" s="42">
        <f t="shared" si="4"/>
        <v>2023</v>
      </c>
      <c r="E301" s="36" t="s">
        <v>126</v>
      </c>
      <c r="F301" s="36" t="s">
        <v>1409</v>
      </c>
      <c r="G301" s="36" t="s">
        <v>1411</v>
      </c>
      <c r="H301" s="36" t="s">
        <v>129</v>
      </c>
      <c r="I301" s="36" t="s">
        <v>1128</v>
      </c>
      <c r="J301" s="36" t="s">
        <v>1128</v>
      </c>
      <c r="K301" s="36" t="s">
        <v>245</v>
      </c>
      <c r="L301" s="36" t="s">
        <v>159</v>
      </c>
      <c r="M301" s="37">
        <v>0</v>
      </c>
      <c r="N301" s="37">
        <v>7887300000</v>
      </c>
      <c r="O301" s="37">
        <v>7887300000</v>
      </c>
      <c r="P301" s="36" t="s">
        <v>1127</v>
      </c>
      <c r="Q301" s="37">
        <v>18300000</v>
      </c>
      <c r="R301" s="36" t="s">
        <v>159</v>
      </c>
      <c r="S301" s="38">
        <v>42866</v>
      </c>
      <c r="T301" s="38">
        <v>42826</v>
      </c>
      <c r="U301" s="38">
        <v>45016</v>
      </c>
      <c r="V301" s="27" t="s">
        <v>9308</v>
      </c>
      <c r="W301" s="36" t="s">
        <v>557</v>
      </c>
      <c r="X301" s="36" t="s">
        <v>880</v>
      </c>
      <c r="Y301" s="36" t="s">
        <v>242</v>
      </c>
      <c r="Z301" s="36" t="s">
        <v>1410</v>
      </c>
      <c r="AA301" s="36" t="s">
        <v>862</v>
      </c>
      <c r="AB301" s="36" t="s">
        <v>861</v>
      </c>
      <c r="AC301" s="36" t="s">
        <v>971</v>
      </c>
      <c r="AD301" s="37">
        <v>9.1</v>
      </c>
      <c r="AE301" s="36" t="s">
        <v>864</v>
      </c>
      <c r="AF301" s="36" t="s">
        <v>860</v>
      </c>
    </row>
    <row r="302" spans="2:32" ht="60" customHeight="1" x14ac:dyDescent="0.25">
      <c r="B302" s="31" t="s">
        <v>1412</v>
      </c>
      <c r="C302" s="41">
        <v>2017</v>
      </c>
      <c r="D302" s="42">
        <f t="shared" si="4"/>
        <v>2021</v>
      </c>
      <c r="E302" s="31" t="s">
        <v>170</v>
      </c>
      <c r="F302" s="31" t="s">
        <v>1413</v>
      </c>
      <c r="G302" s="31" t="s">
        <v>1415</v>
      </c>
      <c r="H302" s="31" t="s">
        <v>172</v>
      </c>
      <c r="I302" s="31" t="s">
        <v>1010</v>
      </c>
      <c r="J302" s="31" t="s">
        <v>1011</v>
      </c>
      <c r="K302" s="31" t="s">
        <v>216</v>
      </c>
      <c r="L302" s="31" t="s">
        <v>159</v>
      </c>
      <c r="M302" s="34">
        <v>0</v>
      </c>
      <c r="N302" s="34">
        <v>96678235</v>
      </c>
      <c r="O302" s="34">
        <v>96678235</v>
      </c>
      <c r="P302" s="31" t="s">
        <v>624</v>
      </c>
      <c r="Q302" s="34">
        <v>175778.61</v>
      </c>
      <c r="R302" s="31" t="s">
        <v>159</v>
      </c>
      <c r="S302" s="35">
        <v>43090</v>
      </c>
      <c r="T302" s="35">
        <v>42866</v>
      </c>
      <c r="U302" s="35">
        <v>44561</v>
      </c>
      <c r="V302" s="27" t="s">
        <v>9307</v>
      </c>
      <c r="W302" s="31" t="s">
        <v>557</v>
      </c>
      <c r="X302" s="31" t="s">
        <v>880</v>
      </c>
      <c r="Y302" s="31" t="s">
        <v>125</v>
      </c>
      <c r="Z302" s="31" t="s">
        <v>1414</v>
      </c>
      <c r="AA302" s="31" t="s">
        <v>561</v>
      </c>
      <c r="AB302" s="31" t="s">
        <v>560</v>
      </c>
      <c r="AC302" s="31" t="s">
        <v>989</v>
      </c>
      <c r="AD302" s="34">
        <v>3.8</v>
      </c>
      <c r="AE302" s="31" t="s">
        <v>902</v>
      </c>
      <c r="AF302" s="31" t="s">
        <v>860</v>
      </c>
    </row>
    <row r="303" spans="2:32" ht="60" customHeight="1" x14ac:dyDescent="0.25">
      <c r="B303" s="36" t="s">
        <v>1416</v>
      </c>
      <c r="C303" s="42">
        <v>2017</v>
      </c>
      <c r="D303" s="42">
        <f t="shared" si="4"/>
        <v>2021</v>
      </c>
      <c r="E303" s="36" t="s">
        <v>170</v>
      </c>
      <c r="F303" s="36" t="s">
        <v>1086</v>
      </c>
      <c r="G303" s="36" t="s">
        <v>1417</v>
      </c>
      <c r="H303" s="36" t="s">
        <v>172</v>
      </c>
      <c r="I303" s="36" t="s">
        <v>1010</v>
      </c>
      <c r="J303" s="36" t="s">
        <v>1011</v>
      </c>
      <c r="K303" s="36" t="s">
        <v>163</v>
      </c>
      <c r="L303" s="36" t="s">
        <v>159</v>
      </c>
      <c r="M303" s="37">
        <v>0</v>
      </c>
      <c r="N303" s="37">
        <v>125151950</v>
      </c>
      <c r="O303" s="37">
        <v>125151950</v>
      </c>
      <c r="P303" s="36" t="s">
        <v>624</v>
      </c>
      <c r="Q303" s="37">
        <v>227549</v>
      </c>
      <c r="R303" s="36" t="s">
        <v>159</v>
      </c>
      <c r="S303" s="38">
        <v>42866</v>
      </c>
      <c r="T303" s="38">
        <v>42774</v>
      </c>
      <c r="U303" s="38">
        <v>44561</v>
      </c>
      <c r="V303" s="27" t="s">
        <v>9308</v>
      </c>
      <c r="W303" s="36" t="s">
        <v>557</v>
      </c>
      <c r="X303" s="36" t="s">
        <v>880</v>
      </c>
      <c r="Y303" s="36" t="s">
        <v>125</v>
      </c>
      <c r="Z303" s="36" t="s">
        <v>1087</v>
      </c>
      <c r="AA303" s="36" t="s">
        <v>1046</v>
      </c>
      <c r="AB303" s="36" t="s">
        <v>861</v>
      </c>
      <c r="AC303" s="36" t="s">
        <v>1036</v>
      </c>
      <c r="AD303" s="37">
        <v>16.600000000000001</v>
      </c>
      <c r="AE303" s="36" t="s">
        <v>902</v>
      </c>
      <c r="AF303" s="36" t="s">
        <v>860</v>
      </c>
    </row>
    <row r="304" spans="2:32" ht="60" customHeight="1" x14ac:dyDescent="0.25">
      <c r="B304" s="31" t="s">
        <v>1418</v>
      </c>
      <c r="C304" s="41">
        <v>2017</v>
      </c>
      <c r="D304" s="42">
        <f t="shared" si="4"/>
        <v>2020</v>
      </c>
      <c r="E304" s="31" t="s">
        <v>126</v>
      </c>
      <c r="F304" s="31" t="s">
        <v>1419</v>
      </c>
      <c r="G304" s="31" t="s">
        <v>1420</v>
      </c>
      <c r="H304" s="31" t="s">
        <v>172</v>
      </c>
      <c r="I304" s="31" t="s">
        <v>1020</v>
      </c>
      <c r="J304" s="31" t="s">
        <v>1021</v>
      </c>
      <c r="K304" s="31" t="s">
        <v>216</v>
      </c>
      <c r="L304" s="31" t="s">
        <v>159</v>
      </c>
      <c r="M304" s="34">
        <v>0</v>
      </c>
      <c r="N304" s="34">
        <v>1641750000</v>
      </c>
      <c r="O304" s="34">
        <v>1641750000</v>
      </c>
      <c r="P304" s="31" t="s">
        <v>624</v>
      </c>
      <c r="Q304" s="34">
        <v>2985000</v>
      </c>
      <c r="R304" s="31" t="s">
        <v>159</v>
      </c>
      <c r="S304" s="35">
        <v>42990</v>
      </c>
      <c r="T304" s="35">
        <v>42866</v>
      </c>
      <c r="U304" s="35">
        <v>44104</v>
      </c>
      <c r="V304" s="27" t="s">
        <v>9308</v>
      </c>
      <c r="W304" s="31" t="s">
        <v>557</v>
      </c>
      <c r="X304" s="31" t="s">
        <v>880</v>
      </c>
      <c r="Y304" s="31" t="s">
        <v>242</v>
      </c>
      <c r="Z304" s="31" t="s">
        <v>1060</v>
      </c>
      <c r="AA304" s="31" t="s">
        <v>561</v>
      </c>
      <c r="AB304" s="31" t="s">
        <v>560</v>
      </c>
      <c r="AC304" s="31" t="s">
        <v>989</v>
      </c>
      <c r="AD304" s="34">
        <v>3.8</v>
      </c>
      <c r="AE304" s="31" t="s">
        <v>902</v>
      </c>
      <c r="AF304" s="31" t="s">
        <v>860</v>
      </c>
    </row>
    <row r="305" spans="2:32" ht="60" customHeight="1" x14ac:dyDescent="0.25">
      <c r="B305" s="36" t="s">
        <v>1421</v>
      </c>
      <c r="C305" s="42">
        <v>2017</v>
      </c>
      <c r="D305" s="42">
        <f t="shared" si="4"/>
        <v>2021</v>
      </c>
      <c r="E305" s="36" t="s">
        <v>126</v>
      </c>
      <c r="F305" s="36" t="s">
        <v>1422</v>
      </c>
      <c r="G305" s="36" t="s">
        <v>1423</v>
      </c>
      <c r="H305" s="36" t="s">
        <v>129</v>
      </c>
      <c r="I305" s="36" t="s">
        <v>267</v>
      </c>
      <c r="J305" s="36" t="s">
        <v>267</v>
      </c>
      <c r="K305" s="36" t="s">
        <v>190</v>
      </c>
      <c r="L305" s="36" t="s">
        <v>159</v>
      </c>
      <c r="M305" s="37">
        <v>0</v>
      </c>
      <c r="N305" s="37">
        <v>1980990140</v>
      </c>
      <c r="O305" s="37">
        <v>1980990140</v>
      </c>
      <c r="P305" s="36" t="s">
        <v>122</v>
      </c>
      <c r="Q305" s="37">
        <v>3020000</v>
      </c>
      <c r="R305" s="36" t="s">
        <v>159</v>
      </c>
      <c r="S305" s="38">
        <v>42866</v>
      </c>
      <c r="T305" s="38">
        <v>42744</v>
      </c>
      <c r="U305" s="38">
        <v>44561</v>
      </c>
      <c r="V305" s="27" t="s">
        <v>9414</v>
      </c>
      <c r="W305" s="36" t="s">
        <v>557</v>
      </c>
      <c r="X305" s="36" t="s">
        <v>880</v>
      </c>
      <c r="Y305" s="36" t="s">
        <v>242</v>
      </c>
      <c r="Z305" s="36" t="s">
        <v>974</v>
      </c>
      <c r="AA305" s="36" t="s">
        <v>862</v>
      </c>
      <c r="AB305" s="36" t="s">
        <v>861</v>
      </c>
      <c r="AC305" s="36" t="s">
        <v>863</v>
      </c>
      <c r="AD305" s="37">
        <v>2.2999999999999998</v>
      </c>
      <c r="AE305" s="36" t="s">
        <v>864</v>
      </c>
      <c r="AF305" s="36" t="s">
        <v>860</v>
      </c>
    </row>
    <row r="306" spans="2:32" ht="75" customHeight="1" x14ac:dyDescent="0.25">
      <c r="B306" s="31" t="s">
        <v>1424</v>
      </c>
      <c r="C306" s="41">
        <v>2017</v>
      </c>
      <c r="D306" s="42">
        <f t="shared" si="4"/>
        <v>2021</v>
      </c>
      <c r="E306" s="31" t="s">
        <v>126</v>
      </c>
      <c r="F306" s="31" t="s">
        <v>1425</v>
      </c>
      <c r="G306" s="31" t="s">
        <v>1427</v>
      </c>
      <c r="H306" s="31" t="s">
        <v>172</v>
      </c>
      <c r="I306" s="31" t="s">
        <v>1010</v>
      </c>
      <c r="J306" s="31" t="s">
        <v>1011</v>
      </c>
      <c r="K306" s="31" t="s">
        <v>216</v>
      </c>
      <c r="L306" s="31" t="s">
        <v>159</v>
      </c>
      <c r="M306" s="34">
        <v>0</v>
      </c>
      <c r="N306" s="34">
        <v>93524294</v>
      </c>
      <c r="O306" s="34">
        <v>93524294</v>
      </c>
      <c r="P306" s="31" t="s">
        <v>624</v>
      </c>
      <c r="Q306" s="34">
        <v>170044.17</v>
      </c>
      <c r="R306" s="31" t="s">
        <v>159</v>
      </c>
      <c r="S306" s="35">
        <v>42866</v>
      </c>
      <c r="T306" s="35">
        <v>42774</v>
      </c>
      <c r="U306" s="35">
        <v>44561</v>
      </c>
      <c r="V306" s="27" t="s">
        <v>9308</v>
      </c>
      <c r="W306" s="31" t="s">
        <v>557</v>
      </c>
      <c r="X306" s="31" t="s">
        <v>880</v>
      </c>
      <c r="Y306" s="31" t="s">
        <v>125</v>
      </c>
      <c r="Z306" s="31" t="s">
        <v>1426</v>
      </c>
      <c r="AA306" s="31" t="s">
        <v>561</v>
      </c>
      <c r="AB306" s="31" t="s">
        <v>560</v>
      </c>
      <c r="AC306" s="31" t="s">
        <v>989</v>
      </c>
      <c r="AD306" s="34">
        <v>3.8</v>
      </c>
      <c r="AE306" s="31" t="s">
        <v>902</v>
      </c>
      <c r="AF306" s="31" t="s">
        <v>860</v>
      </c>
    </row>
    <row r="307" spans="2:32" ht="60" customHeight="1" x14ac:dyDescent="0.25">
      <c r="B307" s="36" t="s">
        <v>1428</v>
      </c>
      <c r="C307" s="42">
        <v>2017</v>
      </c>
      <c r="D307" s="42">
        <f t="shared" si="4"/>
        <v>2020</v>
      </c>
      <c r="E307" s="36" t="s">
        <v>126</v>
      </c>
      <c r="F307" s="36" t="s">
        <v>1102</v>
      </c>
      <c r="G307" s="36" t="s">
        <v>1429</v>
      </c>
      <c r="H307" s="36" t="s">
        <v>172</v>
      </c>
      <c r="I307" s="36" t="s">
        <v>1020</v>
      </c>
      <c r="J307" s="36" t="s">
        <v>1021</v>
      </c>
      <c r="K307" s="36" t="s">
        <v>216</v>
      </c>
      <c r="L307" s="36" t="s">
        <v>159</v>
      </c>
      <c r="M307" s="37">
        <v>0</v>
      </c>
      <c r="N307" s="37">
        <v>2200000000</v>
      </c>
      <c r="O307" s="37">
        <v>2200000000</v>
      </c>
      <c r="P307" s="36" t="s">
        <v>624</v>
      </c>
      <c r="Q307" s="37">
        <v>4000000</v>
      </c>
      <c r="R307" s="36" t="s">
        <v>159</v>
      </c>
      <c r="S307" s="38">
        <v>42866</v>
      </c>
      <c r="T307" s="38">
        <v>42794</v>
      </c>
      <c r="U307" s="38">
        <v>44104</v>
      </c>
      <c r="V307" s="27" t="s">
        <v>9395</v>
      </c>
      <c r="W307" s="36" t="s">
        <v>557</v>
      </c>
      <c r="X307" s="36" t="s">
        <v>880</v>
      </c>
      <c r="Y307" s="36" t="s">
        <v>242</v>
      </c>
      <c r="Z307" s="36" t="s">
        <v>1103</v>
      </c>
      <c r="AA307" s="36" t="s">
        <v>561</v>
      </c>
      <c r="AB307" s="36" t="s">
        <v>560</v>
      </c>
      <c r="AC307" s="36" t="s">
        <v>989</v>
      </c>
      <c r="AD307" s="37">
        <v>3.8</v>
      </c>
      <c r="AE307" s="36" t="s">
        <v>902</v>
      </c>
      <c r="AF307" s="36" t="s">
        <v>860</v>
      </c>
    </row>
    <row r="308" spans="2:32" ht="60" customHeight="1" x14ac:dyDescent="0.25">
      <c r="B308" s="31" t="s">
        <v>1430</v>
      </c>
      <c r="C308" s="41">
        <v>2017</v>
      </c>
      <c r="D308" s="42">
        <f t="shared" si="4"/>
        <v>2020</v>
      </c>
      <c r="E308" s="31" t="s">
        <v>126</v>
      </c>
      <c r="F308" s="31" t="s">
        <v>1431</v>
      </c>
      <c r="G308" s="31" t="s">
        <v>1432</v>
      </c>
      <c r="H308" s="31" t="s">
        <v>129</v>
      </c>
      <c r="I308" s="31" t="s">
        <v>267</v>
      </c>
      <c r="J308" s="31" t="s">
        <v>267</v>
      </c>
      <c r="K308" s="31" t="s">
        <v>190</v>
      </c>
      <c r="L308" s="31" t="s">
        <v>159</v>
      </c>
      <c r="M308" s="34">
        <v>0</v>
      </c>
      <c r="N308" s="34">
        <v>1206960880</v>
      </c>
      <c r="O308" s="34">
        <v>1206960880</v>
      </c>
      <c r="P308" s="31" t="s">
        <v>122</v>
      </c>
      <c r="Q308" s="34">
        <v>1840000</v>
      </c>
      <c r="R308" s="31" t="s">
        <v>159</v>
      </c>
      <c r="S308" s="35">
        <v>42866</v>
      </c>
      <c r="T308" s="35">
        <v>42823</v>
      </c>
      <c r="U308" s="35">
        <v>44196</v>
      </c>
      <c r="V308" s="27" t="s">
        <v>9308</v>
      </c>
      <c r="W308" s="31" t="s">
        <v>557</v>
      </c>
      <c r="X308" s="31" t="s">
        <v>880</v>
      </c>
      <c r="Y308" s="31" t="s">
        <v>242</v>
      </c>
      <c r="Z308" s="31" t="s">
        <v>856</v>
      </c>
      <c r="AA308" s="31" t="s">
        <v>862</v>
      </c>
      <c r="AB308" s="31" t="s">
        <v>861</v>
      </c>
      <c r="AC308" s="31" t="s">
        <v>863</v>
      </c>
      <c r="AD308" s="34">
        <v>2.2999999999999998</v>
      </c>
      <c r="AE308" s="31" t="s">
        <v>864</v>
      </c>
      <c r="AF308" s="31" t="s">
        <v>860</v>
      </c>
    </row>
    <row r="309" spans="2:32" ht="60" customHeight="1" x14ac:dyDescent="0.25">
      <c r="B309" s="36" t="s">
        <v>1433</v>
      </c>
      <c r="C309" s="42">
        <v>2017</v>
      </c>
      <c r="D309" s="42">
        <f t="shared" si="4"/>
        <v>2022</v>
      </c>
      <c r="E309" s="36" t="s">
        <v>126</v>
      </c>
      <c r="F309" s="36" t="s">
        <v>1434</v>
      </c>
      <c r="G309" s="36" t="s">
        <v>1435</v>
      </c>
      <c r="H309" s="36" t="s">
        <v>129</v>
      </c>
      <c r="I309" s="36" t="s">
        <v>267</v>
      </c>
      <c r="J309" s="36" t="s">
        <v>267</v>
      </c>
      <c r="K309" s="36" t="s">
        <v>263</v>
      </c>
      <c r="L309" s="36" t="s">
        <v>159</v>
      </c>
      <c r="M309" s="37">
        <v>0</v>
      </c>
      <c r="N309" s="37">
        <v>1653011640</v>
      </c>
      <c r="O309" s="37">
        <v>1653011640</v>
      </c>
      <c r="P309" s="36" t="s">
        <v>122</v>
      </c>
      <c r="Q309" s="37">
        <v>2520000</v>
      </c>
      <c r="R309" s="36" t="s">
        <v>159</v>
      </c>
      <c r="S309" s="38">
        <v>42866</v>
      </c>
      <c r="T309" s="38">
        <v>42823</v>
      </c>
      <c r="U309" s="38">
        <v>44926</v>
      </c>
      <c r="V309" s="27" t="s">
        <v>9382</v>
      </c>
      <c r="W309" s="36" t="s">
        <v>557</v>
      </c>
      <c r="X309" s="36" t="s">
        <v>880</v>
      </c>
      <c r="Y309" s="36" t="s">
        <v>242</v>
      </c>
      <c r="Z309" s="36" t="s">
        <v>555</v>
      </c>
      <c r="AA309" s="36" t="s">
        <v>561</v>
      </c>
      <c r="AB309" s="36" t="s">
        <v>560</v>
      </c>
      <c r="AC309" s="36" t="s">
        <v>562</v>
      </c>
      <c r="AD309" s="37">
        <v>6.1</v>
      </c>
      <c r="AE309" s="36" t="s">
        <v>563</v>
      </c>
      <c r="AF309" s="36" t="s">
        <v>860</v>
      </c>
    </row>
    <row r="310" spans="2:32" ht="60" customHeight="1" x14ac:dyDescent="0.25">
      <c r="B310" s="31" t="s">
        <v>1436</v>
      </c>
      <c r="C310" s="41">
        <v>2017</v>
      </c>
      <c r="D310" s="42">
        <f t="shared" si="4"/>
        <v>2020</v>
      </c>
      <c r="E310" s="31" t="s">
        <v>317</v>
      </c>
      <c r="F310" s="31" t="s">
        <v>1437</v>
      </c>
      <c r="G310" s="31" t="s">
        <v>1438</v>
      </c>
      <c r="H310" s="31" t="s">
        <v>129</v>
      </c>
      <c r="I310" s="31" t="s">
        <v>1439</v>
      </c>
      <c r="J310" s="31" t="s">
        <v>1439</v>
      </c>
      <c r="K310" s="31" t="s">
        <v>216</v>
      </c>
      <c r="L310" s="31" t="s">
        <v>159</v>
      </c>
      <c r="M310" s="34">
        <v>0</v>
      </c>
      <c r="N310" s="34">
        <v>1120000000</v>
      </c>
      <c r="O310" s="34">
        <v>1120000000</v>
      </c>
      <c r="P310" s="31" t="s">
        <v>1110</v>
      </c>
      <c r="Q310" s="34">
        <v>2000000</v>
      </c>
      <c r="R310" s="31" t="s">
        <v>159</v>
      </c>
      <c r="S310" s="35">
        <v>42866</v>
      </c>
      <c r="T310" s="35">
        <v>42831</v>
      </c>
      <c r="U310" s="35">
        <v>44196</v>
      </c>
      <c r="V310" s="27" t="s">
        <v>9308</v>
      </c>
      <c r="W310" s="31" t="s">
        <v>557</v>
      </c>
      <c r="X310" s="31" t="s">
        <v>880</v>
      </c>
      <c r="Y310" s="31" t="s">
        <v>242</v>
      </c>
      <c r="Z310" s="31" t="s">
        <v>1091</v>
      </c>
      <c r="AA310" s="31" t="s">
        <v>561</v>
      </c>
      <c r="AB310" s="31" t="s">
        <v>560</v>
      </c>
      <c r="AC310" s="31" t="s">
        <v>989</v>
      </c>
      <c r="AD310" s="34">
        <v>3.8</v>
      </c>
      <c r="AE310" s="31" t="s">
        <v>902</v>
      </c>
      <c r="AF310" s="31" t="s">
        <v>860</v>
      </c>
    </row>
    <row r="311" spans="2:32" ht="60" customHeight="1" x14ac:dyDescent="0.25">
      <c r="B311" s="36" t="s">
        <v>1440</v>
      </c>
      <c r="C311" s="42">
        <v>2017</v>
      </c>
      <c r="D311" s="42">
        <f t="shared" si="4"/>
        <v>2021</v>
      </c>
      <c r="E311" s="36" t="s">
        <v>317</v>
      </c>
      <c r="F311" s="36" t="s">
        <v>1441</v>
      </c>
      <c r="G311" s="36" t="s">
        <v>1442</v>
      </c>
      <c r="H311" s="36" t="s">
        <v>129</v>
      </c>
      <c r="I311" s="36" t="s">
        <v>1439</v>
      </c>
      <c r="J311" s="36" t="s">
        <v>1439</v>
      </c>
      <c r="K311" s="36" t="s">
        <v>526</v>
      </c>
      <c r="L311" s="36" t="s">
        <v>159</v>
      </c>
      <c r="M311" s="37">
        <v>0</v>
      </c>
      <c r="N311" s="37">
        <v>767469690</v>
      </c>
      <c r="O311" s="37">
        <v>767469690</v>
      </c>
      <c r="P311" s="36" t="s">
        <v>122</v>
      </c>
      <c r="Q311" s="37">
        <v>1170000</v>
      </c>
      <c r="R311" s="36" t="s">
        <v>159</v>
      </c>
      <c r="S311" s="38">
        <v>42866</v>
      </c>
      <c r="T311" s="38">
        <v>42835</v>
      </c>
      <c r="U311" s="38">
        <v>44561</v>
      </c>
      <c r="V311" s="27" t="s">
        <v>9324</v>
      </c>
      <c r="W311" s="36" t="s">
        <v>557</v>
      </c>
      <c r="X311" s="36" t="s">
        <v>880</v>
      </c>
      <c r="Y311" s="36" t="s">
        <v>242</v>
      </c>
      <c r="Z311" s="36" t="s">
        <v>1099</v>
      </c>
      <c r="AA311" s="36" t="s">
        <v>561</v>
      </c>
      <c r="AB311" s="36" t="s">
        <v>560</v>
      </c>
      <c r="AC311" s="36" t="s">
        <v>1022</v>
      </c>
      <c r="AD311" s="37">
        <v>1.3</v>
      </c>
      <c r="AE311" s="36" t="s">
        <v>902</v>
      </c>
      <c r="AF311" s="36" t="s">
        <v>860</v>
      </c>
    </row>
    <row r="312" spans="2:32" ht="60" customHeight="1" x14ac:dyDescent="0.25">
      <c r="B312" s="31" t="s">
        <v>1443</v>
      </c>
      <c r="C312" s="41">
        <v>2017</v>
      </c>
      <c r="D312" s="42">
        <f t="shared" si="4"/>
        <v>2021</v>
      </c>
      <c r="E312" s="31" t="s">
        <v>126</v>
      </c>
      <c r="F312" s="31" t="s">
        <v>1444</v>
      </c>
      <c r="G312" s="31" t="s">
        <v>1445</v>
      </c>
      <c r="H312" s="31" t="s">
        <v>129</v>
      </c>
      <c r="I312" s="31" t="s">
        <v>1439</v>
      </c>
      <c r="J312" s="31" t="s">
        <v>1439</v>
      </c>
      <c r="K312" s="31" t="s">
        <v>190</v>
      </c>
      <c r="L312" s="31" t="s">
        <v>159</v>
      </c>
      <c r="M312" s="34">
        <v>0</v>
      </c>
      <c r="N312" s="34">
        <v>16175900</v>
      </c>
      <c r="O312" s="34">
        <v>16175900</v>
      </c>
      <c r="P312" s="31" t="s">
        <v>122</v>
      </c>
      <c r="Q312" s="34">
        <v>24660</v>
      </c>
      <c r="R312" s="31" t="s">
        <v>159</v>
      </c>
      <c r="S312" s="35">
        <v>42866</v>
      </c>
      <c r="T312" s="35">
        <v>42835</v>
      </c>
      <c r="U312" s="35">
        <v>44561</v>
      </c>
      <c r="V312" s="27" t="s">
        <v>9421</v>
      </c>
      <c r="W312" s="31" t="s">
        <v>557</v>
      </c>
      <c r="X312" s="31" t="s">
        <v>880</v>
      </c>
      <c r="Y312" s="31" t="s">
        <v>242</v>
      </c>
      <c r="Z312" s="31" t="s">
        <v>856</v>
      </c>
      <c r="AA312" s="31" t="s">
        <v>862</v>
      </c>
      <c r="AB312" s="31" t="s">
        <v>861</v>
      </c>
      <c r="AC312" s="31" t="s">
        <v>863</v>
      </c>
      <c r="AD312" s="34">
        <v>2.2999999999999998</v>
      </c>
      <c r="AE312" s="31" t="s">
        <v>864</v>
      </c>
      <c r="AF312" s="31" t="s">
        <v>860</v>
      </c>
    </row>
    <row r="313" spans="2:32" ht="60" customHeight="1" x14ac:dyDescent="0.25">
      <c r="B313" s="36" t="s">
        <v>1447</v>
      </c>
      <c r="C313" s="42">
        <v>2017</v>
      </c>
      <c r="D313" s="42">
        <f t="shared" si="4"/>
        <v>2020</v>
      </c>
      <c r="E313" s="36" t="s">
        <v>170</v>
      </c>
      <c r="F313" s="36" t="s">
        <v>1448</v>
      </c>
      <c r="G313" s="36" t="s">
        <v>1450</v>
      </c>
      <c r="H313" s="36" t="s">
        <v>172</v>
      </c>
      <c r="I313" s="36" t="s">
        <v>1272</v>
      </c>
      <c r="J313" s="36" t="s">
        <v>1272</v>
      </c>
      <c r="K313" s="36" t="s">
        <v>142</v>
      </c>
      <c r="L313" s="36" t="s">
        <v>159</v>
      </c>
      <c r="M313" s="37">
        <v>0</v>
      </c>
      <c r="N313" s="37">
        <v>187000000</v>
      </c>
      <c r="O313" s="37">
        <v>187000000</v>
      </c>
      <c r="P313" s="36" t="s">
        <v>136</v>
      </c>
      <c r="Q313" s="37">
        <v>187000000</v>
      </c>
      <c r="R313" s="36" t="s">
        <v>159</v>
      </c>
      <c r="S313" s="38">
        <v>42925</v>
      </c>
      <c r="T313" s="38">
        <v>42866</v>
      </c>
      <c r="U313" s="38">
        <v>44196</v>
      </c>
      <c r="V313" s="27" t="s">
        <v>9307</v>
      </c>
      <c r="W313" s="36" t="s">
        <v>557</v>
      </c>
      <c r="X313" s="36" t="s">
        <v>880</v>
      </c>
      <c r="Y313" s="36" t="s">
        <v>242</v>
      </c>
      <c r="Z313" s="36" t="s">
        <v>1449</v>
      </c>
      <c r="AA313" s="36" t="s">
        <v>862</v>
      </c>
      <c r="AB313" s="36" t="s">
        <v>861</v>
      </c>
      <c r="AC313" s="36" t="s">
        <v>971</v>
      </c>
      <c r="AD313" s="37">
        <v>9.1</v>
      </c>
      <c r="AE313" s="36" t="s">
        <v>864</v>
      </c>
      <c r="AF313" s="36" t="s">
        <v>860</v>
      </c>
    </row>
    <row r="314" spans="2:32" ht="60" customHeight="1" x14ac:dyDescent="0.25">
      <c r="B314" s="31" t="s">
        <v>1451</v>
      </c>
      <c r="C314" s="41">
        <v>2017</v>
      </c>
      <c r="D314" s="42">
        <f t="shared" si="4"/>
        <v>2023</v>
      </c>
      <c r="E314" s="31" t="s">
        <v>126</v>
      </c>
      <c r="F314" s="31" t="s">
        <v>1452</v>
      </c>
      <c r="G314" s="31" t="s">
        <v>1454</v>
      </c>
      <c r="H314" s="31" t="s">
        <v>129</v>
      </c>
      <c r="I314" s="31" t="s">
        <v>1128</v>
      </c>
      <c r="J314" s="31" t="s">
        <v>1128</v>
      </c>
      <c r="K314" s="31" t="s">
        <v>190</v>
      </c>
      <c r="L314" s="31" t="s">
        <v>159</v>
      </c>
      <c r="M314" s="34">
        <v>0</v>
      </c>
      <c r="N314" s="34">
        <v>1051640000</v>
      </c>
      <c r="O314" s="34">
        <v>1051640000</v>
      </c>
      <c r="P314" s="31" t="s">
        <v>1127</v>
      </c>
      <c r="Q314" s="34">
        <v>2440000</v>
      </c>
      <c r="R314" s="31" t="s">
        <v>159</v>
      </c>
      <c r="S314" s="35">
        <v>42866</v>
      </c>
      <c r="T314" s="35">
        <v>42826</v>
      </c>
      <c r="U314" s="35">
        <v>45016</v>
      </c>
      <c r="V314" s="27" t="s">
        <v>9308</v>
      </c>
      <c r="W314" s="31" t="s">
        <v>557</v>
      </c>
      <c r="X314" s="31" t="s">
        <v>880</v>
      </c>
      <c r="Y314" s="31" t="s">
        <v>242</v>
      </c>
      <c r="Z314" s="31" t="s">
        <v>1453</v>
      </c>
      <c r="AA314" s="31" t="s">
        <v>862</v>
      </c>
      <c r="AB314" s="31" t="s">
        <v>861</v>
      </c>
      <c r="AC314" s="31" t="s">
        <v>863</v>
      </c>
      <c r="AD314" s="34">
        <v>2.2999999999999998</v>
      </c>
      <c r="AE314" s="31" t="s">
        <v>864</v>
      </c>
      <c r="AF314" s="31" t="s">
        <v>860</v>
      </c>
    </row>
    <row r="315" spans="2:32" ht="60" customHeight="1" x14ac:dyDescent="0.25">
      <c r="B315" s="36" t="s">
        <v>1455</v>
      </c>
      <c r="C315" s="42">
        <v>2017</v>
      </c>
      <c r="D315" s="42">
        <f t="shared" si="4"/>
        <v>2022</v>
      </c>
      <c r="E315" s="36" t="s">
        <v>126</v>
      </c>
      <c r="F315" s="36" t="s">
        <v>1456</v>
      </c>
      <c r="G315" s="36" t="s">
        <v>1457</v>
      </c>
      <c r="H315" s="36" t="s">
        <v>129</v>
      </c>
      <c r="I315" s="36" t="s">
        <v>1128</v>
      </c>
      <c r="J315" s="36" t="s">
        <v>1128</v>
      </c>
      <c r="K315" s="36" t="s">
        <v>315</v>
      </c>
      <c r="L315" s="36" t="s">
        <v>159</v>
      </c>
      <c r="M315" s="37">
        <v>0</v>
      </c>
      <c r="N315" s="37">
        <v>3667280000</v>
      </c>
      <c r="O315" s="37">
        <v>3667280000</v>
      </c>
      <c r="P315" s="36" t="s">
        <v>1127</v>
      </c>
      <c r="Q315" s="37">
        <v>8000000</v>
      </c>
      <c r="R315" s="36" t="s">
        <v>159</v>
      </c>
      <c r="S315" s="38">
        <v>42930</v>
      </c>
      <c r="T315" s="38">
        <v>42866</v>
      </c>
      <c r="U315" s="38">
        <v>44926</v>
      </c>
      <c r="V315" s="27" t="s">
        <v>9308</v>
      </c>
      <c r="W315" s="36" t="s">
        <v>557</v>
      </c>
      <c r="X315" s="36" t="s">
        <v>880</v>
      </c>
      <c r="Y315" s="36" t="s">
        <v>242</v>
      </c>
      <c r="Z315" s="36" t="s">
        <v>1191</v>
      </c>
      <c r="AA315" s="36" t="s">
        <v>900</v>
      </c>
      <c r="AB315" s="36" t="s">
        <v>861</v>
      </c>
      <c r="AC315" s="36" t="s">
        <v>901</v>
      </c>
      <c r="AD315" s="37">
        <v>4.0999999999999996</v>
      </c>
      <c r="AE315" s="36" t="s">
        <v>902</v>
      </c>
      <c r="AF315" s="36" t="s">
        <v>860</v>
      </c>
    </row>
    <row r="316" spans="2:32" ht="45" customHeight="1" x14ac:dyDescent="0.25">
      <c r="B316" s="31" t="s">
        <v>1458</v>
      </c>
      <c r="C316" s="41">
        <v>2017</v>
      </c>
      <c r="D316" s="42">
        <f t="shared" si="4"/>
        <v>2022</v>
      </c>
      <c r="E316" s="31" t="s">
        <v>317</v>
      </c>
      <c r="F316" s="31" t="s">
        <v>1459</v>
      </c>
      <c r="G316" s="31" t="s">
        <v>1460</v>
      </c>
      <c r="H316" s="31" t="s">
        <v>129</v>
      </c>
      <c r="I316" s="31" t="s">
        <v>1128</v>
      </c>
      <c r="J316" s="31" t="s">
        <v>1128</v>
      </c>
      <c r="K316" s="31" t="s">
        <v>526</v>
      </c>
      <c r="L316" s="31" t="s">
        <v>159</v>
      </c>
      <c r="M316" s="34">
        <v>0</v>
      </c>
      <c r="N316" s="34">
        <v>1627355500</v>
      </c>
      <c r="O316" s="34">
        <v>1627355500</v>
      </c>
      <c r="P316" s="31" t="s">
        <v>1127</v>
      </c>
      <c r="Q316" s="34">
        <v>3550000</v>
      </c>
      <c r="R316" s="31" t="s">
        <v>159</v>
      </c>
      <c r="S316" s="35">
        <v>42866</v>
      </c>
      <c r="T316" s="35">
        <v>42826</v>
      </c>
      <c r="U316" s="35">
        <v>44926</v>
      </c>
      <c r="V316" s="27" t="s">
        <v>9308</v>
      </c>
      <c r="W316" s="31" t="s">
        <v>557</v>
      </c>
      <c r="X316" s="31" t="s">
        <v>880</v>
      </c>
      <c r="Y316" s="31" t="s">
        <v>242</v>
      </c>
      <c r="Z316" s="31" t="s">
        <v>1095</v>
      </c>
      <c r="AA316" s="31" t="s">
        <v>561</v>
      </c>
      <c r="AB316" s="31" t="s">
        <v>560</v>
      </c>
      <c r="AC316" s="31" t="s">
        <v>1022</v>
      </c>
      <c r="AD316" s="34">
        <v>1.3</v>
      </c>
      <c r="AE316" s="31" t="s">
        <v>902</v>
      </c>
      <c r="AF316" s="31" t="s">
        <v>860</v>
      </c>
    </row>
    <row r="317" spans="2:32" ht="60" customHeight="1" x14ac:dyDescent="0.25">
      <c r="B317" s="36" t="s">
        <v>1461</v>
      </c>
      <c r="C317" s="42">
        <v>2017</v>
      </c>
      <c r="D317" s="42">
        <f t="shared" si="4"/>
        <v>2022</v>
      </c>
      <c r="E317" s="36" t="s">
        <v>317</v>
      </c>
      <c r="F317" s="36" t="s">
        <v>1462</v>
      </c>
      <c r="G317" s="36" t="s">
        <v>1463</v>
      </c>
      <c r="H317" s="36" t="s">
        <v>129</v>
      </c>
      <c r="I317" s="36" t="s">
        <v>1128</v>
      </c>
      <c r="J317" s="36" t="s">
        <v>1128</v>
      </c>
      <c r="K317" s="36" t="s">
        <v>526</v>
      </c>
      <c r="L317" s="36" t="s">
        <v>159</v>
      </c>
      <c r="M317" s="37">
        <v>0</v>
      </c>
      <c r="N317" s="37">
        <v>907651800</v>
      </c>
      <c r="O317" s="37">
        <v>907651800</v>
      </c>
      <c r="P317" s="36" t="s">
        <v>1127</v>
      </c>
      <c r="Q317" s="37">
        <v>1980000</v>
      </c>
      <c r="R317" s="36" t="s">
        <v>159</v>
      </c>
      <c r="S317" s="38">
        <v>42990</v>
      </c>
      <c r="T317" s="38">
        <v>42866</v>
      </c>
      <c r="U317" s="38">
        <v>44926</v>
      </c>
      <c r="V317" s="27" t="s">
        <v>9308</v>
      </c>
      <c r="W317" s="36" t="s">
        <v>557</v>
      </c>
      <c r="X317" s="36" t="s">
        <v>880</v>
      </c>
      <c r="Y317" s="36" t="s">
        <v>242</v>
      </c>
      <c r="Z317" s="36" t="s">
        <v>1095</v>
      </c>
      <c r="AA317" s="36" t="s">
        <v>561</v>
      </c>
      <c r="AB317" s="36" t="s">
        <v>560</v>
      </c>
      <c r="AC317" s="36" t="s">
        <v>1022</v>
      </c>
      <c r="AD317" s="37">
        <v>1.3</v>
      </c>
      <c r="AE317" s="36" t="s">
        <v>902</v>
      </c>
      <c r="AF317" s="36" t="s">
        <v>860</v>
      </c>
    </row>
    <row r="318" spans="2:32" ht="60" customHeight="1" x14ac:dyDescent="0.25">
      <c r="B318" s="31" t="s">
        <v>1464</v>
      </c>
      <c r="C318" s="41">
        <v>2017</v>
      </c>
      <c r="D318" s="42">
        <f t="shared" si="4"/>
        <v>2022</v>
      </c>
      <c r="E318" s="31" t="s">
        <v>126</v>
      </c>
      <c r="F318" s="31" t="s">
        <v>1465</v>
      </c>
      <c r="G318" s="31" t="s">
        <v>1466</v>
      </c>
      <c r="H318" s="31" t="s">
        <v>129</v>
      </c>
      <c r="I318" s="31" t="s">
        <v>1128</v>
      </c>
      <c r="J318" s="31" t="s">
        <v>1128</v>
      </c>
      <c r="K318" s="31" t="s">
        <v>216</v>
      </c>
      <c r="L318" s="31" t="s">
        <v>159</v>
      </c>
      <c r="M318" s="34">
        <v>0</v>
      </c>
      <c r="N318" s="34">
        <v>1104768100</v>
      </c>
      <c r="O318" s="34">
        <v>1104768100</v>
      </c>
      <c r="P318" s="31" t="s">
        <v>1127</v>
      </c>
      <c r="Q318" s="34">
        <v>2410000</v>
      </c>
      <c r="R318" s="31" t="s">
        <v>159</v>
      </c>
      <c r="S318" s="35">
        <v>42866</v>
      </c>
      <c r="T318" s="35">
        <v>42826</v>
      </c>
      <c r="U318" s="35">
        <v>44926</v>
      </c>
      <c r="V318" s="27" t="s">
        <v>9308</v>
      </c>
      <c r="W318" s="31" t="s">
        <v>557</v>
      </c>
      <c r="X318" s="31" t="s">
        <v>880</v>
      </c>
      <c r="Y318" s="31" t="s">
        <v>242</v>
      </c>
      <c r="Z318" s="31" t="s">
        <v>1025</v>
      </c>
      <c r="AA318" s="31" t="s">
        <v>561</v>
      </c>
      <c r="AB318" s="31" t="s">
        <v>560</v>
      </c>
      <c r="AC318" s="31" t="s">
        <v>989</v>
      </c>
      <c r="AD318" s="34">
        <v>3.8</v>
      </c>
      <c r="AE318" s="31" t="s">
        <v>902</v>
      </c>
      <c r="AF318" s="31" t="s">
        <v>860</v>
      </c>
    </row>
    <row r="319" spans="2:32" ht="60" customHeight="1" x14ac:dyDescent="0.25">
      <c r="B319" s="36" t="s">
        <v>1467</v>
      </c>
      <c r="C319" s="42">
        <v>2017</v>
      </c>
      <c r="D319" s="42">
        <f t="shared" si="4"/>
        <v>2023</v>
      </c>
      <c r="E319" s="36" t="s">
        <v>126</v>
      </c>
      <c r="F319" s="36" t="s">
        <v>1468</v>
      </c>
      <c r="G319" s="36" t="s">
        <v>1471</v>
      </c>
      <c r="H319" s="36" t="s">
        <v>129</v>
      </c>
      <c r="I319" s="36" t="s">
        <v>1128</v>
      </c>
      <c r="J319" s="36" t="s">
        <v>1128</v>
      </c>
      <c r="K319" s="36" t="s">
        <v>1469</v>
      </c>
      <c r="L319" s="36" t="s">
        <v>159</v>
      </c>
      <c r="M319" s="37">
        <v>0</v>
      </c>
      <c r="N319" s="37">
        <v>1283548000</v>
      </c>
      <c r="O319" s="37">
        <v>1283548000</v>
      </c>
      <c r="P319" s="36" t="s">
        <v>1127</v>
      </c>
      <c r="Q319" s="37">
        <v>2800000</v>
      </c>
      <c r="R319" s="36" t="s">
        <v>159</v>
      </c>
      <c r="S319" s="38">
        <v>42888</v>
      </c>
      <c r="T319" s="38">
        <v>42866</v>
      </c>
      <c r="U319" s="38">
        <v>45291</v>
      </c>
      <c r="V319" s="27" t="s">
        <v>9308</v>
      </c>
      <c r="W319" s="36" t="s">
        <v>557</v>
      </c>
      <c r="X319" s="36" t="s">
        <v>880</v>
      </c>
      <c r="Y319" s="36" t="s">
        <v>242</v>
      </c>
      <c r="Z319" s="36" t="s">
        <v>1470</v>
      </c>
      <c r="AA319" s="36" t="s">
        <v>561</v>
      </c>
      <c r="AB319" s="36" t="s">
        <v>560</v>
      </c>
      <c r="AC319" s="36" t="s">
        <v>1022</v>
      </c>
      <c r="AD319" s="37">
        <v>1.3</v>
      </c>
      <c r="AE319" s="36" t="s">
        <v>902</v>
      </c>
      <c r="AF319" s="36" t="s">
        <v>860</v>
      </c>
    </row>
    <row r="320" spans="2:32" ht="60" customHeight="1" x14ac:dyDescent="0.25">
      <c r="B320" s="31" t="s">
        <v>1472</v>
      </c>
      <c r="C320" s="41">
        <v>2017</v>
      </c>
      <c r="D320" s="42">
        <f t="shared" si="4"/>
        <v>2021</v>
      </c>
      <c r="E320" s="31" t="s">
        <v>317</v>
      </c>
      <c r="F320" s="31" t="s">
        <v>1107</v>
      </c>
      <c r="G320" s="31" t="s">
        <v>1473</v>
      </c>
      <c r="H320" s="31" t="s">
        <v>129</v>
      </c>
      <c r="I320" s="31" t="s">
        <v>822</v>
      </c>
      <c r="J320" s="31" t="s">
        <v>823</v>
      </c>
      <c r="K320" s="31" t="s">
        <v>315</v>
      </c>
      <c r="L320" s="31" t="s">
        <v>159</v>
      </c>
      <c r="M320" s="34">
        <v>0</v>
      </c>
      <c r="N320" s="34">
        <v>4733454348</v>
      </c>
      <c r="O320" s="34">
        <v>4733454348</v>
      </c>
      <c r="P320" s="31" t="s">
        <v>1110</v>
      </c>
      <c r="Q320" s="34">
        <v>8348244</v>
      </c>
      <c r="R320" s="31" t="s">
        <v>159</v>
      </c>
      <c r="S320" s="35">
        <v>42866</v>
      </c>
      <c r="T320" s="35">
        <v>42828</v>
      </c>
      <c r="U320" s="35">
        <v>44561</v>
      </c>
      <c r="V320" s="27" t="s">
        <v>9396</v>
      </c>
      <c r="W320" s="31" t="s">
        <v>557</v>
      </c>
      <c r="X320" s="31" t="s">
        <v>880</v>
      </c>
      <c r="Y320" s="31" t="s">
        <v>242</v>
      </c>
      <c r="Z320" s="31" t="s">
        <v>1108</v>
      </c>
      <c r="AA320" s="31" t="s">
        <v>900</v>
      </c>
      <c r="AB320" s="31" t="s">
        <v>861</v>
      </c>
      <c r="AC320" s="31" t="s">
        <v>901</v>
      </c>
      <c r="AD320" s="34">
        <v>4.0999999999999996</v>
      </c>
      <c r="AE320" s="31" t="s">
        <v>902</v>
      </c>
      <c r="AF320" s="31" t="s">
        <v>860</v>
      </c>
    </row>
    <row r="321" spans="2:32" ht="60" customHeight="1" x14ac:dyDescent="0.25">
      <c r="B321" s="36" t="s">
        <v>1474</v>
      </c>
      <c r="C321" s="42">
        <v>2017</v>
      </c>
      <c r="D321" s="42">
        <f t="shared" si="4"/>
        <v>2021</v>
      </c>
      <c r="E321" s="36" t="s">
        <v>317</v>
      </c>
      <c r="F321" s="36" t="s">
        <v>1475</v>
      </c>
      <c r="G321" s="36" t="s">
        <v>1477</v>
      </c>
      <c r="H321" s="36" t="s">
        <v>129</v>
      </c>
      <c r="I321" s="36" t="s">
        <v>822</v>
      </c>
      <c r="J321" s="36" t="s">
        <v>823</v>
      </c>
      <c r="K321" s="36" t="s">
        <v>163</v>
      </c>
      <c r="L321" s="36" t="s">
        <v>159</v>
      </c>
      <c r="M321" s="37">
        <v>0</v>
      </c>
      <c r="N321" s="37">
        <v>4149650000</v>
      </c>
      <c r="O321" s="37">
        <v>4149650000</v>
      </c>
      <c r="P321" s="36" t="s">
        <v>1110</v>
      </c>
      <c r="Q321" s="37">
        <v>7450000</v>
      </c>
      <c r="R321" s="36" t="s">
        <v>159</v>
      </c>
      <c r="S321" s="38">
        <v>42866</v>
      </c>
      <c r="T321" s="38">
        <v>42828</v>
      </c>
      <c r="U321" s="38">
        <v>44561</v>
      </c>
      <c r="V321" s="27" t="s">
        <v>9308</v>
      </c>
      <c r="W321" s="36" t="s">
        <v>557</v>
      </c>
      <c r="X321" s="36" t="s">
        <v>880</v>
      </c>
      <c r="Y321" s="36" t="s">
        <v>242</v>
      </c>
      <c r="Z321" s="36" t="s">
        <v>1476</v>
      </c>
      <c r="AA321" s="36" t="s">
        <v>1046</v>
      </c>
      <c r="AB321" s="36" t="s">
        <v>861</v>
      </c>
      <c r="AC321" s="36" t="s">
        <v>1036</v>
      </c>
      <c r="AD321" s="37">
        <v>16.600000000000001</v>
      </c>
      <c r="AE321" s="36" t="s">
        <v>902</v>
      </c>
      <c r="AF321" s="36" t="s">
        <v>860</v>
      </c>
    </row>
    <row r="322" spans="2:32" ht="90" customHeight="1" x14ac:dyDescent="0.25">
      <c r="B322" s="31" t="s">
        <v>1478</v>
      </c>
      <c r="C322" s="41">
        <v>2017</v>
      </c>
      <c r="D322" s="42">
        <f t="shared" si="4"/>
        <v>2021</v>
      </c>
      <c r="E322" s="31" t="s">
        <v>170</v>
      </c>
      <c r="F322" s="31" t="s">
        <v>1479</v>
      </c>
      <c r="G322" s="31" t="s">
        <v>1481</v>
      </c>
      <c r="H322" s="31" t="s">
        <v>129</v>
      </c>
      <c r="I322" s="31" t="s">
        <v>822</v>
      </c>
      <c r="J322" s="31" t="s">
        <v>823</v>
      </c>
      <c r="K322" s="31" t="s">
        <v>315</v>
      </c>
      <c r="L322" s="31" t="s">
        <v>159</v>
      </c>
      <c r="M322" s="34">
        <v>0</v>
      </c>
      <c r="N322" s="34">
        <v>120856200</v>
      </c>
      <c r="O322" s="34">
        <v>120856200</v>
      </c>
      <c r="P322" s="31" t="s">
        <v>1110</v>
      </c>
      <c r="Q322" s="34">
        <v>201427</v>
      </c>
      <c r="R322" s="31" t="s">
        <v>159</v>
      </c>
      <c r="S322" s="35">
        <v>42866</v>
      </c>
      <c r="T322" s="35">
        <v>42828</v>
      </c>
      <c r="U322" s="35">
        <v>44561</v>
      </c>
      <c r="V322" s="27" t="s">
        <v>9396</v>
      </c>
      <c r="W322" s="31" t="s">
        <v>557</v>
      </c>
      <c r="X322" s="31" t="s">
        <v>880</v>
      </c>
      <c r="Y322" s="31" t="s">
        <v>242</v>
      </c>
      <c r="Z322" s="31" t="s">
        <v>1480</v>
      </c>
      <c r="AA322" s="31" t="s">
        <v>900</v>
      </c>
      <c r="AB322" s="31" t="s">
        <v>861</v>
      </c>
      <c r="AC322" s="31" t="s">
        <v>901</v>
      </c>
      <c r="AD322" s="34">
        <v>4.0999999999999996</v>
      </c>
      <c r="AE322" s="31" t="s">
        <v>902</v>
      </c>
      <c r="AF322" s="31" t="s">
        <v>860</v>
      </c>
    </row>
    <row r="323" spans="2:32" ht="60" customHeight="1" x14ac:dyDescent="0.25">
      <c r="B323" s="36" t="s">
        <v>1482</v>
      </c>
      <c r="C323" s="42">
        <v>2017</v>
      </c>
      <c r="D323" s="42">
        <f t="shared" si="4"/>
        <v>2021</v>
      </c>
      <c r="E323" s="36" t="s">
        <v>126</v>
      </c>
      <c r="F323" s="36" t="s">
        <v>1483</v>
      </c>
      <c r="G323" s="36" t="s">
        <v>1484</v>
      </c>
      <c r="H323" s="36" t="s">
        <v>129</v>
      </c>
      <c r="I323" s="36" t="s">
        <v>822</v>
      </c>
      <c r="J323" s="36" t="s">
        <v>823</v>
      </c>
      <c r="K323" s="36" t="s">
        <v>526</v>
      </c>
      <c r="L323" s="36" t="s">
        <v>159</v>
      </c>
      <c r="M323" s="37">
        <v>0</v>
      </c>
      <c r="N323" s="37">
        <v>846677400</v>
      </c>
      <c r="O323" s="37">
        <v>846677400</v>
      </c>
      <c r="P323" s="36" t="s">
        <v>1110</v>
      </c>
      <c r="Q323" s="37">
        <v>1411129</v>
      </c>
      <c r="R323" s="36" t="s">
        <v>159</v>
      </c>
      <c r="S323" s="38">
        <v>42978</v>
      </c>
      <c r="T323" s="38">
        <v>42866</v>
      </c>
      <c r="U323" s="38">
        <v>44561</v>
      </c>
      <c r="V323" s="27" t="s">
        <v>9422</v>
      </c>
      <c r="W323" s="36" t="s">
        <v>557</v>
      </c>
      <c r="X323" s="36" t="s">
        <v>880</v>
      </c>
      <c r="Y323" s="36" t="s">
        <v>242</v>
      </c>
      <c r="Z323" s="36" t="s">
        <v>1095</v>
      </c>
      <c r="AA323" s="36" t="s">
        <v>561</v>
      </c>
      <c r="AB323" s="36" t="s">
        <v>560</v>
      </c>
      <c r="AC323" s="36" t="s">
        <v>1022</v>
      </c>
      <c r="AD323" s="37">
        <v>1.3</v>
      </c>
      <c r="AE323" s="36" t="s">
        <v>902</v>
      </c>
      <c r="AF323" s="36" t="s">
        <v>860</v>
      </c>
    </row>
    <row r="324" spans="2:32" ht="60" customHeight="1" x14ac:dyDescent="0.25">
      <c r="B324" s="31" t="s">
        <v>1485</v>
      </c>
      <c r="C324" s="41">
        <v>2017</v>
      </c>
      <c r="D324" s="42">
        <f t="shared" si="4"/>
        <v>2021</v>
      </c>
      <c r="E324" s="31" t="s">
        <v>317</v>
      </c>
      <c r="F324" s="31" t="s">
        <v>1112</v>
      </c>
      <c r="G324" s="31" t="s">
        <v>1486</v>
      </c>
      <c r="H324" s="31" t="s">
        <v>129</v>
      </c>
      <c r="I324" s="31" t="s">
        <v>822</v>
      </c>
      <c r="J324" s="31" t="s">
        <v>823</v>
      </c>
      <c r="K324" s="31" t="s">
        <v>282</v>
      </c>
      <c r="L324" s="31" t="s">
        <v>159</v>
      </c>
      <c r="M324" s="34">
        <v>0</v>
      </c>
      <c r="N324" s="34">
        <v>1397442000</v>
      </c>
      <c r="O324" s="34">
        <v>1397442000</v>
      </c>
      <c r="P324" s="31" t="s">
        <v>1110</v>
      </c>
      <c r="Q324" s="34">
        <v>2329070</v>
      </c>
      <c r="R324" s="31" t="s">
        <v>159</v>
      </c>
      <c r="S324" s="35">
        <v>42866</v>
      </c>
      <c r="T324" s="35">
        <v>42828</v>
      </c>
      <c r="U324" s="35">
        <v>44561</v>
      </c>
      <c r="V324" s="27" t="s">
        <v>9396</v>
      </c>
      <c r="W324" s="31" t="s">
        <v>557</v>
      </c>
      <c r="X324" s="31" t="s">
        <v>880</v>
      </c>
      <c r="Y324" s="31" t="s">
        <v>242</v>
      </c>
      <c r="Z324" s="31" t="s">
        <v>1113</v>
      </c>
      <c r="AA324" s="31" t="s">
        <v>965</v>
      </c>
      <c r="AB324" s="31" t="s">
        <v>964</v>
      </c>
      <c r="AC324" s="31" t="s">
        <v>939</v>
      </c>
      <c r="AD324" s="34">
        <v>11.3</v>
      </c>
      <c r="AE324" s="31" t="s">
        <v>902</v>
      </c>
      <c r="AF324" s="31" t="s">
        <v>860</v>
      </c>
    </row>
    <row r="325" spans="2:32" ht="60" customHeight="1" x14ac:dyDescent="0.25">
      <c r="B325" s="36" t="s">
        <v>1487</v>
      </c>
      <c r="C325" s="42">
        <v>2017</v>
      </c>
      <c r="D325" s="42">
        <f t="shared" si="4"/>
        <v>2021</v>
      </c>
      <c r="E325" s="36" t="s">
        <v>317</v>
      </c>
      <c r="F325" s="36" t="s">
        <v>1488</v>
      </c>
      <c r="G325" s="36" t="s">
        <v>1489</v>
      </c>
      <c r="H325" s="36" t="s">
        <v>129</v>
      </c>
      <c r="I325" s="36" t="s">
        <v>822</v>
      </c>
      <c r="J325" s="36" t="s">
        <v>823</v>
      </c>
      <c r="K325" s="36" t="s">
        <v>315</v>
      </c>
      <c r="L325" s="36" t="s">
        <v>159</v>
      </c>
      <c r="M325" s="37">
        <v>0</v>
      </c>
      <c r="N325" s="37">
        <v>863221800</v>
      </c>
      <c r="O325" s="37">
        <v>863221800</v>
      </c>
      <c r="P325" s="36" t="s">
        <v>1110</v>
      </c>
      <c r="Q325" s="37">
        <v>1438703</v>
      </c>
      <c r="R325" s="36" t="s">
        <v>159</v>
      </c>
      <c r="S325" s="38">
        <v>42992</v>
      </c>
      <c r="T325" s="38">
        <v>42866</v>
      </c>
      <c r="U325" s="38">
        <v>44561</v>
      </c>
      <c r="V325" s="27" t="s">
        <v>9396</v>
      </c>
      <c r="W325" s="36" t="s">
        <v>557</v>
      </c>
      <c r="X325" s="36" t="s">
        <v>880</v>
      </c>
      <c r="Y325" s="36" t="s">
        <v>242</v>
      </c>
      <c r="Z325" s="36" t="s">
        <v>1108</v>
      </c>
      <c r="AA325" s="36" t="s">
        <v>900</v>
      </c>
      <c r="AB325" s="36" t="s">
        <v>861</v>
      </c>
      <c r="AC325" s="36" t="s">
        <v>901</v>
      </c>
      <c r="AD325" s="37">
        <v>4.0999999999999996</v>
      </c>
      <c r="AE325" s="36" t="s">
        <v>902</v>
      </c>
      <c r="AF325" s="36" t="s">
        <v>860</v>
      </c>
    </row>
    <row r="326" spans="2:32" ht="60" customHeight="1" x14ac:dyDescent="0.25">
      <c r="B326" s="31" t="s">
        <v>1490</v>
      </c>
      <c r="C326" s="41">
        <v>2017</v>
      </c>
      <c r="D326" s="42">
        <f t="shared" si="4"/>
        <v>2021</v>
      </c>
      <c r="E326" s="31" t="s">
        <v>317</v>
      </c>
      <c r="F326" s="31" t="s">
        <v>1491</v>
      </c>
      <c r="G326" s="31" t="s">
        <v>1493</v>
      </c>
      <c r="H326" s="31" t="s">
        <v>129</v>
      </c>
      <c r="I326" s="31" t="s">
        <v>822</v>
      </c>
      <c r="J326" s="31" t="s">
        <v>823</v>
      </c>
      <c r="K326" s="31" t="s">
        <v>315</v>
      </c>
      <c r="L326" s="31" t="s">
        <v>159</v>
      </c>
      <c r="M326" s="34">
        <v>0</v>
      </c>
      <c r="N326" s="34">
        <v>1245434400</v>
      </c>
      <c r="O326" s="34">
        <v>1245434400</v>
      </c>
      <c r="P326" s="31" t="s">
        <v>1110</v>
      </c>
      <c r="Q326" s="34">
        <v>2075724</v>
      </c>
      <c r="R326" s="31" t="s">
        <v>159</v>
      </c>
      <c r="S326" s="35">
        <v>42992</v>
      </c>
      <c r="T326" s="35">
        <v>42866</v>
      </c>
      <c r="U326" s="35">
        <v>44561</v>
      </c>
      <c r="V326" s="27" t="s">
        <v>9324</v>
      </c>
      <c r="W326" s="31" t="s">
        <v>557</v>
      </c>
      <c r="X326" s="31" t="s">
        <v>880</v>
      </c>
      <c r="Y326" s="31" t="s">
        <v>242</v>
      </c>
      <c r="Z326" s="31" t="s">
        <v>1492</v>
      </c>
      <c r="AA326" s="31" t="s">
        <v>900</v>
      </c>
      <c r="AB326" s="31" t="s">
        <v>861</v>
      </c>
      <c r="AC326" s="31" t="s">
        <v>901</v>
      </c>
      <c r="AD326" s="34">
        <v>4.0999999999999996</v>
      </c>
      <c r="AE326" s="31" t="s">
        <v>902</v>
      </c>
      <c r="AF326" s="31" t="s">
        <v>860</v>
      </c>
    </row>
    <row r="327" spans="2:32" ht="60" customHeight="1" x14ac:dyDescent="0.25">
      <c r="B327" s="36" t="s">
        <v>1494</v>
      </c>
      <c r="C327" s="42">
        <v>2017</v>
      </c>
      <c r="D327" s="42">
        <f t="shared" ref="D327:D390" si="5">YEAR(U327)</f>
        <v>2019</v>
      </c>
      <c r="E327" s="36" t="s">
        <v>126</v>
      </c>
      <c r="F327" s="36" t="s">
        <v>1495</v>
      </c>
      <c r="G327" s="36" t="s">
        <v>1496</v>
      </c>
      <c r="H327" s="36" t="s">
        <v>172</v>
      </c>
      <c r="I327" s="36" t="s">
        <v>1148</v>
      </c>
      <c r="J327" s="36" t="s">
        <v>1148</v>
      </c>
      <c r="K327" s="36" t="s">
        <v>190</v>
      </c>
      <c r="L327" s="36" t="s">
        <v>159</v>
      </c>
      <c r="M327" s="37">
        <v>0</v>
      </c>
      <c r="N327" s="37">
        <v>1200000000</v>
      </c>
      <c r="O327" s="37">
        <v>1200000000</v>
      </c>
      <c r="P327" s="36" t="s">
        <v>136</v>
      </c>
      <c r="Q327" s="37">
        <v>1200000000</v>
      </c>
      <c r="R327" s="36" t="s">
        <v>159</v>
      </c>
      <c r="S327" s="38">
        <v>42823</v>
      </c>
      <c r="T327" s="38">
        <v>42755</v>
      </c>
      <c r="U327" s="38">
        <v>43830</v>
      </c>
      <c r="V327" s="27" t="s">
        <v>9308</v>
      </c>
      <c r="W327" s="36" t="s">
        <v>557</v>
      </c>
      <c r="X327" s="36" t="s">
        <v>880</v>
      </c>
      <c r="Y327" s="36" t="s">
        <v>242</v>
      </c>
      <c r="Z327" s="36" t="s">
        <v>974</v>
      </c>
      <c r="AA327" s="36" t="s">
        <v>862</v>
      </c>
      <c r="AB327" s="36" t="s">
        <v>861</v>
      </c>
      <c r="AC327" s="36" t="s">
        <v>863</v>
      </c>
      <c r="AD327" s="37">
        <v>2.2999999999999998</v>
      </c>
      <c r="AE327" s="36" t="s">
        <v>864</v>
      </c>
      <c r="AF327" s="36" t="s">
        <v>860</v>
      </c>
    </row>
    <row r="328" spans="2:32" ht="60" customHeight="1" x14ac:dyDescent="0.25">
      <c r="B328" s="31" t="s">
        <v>1497</v>
      </c>
      <c r="C328" s="41">
        <v>2017</v>
      </c>
      <c r="D328" s="42">
        <f t="shared" si="5"/>
        <v>2020</v>
      </c>
      <c r="E328" s="31" t="s">
        <v>126</v>
      </c>
      <c r="F328" s="31" t="s">
        <v>1498</v>
      </c>
      <c r="G328" s="31" t="s">
        <v>1499</v>
      </c>
      <c r="H328" s="31" t="s">
        <v>172</v>
      </c>
      <c r="I328" s="31" t="s">
        <v>1148</v>
      </c>
      <c r="J328" s="31" t="s">
        <v>1148</v>
      </c>
      <c r="K328" s="31" t="s">
        <v>263</v>
      </c>
      <c r="L328" s="31" t="s">
        <v>159</v>
      </c>
      <c r="M328" s="34">
        <v>0</v>
      </c>
      <c r="N328" s="34">
        <v>5300000000</v>
      </c>
      <c r="O328" s="34">
        <v>5300000000</v>
      </c>
      <c r="P328" s="31" t="s">
        <v>136</v>
      </c>
      <c r="Q328" s="34">
        <v>5300000000</v>
      </c>
      <c r="R328" s="31" t="s">
        <v>159</v>
      </c>
      <c r="S328" s="35">
        <v>42823</v>
      </c>
      <c r="T328" s="35">
        <v>42755</v>
      </c>
      <c r="U328" s="35">
        <v>44196</v>
      </c>
      <c r="V328" s="27" t="s">
        <v>9380</v>
      </c>
      <c r="W328" s="31" t="s">
        <v>557</v>
      </c>
      <c r="X328" s="31" t="s">
        <v>880</v>
      </c>
      <c r="Y328" s="31" t="s">
        <v>242</v>
      </c>
      <c r="Z328" s="31" t="s">
        <v>555</v>
      </c>
      <c r="AA328" s="31" t="s">
        <v>561</v>
      </c>
      <c r="AB328" s="31" t="s">
        <v>560</v>
      </c>
      <c r="AC328" s="31" t="s">
        <v>562</v>
      </c>
      <c r="AD328" s="34">
        <v>6.1</v>
      </c>
      <c r="AE328" s="31" t="s">
        <v>563</v>
      </c>
      <c r="AF328" s="31" t="s">
        <v>860</v>
      </c>
    </row>
    <row r="329" spans="2:32" ht="60" customHeight="1" x14ac:dyDescent="0.25">
      <c r="B329" s="36" t="s">
        <v>1500</v>
      </c>
      <c r="C329" s="42">
        <v>2017</v>
      </c>
      <c r="D329" s="42">
        <f t="shared" si="5"/>
        <v>2019</v>
      </c>
      <c r="E329" s="36" t="s">
        <v>126</v>
      </c>
      <c r="F329" s="36" t="s">
        <v>1501</v>
      </c>
      <c r="G329" s="36" t="s">
        <v>1502</v>
      </c>
      <c r="H329" s="36" t="s">
        <v>172</v>
      </c>
      <c r="I329" s="36" t="s">
        <v>1148</v>
      </c>
      <c r="J329" s="36" t="s">
        <v>1148</v>
      </c>
      <c r="K329" s="36" t="s">
        <v>315</v>
      </c>
      <c r="L329" s="36" t="s">
        <v>159</v>
      </c>
      <c r="M329" s="37">
        <v>0</v>
      </c>
      <c r="N329" s="37">
        <v>97035719</v>
      </c>
      <c r="O329" s="37">
        <v>97035719</v>
      </c>
      <c r="P329" s="36" t="s">
        <v>136</v>
      </c>
      <c r="Q329" s="37">
        <v>97035719</v>
      </c>
      <c r="R329" s="36" t="s">
        <v>159</v>
      </c>
      <c r="S329" s="38">
        <v>42823</v>
      </c>
      <c r="T329" s="38">
        <v>42755</v>
      </c>
      <c r="U329" s="38">
        <v>43830</v>
      </c>
      <c r="V329" s="27" t="s">
        <v>9417</v>
      </c>
      <c r="W329" s="36" t="s">
        <v>557</v>
      </c>
      <c r="X329" s="36" t="s">
        <v>880</v>
      </c>
      <c r="Y329" s="36" t="s">
        <v>242</v>
      </c>
      <c r="Z329" s="36" t="s">
        <v>1146</v>
      </c>
      <c r="AA329" s="36" t="s">
        <v>900</v>
      </c>
      <c r="AB329" s="36" t="s">
        <v>861</v>
      </c>
      <c r="AC329" s="36" t="s">
        <v>901</v>
      </c>
      <c r="AD329" s="37">
        <v>4.0999999999999996</v>
      </c>
      <c r="AE329" s="36" t="s">
        <v>902</v>
      </c>
      <c r="AF329" s="36" t="s">
        <v>860</v>
      </c>
    </row>
    <row r="330" spans="2:32" ht="60" customHeight="1" x14ac:dyDescent="0.25">
      <c r="B330" s="31" t="s">
        <v>1503</v>
      </c>
      <c r="C330" s="41">
        <v>2017</v>
      </c>
      <c r="D330" s="42">
        <f t="shared" si="5"/>
        <v>2020</v>
      </c>
      <c r="E330" s="31" t="s">
        <v>126</v>
      </c>
      <c r="F330" s="31" t="s">
        <v>1504</v>
      </c>
      <c r="G330" s="31" t="s">
        <v>1505</v>
      </c>
      <c r="H330" s="31" t="s">
        <v>172</v>
      </c>
      <c r="I330" s="31" t="s">
        <v>1148</v>
      </c>
      <c r="J330" s="31" t="s">
        <v>1148</v>
      </c>
      <c r="K330" s="31" t="s">
        <v>190</v>
      </c>
      <c r="L330" s="31" t="s">
        <v>159</v>
      </c>
      <c r="M330" s="34">
        <v>0</v>
      </c>
      <c r="N330" s="34">
        <v>1750000000</v>
      </c>
      <c r="O330" s="34">
        <v>1750000000</v>
      </c>
      <c r="P330" s="31" t="s">
        <v>136</v>
      </c>
      <c r="Q330" s="34">
        <v>1750000000</v>
      </c>
      <c r="R330" s="31" t="s">
        <v>159</v>
      </c>
      <c r="S330" s="35">
        <v>43055</v>
      </c>
      <c r="T330" s="35">
        <v>42823</v>
      </c>
      <c r="U330" s="35">
        <v>44196</v>
      </c>
      <c r="V330" s="27" t="s">
        <v>9308</v>
      </c>
      <c r="W330" s="31" t="s">
        <v>557</v>
      </c>
      <c r="X330" s="31" t="s">
        <v>880</v>
      </c>
      <c r="Y330" s="31" t="s">
        <v>242</v>
      </c>
      <c r="Z330" s="31" t="s">
        <v>974</v>
      </c>
      <c r="AA330" s="31" t="s">
        <v>862</v>
      </c>
      <c r="AB330" s="31" t="s">
        <v>861</v>
      </c>
      <c r="AC330" s="31" t="s">
        <v>863</v>
      </c>
      <c r="AD330" s="34">
        <v>2.2999999999999998</v>
      </c>
      <c r="AE330" s="31" t="s">
        <v>864</v>
      </c>
      <c r="AF330" s="31" t="s">
        <v>860</v>
      </c>
    </row>
    <row r="331" spans="2:32" ht="60" customHeight="1" x14ac:dyDescent="0.25">
      <c r="B331" s="36" t="s">
        <v>1506</v>
      </c>
      <c r="C331" s="42">
        <v>2017</v>
      </c>
      <c r="D331" s="42">
        <f t="shared" si="5"/>
        <v>2019</v>
      </c>
      <c r="E331" s="36" t="s">
        <v>126</v>
      </c>
      <c r="F331" s="36" t="s">
        <v>1507</v>
      </c>
      <c r="G331" s="36" t="s">
        <v>1509</v>
      </c>
      <c r="H331" s="36" t="s">
        <v>172</v>
      </c>
      <c r="I331" s="36" t="s">
        <v>1148</v>
      </c>
      <c r="J331" s="36" t="s">
        <v>1148</v>
      </c>
      <c r="K331" s="36" t="s">
        <v>1344</v>
      </c>
      <c r="L331" s="36" t="s">
        <v>159</v>
      </c>
      <c r="M331" s="37">
        <v>0</v>
      </c>
      <c r="N331" s="37">
        <v>303855000</v>
      </c>
      <c r="O331" s="37">
        <v>303855000</v>
      </c>
      <c r="P331" s="36" t="s">
        <v>136</v>
      </c>
      <c r="Q331" s="37">
        <v>303855000</v>
      </c>
      <c r="R331" s="36" t="s">
        <v>159</v>
      </c>
      <c r="S331" s="38">
        <v>42978</v>
      </c>
      <c r="T331" s="38">
        <v>42823</v>
      </c>
      <c r="U331" s="38">
        <v>43830</v>
      </c>
      <c r="V331" s="27" t="s">
        <v>9423</v>
      </c>
      <c r="W331" s="36" t="s">
        <v>557</v>
      </c>
      <c r="X331" s="36" t="s">
        <v>880</v>
      </c>
      <c r="Y331" s="36" t="s">
        <v>242</v>
      </c>
      <c r="Z331" s="36" t="s">
        <v>1508</v>
      </c>
      <c r="AA331" s="36" t="s">
        <v>965</v>
      </c>
      <c r="AB331" s="36" t="s">
        <v>964</v>
      </c>
      <c r="AC331" s="36" t="s">
        <v>1036</v>
      </c>
      <c r="AD331" s="37">
        <v>16.600000000000001</v>
      </c>
      <c r="AE331" s="36" t="s">
        <v>902</v>
      </c>
      <c r="AF331" s="36" t="s">
        <v>860</v>
      </c>
    </row>
    <row r="332" spans="2:32" ht="60" customHeight="1" x14ac:dyDescent="0.25">
      <c r="B332" s="31" t="s">
        <v>1512</v>
      </c>
      <c r="C332" s="41">
        <v>2017</v>
      </c>
      <c r="D332" s="42">
        <f t="shared" si="5"/>
        <v>2022</v>
      </c>
      <c r="E332" s="31" t="s">
        <v>126</v>
      </c>
      <c r="F332" s="31" t="s">
        <v>1513</v>
      </c>
      <c r="G332" s="31" t="s">
        <v>1514</v>
      </c>
      <c r="H332" s="31" t="s">
        <v>326</v>
      </c>
      <c r="I332" s="31" t="s">
        <v>1515</v>
      </c>
      <c r="J332" s="31" t="s">
        <v>1516</v>
      </c>
      <c r="K332" s="31" t="s">
        <v>190</v>
      </c>
      <c r="L332" s="31" t="s">
        <v>127</v>
      </c>
      <c r="M332" s="34">
        <v>1967870998</v>
      </c>
      <c r="N332" s="34">
        <v>0</v>
      </c>
      <c r="O332" s="34">
        <v>1967870998</v>
      </c>
      <c r="P332" s="31" t="s">
        <v>624</v>
      </c>
      <c r="Q332" s="34">
        <v>3577947.27</v>
      </c>
      <c r="R332" s="31" t="s">
        <v>150</v>
      </c>
      <c r="S332" s="35">
        <v>42866</v>
      </c>
      <c r="T332" s="35">
        <v>42832</v>
      </c>
      <c r="U332" s="35">
        <v>44926</v>
      </c>
      <c r="V332" s="27" t="s">
        <v>9396</v>
      </c>
      <c r="W332" s="31" t="s">
        <v>557</v>
      </c>
      <c r="X332" s="31" t="s">
        <v>558</v>
      </c>
      <c r="Y332" s="31" t="s">
        <v>242</v>
      </c>
      <c r="Z332" s="31" t="s">
        <v>974</v>
      </c>
      <c r="AA332" s="31" t="s">
        <v>862</v>
      </c>
      <c r="AB332" s="31" t="s">
        <v>861</v>
      </c>
      <c r="AC332" s="31" t="s">
        <v>863</v>
      </c>
      <c r="AD332" s="34">
        <v>2.2999999999999998</v>
      </c>
      <c r="AE332" s="31" t="s">
        <v>864</v>
      </c>
      <c r="AF332" s="31" t="s">
        <v>860</v>
      </c>
    </row>
    <row r="333" spans="2:32" ht="60" customHeight="1" x14ac:dyDescent="0.25">
      <c r="B333" s="36" t="s">
        <v>1517</v>
      </c>
      <c r="C333" s="42">
        <v>2017</v>
      </c>
      <c r="D333" s="42">
        <f t="shared" si="5"/>
        <v>2023</v>
      </c>
      <c r="E333" s="36" t="s">
        <v>126</v>
      </c>
      <c r="F333" s="36" t="s">
        <v>1518</v>
      </c>
      <c r="G333" s="36" t="s">
        <v>1520</v>
      </c>
      <c r="H333" s="36" t="s">
        <v>326</v>
      </c>
      <c r="I333" s="36" t="s">
        <v>1515</v>
      </c>
      <c r="J333" s="36" t="s">
        <v>1516</v>
      </c>
      <c r="K333" s="36" t="s">
        <v>315</v>
      </c>
      <c r="L333" s="36" t="s">
        <v>127</v>
      </c>
      <c r="M333" s="37">
        <v>11151269002</v>
      </c>
      <c r="N333" s="37">
        <v>0</v>
      </c>
      <c r="O333" s="37">
        <v>11151269002</v>
      </c>
      <c r="P333" s="36" t="s">
        <v>624</v>
      </c>
      <c r="Q333" s="37">
        <v>20275034.550000001</v>
      </c>
      <c r="R333" s="36" t="s">
        <v>150</v>
      </c>
      <c r="S333" s="38">
        <v>42866</v>
      </c>
      <c r="T333" s="38">
        <v>42832</v>
      </c>
      <c r="U333" s="38">
        <v>45291</v>
      </c>
      <c r="V333" s="27" t="s">
        <v>9424</v>
      </c>
      <c r="W333" s="36" t="s">
        <v>557</v>
      </c>
      <c r="X333" s="36" t="s">
        <v>558</v>
      </c>
      <c r="Y333" s="36" t="s">
        <v>242</v>
      </c>
      <c r="Z333" s="36" t="s">
        <v>1519</v>
      </c>
      <c r="AA333" s="36" t="s">
        <v>900</v>
      </c>
      <c r="AB333" s="36" t="s">
        <v>861</v>
      </c>
      <c r="AC333" s="36" t="s">
        <v>901</v>
      </c>
      <c r="AD333" s="37">
        <v>4.0999999999999996</v>
      </c>
      <c r="AE333" s="36" t="s">
        <v>902</v>
      </c>
      <c r="AF333" s="36" t="s">
        <v>860</v>
      </c>
    </row>
    <row r="334" spans="2:32" ht="60" customHeight="1" x14ac:dyDescent="0.25">
      <c r="B334" s="31" t="s">
        <v>1523</v>
      </c>
      <c r="C334" s="41">
        <v>2017</v>
      </c>
      <c r="D334" s="42">
        <f t="shared" si="5"/>
        <v>2023</v>
      </c>
      <c r="E334" s="31" t="s">
        <v>126</v>
      </c>
      <c r="F334" s="31" t="s">
        <v>1524</v>
      </c>
      <c r="G334" s="31" t="s">
        <v>1525</v>
      </c>
      <c r="H334" s="31" t="s">
        <v>326</v>
      </c>
      <c r="I334" s="31" t="s">
        <v>1515</v>
      </c>
      <c r="J334" s="31" t="s">
        <v>1516</v>
      </c>
      <c r="K334" s="31" t="s">
        <v>315</v>
      </c>
      <c r="L334" s="31" t="s">
        <v>159</v>
      </c>
      <c r="M334" s="34">
        <v>0</v>
      </c>
      <c r="N334" s="34">
        <v>7649442554</v>
      </c>
      <c r="O334" s="34">
        <v>7649442554</v>
      </c>
      <c r="P334" s="31" t="s">
        <v>624</v>
      </c>
      <c r="Q334" s="34">
        <v>13908077.369999999</v>
      </c>
      <c r="R334" s="31" t="s">
        <v>159</v>
      </c>
      <c r="S334" s="35">
        <v>43090</v>
      </c>
      <c r="T334" s="35">
        <v>42866</v>
      </c>
      <c r="U334" s="35">
        <v>45291</v>
      </c>
      <c r="V334" s="27" t="s">
        <v>9424</v>
      </c>
      <c r="W334" s="31" t="s">
        <v>557</v>
      </c>
      <c r="X334" s="31" t="s">
        <v>880</v>
      </c>
      <c r="Y334" s="31" t="s">
        <v>242</v>
      </c>
      <c r="Z334" s="31" t="s">
        <v>1519</v>
      </c>
      <c r="AA334" s="31" t="s">
        <v>900</v>
      </c>
      <c r="AB334" s="31" t="s">
        <v>861</v>
      </c>
      <c r="AC334" s="31" t="s">
        <v>901</v>
      </c>
      <c r="AD334" s="34">
        <v>4.0999999999999996</v>
      </c>
      <c r="AE334" s="31" t="s">
        <v>902</v>
      </c>
      <c r="AF334" s="31" t="s">
        <v>860</v>
      </c>
    </row>
    <row r="335" spans="2:32" ht="60" customHeight="1" x14ac:dyDescent="0.25">
      <c r="B335" s="36" t="s">
        <v>1526</v>
      </c>
      <c r="C335" s="42">
        <v>2017</v>
      </c>
      <c r="D335" s="42">
        <f t="shared" si="5"/>
        <v>2020</v>
      </c>
      <c r="E335" s="36" t="s">
        <v>126</v>
      </c>
      <c r="F335" s="36" t="s">
        <v>1527</v>
      </c>
      <c r="G335" s="36" t="s">
        <v>1528</v>
      </c>
      <c r="H335" s="36" t="s">
        <v>172</v>
      </c>
      <c r="I335" s="36" t="s">
        <v>1010</v>
      </c>
      <c r="J335" s="36" t="s">
        <v>1011</v>
      </c>
      <c r="K335" s="36" t="s">
        <v>190</v>
      </c>
      <c r="L335" s="36" t="s">
        <v>159</v>
      </c>
      <c r="M335" s="37">
        <v>0</v>
      </c>
      <c r="N335" s="37">
        <v>186450000</v>
      </c>
      <c r="O335" s="37">
        <v>186450000</v>
      </c>
      <c r="P335" s="36" t="s">
        <v>624</v>
      </c>
      <c r="Q335" s="37">
        <v>339000</v>
      </c>
      <c r="R335" s="36" t="s">
        <v>159</v>
      </c>
      <c r="S335" s="38">
        <v>42736</v>
      </c>
      <c r="T335" s="38">
        <v>42866</v>
      </c>
      <c r="U335" s="38">
        <v>44196</v>
      </c>
      <c r="V335" s="27" t="s">
        <v>9425</v>
      </c>
      <c r="W335" s="36" t="s">
        <v>557</v>
      </c>
      <c r="X335" s="36" t="s">
        <v>880</v>
      </c>
      <c r="Y335" s="36" t="s">
        <v>125</v>
      </c>
      <c r="Z335" s="36" t="s">
        <v>1311</v>
      </c>
      <c r="AA335" s="36" t="s">
        <v>862</v>
      </c>
      <c r="AB335" s="36" t="s">
        <v>861</v>
      </c>
      <c r="AC335" s="36" t="s">
        <v>863</v>
      </c>
      <c r="AD335" s="37">
        <v>2.2999999999999998</v>
      </c>
      <c r="AE335" s="36" t="s">
        <v>864</v>
      </c>
      <c r="AF335" s="36" t="s">
        <v>860</v>
      </c>
    </row>
    <row r="336" spans="2:32" ht="60" customHeight="1" x14ac:dyDescent="0.25">
      <c r="B336" s="31" t="s">
        <v>1531</v>
      </c>
      <c r="C336" s="41">
        <v>2017</v>
      </c>
      <c r="D336" s="42">
        <f t="shared" si="5"/>
        <v>2020</v>
      </c>
      <c r="E336" s="31" t="s">
        <v>317</v>
      </c>
      <c r="F336" s="31" t="s">
        <v>1532</v>
      </c>
      <c r="G336" s="31" t="s">
        <v>1533</v>
      </c>
      <c r="H336" s="31" t="s">
        <v>172</v>
      </c>
      <c r="I336" s="31" t="s">
        <v>1010</v>
      </c>
      <c r="J336" s="31" t="s">
        <v>1011</v>
      </c>
      <c r="K336" s="31" t="s">
        <v>315</v>
      </c>
      <c r="L336" s="31" t="s">
        <v>159</v>
      </c>
      <c r="M336" s="34">
        <v>0</v>
      </c>
      <c r="N336" s="34">
        <v>1746627080</v>
      </c>
      <c r="O336" s="34">
        <v>1746627080</v>
      </c>
      <c r="P336" s="31" t="s">
        <v>624</v>
      </c>
      <c r="Q336" s="34">
        <v>3175685.6</v>
      </c>
      <c r="R336" s="31" t="s">
        <v>159</v>
      </c>
      <c r="S336" s="35">
        <v>43049</v>
      </c>
      <c r="T336" s="35">
        <v>42866</v>
      </c>
      <c r="U336" s="35">
        <v>44196</v>
      </c>
      <c r="V336" s="27" t="s">
        <v>9308</v>
      </c>
      <c r="W336" s="31" t="s">
        <v>557</v>
      </c>
      <c r="X336" s="31" t="s">
        <v>880</v>
      </c>
      <c r="Y336" s="31" t="s">
        <v>125</v>
      </c>
      <c r="Z336" s="31" t="s">
        <v>1108</v>
      </c>
      <c r="AA336" s="31" t="s">
        <v>900</v>
      </c>
      <c r="AB336" s="31" t="s">
        <v>861</v>
      </c>
      <c r="AC336" s="31" t="s">
        <v>901</v>
      </c>
      <c r="AD336" s="34">
        <v>4.0999999999999996</v>
      </c>
      <c r="AE336" s="31" t="s">
        <v>902</v>
      </c>
      <c r="AF336" s="31" t="s">
        <v>860</v>
      </c>
    </row>
    <row r="337" spans="2:32" ht="45" customHeight="1" x14ac:dyDescent="0.25">
      <c r="B337" s="36" t="s">
        <v>1534</v>
      </c>
      <c r="C337" s="42">
        <v>2017</v>
      </c>
      <c r="D337" s="42">
        <f t="shared" si="5"/>
        <v>2020</v>
      </c>
      <c r="E337" s="36" t="s">
        <v>317</v>
      </c>
      <c r="F337" s="36" t="s">
        <v>1535</v>
      </c>
      <c r="G337" s="36" t="s">
        <v>1536</v>
      </c>
      <c r="H337" s="36" t="s">
        <v>172</v>
      </c>
      <c r="I337" s="36" t="s">
        <v>1010</v>
      </c>
      <c r="J337" s="36" t="s">
        <v>1011</v>
      </c>
      <c r="K337" s="36" t="s">
        <v>216</v>
      </c>
      <c r="L337" s="36" t="s">
        <v>159</v>
      </c>
      <c r="M337" s="37">
        <v>0</v>
      </c>
      <c r="N337" s="37">
        <v>4831720416</v>
      </c>
      <c r="O337" s="37">
        <v>4831720416</v>
      </c>
      <c r="P337" s="36" t="s">
        <v>624</v>
      </c>
      <c r="Q337" s="37">
        <v>8784946.2100000009</v>
      </c>
      <c r="R337" s="36" t="s">
        <v>159</v>
      </c>
      <c r="S337" s="38">
        <v>43056</v>
      </c>
      <c r="T337" s="38">
        <v>42866</v>
      </c>
      <c r="U337" s="38">
        <v>44196</v>
      </c>
      <c r="V337" s="27" t="s">
        <v>9308</v>
      </c>
      <c r="W337" s="36" t="s">
        <v>557</v>
      </c>
      <c r="X337" s="36" t="s">
        <v>880</v>
      </c>
      <c r="Y337" s="36" t="s">
        <v>125</v>
      </c>
      <c r="Z337" s="36" t="s">
        <v>992</v>
      </c>
      <c r="AA337" s="36" t="s">
        <v>561</v>
      </c>
      <c r="AB337" s="36" t="s">
        <v>560</v>
      </c>
      <c r="AC337" s="36" t="s">
        <v>989</v>
      </c>
      <c r="AD337" s="37">
        <v>3.8</v>
      </c>
      <c r="AE337" s="36" t="s">
        <v>902</v>
      </c>
      <c r="AF337" s="36" t="s">
        <v>860</v>
      </c>
    </row>
    <row r="338" spans="2:32" ht="60" customHeight="1" x14ac:dyDescent="0.25">
      <c r="B338" s="31" t="s">
        <v>1537</v>
      </c>
      <c r="C338" s="41">
        <v>2017</v>
      </c>
      <c r="D338" s="42">
        <f t="shared" si="5"/>
        <v>2021</v>
      </c>
      <c r="E338" s="31" t="s">
        <v>126</v>
      </c>
      <c r="F338" s="31" t="s">
        <v>1116</v>
      </c>
      <c r="G338" s="31" t="s">
        <v>1538</v>
      </c>
      <c r="H338" s="31" t="s">
        <v>172</v>
      </c>
      <c r="I338" s="31" t="s">
        <v>1010</v>
      </c>
      <c r="J338" s="31" t="s">
        <v>1011</v>
      </c>
      <c r="K338" s="31" t="s">
        <v>163</v>
      </c>
      <c r="L338" s="31" t="s">
        <v>159</v>
      </c>
      <c r="M338" s="34">
        <v>0</v>
      </c>
      <c r="N338" s="34">
        <v>120666150</v>
      </c>
      <c r="O338" s="34">
        <v>120666150</v>
      </c>
      <c r="P338" s="31" t="s">
        <v>624</v>
      </c>
      <c r="Q338" s="34">
        <v>219393</v>
      </c>
      <c r="R338" s="31" t="s">
        <v>159</v>
      </c>
      <c r="S338" s="35">
        <v>43081</v>
      </c>
      <c r="T338" s="35">
        <v>42866</v>
      </c>
      <c r="U338" s="35">
        <v>44561</v>
      </c>
      <c r="V338" s="27" t="s">
        <v>9307</v>
      </c>
      <c r="W338" s="31" t="s">
        <v>557</v>
      </c>
      <c r="X338" s="31" t="s">
        <v>880</v>
      </c>
      <c r="Y338" s="31" t="s">
        <v>125</v>
      </c>
      <c r="Z338" s="31" t="s">
        <v>962</v>
      </c>
      <c r="AA338" s="31" t="s">
        <v>1035</v>
      </c>
      <c r="AB338" s="31" t="s">
        <v>964</v>
      </c>
      <c r="AC338" s="31" t="s">
        <v>1036</v>
      </c>
      <c r="AD338" s="34">
        <v>16.600000000000001</v>
      </c>
      <c r="AE338" s="31" t="s">
        <v>902</v>
      </c>
      <c r="AF338" s="31" t="s">
        <v>860</v>
      </c>
    </row>
    <row r="339" spans="2:32" ht="90" customHeight="1" x14ac:dyDescent="0.25">
      <c r="B339" s="36" t="s">
        <v>1539</v>
      </c>
      <c r="C339" s="42">
        <v>2017</v>
      </c>
      <c r="D339" s="42">
        <f t="shared" si="5"/>
        <v>2020</v>
      </c>
      <c r="E339" s="36" t="s">
        <v>170</v>
      </c>
      <c r="F339" s="36" t="s">
        <v>1540</v>
      </c>
      <c r="G339" s="36" t="s">
        <v>1542</v>
      </c>
      <c r="H339" s="36" t="s">
        <v>172</v>
      </c>
      <c r="I339" s="36" t="s">
        <v>1010</v>
      </c>
      <c r="J339" s="36" t="s">
        <v>1011</v>
      </c>
      <c r="K339" s="36" t="s">
        <v>1344</v>
      </c>
      <c r="L339" s="36" t="s">
        <v>159</v>
      </c>
      <c r="M339" s="37">
        <v>0</v>
      </c>
      <c r="N339" s="37">
        <v>550000000</v>
      </c>
      <c r="O339" s="37">
        <v>550000000</v>
      </c>
      <c r="P339" s="36" t="s">
        <v>624</v>
      </c>
      <c r="Q339" s="37">
        <v>1000000</v>
      </c>
      <c r="R339" s="36" t="s">
        <v>159</v>
      </c>
      <c r="S339" s="38">
        <v>42866</v>
      </c>
      <c r="T339" s="38">
        <v>42774</v>
      </c>
      <c r="U339" s="38">
        <v>44196</v>
      </c>
      <c r="V339" s="27" t="s">
        <v>9308</v>
      </c>
      <c r="W339" s="36" t="s">
        <v>557</v>
      </c>
      <c r="X339" s="36" t="s">
        <v>880</v>
      </c>
      <c r="Y339" s="36" t="s">
        <v>125</v>
      </c>
      <c r="Z339" s="36" t="s">
        <v>1541</v>
      </c>
      <c r="AA339" s="36" t="s">
        <v>965</v>
      </c>
      <c r="AB339" s="36" t="s">
        <v>964</v>
      </c>
      <c r="AC339" s="36" t="s">
        <v>1036</v>
      </c>
      <c r="AD339" s="37">
        <v>16.600000000000001</v>
      </c>
      <c r="AE339" s="36" t="s">
        <v>902</v>
      </c>
      <c r="AF339" s="36" t="s">
        <v>860</v>
      </c>
    </row>
    <row r="340" spans="2:32" ht="75" customHeight="1" x14ac:dyDescent="0.25">
      <c r="B340" s="31" t="s">
        <v>1543</v>
      </c>
      <c r="C340" s="41">
        <v>2017</v>
      </c>
      <c r="D340" s="42">
        <f t="shared" si="5"/>
        <v>2019</v>
      </c>
      <c r="E340" s="31" t="s">
        <v>126</v>
      </c>
      <c r="F340" s="31" t="s">
        <v>1544</v>
      </c>
      <c r="G340" s="31" t="s">
        <v>1545</v>
      </c>
      <c r="H340" s="31" t="s">
        <v>172</v>
      </c>
      <c r="I340" s="31" t="s">
        <v>1184</v>
      </c>
      <c r="J340" s="31" t="s">
        <v>1184</v>
      </c>
      <c r="K340" s="31" t="s">
        <v>216</v>
      </c>
      <c r="L340" s="31" t="s">
        <v>159</v>
      </c>
      <c r="M340" s="34">
        <v>0</v>
      </c>
      <c r="N340" s="34">
        <v>18315000</v>
      </c>
      <c r="O340" s="34">
        <v>18315000</v>
      </c>
      <c r="P340" s="31" t="s">
        <v>624</v>
      </c>
      <c r="Q340" s="34">
        <v>33300</v>
      </c>
      <c r="R340" s="31" t="s">
        <v>159</v>
      </c>
      <c r="S340" s="35">
        <v>42866</v>
      </c>
      <c r="T340" s="35">
        <v>42750</v>
      </c>
      <c r="U340" s="35">
        <v>43830</v>
      </c>
      <c r="V340" s="27" t="s">
        <v>9308</v>
      </c>
      <c r="W340" s="31" t="s">
        <v>557</v>
      </c>
      <c r="X340" s="31" t="s">
        <v>880</v>
      </c>
      <c r="Y340" s="31" t="s">
        <v>242</v>
      </c>
      <c r="Z340" s="31" t="s">
        <v>1064</v>
      </c>
      <c r="AA340" s="31" t="s">
        <v>561</v>
      </c>
      <c r="AB340" s="31" t="s">
        <v>560</v>
      </c>
      <c r="AC340" s="31" t="s">
        <v>989</v>
      </c>
      <c r="AD340" s="34">
        <v>3.8</v>
      </c>
      <c r="AE340" s="31" t="s">
        <v>902</v>
      </c>
      <c r="AF340" s="31" t="s">
        <v>860</v>
      </c>
    </row>
    <row r="341" spans="2:32" ht="75" customHeight="1" x14ac:dyDescent="0.25">
      <c r="B341" s="36" t="s">
        <v>1546</v>
      </c>
      <c r="C341" s="42">
        <v>2017</v>
      </c>
      <c r="D341" s="42">
        <f t="shared" si="5"/>
        <v>2019</v>
      </c>
      <c r="E341" s="36" t="s">
        <v>126</v>
      </c>
      <c r="F341" s="36" t="s">
        <v>1547</v>
      </c>
      <c r="G341" s="36" t="s">
        <v>1548</v>
      </c>
      <c r="H341" s="36" t="s">
        <v>172</v>
      </c>
      <c r="I341" s="36" t="s">
        <v>1184</v>
      </c>
      <c r="J341" s="36" t="s">
        <v>1184</v>
      </c>
      <c r="K341" s="36" t="s">
        <v>369</v>
      </c>
      <c r="L341" s="36" t="s">
        <v>159</v>
      </c>
      <c r="M341" s="37">
        <v>0</v>
      </c>
      <c r="N341" s="37">
        <v>6908550</v>
      </c>
      <c r="O341" s="37">
        <v>6908550</v>
      </c>
      <c r="P341" s="36" t="s">
        <v>624</v>
      </c>
      <c r="Q341" s="37">
        <v>12561</v>
      </c>
      <c r="R341" s="36" t="s">
        <v>159</v>
      </c>
      <c r="S341" s="38">
        <v>42866</v>
      </c>
      <c r="T341" s="38">
        <v>42750</v>
      </c>
      <c r="U341" s="38">
        <v>43830</v>
      </c>
      <c r="V341" s="27" t="s">
        <v>9307</v>
      </c>
      <c r="W341" s="36" t="s">
        <v>557</v>
      </c>
      <c r="X341" s="36" t="s">
        <v>880</v>
      </c>
      <c r="Y341" s="36" t="s">
        <v>242</v>
      </c>
      <c r="Z341" s="36" t="s">
        <v>1087</v>
      </c>
      <c r="AA341" s="36" t="s">
        <v>862</v>
      </c>
      <c r="AB341" s="36" t="s">
        <v>861</v>
      </c>
      <c r="AC341" s="36" t="s">
        <v>971</v>
      </c>
      <c r="AD341" s="37">
        <v>9.1</v>
      </c>
      <c r="AE341" s="36" t="s">
        <v>864</v>
      </c>
      <c r="AF341" s="36" t="s">
        <v>860</v>
      </c>
    </row>
    <row r="342" spans="2:32" ht="60" customHeight="1" x14ac:dyDescent="0.25">
      <c r="B342" s="31" t="s">
        <v>1549</v>
      </c>
      <c r="C342" s="41">
        <v>2017</v>
      </c>
      <c r="D342" s="42">
        <f t="shared" si="5"/>
        <v>2021</v>
      </c>
      <c r="E342" s="31" t="s">
        <v>126</v>
      </c>
      <c r="F342" s="31" t="s">
        <v>1119</v>
      </c>
      <c r="G342" s="31" t="s">
        <v>1550</v>
      </c>
      <c r="H342" s="31" t="s">
        <v>172</v>
      </c>
      <c r="I342" s="31" t="s">
        <v>1020</v>
      </c>
      <c r="J342" s="31" t="s">
        <v>1021</v>
      </c>
      <c r="K342" s="31" t="s">
        <v>216</v>
      </c>
      <c r="L342" s="31" t="s">
        <v>159</v>
      </c>
      <c r="M342" s="34">
        <v>0</v>
      </c>
      <c r="N342" s="34">
        <v>504724000</v>
      </c>
      <c r="O342" s="34">
        <v>504724000</v>
      </c>
      <c r="P342" s="31" t="s">
        <v>624</v>
      </c>
      <c r="Q342" s="34">
        <v>917680</v>
      </c>
      <c r="R342" s="31" t="s">
        <v>159</v>
      </c>
      <c r="S342" s="35">
        <v>42795</v>
      </c>
      <c r="T342" s="35">
        <v>42866</v>
      </c>
      <c r="U342" s="35">
        <v>44469</v>
      </c>
      <c r="V342" s="27" t="s">
        <v>9308</v>
      </c>
      <c r="W342" s="31" t="s">
        <v>557</v>
      </c>
      <c r="X342" s="31" t="s">
        <v>880</v>
      </c>
      <c r="Y342" s="31" t="s">
        <v>242</v>
      </c>
      <c r="Z342" s="31" t="s">
        <v>1103</v>
      </c>
      <c r="AA342" s="31" t="s">
        <v>561</v>
      </c>
      <c r="AB342" s="31" t="s">
        <v>560</v>
      </c>
      <c r="AC342" s="31" t="s">
        <v>989</v>
      </c>
      <c r="AD342" s="34">
        <v>3.8</v>
      </c>
      <c r="AE342" s="31" t="s">
        <v>902</v>
      </c>
      <c r="AF342" s="31" t="s">
        <v>860</v>
      </c>
    </row>
    <row r="343" spans="2:32" ht="60" customHeight="1" x14ac:dyDescent="0.25">
      <c r="B343" s="36" t="s">
        <v>1551</v>
      </c>
      <c r="C343" s="42">
        <v>2017</v>
      </c>
      <c r="D343" s="42">
        <f t="shared" si="5"/>
        <v>2018</v>
      </c>
      <c r="E343" s="36" t="s">
        <v>126</v>
      </c>
      <c r="F343" s="36" t="s">
        <v>1552</v>
      </c>
      <c r="G343" s="36" t="s">
        <v>1553</v>
      </c>
      <c r="H343" s="36" t="s">
        <v>172</v>
      </c>
      <c r="I343" s="36" t="s">
        <v>1020</v>
      </c>
      <c r="J343" s="36" t="s">
        <v>1021</v>
      </c>
      <c r="K343" s="36" t="s">
        <v>216</v>
      </c>
      <c r="L343" s="36" t="s">
        <v>159</v>
      </c>
      <c r="M343" s="37">
        <v>0</v>
      </c>
      <c r="N343" s="37">
        <v>1507656700</v>
      </c>
      <c r="O343" s="37">
        <v>1507656700</v>
      </c>
      <c r="P343" s="36" t="s">
        <v>624</v>
      </c>
      <c r="Q343" s="37">
        <v>2741194</v>
      </c>
      <c r="R343" s="36" t="s">
        <v>159</v>
      </c>
      <c r="S343" s="38">
        <v>43090</v>
      </c>
      <c r="T343" s="38">
        <v>42866</v>
      </c>
      <c r="U343" s="38">
        <v>43465</v>
      </c>
      <c r="V343" s="27" t="s">
        <v>9308</v>
      </c>
      <c r="W343" s="36" t="s">
        <v>557</v>
      </c>
      <c r="X343" s="36" t="s">
        <v>880</v>
      </c>
      <c r="Y343" s="36" t="s">
        <v>242</v>
      </c>
      <c r="Z343" s="36" t="s">
        <v>1064</v>
      </c>
      <c r="AA343" s="36" t="s">
        <v>561</v>
      </c>
      <c r="AB343" s="36" t="s">
        <v>560</v>
      </c>
      <c r="AC343" s="36" t="s">
        <v>989</v>
      </c>
      <c r="AD343" s="37">
        <v>3.8</v>
      </c>
      <c r="AE343" s="36" t="s">
        <v>902</v>
      </c>
      <c r="AF343" s="36" t="s">
        <v>860</v>
      </c>
    </row>
    <row r="344" spans="2:32" ht="60" customHeight="1" x14ac:dyDescent="0.25">
      <c r="B344" s="31" t="s">
        <v>1554</v>
      </c>
      <c r="C344" s="41">
        <v>2017</v>
      </c>
      <c r="D344" s="42">
        <f t="shared" si="5"/>
        <v>2020</v>
      </c>
      <c r="E344" s="31" t="s">
        <v>126</v>
      </c>
      <c r="F344" s="31" t="s">
        <v>1555</v>
      </c>
      <c r="G344" s="31" t="s">
        <v>1556</v>
      </c>
      <c r="H344" s="31" t="s">
        <v>172</v>
      </c>
      <c r="I344" s="31" t="s">
        <v>1020</v>
      </c>
      <c r="J344" s="31" t="s">
        <v>1021</v>
      </c>
      <c r="K344" s="31" t="s">
        <v>526</v>
      </c>
      <c r="L344" s="31" t="s">
        <v>159</v>
      </c>
      <c r="M344" s="34">
        <v>0</v>
      </c>
      <c r="N344" s="34">
        <v>143550000</v>
      </c>
      <c r="O344" s="34">
        <v>143550000</v>
      </c>
      <c r="P344" s="31" t="s">
        <v>624</v>
      </c>
      <c r="Q344" s="34">
        <v>261000</v>
      </c>
      <c r="R344" s="31" t="s">
        <v>159</v>
      </c>
      <c r="S344" s="35">
        <v>42929</v>
      </c>
      <c r="T344" s="35">
        <v>42866</v>
      </c>
      <c r="U344" s="35">
        <v>44104</v>
      </c>
      <c r="V344" s="27" t="s">
        <v>9308</v>
      </c>
      <c r="W344" s="31" t="s">
        <v>557</v>
      </c>
      <c r="X344" s="31" t="s">
        <v>880</v>
      </c>
      <c r="Y344" s="31" t="s">
        <v>242</v>
      </c>
      <c r="Z344" s="31" t="s">
        <v>1095</v>
      </c>
      <c r="AA344" s="31" t="s">
        <v>561</v>
      </c>
      <c r="AB344" s="31" t="s">
        <v>560</v>
      </c>
      <c r="AC344" s="31" t="s">
        <v>1022</v>
      </c>
      <c r="AD344" s="34">
        <v>1.3</v>
      </c>
      <c r="AE344" s="31" t="s">
        <v>902</v>
      </c>
      <c r="AF344" s="31" t="s">
        <v>860</v>
      </c>
    </row>
    <row r="345" spans="2:32" ht="90" customHeight="1" x14ac:dyDescent="0.25">
      <c r="B345" s="36" t="s">
        <v>1557</v>
      </c>
      <c r="C345" s="42">
        <v>2017</v>
      </c>
      <c r="D345" s="42">
        <f t="shared" si="5"/>
        <v>2021</v>
      </c>
      <c r="E345" s="36" t="s">
        <v>126</v>
      </c>
      <c r="F345" s="36" t="s">
        <v>1558</v>
      </c>
      <c r="G345" s="36" t="s">
        <v>1560</v>
      </c>
      <c r="H345" s="36" t="s">
        <v>172</v>
      </c>
      <c r="I345" s="36" t="s">
        <v>1020</v>
      </c>
      <c r="J345" s="36" t="s">
        <v>1021</v>
      </c>
      <c r="K345" s="36" t="s">
        <v>216</v>
      </c>
      <c r="L345" s="36" t="s">
        <v>159</v>
      </c>
      <c r="M345" s="37">
        <v>0</v>
      </c>
      <c r="N345" s="37">
        <v>2147779150</v>
      </c>
      <c r="O345" s="37">
        <v>2147779150</v>
      </c>
      <c r="P345" s="36" t="s">
        <v>624</v>
      </c>
      <c r="Q345" s="37">
        <v>3905053</v>
      </c>
      <c r="R345" s="36" t="s">
        <v>159</v>
      </c>
      <c r="S345" s="38">
        <v>42866</v>
      </c>
      <c r="T345" s="38">
        <v>42794</v>
      </c>
      <c r="U345" s="38">
        <v>44469</v>
      </c>
      <c r="V345" s="27" t="s">
        <v>9426</v>
      </c>
      <c r="W345" s="36" t="s">
        <v>557</v>
      </c>
      <c r="X345" s="36" t="s">
        <v>880</v>
      </c>
      <c r="Y345" s="36" t="s">
        <v>242</v>
      </c>
      <c r="Z345" s="36" t="s">
        <v>1559</v>
      </c>
      <c r="AA345" s="36" t="s">
        <v>561</v>
      </c>
      <c r="AB345" s="36" t="s">
        <v>560</v>
      </c>
      <c r="AC345" s="36" t="s">
        <v>989</v>
      </c>
      <c r="AD345" s="37">
        <v>3.8</v>
      </c>
      <c r="AE345" s="36" t="s">
        <v>902</v>
      </c>
      <c r="AF345" s="36" t="s">
        <v>860</v>
      </c>
    </row>
    <row r="346" spans="2:32" ht="60" customHeight="1" x14ac:dyDescent="0.25">
      <c r="B346" s="31" t="s">
        <v>1562</v>
      </c>
      <c r="C346" s="41">
        <v>2017</v>
      </c>
      <c r="D346" s="42">
        <f t="shared" si="5"/>
        <v>2020</v>
      </c>
      <c r="E346" s="31" t="s">
        <v>317</v>
      </c>
      <c r="F346" s="31" t="s">
        <v>1563</v>
      </c>
      <c r="G346" s="31" t="s">
        <v>1564</v>
      </c>
      <c r="H346" s="31" t="s">
        <v>129</v>
      </c>
      <c r="I346" s="31" t="s">
        <v>1128</v>
      </c>
      <c r="J346" s="31" t="s">
        <v>1128</v>
      </c>
      <c r="K346" s="31" t="s">
        <v>315</v>
      </c>
      <c r="L346" s="31" t="s">
        <v>159</v>
      </c>
      <c r="M346" s="34">
        <v>0</v>
      </c>
      <c r="N346" s="34">
        <v>623437600</v>
      </c>
      <c r="O346" s="34">
        <v>623437600</v>
      </c>
      <c r="P346" s="31" t="s">
        <v>1127</v>
      </c>
      <c r="Q346" s="34">
        <v>1360000</v>
      </c>
      <c r="R346" s="31" t="s">
        <v>159</v>
      </c>
      <c r="S346" s="35">
        <v>42781</v>
      </c>
      <c r="T346" s="35">
        <v>42573</v>
      </c>
      <c r="U346" s="35">
        <v>44196</v>
      </c>
      <c r="V346" s="27" t="s">
        <v>9308</v>
      </c>
      <c r="W346" s="31" t="s">
        <v>557</v>
      </c>
      <c r="X346" s="31" t="s">
        <v>880</v>
      </c>
      <c r="Y346" s="31" t="s">
        <v>242</v>
      </c>
      <c r="Z346" s="31" t="s">
        <v>896</v>
      </c>
      <c r="AA346" s="31" t="s">
        <v>900</v>
      </c>
      <c r="AB346" s="31" t="s">
        <v>861</v>
      </c>
      <c r="AC346" s="31" t="s">
        <v>901</v>
      </c>
      <c r="AD346" s="34">
        <v>4.0999999999999996</v>
      </c>
      <c r="AE346" s="31" t="s">
        <v>902</v>
      </c>
      <c r="AF346" s="31" t="s">
        <v>860</v>
      </c>
    </row>
    <row r="347" spans="2:32" ht="60" customHeight="1" x14ac:dyDescent="0.25">
      <c r="B347" s="36" t="s">
        <v>1565</v>
      </c>
      <c r="C347" s="42">
        <v>2017</v>
      </c>
      <c r="D347" s="42">
        <f t="shared" si="5"/>
        <v>2022</v>
      </c>
      <c r="E347" s="36" t="s">
        <v>126</v>
      </c>
      <c r="F347" s="36" t="s">
        <v>1566</v>
      </c>
      <c r="G347" s="36" t="s">
        <v>1568</v>
      </c>
      <c r="H347" s="36" t="s">
        <v>129</v>
      </c>
      <c r="I347" s="36" t="s">
        <v>1128</v>
      </c>
      <c r="J347" s="36" t="s">
        <v>1128</v>
      </c>
      <c r="K347" s="36" t="s">
        <v>245</v>
      </c>
      <c r="L347" s="36" t="s">
        <v>159</v>
      </c>
      <c r="M347" s="37">
        <v>0</v>
      </c>
      <c r="N347" s="37">
        <v>586764800</v>
      </c>
      <c r="O347" s="37">
        <v>586764800</v>
      </c>
      <c r="P347" s="36" t="s">
        <v>1127</v>
      </c>
      <c r="Q347" s="37">
        <v>1280000</v>
      </c>
      <c r="R347" s="36" t="s">
        <v>159</v>
      </c>
      <c r="S347" s="38">
        <v>42781</v>
      </c>
      <c r="T347" s="38">
        <v>42718</v>
      </c>
      <c r="U347" s="38">
        <v>44651</v>
      </c>
      <c r="V347" s="27" t="s">
        <v>9308</v>
      </c>
      <c r="W347" s="36" t="s">
        <v>557</v>
      </c>
      <c r="X347" s="36" t="s">
        <v>880</v>
      </c>
      <c r="Y347" s="36" t="s">
        <v>242</v>
      </c>
      <c r="Z347" s="36" t="s">
        <v>1567</v>
      </c>
      <c r="AA347" s="36" t="s">
        <v>862</v>
      </c>
      <c r="AB347" s="36" t="s">
        <v>861</v>
      </c>
      <c r="AC347" s="36" t="s">
        <v>971</v>
      </c>
      <c r="AD347" s="37">
        <v>9.1</v>
      </c>
      <c r="AE347" s="36" t="s">
        <v>864</v>
      </c>
      <c r="AF347" s="36" t="s">
        <v>860</v>
      </c>
    </row>
    <row r="348" spans="2:32" ht="60" customHeight="1" x14ac:dyDescent="0.25">
      <c r="B348" s="31" t="s">
        <v>1569</v>
      </c>
      <c r="C348" s="41">
        <v>2017</v>
      </c>
      <c r="D348" s="42">
        <f t="shared" si="5"/>
        <v>2021</v>
      </c>
      <c r="E348" s="31" t="s">
        <v>317</v>
      </c>
      <c r="F348" s="31" t="s">
        <v>1570</v>
      </c>
      <c r="G348" s="31" t="s">
        <v>1571</v>
      </c>
      <c r="H348" s="31" t="s">
        <v>326</v>
      </c>
      <c r="I348" s="31" t="s">
        <v>324</v>
      </c>
      <c r="J348" s="31" t="s">
        <v>325</v>
      </c>
      <c r="K348" s="31" t="s">
        <v>315</v>
      </c>
      <c r="L348" s="31" t="s">
        <v>159</v>
      </c>
      <c r="M348" s="34">
        <v>0</v>
      </c>
      <c r="N348" s="34">
        <v>4460507600</v>
      </c>
      <c r="O348" s="34">
        <v>4460507600</v>
      </c>
      <c r="P348" s="31" t="s">
        <v>122</v>
      </c>
      <c r="Q348" s="34">
        <v>6800000</v>
      </c>
      <c r="R348" s="31" t="s">
        <v>159</v>
      </c>
      <c r="S348" s="45"/>
      <c r="T348" s="35">
        <v>42866</v>
      </c>
      <c r="U348" s="35">
        <v>44561</v>
      </c>
      <c r="V348" s="27" t="s">
        <v>9427</v>
      </c>
      <c r="W348" s="31" t="s">
        <v>557</v>
      </c>
      <c r="X348" s="31" t="s">
        <v>880</v>
      </c>
      <c r="Y348" s="31" t="s">
        <v>242</v>
      </c>
      <c r="Z348" s="31" t="s">
        <v>896</v>
      </c>
      <c r="AA348" s="31" t="s">
        <v>900</v>
      </c>
      <c r="AB348" s="31" t="s">
        <v>861</v>
      </c>
      <c r="AC348" s="31" t="s">
        <v>901</v>
      </c>
      <c r="AD348" s="34">
        <v>4.0999999999999996</v>
      </c>
      <c r="AE348" s="31" t="s">
        <v>902</v>
      </c>
      <c r="AF348" s="31" t="s">
        <v>860</v>
      </c>
    </row>
    <row r="349" spans="2:32" ht="135" customHeight="1" x14ac:dyDescent="0.25">
      <c r="B349" s="36" t="s">
        <v>1574</v>
      </c>
      <c r="C349" s="42">
        <v>2018</v>
      </c>
      <c r="D349" s="42">
        <f t="shared" si="5"/>
        <v>2024</v>
      </c>
      <c r="E349" s="36" t="s">
        <v>317</v>
      </c>
      <c r="F349" s="36" t="s">
        <v>1575</v>
      </c>
      <c r="G349" s="36" t="s">
        <v>1576</v>
      </c>
      <c r="H349" s="36" t="s">
        <v>129</v>
      </c>
      <c r="I349" s="36" t="s">
        <v>337</v>
      </c>
      <c r="J349" s="36" t="s">
        <v>338</v>
      </c>
      <c r="K349" s="36" t="s">
        <v>205</v>
      </c>
      <c r="L349" s="36" t="s">
        <v>201</v>
      </c>
      <c r="M349" s="37">
        <v>32797850000</v>
      </c>
      <c r="N349" s="37">
        <v>5247656000</v>
      </c>
      <c r="O349" s="37">
        <v>38045506000</v>
      </c>
      <c r="P349" s="36" t="s">
        <v>122</v>
      </c>
      <c r="Q349" s="37">
        <v>58000000</v>
      </c>
      <c r="R349" s="36" t="s">
        <v>279</v>
      </c>
      <c r="S349" s="38">
        <v>43164</v>
      </c>
      <c r="T349" s="38">
        <v>43139</v>
      </c>
      <c r="U349" s="38">
        <v>45473</v>
      </c>
      <c r="V349" s="27" t="s">
        <v>9428</v>
      </c>
      <c r="W349" s="37"/>
      <c r="X349" s="37"/>
      <c r="Y349" s="37" t="s">
        <v>242</v>
      </c>
      <c r="Z349" s="37"/>
      <c r="AA349" s="37"/>
      <c r="AB349" s="37"/>
      <c r="AC349" s="37"/>
      <c r="AD349" s="37"/>
      <c r="AE349" s="37"/>
      <c r="AF349" s="37"/>
    </row>
    <row r="350" spans="2:32" ht="60" customHeight="1" x14ac:dyDescent="0.25">
      <c r="B350" s="31" t="s">
        <v>1579</v>
      </c>
      <c r="C350" s="41">
        <v>2018</v>
      </c>
      <c r="D350" s="42">
        <f t="shared" si="5"/>
        <v>2024</v>
      </c>
      <c r="E350" s="31" t="s">
        <v>126</v>
      </c>
      <c r="F350" s="31" t="s">
        <v>1580</v>
      </c>
      <c r="G350" s="31" t="s">
        <v>1581</v>
      </c>
      <c r="H350" s="31" t="s">
        <v>326</v>
      </c>
      <c r="I350" s="31" t="s">
        <v>337</v>
      </c>
      <c r="J350" s="31" t="s">
        <v>338</v>
      </c>
      <c r="K350" s="31" t="s">
        <v>118</v>
      </c>
      <c r="L350" s="31" t="s">
        <v>127</v>
      </c>
      <c r="M350" s="34">
        <v>9970546400</v>
      </c>
      <c r="N350" s="34">
        <v>0</v>
      </c>
      <c r="O350" s="34">
        <v>9970546400</v>
      </c>
      <c r="P350" s="31" t="s">
        <v>122</v>
      </c>
      <c r="Q350" s="34">
        <v>15200000</v>
      </c>
      <c r="R350" s="31" t="s">
        <v>150</v>
      </c>
      <c r="S350" s="35">
        <v>43444</v>
      </c>
      <c r="T350" s="35">
        <v>43231</v>
      </c>
      <c r="U350" s="35">
        <v>45657</v>
      </c>
      <c r="V350" s="27" t="s">
        <v>9329</v>
      </c>
      <c r="W350" s="31" t="s">
        <v>557</v>
      </c>
      <c r="X350" s="31" t="s">
        <v>859</v>
      </c>
      <c r="Y350" s="31" t="s">
        <v>242</v>
      </c>
      <c r="Z350" s="31" t="s">
        <v>1275</v>
      </c>
      <c r="AA350" s="31" t="s">
        <v>862</v>
      </c>
      <c r="AB350" s="31" t="s">
        <v>861</v>
      </c>
      <c r="AC350" s="31" t="s">
        <v>1173</v>
      </c>
      <c r="AD350" s="34">
        <v>7.1</v>
      </c>
      <c r="AE350" s="31" t="s">
        <v>864</v>
      </c>
      <c r="AF350" s="31" t="s">
        <v>860</v>
      </c>
    </row>
    <row r="351" spans="2:32" ht="120" customHeight="1" x14ac:dyDescent="0.25">
      <c r="B351" s="36" t="s">
        <v>1582</v>
      </c>
      <c r="C351" s="42">
        <v>2018</v>
      </c>
      <c r="D351" s="42">
        <f t="shared" si="5"/>
        <v>2024</v>
      </c>
      <c r="E351" s="36" t="s">
        <v>126</v>
      </c>
      <c r="F351" s="36" t="s">
        <v>1580</v>
      </c>
      <c r="G351" s="36" t="s">
        <v>1583</v>
      </c>
      <c r="H351" s="36" t="s">
        <v>151</v>
      </c>
      <c r="I351" s="36" t="s">
        <v>277</v>
      </c>
      <c r="J351" s="36" t="s">
        <v>278</v>
      </c>
      <c r="K351" s="36" t="s">
        <v>118</v>
      </c>
      <c r="L351" s="36" t="s">
        <v>201</v>
      </c>
      <c r="M351" s="37">
        <v>5049217600</v>
      </c>
      <c r="N351" s="37">
        <v>4053486800</v>
      </c>
      <c r="O351" s="37">
        <v>9102704400</v>
      </c>
      <c r="P351" s="36" t="s">
        <v>276</v>
      </c>
      <c r="Q351" s="37">
        <v>11610000</v>
      </c>
      <c r="R351" s="36" t="s">
        <v>279</v>
      </c>
      <c r="S351" s="38">
        <v>43231</v>
      </c>
      <c r="T351" s="38">
        <v>43170</v>
      </c>
      <c r="U351" s="38">
        <v>45657</v>
      </c>
      <c r="V351" s="27" t="s">
        <v>9329</v>
      </c>
      <c r="W351" s="36" t="s">
        <v>557</v>
      </c>
      <c r="X351" s="36" t="s">
        <v>859</v>
      </c>
      <c r="Y351" s="36" t="s">
        <v>125</v>
      </c>
      <c r="Z351" s="36" t="s">
        <v>1275</v>
      </c>
      <c r="AA351" s="36" t="s">
        <v>862</v>
      </c>
      <c r="AB351" s="36" t="s">
        <v>861</v>
      </c>
      <c r="AC351" s="36" t="s">
        <v>1173</v>
      </c>
      <c r="AD351" s="37">
        <v>7.1</v>
      </c>
      <c r="AE351" s="36" t="s">
        <v>864</v>
      </c>
      <c r="AF351" s="36" t="s">
        <v>860</v>
      </c>
    </row>
    <row r="352" spans="2:32" ht="120" customHeight="1" x14ac:dyDescent="0.25">
      <c r="B352" s="31" t="s">
        <v>1584</v>
      </c>
      <c r="C352" s="41">
        <v>2018</v>
      </c>
      <c r="D352" s="42">
        <f t="shared" si="5"/>
        <v>2025</v>
      </c>
      <c r="E352" s="31" t="s">
        <v>126</v>
      </c>
      <c r="F352" s="31" t="s">
        <v>1585</v>
      </c>
      <c r="G352" s="31" t="s">
        <v>1586</v>
      </c>
      <c r="H352" s="31" t="s">
        <v>151</v>
      </c>
      <c r="I352" s="31" t="s">
        <v>168</v>
      </c>
      <c r="J352" s="31" t="s">
        <v>169</v>
      </c>
      <c r="K352" s="31" t="s">
        <v>142</v>
      </c>
      <c r="L352" s="31" t="s">
        <v>127</v>
      </c>
      <c r="M352" s="34">
        <v>65025017410</v>
      </c>
      <c r="N352" s="34">
        <v>0</v>
      </c>
      <c r="O352" s="34">
        <v>65025017410</v>
      </c>
      <c r="P352" s="31" t="s">
        <v>122</v>
      </c>
      <c r="Q352" s="34">
        <v>99130000</v>
      </c>
      <c r="R352" s="31" t="s">
        <v>1589</v>
      </c>
      <c r="S352" s="35">
        <v>43255</v>
      </c>
      <c r="T352" s="35">
        <v>43193</v>
      </c>
      <c r="U352" s="35">
        <v>46022</v>
      </c>
      <c r="V352" s="27" t="s">
        <v>9429</v>
      </c>
      <c r="W352" s="34"/>
      <c r="X352" s="34"/>
      <c r="Y352" s="34" t="s">
        <v>125</v>
      </c>
      <c r="Z352" s="34"/>
      <c r="AA352" s="34"/>
      <c r="AB352" s="34"/>
      <c r="AC352" s="34"/>
      <c r="AD352" s="34"/>
      <c r="AE352" s="34"/>
      <c r="AF352" s="34"/>
    </row>
    <row r="353" spans="2:32" ht="60" customHeight="1" x14ac:dyDescent="0.25">
      <c r="B353" s="36" t="s">
        <v>1590</v>
      </c>
      <c r="C353" s="42">
        <v>2018</v>
      </c>
      <c r="D353" s="42">
        <f t="shared" si="5"/>
        <v>2023</v>
      </c>
      <c r="E353" s="36" t="s">
        <v>126</v>
      </c>
      <c r="F353" s="36" t="s">
        <v>1591</v>
      </c>
      <c r="G353" s="36" t="s">
        <v>1592</v>
      </c>
      <c r="H353" s="36" t="s">
        <v>181</v>
      </c>
      <c r="I353" s="36" t="s">
        <v>157</v>
      </c>
      <c r="J353" s="36" t="s">
        <v>158</v>
      </c>
      <c r="K353" s="36" t="s">
        <v>205</v>
      </c>
      <c r="L353" s="36" t="s">
        <v>127</v>
      </c>
      <c r="M353" s="37">
        <v>2623828000</v>
      </c>
      <c r="N353" s="37">
        <v>0</v>
      </c>
      <c r="O353" s="37">
        <v>2623828000</v>
      </c>
      <c r="P353" s="36" t="s">
        <v>122</v>
      </c>
      <c r="Q353" s="37">
        <v>4000000</v>
      </c>
      <c r="R353" s="36" t="s">
        <v>127</v>
      </c>
      <c r="S353" s="38">
        <v>43209</v>
      </c>
      <c r="T353" s="38">
        <v>43207</v>
      </c>
      <c r="U353" s="38">
        <v>45291</v>
      </c>
      <c r="V353" s="27" t="s">
        <v>9430</v>
      </c>
      <c r="W353" s="36" t="s">
        <v>557</v>
      </c>
      <c r="X353" s="36" t="s">
        <v>558</v>
      </c>
      <c r="Y353" s="36" t="s">
        <v>125</v>
      </c>
      <c r="Z353" s="36" t="s">
        <v>1258</v>
      </c>
      <c r="AA353" s="36" t="s">
        <v>1012</v>
      </c>
      <c r="AB353" s="36" t="s">
        <v>560</v>
      </c>
      <c r="AC353" s="36" t="s">
        <v>939</v>
      </c>
      <c r="AD353" s="37">
        <v>11.3</v>
      </c>
      <c r="AE353" s="36" t="s">
        <v>563</v>
      </c>
      <c r="AF353" s="36" t="s">
        <v>860</v>
      </c>
    </row>
    <row r="354" spans="2:32" ht="135" customHeight="1" x14ac:dyDescent="0.25">
      <c r="B354" s="31" t="s">
        <v>1595</v>
      </c>
      <c r="C354" s="41">
        <v>2018</v>
      </c>
      <c r="D354" s="42">
        <f t="shared" si="5"/>
        <v>2025</v>
      </c>
      <c r="E354" s="31" t="s">
        <v>126</v>
      </c>
      <c r="F354" s="31" t="s">
        <v>1596</v>
      </c>
      <c r="G354" s="31" t="s">
        <v>1597</v>
      </c>
      <c r="H354" s="31" t="s">
        <v>181</v>
      </c>
      <c r="I354" s="31" t="s">
        <v>178</v>
      </c>
      <c r="J354" s="31" t="s">
        <v>179</v>
      </c>
      <c r="K354" s="31" t="s">
        <v>205</v>
      </c>
      <c r="L354" s="31" t="s">
        <v>201</v>
      </c>
      <c r="M354" s="34">
        <v>15808563700</v>
      </c>
      <c r="N354" s="34">
        <v>7905000000</v>
      </c>
      <c r="O354" s="34">
        <v>23713563700</v>
      </c>
      <c r="P354" s="31" t="s">
        <v>200</v>
      </c>
      <c r="Q354" s="34">
        <v>34400000</v>
      </c>
      <c r="R354" s="31" t="s">
        <v>279</v>
      </c>
      <c r="S354" s="35">
        <v>43211</v>
      </c>
      <c r="T354" s="35">
        <v>43207</v>
      </c>
      <c r="U354" s="35">
        <v>46022</v>
      </c>
      <c r="V354" s="27" t="s">
        <v>9410</v>
      </c>
      <c r="W354" s="31" t="s">
        <v>557</v>
      </c>
      <c r="X354" s="31" t="s">
        <v>880</v>
      </c>
      <c r="Y354" s="31" t="s">
        <v>125</v>
      </c>
      <c r="Z354" s="31" t="s">
        <v>1258</v>
      </c>
      <c r="AA354" s="31" t="s">
        <v>1012</v>
      </c>
      <c r="AB354" s="31" t="s">
        <v>560</v>
      </c>
      <c r="AC354" s="31" t="s">
        <v>939</v>
      </c>
      <c r="AD354" s="34">
        <v>11.3</v>
      </c>
      <c r="AE354" s="31" t="s">
        <v>563</v>
      </c>
      <c r="AF354" s="31" t="s">
        <v>860</v>
      </c>
    </row>
    <row r="355" spans="2:32" ht="60" customHeight="1" x14ac:dyDescent="0.25">
      <c r="B355" s="36" t="s">
        <v>1598</v>
      </c>
      <c r="C355" s="42">
        <v>2018</v>
      </c>
      <c r="D355" s="42">
        <f t="shared" si="5"/>
        <v>2025</v>
      </c>
      <c r="E355" s="36" t="s">
        <v>126</v>
      </c>
      <c r="F355" s="36" t="s">
        <v>1596</v>
      </c>
      <c r="G355" s="36" t="s">
        <v>1599</v>
      </c>
      <c r="H355" s="36" t="s">
        <v>181</v>
      </c>
      <c r="I355" s="36" t="s">
        <v>423</v>
      </c>
      <c r="J355" s="36" t="s">
        <v>424</v>
      </c>
      <c r="K355" s="36" t="s">
        <v>205</v>
      </c>
      <c r="L355" s="36" t="s">
        <v>159</v>
      </c>
      <c r="M355" s="37">
        <v>0</v>
      </c>
      <c r="N355" s="37">
        <v>6092794012</v>
      </c>
      <c r="O355" s="37">
        <v>6092794012</v>
      </c>
      <c r="P355" s="36" t="s">
        <v>624</v>
      </c>
      <c r="Q355" s="37">
        <v>11568708</v>
      </c>
      <c r="R355" s="36" t="s">
        <v>159</v>
      </c>
      <c r="S355" s="38">
        <v>43211</v>
      </c>
      <c r="T355" s="38">
        <v>43207</v>
      </c>
      <c r="U355" s="38">
        <v>46022</v>
      </c>
      <c r="V355" s="27" t="s">
        <v>9410</v>
      </c>
      <c r="W355" s="36" t="s">
        <v>557</v>
      </c>
      <c r="X355" s="36" t="s">
        <v>880</v>
      </c>
      <c r="Y355" s="36" t="s">
        <v>125</v>
      </c>
      <c r="Z355" s="36" t="s">
        <v>1258</v>
      </c>
      <c r="AA355" s="36" t="s">
        <v>1012</v>
      </c>
      <c r="AB355" s="36" t="s">
        <v>560</v>
      </c>
      <c r="AC355" s="36" t="s">
        <v>939</v>
      </c>
      <c r="AD355" s="37">
        <v>11.3</v>
      </c>
      <c r="AE355" s="36" t="s">
        <v>563</v>
      </c>
      <c r="AF355" s="36" t="s">
        <v>860</v>
      </c>
    </row>
    <row r="356" spans="2:32" ht="135" customHeight="1" x14ac:dyDescent="0.25">
      <c r="B356" s="31" t="s">
        <v>1600</v>
      </c>
      <c r="C356" s="32">
        <v>2018</v>
      </c>
      <c r="D356" s="33">
        <f t="shared" si="5"/>
        <v>2021</v>
      </c>
      <c r="E356" s="31" t="s">
        <v>126</v>
      </c>
      <c r="F356" s="31" t="s">
        <v>1601</v>
      </c>
      <c r="G356" s="31" t="s">
        <v>1602</v>
      </c>
      <c r="H356" s="31" t="s">
        <v>129</v>
      </c>
      <c r="I356" s="31" t="s">
        <v>738</v>
      </c>
      <c r="J356" s="31" t="s">
        <v>739</v>
      </c>
      <c r="K356" s="31" t="s">
        <v>142</v>
      </c>
      <c r="L356" s="31" t="s">
        <v>127</v>
      </c>
      <c r="M356" s="34">
        <v>40478000000</v>
      </c>
      <c r="N356" s="34">
        <v>0</v>
      </c>
      <c r="O356" s="34">
        <v>40478000000</v>
      </c>
      <c r="P356" s="31" t="s">
        <v>136</v>
      </c>
      <c r="Q356" s="34">
        <v>40478000000</v>
      </c>
      <c r="R356" s="31" t="s">
        <v>443</v>
      </c>
      <c r="S356" s="35">
        <v>43256</v>
      </c>
      <c r="T356" s="35">
        <v>43231</v>
      </c>
      <c r="U356" s="35">
        <v>44561</v>
      </c>
      <c r="V356" s="27" t="s">
        <v>9431</v>
      </c>
      <c r="W356" s="34"/>
      <c r="X356" s="34"/>
      <c r="Y356" s="34" t="s">
        <v>442</v>
      </c>
      <c r="Z356" s="34"/>
      <c r="AA356" s="34"/>
      <c r="AB356" s="34"/>
      <c r="AC356" s="34"/>
      <c r="AD356" s="34"/>
      <c r="AE356" s="34"/>
      <c r="AF356" s="34"/>
    </row>
    <row r="357" spans="2:32" ht="135" customHeight="1" x14ac:dyDescent="0.25">
      <c r="B357" s="36" t="s">
        <v>1605</v>
      </c>
      <c r="C357" s="42">
        <v>2018</v>
      </c>
      <c r="D357" s="42">
        <f t="shared" si="5"/>
        <v>2024</v>
      </c>
      <c r="E357" s="36" t="s">
        <v>126</v>
      </c>
      <c r="F357" s="36" t="s">
        <v>1606</v>
      </c>
      <c r="G357" s="36" t="s">
        <v>1607</v>
      </c>
      <c r="H357" s="36" t="s">
        <v>181</v>
      </c>
      <c r="I357" s="36" t="s">
        <v>178</v>
      </c>
      <c r="J357" s="36" t="s">
        <v>179</v>
      </c>
      <c r="K357" s="36" t="s">
        <v>216</v>
      </c>
      <c r="L357" s="36" t="s">
        <v>201</v>
      </c>
      <c r="M357" s="37">
        <v>8068271100</v>
      </c>
      <c r="N357" s="37">
        <v>8068271100</v>
      </c>
      <c r="O357" s="37">
        <v>16136542200</v>
      </c>
      <c r="P357" s="36" t="s">
        <v>200</v>
      </c>
      <c r="Q357" s="37">
        <v>22700000</v>
      </c>
      <c r="R357" s="36" t="s">
        <v>279</v>
      </c>
      <c r="S357" s="38">
        <v>43262</v>
      </c>
      <c r="T357" s="38">
        <v>43237</v>
      </c>
      <c r="U357" s="38">
        <v>45322</v>
      </c>
      <c r="V357" s="27" t="s">
        <v>9308</v>
      </c>
      <c r="W357" s="36" t="s">
        <v>557</v>
      </c>
      <c r="X357" s="36" t="s">
        <v>859</v>
      </c>
      <c r="Y357" s="36" t="s">
        <v>125</v>
      </c>
      <c r="Z357" s="36" t="s">
        <v>1103</v>
      </c>
      <c r="AA357" s="36" t="s">
        <v>561</v>
      </c>
      <c r="AB357" s="36" t="s">
        <v>560</v>
      </c>
      <c r="AC357" s="36" t="s">
        <v>989</v>
      </c>
      <c r="AD357" s="37">
        <v>3.8</v>
      </c>
      <c r="AE357" s="36" t="s">
        <v>902</v>
      </c>
      <c r="AF357" s="36" t="s">
        <v>860</v>
      </c>
    </row>
    <row r="358" spans="2:32" ht="120" customHeight="1" x14ac:dyDescent="0.25">
      <c r="B358" s="31" t="s">
        <v>1608</v>
      </c>
      <c r="C358" s="41">
        <v>2018</v>
      </c>
      <c r="D358" s="42">
        <f t="shared" si="5"/>
        <v>2024</v>
      </c>
      <c r="E358" s="31" t="s">
        <v>317</v>
      </c>
      <c r="F358" s="31" t="s">
        <v>1609</v>
      </c>
      <c r="G358" s="31" t="s">
        <v>1610</v>
      </c>
      <c r="H358" s="31" t="s">
        <v>181</v>
      </c>
      <c r="I358" s="31" t="s">
        <v>178</v>
      </c>
      <c r="J358" s="31" t="s">
        <v>179</v>
      </c>
      <c r="K358" s="31" t="s">
        <v>263</v>
      </c>
      <c r="L358" s="31" t="s">
        <v>201</v>
      </c>
      <c r="M358" s="34">
        <v>90950000000</v>
      </c>
      <c r="N358" s="34">
        <v>26750000000</v>
      </c>
      <c r="O358" s="34">
        <v>117700000000</v>
      </c>
      <c r="P358" s="31" t="s">
        <v>624</v>
      </c>
      <c r="Q358" s="34">
        <v>220000000</v>
      </c>
      <c r="R358" s="31" t="s">
        <v>279</v>
      </c>
      <c r="S358" s="35">
        <v>43271</v>
      </c>
      <c r="T358" s="35">
        <v>43265</v>
      </c>
      <c r="U358" s="35">
        <v>45657</v>
      </c>
      <c r="V358" s="27" t="s">
        <v>9308</v>
      </c>
      <c r="W358" s="34"/>
      <c r="X358" s="34"/>
      <c r="Y358" s="34" t="s">
        <v>125</v>
      </c>
      <c r="Z358" s="34"/>
      <c r="AA358" s="34"/>
      <c r="AB358" s="34"/>
      <c r="AC358" s="34"/>
      <c r="AD358" s="34"/>
      <c r="AE358" s="34"/>
      <c r="AF358" s="34"/>
    </row>
    <row r="359" spans="2:32" ht="75" customHeight="1" x14ac:dyDescent="0.25">
      <c r="B359" s="36" t="s">
        <v>1611</v>
      </c>
      <c r="C359" s="33">
        <v>2018</v>
      </c>
      <c r="D359" s="33">
        <f t="shared" si="5"/>
        <v>2023</v>
      </c>
      <c r="E359" s="36" t="s">
        <v>126</v>
      </c>
      <c r="F359" s="36" t="s">
        <v>1612</v>
      </c>
      <c r="G359" s="36" t="s">
        <v>1613</v>
      </c>
      <c r="H359" s="36" t="s">
        <v>139</v>
      </c>
      <c r="I359" s="36" t="s">
        <v>137</v>
      </c>
      <c r="J359" s="36" t="s">
        <v>138</v>
      </c>
      <c r="K359" s="36" t="s">
        <v>205</v>
      </c>
      <c r="L359" s="36" t="s">
        <v>127</v>
      </c>
      <c r="M359" s="37">
        <v>20000000000</v>
      </c>
      <c r="N359" s="37">
        <v>0</v>
      </c>
      <c r="O359" s="37">
        <v>20000000000</v>
      </c>
      <c r="P359" s="36" t="s">
        <v>136</v>
      </c>
      <c r="Q359" s="37">
        <v>20000000000</v>
      </c>
      <c r="R359" s="36" t="s">
        <v>128</v>
      </c>
      <c r="S359" s="38">
        <v>43363</v>
      </c>
      <c r="T359" s="38">
        <v>43276</v>
      </c>
      <c r="U359" s="38">
        <v>45291</v>
      </c>
      <c r="V359" s="27" t="s">
        <v>9307</v>
      </c>
      <c r="W359" s="37"/>
      <c r="X359" s="37"/>
      <c r="Y359" s="37" t="s">
        <v>125</v>
      </c>
      <c r="Z359" s="37"/>
      <c r="AA359" s="37"/>
      <c r="AB359" s="37"/>
      <c r="AC359" s="37"/>
      <c r="AD359" s="37"/>
      <c r="AE359" s="37"/>
      <c r="AF359" s="37"/>
    </row>
    <row r="360" spans="2:32" ht="60" customHeight="1" x14ac:dyDescent="0.25">
      <c r="B360" s="31" t="s">
        <v>1614</v>
      </c>
      <c r="C360" s="41">
        <v>2018</v>
      </c>
      <c r="D360" s="42">
        <f t="shared" si="5"/>
        <v>2024</v>
      </c>
      <c r="E360" s="31" t="s">
        <v>126</v>
      </c>
      <c r="F360" s="31" t="s">
        <v>1615</v>
      </c>
      <c r="G360" s="31" t="s">
        <v>1616</v>
      </c>
      <c r="H360" s="31" t="s">
        <v>181</v>
      </c>
      <c r="I360" s="31" t="s">
        <v>178</v>
      </c>
      <c r="J360" s="31" t="s">
        <v>179</v>
      </c>
      <c r="K360" s="31" t="s">
        <v>216</v>
      </c>
      <c r="L360" s="31" t="s">
        <v>127</v>
      </c>
      <c r="M360" s="34">
        <v>510000000</v>
      </c>
      <c r="N360" s="34">
        <v>0</v>
      </c>
      <c r="O360" s="34">
        <v>510000000</v>
      </c>
      <c r="P360" s="31" t="s">
        <v>624</v>
      </c>
      <c r="Q360" s="34">
        <v>927273</v>
      </c>
      <c r="R360" s="31" t="s">
        <v>150</v>
      </c>
      <c r="S360" s="35">
        <v>43280</v>
      </c>
      <c r="T360" s="35">
        <v>43152</v>
      </c>
      <c r="U360" s="35">
        <v>45473</v>
      </c>
      <c r="V360" s="27" t="s">
        <v>9308</v>
      </c>
      <c r="W360" s="31" t="s">
        <v>557</v>
      </c>
      <c r="X360" s="31" t="s">
        <v>880</v>
      </c>
      <c r="Y360" s="31" t="s">
        <v>125</v>
      </c>
      <c r="Z360" s="31" t="s">
        <v>992</v>
      </c>
      <c r="AA360" s="31" t="s">
        <v>561</v>
      </c>
      <c r="AB360" s="31" t="s">
        <v>560</v>
      </c>
      <c r="AC360" s="31" t="s">
        <v>989</v>
      </c>
      <c r="AD360" s="34">
        <v>3.8</v>
      </c>
      <c r="AE360" s="31" t="s">
        <v>902</v>
      </c>
      <c r="AF360" s="31" t="s">
        <v>860</v>
      </c>
    </row>
    <row r="361" spans="2:32" ht="75" customHeight="1" x14ac:dyDescent="0.25">
      <c r="B361" s="36" t="s">
        <v>1617</v>
      </c>
      <c r="C361" s="33">
        <v>2018</v>
      </c>
      <c r="D361" s="33">
        <f t="shared" si="5"/>
        <v>2023</v>
      </c>
      <c r="E361" s="36" t="s">
        <v>126</v>
      </c>
      <c r="F361" s="36" t="s">
        <v>1618</v>
      </c>
      <c r="G361" s="36" t="s">
        <v>1619</v>
      </c>
      <c r="H361" s="36" t="s">
        <v>129</v>
      </c>
      <c r="I361" s="36" t="s">
        <v>738</v>
      </c>
      <c r="J361" s="36" t="s">
        <v>739</v>
      </c>
      <c r="K361" s="36" t="s">
        <v>142</v>
      </c>
      <c r="L361" s="36" t="s">
        <v>127</v>
      </c>
      <c r="M361" s="37">
        <v>10000000000</v>
      </c>
      <c r="N361" s="37">
        <v>0</v>
      </c>
      <c r="O361" s="37">
        <v>10000000000</v>
      </c>
      <c r="P361" s="36" t="s">
        <v>136</v>
      </c>
      <c r="Q361" s="37">
        <v>10000000000</v>
      </c>
      <c r="R361" s="36" t="s">
        <v>443</v>
      </c>
      <c r="S361" s="38">
        <v>43304</v>
      </c>
      <c r="T361" s="38">
        <v>43231</v>
      </c>
      <c r="U361" s="38">
        <v>45291</v>
      </c>
      <c r="V361" s="27" t="s">
        <v>9432</v>
      </c>
      <c r="W361" s="37"/>
      <c r="X361" s="37"/>
      <c r="Y361" s="37" t="s">
        <v>442</v>
      </c>
      <c r="Z361" s="37"/>
      <c r="AA361" s="37"/>
      <c r="AB361" s="37"/>
      <c r="AC361" s="37"/>
      <c r="AD361" s="37"/>
      <c r="AE361" s="37"/>
      <c r="AF361" s="37"/>
    </row>
    <row r="362" spans="2:32" ht="75" customHeight="1" x14ac:dyDescent="0.25">
      <c r="B362" s="31" t="s">
        <v>1622</v>
      </c>
      <c r="C362" s="41">
        <v>2018</v>
      </c>
      <c r="D362" s="42">
        <f t="shared" si="5"/>
        <v>2025</v>
      </c>
      <c r="E362" s="31" t="s">
        <v>126</v>
      </c>
      <c r="F362" s="31" t="s">
        <v>1623</v>
      </c>
      <c r="G362" s="31" t="s">
        <v>1624</v>
      </c>
      <c r="H362" s="31" t="s">
        <v>181</v>
      </c>
      <c r="I362" s="31" t="s">
        <v>178</v>
      </c>
      <c r="J362" s="31" t="s">
        <v>179</v>
      </c>
      <c r="K362" s="31" t="s">
        <v>282</v>
      </c>
      <c r="L362" s="31" t="s">
        <v>159</v>
      </c>
      <c r="M362" s="34">
        <v>0</v>
      </c>
      <c r="N362" s="34">
        <v>23178000000</v>
      </c>
      <c r="O362" s="34">
        <v>23178000000</v>
      </c>
      <c r="P362" s="31" t="s">
        <v>624</v>
      </c>
      <c r="Q362" s="34">
        <v>40100000</v>
      </c>
      <c r="R362" s="31" t="s">
        <v>159</v>
      </c>
      <c r="S362" s="35">
        <v>43347</v>
      </c>
      <c r="T362" s="35">
        <v>43235</v>
      </c>
      <c r="U362" s="35">
        <v>45716</v>
      </c>
      <c r="V362" s="27" t="s">
        <v>9308</v>
      </c>
      <c r="W362" s="31" t="s">
        <v>557</v>
      </c>
      <c r="X362" s="31" t="s">
        <v>558</v>
      </c>
      <c r="Y362" s="31" t="s">
        <v>125</v>
      </c>
      <c r="Z362" s="31" t="s">
        <v>1029</v>
      </c>
      <c r="AA362" s="31" t="s">
        <v>965</v>
      </c>
      <c r="AB362" s="31" t="s">
        <v>964</v>
      </c>
      <c r="AC362" s="31" t="s">
        <v>939</v>
      </c>
      <c r="AD362" s="34">
        <v>11.3</v>
      </c>
      <c r="AE362" s="31" t="s">
        <v>902</v>
      </c>
      <c r="AF362" s="31" t="s">
        <v>860</v>
      </c>
    </row>
    <row r="363" spans="2:32" ht="75" customHeight="1" x14ac:dyDescent="0.25">
      <c r="B363" s="36" t="s">
        <v>1625</v>
      </c>
      <c r="C363" s="33">
        <v>2018</v>
      </c>
      <c r="D363" s="33">
        <f t="shared" si="5"/>
        <v>2022</v>
      </c>
      <c r="E363" s="36" t="s">
        <v>126</v>
      </c>
      <c r="F363" s="36" t="s">
        <v>1626</v>
      </c>
      <c r="G363" s="36" t="s">
        <v>1627</v>
      </c>
      <c r="H363" s="36" t="s">
        <v>129</v>
      </c>
      <c r="I363" s="36" t="s">
        <v>267</v>
      </c>
      <c r="J363" s="36" t="s">
        <v>267</v>
      </c>
      <c r="K363" s="36" t="s">
        <v>142</v>
      </c>
      <c r="L363" s="36" t="s">
        <v>127</v>
      </c>
      <c r="M363" s="37">
        <v>229584950000</v>
      </c>
      <c r="N363" s="37">
        <v>0</v>
      </c>
      <c r="O363" s="37">
        <v>229584950000</v>
      </c>
      <c r="P363" s="36" t="s">
        <v>122</v>
      </c>
      <c r="Q363" s="37">
        <v>350000000</v>
      </c>
      <c r="R363" s="36" t="s">
        <v>443</v>
      </c>
      <c r="S363" s="38">
        <v>43363</v>
      </c>
      <c r="T363" s="38">
        <v>43139</v>
      </c>
      <c r="U363" s="38">
        <v>44926</v>
      </c>
      <c r="V363" s="27" t="s">
        <v>9433</v>
      </c>
      <c r="W363" s="37"/>
      <c r="X363" s="37"/>
      <c r="Y363" s="37" t="s">
        <v>242</v>
      </c>
      <c r="Z363" s="37"/>
      <c r="AA363" s="37"/>
      <c r="AB363" s="37"/>
      <c r="AC363" s="37"/>
      <c r="AD363" s="37"/>
      <c r="AE363" s="37"/>
      <c r="AF363" s="37"/>
    </row>
    <row r="364" spans="2:32" ht="75" customHeight="1" x14ac:dyDescent="0.25">
      <c r="B364" s="31" t="s">
        <v>1629</v>
      </c>
      <c r="C364" s="32">
        <v>2018</v>
      </c>
      <c r="D364" s="33">
        <f t="shared" si="5"/>
        <v>2021</v>
      </c>
      <c r="E364" s="31" t="s">
        <v>1048</v>
      </c>
      <c r="F364" s="31" t="s">
        <v>1630</v>
      </c>
      <c r="G364" s="31" t="s">
        <v>1631</v>
      </c>
      <c r="H364" s="31" t="s">
        <v>172</v>
      </c>
      <c r="I364" s="31" t="s">
        <v>1632</v>
      </c>
      <c r="J364" s="31" t="s">
        <v>1633</v>
      </c>
      <c r="K364" s="31" t="s">
        <v>163</v>
      </c>
      <c r="L364" s="31" t="s">
        <v>127</v>
      </c>
      <c r="M364" s="34">
        <v>170548820000</v>
      </c>
      <c r="N364" s="34">
        <v>0</v>
      </c>
      <c r="O364" s="34">
        <v>170548820000</v>
      </c>
      <c r="P364" s="31" t="s">
        <v>122</v>
      </c>
      <c r="Q364" s="34">
        <v>260000000</v>
      </c>
      <c r="R364" s="31" t="s">
        <v>824</v>
      </c>
      <c r="S364" s="35">
        <v>43397</v>
      </c>
      <c r="T364" s="35">
        <v>43371</v>
      </c>
      <c r="U364" s="35">
        <v>44561</v>
      </c>
      <c r="V364" s="27" t="s">
        <v>9308</v>
      </c>
      <c r="W364" s="34"/>
      <c r="X364" s="34"/>
      <c r="Y364" s="34" t="s">
        <v>442</v>
      </c>
      <c r="Z364" s="34"/>
      <c r="AA364" s="34"/>
      <c r="AB364" s="34"/>
      <c r="AC364" s="34"/>
      <c r="AD364" s="34"/>
      <c r="AE364" s="34"/>
      <c r="AF364" s="34"/>
    </row>
    <row r="365" spans="2:32" ht="75" customHeight="1" x14ac:dyDescent="0.25">
      <c r="B365" s="36" t="s">
        <v>1634</v>
      </c>
      <c r="C365" s="33">
        <v>2018</v>
      </c>
      <c r="D365" s="33">
        <f t="shared" si="5"/>
        <v>2019</v>
      </c>
      <c r="E365" s="36" t="s">
        <v>126</v>
      </c>
      <c r="F365" s="36" t="s">
        <v>1635</v>
      </c>
      <c r="G365" s="36" t="s">
        <v>1636</v>
      </c>
      <c r="H365" s="36" t="s">
        <v>181</v>
      </c>
      <c r="I365" s="36" t="s">
        <v>178</v>
      </c>
      <c r="J365" s="36" t="s">
        <v>179</v>
      </c>
      <c r="K365" s="36" t="s">
        <v>163</v>
      </c>
      <c r="L365" s="36" t="s">
        <v>127</v>
      </c>
      <c r="M365" s="37">
        <v>8461845300</v>
      </c>
      <c r="N365" s="37">
        <v>0</v>
      </c>
      <c r="O365" s="37">
        <v>8461845300</v>
      </c>
      <c r="P365" s="36" t="s">
        <v>122</v>
      </c>
      <c r="Q365" s="37">
        <v>12900000</v>
      </c>
      <c r="R365" s="36" t="s">
        <v>150</v>
      </c>
      <c r="S365" s="38">
        <v>43446</v>
      </c>
      <c r="T365" s="38">
        <v>43383</v>
      </c>
      <c r="U365" s="38">
        <v>43830</v>
      </c>
      <c r="V365" s="27" t="s">
        <v>9308</v>
      </c>
      <c r="W365" s="37"/>
      <c r="X365" s="37"/>
      <c r="Y365" s="37" t="s">
        <v>125</v>
      </c>
      <c r="Z365" s="37"/>
      <c r="AA365" s="37"/>
      <c r="AB365" s="37"/>
      <c r="AC365" s="37"/>
      <c r="AD365" s="37"/>
      <c r="AE365" s="37"/>
      <c r="AF365" s="37"/>
    </row>
    <row r="366" spans="2:32" ht="60" customHeight="1" x14ac:dyDescent="0.25">
      <c r="B366" s="31" t="s">
        <v>1637</v>
      </c>
      <c r="C366" s="41">
        <v>2018</v>
      </c>
      <c r="D366" s="42">
        <f t="shared" si="5"/>
        <v>2024</v>
      </c>
      <c r="E366" s="31" t="s">
        <v>126</v>
      </c>
      <c r="F366" s="31" t="s">
        <v>1638</v>
      </c>
      <c r="G366" s="31" t="s">
        <v>1639</v>
      </c>
      <c r="H366" s="31" t="s">
        <v>366</v>
      </c>
      <c r="I366" s="31" t="s">
        <v>148</v>
      </c>
      <c r="J366" s="36" t="s">
        <v>149</v>
      </c>
      <c r="K366" s="31" t="s">
        <v>142</v>
      </c>
      <c r="L366" s="31" t="s">
        <v>127</v>
      </c>
      <c r="M366" s="34">
        <v>13872000000</v>
      </c>
      <c r="N366" s="34">
        <v>0</v>
      </c>
      <c r="O366" s="34">
        <v>13872000000</v>
      </c>
      <c r="P366" s="31" t="s">
        <v>624</v>
      </c>
      <c r="Q366" s="34">
        <v>24000000</v>
      </c>
      <c r="R366" s="31" t="s">
        <v>150</v>
      </c>
      <c r="S366" s="35">
        <v>43384</v>
      </c>
      <c r="T366" s="35">
        <v>43255</v>
      </c>
      <c r="U366" s="35">
        <v>45657</v>
      </c>
      <c r="V366" s="27" t="s">
        <v>9429</v>
      </c>
      <c r="W366" s="34"/>
      <c r="X366" s="34"/>
      <c r="Y366" s="34" t="s">
        <v>125</v>
      </c>
      <c r="Z366" s="34"/>
      <c r="AA366" s="34"/>
      <c r="AB366" s="34"/>
      <c r="AC366" s="34"/>
      <c r="AD366" s="34"/>
      <c r="AE366" s="34"/>
      <c r="AF366" s="34"/>
    </row>
    <row r="367" spans="2:32" ht="120" customHeight="1" x14ac:dyDescent="0.25">
      <c r="B367" s="36" t="s">
        <v>1640</v>
      </c>
      <c r="C367" s="42">
        <v>2018</v>
      </c>
      <c r="D367" s="42">
        <f t="shared" si="5"/>
        <v>2021</v>
      </c>
      <c r="E367" s="36" t="s">
        <v>317</v>
      </c>
      <c r="F367" s="36" t="s">
        <v>1641</v>
      </c>
      <c r="G367" s="36" t="s">
        <v>1643</v>
      </c>
      <c r="H367" s="36" t="s">
        <v>366</v>
      </c>
      <c r="I367" s="36" t="s">
        <v>277</v>
      </c>
      <c r="J367" s="36" t="s">
        <v>278</v>
      </c>
      <c r="K367" s="36" t="s">
        <v>163</v>
      </c>
      <c r="L367" s="36" t="s">
        <v>201</v>
      </c>
      <c r="M367" s="37">
        <v>3822000000</v>
      </c>
      <c r="N367" s="37">
        <v>1727862500</v>
      </c>
      <c r="O367" s="37">
        <v>5549862500</v>
      </c>
      <c r="P367" s="36" t="s">
        <v>276</v>
      </c>
      <c r="Q367" s="37">
        <v>6970000</v>
      </c>
      <c r="R367" s="36" t="s">
        <v>279</v>
      </c>
      <c r="S367" s="38">
        <v>43416</v>
      </c>
      <c r="T367" s="38">
        <v>43231</v>
      </c>
      <c r="U367" s="38">
        <v>44561</v>
      </c>
      <c r="V367" s="27" t="s">
        <v>9308</v>
      </c>
      <c r="W367" s="36" t="s">
        <v>557</v>
      </c>
      <c r="X367" s="36" t="s">
        <v>859</v>
      </c>
      <c r="Y367" s="36" t="s">
        <v>125</v>
      </c>
      <c r="Z367" s="36" t="s">
        <v>1642</v>
      </c>
      <c r="AA367" s="36" t="s">
        <v>862</v>
      </c>
      <c r="AB367" s="36" t="s">
        <v>861</v>
      </c>
      <c r="AC367" s="36" t="s">
        <v>971</v>
      </c>
      <c r="AD367" s="37">
        <v>9.1</v>
      </c>
      <c r="AE367" s="36" t="s">
        <v>864</v>
      </c>
      <c r="AF367" s="36" t="s">
        <v>860</v>
      </c>
    </row>
    <row r="368" spans="2:32" ht="180" customHeight="1" x14ac:dyDescent="0.25">
      <c r="B368" s="31" t="s">
        <v>1644</v>
      </c>
      <c r="C368" s="41">
        <v>2018</v>
      </c>
      <c r="D368" s="42" t="e">
        <f t="shared" si="5"/>
        <v>#VALUE!</v>
      </c>
      <c r="E368" s="31" t="s">
        <v>126</v>
      </c>
      <c r="F368" s="31" t="s">
        <v>1645</v>
      </c>
      <c r="G368" s="31" t="s">
        <v>1646</v>
      </c>
      <c r="H368" s="31" t="s">
        <v>353</v>
      </c>
      <c r="I368" s="31" t="s">
        <v>137</v>
      </c>
      <c r="J368" s="31" t="s">
        <v>138</v>
      </c>
      <c r="K368" s="31" t="s">
        <v>205</v>
      </c>
      <c r="L368" s="31" t="s">
        <v>127</v>
      </c>
      <c r="M368" s="34">
        <v>20000000000</v>
      </c>
      <c r="N368" s="34">
        <v>0</v>
      </c>
      <c r="O368" s="34">
        <v>20000000000</v>
      </c>
      <c r="P368" s="31" t="s">
        <v>136</v>
      </c>
      <c r="Q368" s="34">
        <v>20000000000</v>
      </c>
      <c r="R368" s="31" t="s">
        <v>1648</v>
      </c>
      <c r="S368" s="35">
        <v>43419</v>
      </c>
      <c r="T368" s="35">
        <v>43277</v>
      </c>
      <c r="U368" s="35" t="s">
        <v>1647</v>
      </c>
      <c r="V368" s="27" t="s">
        <v>9411</v>
      </c>
      <c r="W368" s="34"/>
      <c r="X368" s="34"/>
      <c r="Y368" s="34" t="s">
        <v>125</v>
      </c>
      <c r="Z368" s="34"/>
      <c r="AA368" s="34"/>
      <c r="AB368" s="34"/>
      <c r="AC368" s="34"/>
      <c r="AD368" s="34"/>
      <c r="AE368" s="34"/>
      <c r="AF368" s="34"/>
    </row>
    <row r="369" spans="2:32" ht="120" customHeight="1" x14ac:dyDescent="0.25">
      <c r="B369" s="36" t="s">
        <v>1649</v>
      </c>
      <c r="C369" s="42">
        <v>2018</v>
      </c>
      <c r="D369" s="42">
        <f t="shared" si="5"/>
        <v>2025</v>
      </c>
      <c r="E369" s="36" t="s">
        <v>126</v>
      </c>
      <c r="F369" s="36" t="s">
        <v>1650</v>
      </c>
      <c r="G369" s="36" t="s">
        <v>1651</v>
      </c>
      <c r="H369" s="36" t="s">
        <v>372</v>
      </c>
      <c r="I369" s="36" t="s">
        <v>178</v>
      </c>
      <c r="J369" s="36" t="s">
        <v>179</v>
      </c>
      <c r="K369" s="36" t="s">
        <v>118</v>
      </c>
      <c r="L369" s="36" t="s">
        <v>201</v>
      </c>
      <c r="M369" s="37">
        <v>8593036700</v>
      </c>
      <c r="N369" s="37">
        <v>8364051300</v>
      </c>
      <c r="O369" s="37">
        <v>16957088000</v>
      </c>
      <c r="P369" s="36" t="s">
        <v>200</v>
      </c>
      <c r="Q369" s="37">
        <v>24000000</v>
      </c>
      <c r="R369" s="36" t="s">
        <v>279</v>
      </c>
      <c r="S369" s="38">
        <v>43448</v>
      </c>
      <c r="T369" s="38">
        <v>43431</v>
      </c>
      <c r="U369" s="38">
        <v>46022</v>
      </c>
      <c r="V369" s="27" t="s">
        <v>9434</v>
      </c>
      <c r="W369" s="37"/>
      <c r="X369" s="37"/>
      <c r="Y369" s="37" t="s">
        <v>125</v>
      </c>
      <c r="Z369" s="37"/>
      <c r="AA369" s="37"/>
      <c r="AB369" s="37"/>
      <c r="AC369" s="37"/>
      <c r="AD369" s="37"/>
      <c r="AE369" s="37"/>
      <c r="AF369" s="37"/>
    </row>
    <row r="370" spans="2:32" ht="60" customHeight="1" x14ac:dyDescent="0.25">
      <c r="B370" s="31" t="s">
        <v>1653</v>
      </c>
      <c r="C370" s="32">
        <v>2018</v>
      </c>
      <c r="D370" s="33">
        <f t="shared" si="5"/>
        <v>2021</v>
      </c>
      <c r="E370" s="31" t="s">
        <v>126</v>
      </c>
      <c r="F370" s="31" t="s">
        <v>1654</v>
      </c>
      <c r="G370" s="31" t="s">
        <v>1655</v>
      </c>
      <c r="H370" s="31" t="s">
        <v>326</v>
      </c>
      <c r="I370" s="31" t="s">
        <v>484</v>
      </c>
      <c r="J370" s="31" t="s">
        <v>484</v>
      </c>
      <c r="K370" s="31" t="s">
        <v>205</v>
      </c>
      <c r="L370" s="31" t="s">
        <v>127</v>
      </c>
      <c r="M370" s="34">
        <v>16385284335</v>
      </c>
      <c r="N370" s="34">
        <v>0</v>
      </c>
      <c r="O370" s="34">
        <v>16385284335</v>
      </c>
      <c r="P370" s="31" t="s">
        <v>122</v>
      </c>
      <c r="Q370" s="34">
        <v>24979204</v>
      </c>
      <c r="R370" s="31" t="s">
        <v>443</v>
      </c>
      <c r="S370" s="35">
        <v>43432</v>
      </c>
      <c r="T370" s="35">
        <v>43384</v>
      </c>
      <c r="U370" s="35">
        <v>44561</v>
      </c>
      <c r="V370" s="27" t="s">
        <v>9356</v>
      </c>
      <c r="W370" s="34"/>
      <c r="X370" s="34"/>
      <c r="Y370" s="34" t="s">
        <v>242</v>
      </c>
      <c r="Z370" s="34"/>
      <c r="AA370" s="34"/>
      <c r="AB370" s="34"/>
      <c r="AC370" s="34"/>
      <c r="AD370" s="34"/>
      <c r="AE370" s="34"/>
      <c r="AF370" s="34"/>
    </row>
    <row r="371" spans="2:32" ht="75" customHeight="1" x14ac:dyDescent="0.25">
      <c r="B371" s="36" t="s">
        <v>1656</v>
      </c>
      <c r="C371" s="33">
        <v>2018</v>
      </c>
      <c r="D371" s="33">
        <f t="shared" si="5"/>
        <v>2018</v>
      </c>
      <c r="E371" s="36" t="s">
        <v>235</v>
      </c>
      <c r="F371" s="36" t="s">
        <v>1657</v>
      </c>
      <c r="G371" s="36" t="s">
        <v>1658</v>
      </c>
      <c r="H371" s="36" t="s">
        <v>372</v>
      </c>
      <c r="I371" s="36" t="s">
        <v>178</v>
      </c>
      <c r="J371" s="36" t="s">
        <v>179</v>
      </c>
      <c r="K371" s="36" t="s">
        <v>526</v>
      </c>
      <c r="L371" s="36" t="s">
        <v>159</v>
      </c>
      <c r="M371" s="37">
        <v>0</v>
      </c>
      <c r="N371" s="37">
        <v>412500000</v>
      </c>
      <c r="O371" s="37">
        <v>412500000</v>
      </c>
      <c r="P371" s="36" t="s">
        <v>624</v>
      </c>
      <c r="Q371" s="37">
        <v>750000</v>
      </c>
      <c r="R371" s="36" t="s">
        <v>236</v>
      </c>
      <c r="S371" s="38">
        <v>43433</v>
      </c>
      <c r="T371" s="38">
        <v>43230</v>
      </c>
      <c r="U371" s="38">
        <v>43465</v>
      </c>
      <c r="V371" s="27" t="s">
        <v>9308</v>
      </c>
      <c r="W371" s="37"/>
      <c r="X371" s="37"/>
      <c r="Y371" s="37" t="s">
        <v>125</v>
      </c>
      <c r="Z371" s="37"/>
      <c r="AA371" s="37"/>
      <c r="AB371" s="37"/>
      <c r="AC371" s="37"/>
      <c r="AD371" s="37"/>
      <c r="AE371" s="37"/>
      <c r="AF371" s="37"/>
    </row>
    <row r="372" spans="2:32" ht="90" customHeight="1" x14ac:dyDescent="0.25">
      <c r="B372" s="31" t="s">
        <v>1659</v>
      </c>
      <c r="C372" s="32">
        <v>2018</v>
      </c>
      <c r="D372" s="33">
        <f t="shared" si="5"/>
        <v>2022</v>
      </c>
      <c r="E372" s="31" t="s">
        <v>126</v>
      </c>
      <c r="F372" s="31" t="s">
        <v>1660</v>
      </c>
      <c r="G372" s="31" t="s">
        <v>1661</v>
      </c>
      <c r="H372" s="31" t="s">
        <v>366</v>
      </c>
      <c r="I372" s="31" t="s">
        <v>1662</v>
      </c>
      <c r="J372" s="31" t="s">
        <v>1662</v>
      </c>
      <c r="K372" s="31" t="s">
        <v>205</v>
      </c>
      <c r="L372" s="31" t="s">
        <v>127</v>
      </c>
      <c r="M372" s="34">
        <v>36736613213</v>
      </c>
      <c r="N372" s="34">
        <v>0</v>
      </c>
      <c r="O372" s="34">
        <v>36736613213</v>
      </c>
      <c r="P372" s="31" t="s">
        <v>122</v>
      </c>
      <c r="Q372" s="34">
        <v>56004604</v>
      </c>
      <c r="R372" s="31" t="s">
        <v>443</v>
      </c>
      <c r="S372" s="35">
        <v>43441</v>
      </c>
      <c r="T372" s="35">
        <v>43173</v>
      </c>
      <c r="U372" s="35">
        <v>44742</v>
      </c>
      <c r="V372" s="27" t="s">
        <v>9407</v>
      </c>
      <c r="W372" s="34"/>
      <c r="X372" s="34"/>
      <c r="Y372" s="34" t="s">
        <v>442</v>
      </c>
      <c r="Z372" s="34"/>
      <c r="AA372" s="34"/>
      <c r="AB372" s="34"/>
      <c r="AC372" s="34"/>
      <c r="AD372" s="34"/>
      <c r="AE372" s="34"/>
      <c r="AF372" s="34"/>
    </row>
    <row r="373" spans="2:32" ht="75" customHeight="1" x14ac:dyDescent="0.25">
      <c r="B373" s="36" t="s">
        <v>1663</v>
      </c>
      <c r="C373" s="42">
        <v>2018</v>
      </c>
      <c r="D373" s="42">
        <f t="shared" si="5"/>
        <v>2022</v>
      </c>
      <c r="E373" s="36" t="s">
        <v>126</v>
      </c>
      <c r="F373" s="36" t="s">
        <v>1664</v>
      </c>
      <c r="G373" s="36" t="s">
        <v>1665</v>
      </c>
      <c r="H373" s="36" t="s">
        <v>326</v>
      </c>
      <c r="I373" s="36" t="s">
        <v>822</v>
      </c>
      <c r="J373" s="36" t="s">
        <v>823</v>
      </c>
      <c r="K373" s="36" t="s">
        <v>526</v>
      </c>
      <c r="L373" s="36" t="s">
        <v>159</v>
      </c>
      <c r="M373" s="37">
        <v>0</v>
      </c>
      <c r="N373" s="37">
        <v>1120000000</v>
      </c>
      <c r="O373" s="37">
        <v>1120000000</v>
      </c>
      <c r="P373" s="36" t="s">
        <v>1110</v>
      </c>
      <c r="Q373" s="37">
        <v>2000000</v>
      </c>
      <c r="R373" s="36" t="s">
        <v>159</v>
      </c>
      <c r="S373" s="38">
        <v>43447</v>
      </c>
      <c r="T373" s="38">
        <v>43139</v>
      </c>
      <c r="U373" s="38">
        <v>44742</v>
      </c>
      <c r="V373" s="27" t="s">
        <v>9308</v>
      </c>
      <c r="W373" s="36" t="s">
        <v>557</v>
      </c>
      <c r="X373" s="36" t="s">
        <v>880</v>
      </c>
      <c r="Y373" s="36" t="s">
        <v>242</v>
      </c>
      <c r="Z373" s="36" t="s">
        <v>992</v>
      </c>
      <c r="AA373" s="36" t="s">
        <v>561</v>
      </c>
      <c r="AB373" s="36" t="s">
        <v>560</v>
      </c>
      <c r="AC373" s="36" t="s">
        <v>989</v>
      </c>
      <c r="AD373" s="37">
        <v>3.8</v>
      </c>
      <c r="AE373" s="36" t="s">
        <v>902</v>
      </c>
      <c r="AF373" s="36" t="s">
        <v>860</v>
      </c>
    </row>
    <row r="374" spans="2:32" ht="60" customHeight="1" x14ac:dyDescent="0.25">
      <c r="B374" s="31" t="s">
        <v>1666</v>
      </c>
      <c r="C374" s="32">
        <v>2018</v>
      </c>
      <c r="D374" s="33">
        <f t="shared" si="5"/>
        <v>2019</v>
      </c>
      <c r="E374" s="31" t="s">
        <v>235</v>
      </c>
      <c r="F374" s="31" t="s">
        <v>1667</v>
      </c>
      <c r="G374" s="31" t="s">
        <v>1668</v>
      </c>
      <c r="H374" s="31" t="s">
        <v>353</v>
      </c>
      <c r="I374" s="31" t="s">
        <v>137</v>
      </c>
      <c r="J374" s="31" t="s">
        <v>138</v>
      </c>
      <c r="K374" s="31" t="s">
        <v>526</v>
      </c>
      <c r="L374" s="31" t="s">
        <v>127</v>
      </c>
      <c r="M374" s="34">
        <v>250000000</v>
      </c>
      <c r="N374" s="34">
        <v>0</v>
      </c>
      <c r="O374" s="34">
        <v>250000000</v>
      </c>
      <c r="P374" s="31" t="s">
        <v>136</v>
      </c>
      <c r="Q374" s="34">
        <v>250000000</v>
      </c>
      <c r="R374" s="31" t="s">
        <v>236</v>
      </c>
      <c r="S374" s="35">
        <v>43448</v>
      </c>
      <c r="T374" s="35">
        <v>43277</v>
      </c>
      <c r="U374" s="35">
        <v>43830</v>
      </c>
      <c r="V374" s="27" t="s">
        <v>9308</v>
      </c>
      <c r="W374" s="34"/>
      <c r="X374" s="34"/>
      <c r="Y374" s="34" t="s">
        <v>125</v>
      </c>
      <c r="Z374" s="34"/>
      <c r="AA374" s="34"/>
      <c r="AB374" s="34"/>
      <c r="AC374" s="34"/>
      <c r="AD374" s="34"/>
      <c r="AE374" s="34"/>
      <c r="AF374" s="34"/>
    </row>
    <row r="375" spans="2:32" ht="60" customHeight="1" x14ac:dyDescent="0.25">
      <c r="B375" s="36" t="s">
        <v>1669</v>
      </c>
      <c r="C375" s="33">
        <v>2018</v>
      </c>
      <c r="D375" s="33">
        <f t="shared" si="5"/>
        <v>2023</v>
      </c>
      <c r="E375" s="36" t="s">
        <v>126</v>
      </c>
      <c r="F375" s="36" t="s">
        <v>1670</v>
      </c>
      <c r="G375" s="36" t="s">
        <v>1671</v>
      </c>
      <c r="H375" s="36" t="s">
        <v>326</v>
      </c>
      <c r="I375" s="36" t="s">
        <v>123</v>
      </c>
      <c r="J375" s="36" t="s">
        <v>124</v>
      </c>
      <c r="K375" s="36" t="s">
        <v>263</v>
      </c>
      <c r="L375" s="36" t="s">
        <v>127</v>
      </c>
      <c r="M375" s="37">
        <v>20735000000</v>
      </c>
      <c r="N375" s="37">
        <v>0</v>
      </c>
      <c r="O375" s="37">
        <v>20735000000</v>
      </c>
      <c r="P375" s="36" t="s">
        <v>624</v>
      </c>
      <c r="Q375" s="37">
        <v>37700000</v>
      </c>
      <c r="R375" s="36" t="s">
        <v>128</v>
      </c>
      <c r="S375" s="38">
        <v>43453</v>
      </c>
      <c r="T375" s="38">
        <v>43194</v>
      </c>
      <c r="U375" s="38">
        <v>45291</v>
      </c>
      <c r="V375" s="27" t="s">
        <v>9308</v>
      </c>
      <c r="W375" s="37"/>
      <c r="X375" s="37"/>
      <c r="Y375" s="37" t="s">
        <v>125</v>
      </c>
      <c r="Z375" s="37"/>
      <c r="AA375" s="37"/>
      <c r="AB375" s="37"/>
      <c r="AC375" s="37"/>
      <c r="AD375" s="37"/>
      <c r="AE375" s="37"/>
      <c r="AF375" s="37"/>
    </row>
    <row r="376" spans="2:32" ht="60" customHeight="1" x14ac:dyDescent="0.25">
      <c r="B376" s="31" t="s">
        <v>1672</v>
      </c>
      <c r="C376" s="41">
        <v>2018</v>
      </c>
      <c r="D376" s="42">
        <f t="shared" si="5"/>
        <v>2023</v>
      </c>
      <c r="E376" s="31" t="s">
        <v>126</v>
      </c>
      <c r="F376" s="31" t="s">
        <v>1673</v>
      </c>
      <c r="G376" s="31" t="s">
        <v>1675</v>
      </c>
      <c r="H376" s="31" t="s">
        <v>326</v>
      </c>
      <c r="I376" s="31" t="s">
        <v>123</v>
      </c>
      <c r="J376" s="31" t="s">
        <v>124</v>
      </c>
      <c r="K376" s="31" t="s">
        <v>118</v>
      </c>
      <c r="L376" s="31" t="s">
        <v>127</v>
      </c>
      <c r="M376" s="34">
        <v>16225000000</v>
      </c>
      <c r="N376" s="34">
        <v>0</v>
      </c>
      <c r="O376" s="34">
        <v>16225000000</v>
      </c>
      <c r="P376" s="31" t="s">
        <v>624</v>
      </c>
      <c r="Q376" s="34">
        <v>29500000</v>
      </c>
      <c r="R376" s="31" t="s">
        <v>128</v>
      </c>
      <c r="S376" s="35">
        <v>43453</v>
      </c>
      <c r="T376" s="35">
        <v>43194</v>
      </c>
      <c r="U376" s="35">
        <v>45291</v>
      </c>
      <c r="V376" s="27" t="s">
        <v>9308</v>
      </c>
      <c r="W376" s="31" t="s">
        <v>1043</v>
      </c>
      <c r="X376" s="31" t="s">
        <v>558</v>
      </c>
      <c r="Y376" s="31" t="s">
        <v>125</v>
      </c>
      <c r="Z376" s="31" t="s">
        <v>1674</v>
      </c>
      <c r="AA376" s="31" t="s">
        <v>862</v>
      </c>
      <c r="AB376" s="31" t="s">
        <v>861</v>
      </c>
      <c r="AC376" s="31" t="s">
        <v>1173</v>
      </c>
      <c r="AD376" s="34">
        <v>7.1</v>
      </c>
      <c r="AE376" s="31" t="s">
        <v>864</v>
      </c>
      <c r="AF376" s="31" t="s">
        <v>860</v>
      </c>
    </row>
    <row r="377" spans="2:32" ht="75" customHeight="1" x14ac:dyDescent="0.25">
      <c r="B377" s="36" t="s">
        <v>1676</v>
      </c>
      <c r="C377" s="42">
        <v>2018</v>
      </c>
      <c r="D377" s="42">
        <f t="shared" si="5"/>
        <v>2024</v>
      </c>
      <c r="E377" s="36" t="s">
        <v>126</v>
      </c>
      <c r="F377" s="36" t="s">
        <v>1677</v>
      </c>
      <c r="G377" s="36" t="s">
        <v>1678</v>
      </c>
      <c r="H377" s="36" t="s">
        <v>326</v>
      </c>
      <c r="I377" s="36" t="s">
        <v>689</v>
      </c>
      <c r="J377" s="36" t="s">
        <v>690</v>
      </c>
      <c r="K377" s="36" t="s">
        <v>205</v>
      </c>
      <c r="L377" s="36" t="s">
        <v>127</v>
      </c>
      <c r="M377" s="37">
        <v>32797850000</v>
      </c>
      <c r="N377" s="37">
        <v>0</v>
      </c>
      <c r="O377" s="37">
        <v>32797850000</v>
      </c>
      <c r="P377" s="36" t="s">
        <v>122</v>
      </c>
      <c r="Q377" s="37">
        <v>50000000</v>
      </c>
      <c r="R377" s="36" t="s">
        <v>127</v>
      </c>
      <c r="S377" s="38">
        <v>43453</v>
      </c>
      <c r="T377" s="38">
        <v>43244</v>
      </c>
      <c r="U377" s="38">
        <v>45657</v>
      </c>
      <c r="V377" s="27" t="s">
        <v>9307</v>
      </c>
      <c r="W377" s="37"/>
      <c r="X377" s="37"/>
      <c r="Y377" s="37" t="s">
        <v>125</v>
      </c>
      <c r="Z377" s="37"/>
      <c r="AA377" s="37"/>
      <c r="AB377" s="37"/>
      <c r="AC377" s="37"/>
      <c r="AD377" s="37"/>
      <c r="AE377" s="37"/>
      <c r="AF377" s="37"/>
    </row>
    <row r="378" spans="2:32" ht="120" customHeight="1" x14ac:dyDescent="0.25">
      <c r="B378" s="31" t="s">
        <v>1679</v>
      </c>
      <c r="C378" s="41">
        <v>2018</v>
      </c>
      <c r="D378" s="42">
        <f t="shared" si="5"/>
        <v>2023</v>
      </c>
      <c r="E378" s="31" t="s">
        <v>126</v>
      </c>
      <c r="F378" s="31" t="s">
        <v>1680</v>
      </c>
      <c r="G378" s="31" t="s">
        <v>1681</v>
      </c>
      <c r="H378" s="31" t="s">
        <v>129</v>
      </c>
      <c r="I378" s="31" t="s">
        <v>738</v>
      </c>
      <c r="J378" s="31" t="s">
        <v>739</v>
      </c>
      <c r="K378" s="31" t="s">
        <v>142</v>
      </c>
      <c r="L378" s="31" t="s">
        <v>127</v>
      </c>
      <c r="M378" s="34">
        <v>40478000000</v>
      </c>
      <c r="N378" s="34">
        <v>0</v>
      </c>
      <c r="O378" s="34">
        <v>40478000000</v>
      </c>
      <c r="P378" s="31" t="s">
        <v>136</v>
      </c>
      <c r="Q378" s="34">
        <v>40478000000</v>
      </c>
      <c r="R378" s="31" t="s">
        <v>443</v>
      </c>
      <c r="S378" s="35">
        <v>43405</v>
      </c>
      <c r="T378" s="35">
        <v>43231</v>
      </c>
      <c r="U378" s="35">
        <v>45291</v>
      </c>
      <c r="V378" s="27" t="s">
        <v>9435</v>
      </c>
      <c r="W378" s="31" t="s">
        <v>1043</v>
      </c>
      <c r="X378" s="31" t="s">
        <v>558</v>
      </c>
      <c r="Y378" s="31" t="s">
        <v>442</v>
      </c>
      <c r="Z378" s="31" t="s">
        <v>968</v>
      </c>
      <c r="AA378" s="31" t="s">
        <v>862</v>
      </c>
      <c r="AB378" s="31" t="s">
        <v>861</v>
      </c>
      <c r="AC378" s="31" t="s">
        <v>971</v>
      </c>
      <c r="AD378" s="34">
        <v>9.1</v>
      </c>
      <c r="AE378" s="31" t="s">
        <v>864</v>
      </c>
      <c r="AF378" s="31" t="s">
        <v>860</v>
      </c>
    </row>
    <row r="379" spans="2:32" ht="90" customHeight="1" x14ac:dyDescent="0.25">
      <c r="B379" s="36" t="s">
        <v>1683</v>
      </c>
      <c r="C379" s="42">
        <v>2018</v>
      </c>
      <c r="D379" s="42">
        <f t="shared" si="5"/>
        <v>2020</v>
      </c>
      <c r="E379" s="36" t="s">
        <v>235</v>
      </c>
      <c r="F379" s="36" t="s">
        <v>1684</v>
      </c>
      <c r="G379" s="36" t="s">
        <v>1685</v>
      </c>
      <c r="H379" s="36" t="s">
        <v>139</v>
      </c>
      <c r="I379" s="36" t="s">
        <v>137</v>
      </c>
      <c r="J379" s="36" t="s">
        <v>138</v>
      </c>
      <c r="K379" s="36" t="s">
        <v>142</v>
      </c>
      <c r="L379" s="36" t="s">
        <v>127</v>
      </c>
      <c r="M379" s="37">
        <v>400000000</v>
      </c>
      <c r="N379" s="37">
        <v>0</v>
      </c>
      <c r="O379" s="37">
        <v>400000000</v>
      </c>
      <c r="P379" s="36" t="s">
        <v>136</v>
      </c>
      <c r="Q379" s="37">
        <v>400000000</v>
      </c>
      <c r="R379" s="36" t="s">
        <v>236</v>
      </c>
      <c r="S379" s="38">
        <v>43416</v>
      </c>
      <c r="T379" s="38">
        <v>43277</v>
      </c>
      <c r="U379" s="38">
        <v>44196</v>
      </c>
      <c r="V379" s="27" t="s">
        <v>9307</v>
      </c>
      <c r="W379" s="36" t="s">
        <v>1043</v>
      </c>
      <c r="X379" s="36" t="s">
        <v>558</v>
      </c>
      <c r="Y379" s="36" t="s">
        <v>125</v>
      </c>
      <c r="Z379" s="36" t="s">
        <v>968</v>
      </c>
      <c r="AA379" s="36" t="s">
        <v>862</v>
      </c>
      <c r="AB379" s="36" t="s">
        <v>861</v>
      </c>
      <c r="AC379" s="36" t="s">
        <v>971</v>
      </c>
      <c r="AD379" s="37">
        <v>9.1</v>
      </c>
      <c r="AE379" s="36" t="s">
        <v>864</v>
      </c>
      <c r="AF379" s="36" t="s">
        <v>860</v>
      </c>
    </row>
    <row r="380" spans="2:32" ht="60" customHeight="1" x14ac:dyDescent="0.25">
      <c r="B380" s="31" t="s">
        <v>1686</v>
      </c>
      <c r="C380" s="41">
        <v>2018</v>
      </c>
      <c r="D380" s="42">
        <f t="shared" si="5"/>
        <v>2020</v>
      </c>
      <c r="E380" s="31" t="s">
        <v>126</v>
      </c>
      <c r="F380" s="31" t="s">
        <v>1687</v>
      </c>
      <c r="G380" s="31" t="s">
        <v>1689</v>
      </c>
      <c r="H380" s="31" t="s">
        <v>172</v>
      </c>
      <c r="I380" s="31" t="s">
        <v>358</v>
      </c>
      <c r="J380" s="31" t="s">
        <v>358</v>
      </c>
      <c r="K380" s="31" t="s">
        <v>216</v>
      </c>
      <c r="L380" s="31" t="s">
        <v>159</v>
      </c>
      <c r="M380" s="34">
        <v>0</v>
      </c>
      <c r="N380" s="34">
        <v>825200000</v>
      </c>
      <c r="O380" s="34">
        <v>825200000</v>
      </c>
      <c r="P380" s="31" t="s">
        <v>357</v>
      </c>
      <c r="Q380" s="34">
        <v>10000000</v>
      </c>
      <c r="R380" s="31" t="s">
        <v>159</v>
      </c>
      <c r="S380" s="35">
        <v>43259</v>
      </c>
      <c r="T380" s="35">
        <v>43231</v>
      </c>
      <c r="U380" s="35">
        <v>44196</v>
      </c>
      <c r="V380" s="27" t="s">
        <v>9436</v>
      </c>
      <c r="W380" s="31" t="s">
        <v>557</v>
      </c>
      <c r="X380" s="31" t="s">
        <v>880</v>
      </c>
      <c r="Y380" s="31" t="s">
        <v>242</v>
      </c>
      <c r="Z380" s="31" t="s">
        <v>1688</v>
      </c>
      <c r="AA380" s="31" t="s">
        <v>561</v>
      </c>
      <c r="AB380" s="31" t="s">
        <v>560</v>
      </c>
      <c r="AC380" s="31" t="s">
        <v>989</v>
      </c>
      <c r="AD380" s="34">
        <v>3.8</v>
      </c>
      <c r="AE380" s="31" t="s">
        <v>902</v>
      </c>
      <c r="AF380" s="31" t="s">
        <v>860</v>
      </c>
    </row>
    <row r="381" spans="2:32" ht="60" customHeight="1" x14ac:dyDescent="0.25">
      <c r="B381" s="36" t="s">
        <v>1691</v>
      </c>
      <c r="C381" s="42">
        <v>2018</v>
      </c>
      <c r="D381" s="42">
        <f t="shared" si="5"/>
        <v>2021</v>
      </c>
      <c r="E381" s="36" t="s">
        <v>126</v>
      </c>
      <c r="F381" s="36" t="s">
        <v>1692</v>
      </c>
      <c r="G381" s="36" t="s">
        <v>1694</v>
      </c>
      <c r="H381" s="36" t="s">
        <v>172</v>
      </c>
      <c r="I381" s="36" t="s">
        <v>358</v>
      </c>
      <c r="J381" s="36" t="s">
        <v>358</v>
      </c>
      <c r="K381" s="36" t="s">
        <v>142</v>
      </c>
      <c r="L381" s="36" t="s">
        <v>159</v>
      </c>
      <c r="M381" s="37">
        <v>0</v>
      </c>
      <c r="N381" s="37">
        <v>6023960000</v>
      </c>
      <c r="O381" s="37">
        <v>6023960000</v>
      </c>
      <c r="P381" s="36" t="s">
        <v>357</v>
      </c>
      <c r="Q381" s="37">
        <v>73000000</v>
      </c>
      <c r="R381" s="36" t="s">
        <v>159</v>
      </c>
      <c r="S381" s="38">
        <v>43259</v>
      </c>
      <c r="T381" s="38">
        <v>43231</v>
      </c>
      <c r="U381" s="38">
        <v>44561</v>
      </c>
      <c r="V381" s="27" t="s">
        <v>9307</v>
      </c>
      <c r="W381" s="36" t="s">
        <v>557</v>
      </c>
      <c r="X381" s="36" t="s">
        <v>880</v>
      </c>
      <c r="Y381" s="36" t="s">
        <v>242</v>
      </c>
      <c r="Z381" s="36" t="s">
        <v>1693</v>
      </c>
      <c r="AA381" s="36" t="s">
        <v>862</v>
      </c>
      <c r="AB381" s="36" t="s">
        <v>861</v>
      </c>
      <c r="AC381" s="36" t="s">
        <v>971</v>
      </c>
      <c r="AD381" s="37">
        <v>9.1</v>
      </c>
      <c r="AE381" s="36" t="s">
        <v>864</v>
      </c>
      <c r="AF381" s="36" t="s">
        <v>860</v>
      </c>
    </row>
    <row r="382" spans="2:32" ht="60" customHeight="1" x14ac:dyDescent="0.25">
      <c r="B382" s="31" t="s">
        <v>1695</v>
      </c>
      <c r="C382" s="41">
        <v>2018</v>
      </c>
      <c r="D382" s="42">
        <f t="shared" si="5"/>
        <v>2024</v>
      </c>
      <c r="E382" s="31" t="s">
        <v>126</v>
      </c>
      <c r="F382" s="31" t="s">
        <v>1696</v>
      </c>
      <c r="G382" s="31" t="s">
        <v>1697</v>
      </c>
      <c r="H382" s="31" t="s">
        <v>139</v>
      </c>
      <c r="I382" s="31" t="s">
        <v>137</v>
      </c>
      <c r="J382" s="31" t="s">
        <v>138</v>
      </c>
      <c r="K382" s="31" t="s">
        <v>118</v>
      </c>
      <c r="L382" s="31" t="s">
        <v>127</v>
      </c>
      <c r="M382" s="34">
        <v>27500000000</v>
      </c>
      <c r="N382" s="34">
        <v>0</v>
      </c>
      <c r="O382" s="34">
        <v>27500000000</v>
      </c>
      <c r="P382" s="31" t="s">
        <v>624</v>
      </c>
      <c r="Q382" s="34">
        <v>50000000</v>
      </c>
      <c r="R382" s="31" t="s">
        <v>128</v>
      </c>
      <c r="S382" s="35">
        <v>43384</v>
      </c>
      <c r="T382" s="35">
        <v>43277</v>
      </c>
      <c r="U382" s="35">
        <v>45657</v>
      </c>
      <c r="V382" s="27" t="s">
        <v>9308</v>
      </c>
      <c r="W382" s="31" t="s">
        <v>1043</v>
      </c>
      <c r="X382" s="31" t="s">
        <v>558</v>
      </c>
      <c r="Y382" s="31" t="s">
        <v>125</v>
      </c>
      <c r="Z382" s="31" t="s">
        <v>1275</v>
      </c>
      <c r="AA382" s="31" t="s">
        <v>862</v>
      </c>
      <c r="AB382" s="31" t="s">
        <v>861</v>
      </c>
      <c r="AC382" s="31" t="s">
        <v>1173</v>
      </c>
      <c r="AD382" s="34">
        <v>7.1</v>
      </c>
      <c r="AE382" s="31" t="s">
        <v>864</v>
      </c>
      <c r="AF382" s="31" t="s">
        <v>860</v>
      </c>
    </row>
    <row r="383" spans="2:32" ht="75" customHeight="1" x14ac:dyDescent="0.25">
      <c r="B383" s="36" t="s">
        <v>1698</v>
      </c>
      <c r="C383" s="42">
        <v>2018</v>
      </c>
      <c r="D383" s="42">
        <f t="shared" si="5"/>
        <v>2024</v>
      </c>
      <c r="E383" s="36" t="s">
        <v>126</v>
      </c>
      <c r="F383" s="36" t="s">
        <v>1699</v>
      </c>
      <c r="G383" s="36" t="s">
        <v>1700</v>
      </c>
      <c r="H383" s="36" t="s">
        <v>151</v>
      </c>
      <c r="I383" s="36" t="s">
        <v>148</v>
      </c>
      <c r="J383" s="36" t="s">
        <v>149</v>
      </c>
      <c r="K383" s="36" t="s">
        <v>315</v>
      </c>
      <c r="L383" s="36" t="s">
        <v>127</v>
      </c>
      <c r="M383" s="37">
        <v>11759536069</v>
      </c>
      <c r="N383" s="37">
        <v>0</v>
      </c>
      <c r="O383" s="37">
        <v>11759536069</v>
      </c>
      <c r="P383" s="36" t="s">
        <v>624</v>
      </c>
      <c r="Q383" s="37">
        <v>21380974.670000002</v>
      </c>
      <c r="R383" s="36" t="s">
        <v>150</v>
      </c>
      <c r="S383" s="38">
        <v>43363</v>
      </c>
      <c r="T383" s="38">
        <v>43265</v>
      </c>
      <c r="U383" s="38">
        <v>45657</v>
      </c>
      <c r="V383" s="27" t="s">
        <v>9308</v>
      </c>
      <c r="W383" s="37"/>
      <c r="X383" s="37"/>
      <c r="Y383" s="37" t="s">
        <v>125</v>
      </c>
      <c r="Z383" s="37"/>
      <c r="AA383" s="37"/>
      <c r="AB383" s="37"/>
      <c r="AC383" s="37"/>
      <c r="AD383" s="37"/>
      <c r="AE383" s="37"/>
      <c r="AF383" s="37"/>
    </row>
    <row r="384" spans="2:32" ht="60" customHeight="1" x14ac:dyDescent="0.25">
      <c r="B384" s="31" t="s">
        <v>1701</v>
      </c>
      <c r="C384" s="41">
        <v>2018</v>
      </c>
      <c r="D384" s="42">
        <f t="shared" si="5"/>
        <v>2023</v>
      </c>
      <c r="E384" s="31" t="s">
        <v>317</v>
      </c>
      <c r="F384" s="31" t="s">
        <v>1702</v>
      </c>
      <c r="G384" s="31" t="s">
        <v>1704</v>
      </c>
      <c r="H384" s="31" t="s">
        <v>181</v>
      </c>
      <c r="I384" s="31" t="s">
        <v>178</v>
      </c>
      <c r="J384" s="31" t="s">
        <v>179</v>
      </c>
      <c r="K384" s="31" t="s">
        <v>205</v>
      </c>
      <c r="L384" s="31" t="s">
        <v>127</v>
      </c>
      <c r="M384" s="34">
        <v>52429503764</v>
      </c>
      <c r="N384" s="34">
        <v>0</v>
      </c>
      <c r="O384" s="34">
        <v>52429503764</v>
      </c>
      <c r="P384" s="31" t="s">
        <v>624</v>
      </c>
      <c r="Q384" s="34">
        <v>95326370.480000004</v>
      </c>
      <c r="R384" s="31" t="s">
        <v>150</v>
      </c>
      <c r="S384" s="35">
        <v>43433</v>
      </c>
      <c r="T384" s="35">
        <v>43235</v>
      </c>
      <c r="U384" s="35">
        <v>45291</v>
      </c>
      <c r="V384" s="27" t="s">
        <v>9308</v>
      </c>
      <c r="W384" s="31" t="s">
        <v>557</v>
      </c>
      <c r="X384" s="31" t="s">
        <v>558</v>
      </c>
      <c r="Y384" s="31" t="s">
        <v>125</v>
      </c>
      <c r="Z384" s="31" t="s">
        <v>1703</v>
      </c>
      <c r="AA384" s="31" t="s">
        <v>1012</v>
      </c>
      <c r="AB384" s="31" t="s">
        <v>560</v>
      </c>
      <c r="AC384" s="31" t="s">
        <v>939</v>
      </c>
      <c r="AD384" s="34">
        <v>11.3</v>
      </c>
      <c r="AE384" s="31" t="s">
        <v>563</v>
      </c>
      <c r="AF384" s="31" t="s">
        <v>860</v>
      </c>
    </row>
    <row r="385" spans="2:32" ht="60" customHeight="1" x14ac:dyDescent="0.25">
      <c r="B385" s="36" t="s">
        <v>1705</v>
      </c>
      <c r="C385" s="42">
        <v>2018</v>
      </c>
      <c r="D385" s="42">
        <f t="shared" si="5"/>
        <v>2021</v>
      </c>
      <c r="E385" s="36" t="s">
        <v>317</v>
      </c>
      <c r="F385" s="36" t="s">
        <v>1706</v>
      </c>
      <c r="G385" s="36" t="s">
        <v>1707</v>
      </c>
      <c r="H385" s="36" t="s">
        <v>129</v>
      </c>
      <c r="I385" s="36" t="s">
        <v>822</v>
      </c>
      <c r="J385" s="36" t="s">
        <v>823</v>
      </c>
      <c r="K385" s="36" t="s">
        <v>190</v>
      </c>
      <c r="L385" s="36" t="s">
        <v>127</v>
      </c>
      <c r="M385" s="37">
        <v>5790000000</v>
      </c>
      <c r="N385" s="37">
        <v>0</v>
      </c>
      <c r="O385" s="37">
        <v>5790000000</v>
      </c>
      <c r="P385" s="36" t="s">
        <v>1110</v>
      </c>
      <c r="Q385" s="37">
        <v>9650000</v>
      </c>
      <c r="R385" s="36" t="s">
        <v>127</v>
      </c>
      <c r="S385" s="38">
        <v>43231</v>
      </c>
      <c r="T385" s="38">
        <v>43193</v>
      </c>
      <c r="U385" s="38">
        <v>44561</v>
      </c>
      <c r="V385" s="27" t="s">
        <v>9308</v>
      </c>
      <c r="W385" s="36" t="s">
        <v>557</v>
      </c>
      <c r="X385" s="36" t="s">
        <v>880</v>
      </c>
      <c r="Y385" s="36" t="s">
        <v>242</v>
      </c>
      <c r="Z385" s="36" t="s">
        <v>856</v>
      </c>
      <c r="AA385" s="36" t="s">
        <v>862</v>
      </c>
      <c r="AB385" s="36" t="s">
        <v>861</v>
      </c>
      <c r="AC385" s="36" t="s">
        <v>863</v>
      </c>
      <c r="AD385" s="37">
        <v>2.2999999999999998</v>
      </c>
      <c r="AE385" s="36" t="s">
        <v>864</v>
      </c>
      <c r="AF385" s="36" t="s">
        <v>860</v>
      </c>
    </row>
    <row r="386" spans="2:32" ht="60" customHeight="1" x14ac:dyDescent="0.25">
      <c r="B386" s="31" t="s">
        <v>1708</v>
      </c>
      <c r="C386" s="41">
        <v>2018</v>
      </c>
      <c r="D386" s="42">
        <f t="shared" si="5"/>
        <v>2023</v>
      </c>
      <c r="E386" s="31" t="s">
        <v>126</v>
      </c>
      <c r="F386" s="31" t="s">
        <v>1709</v>
      </c>
      <c r="G386" s="31" t="s">
        <v>1711</v>
      </c>
      <c r="H386" s="31" t="s">
        <v>129</v>
      </c>
      <c r="I386" s="31" t="s">
        <v>267</v>
      </c>
      <c r="J386" s="31" t="s">
        <v>267</v>
      </c>
      <c r="K386" s="31" t="s">
        <v>190</v>
      </c>
      <c r="L386" s="31" t="s">
        <v>159</v>
      </c>
      <c r="M386" s="34">
        <v>0</v>
      </c>
      <c r="N386" s="34">
        <v>5575634500</v>
      </c>
      <c r="O386" s="34">
        <v>5575634500</v>
      </c>
      <c r="P386" s="31" t="s">
        <v>122</v>
      </c>
      <c r="Q386" s="34">
        <v>8500000</v>
      </c>
      <c r="R386" s="31" t="s">
        <v>159</v>
      </c>
      <c r="S386" s="35">
        <v>43231</v>
      </c>
      <c r="T386" s="35">
        <v>43193</v>
      </c>
      <c r="U386" s="35">
        <v>45291</v>
      </c>
      <c r="V386" s="27" t="s">
        <v>9422</v>
      </c>
      <c r="W386" s="31" t="s">
        <v>557</v>
      </c>
      <c r="X386" s="31" t="s">
        <v>880</v>
      </c>
      <c r="Y386" s="31" t="s">
        <v>242</v>
      </c>
      <c r="Z386" s="31" t="s">
        <v>1710</v>
      </c>
      <c r="AA386" s="31" t="s">
        <v>862</v>
      </c>
      <c r="AB386" s="31" t="s">
        <v>861</v>
      </c>
      <c r="AC386" s="31" t="s">
        <v>863</v>
      </c>
      <c r="AD386" s="34">
        <v>2.2999999999999998</v>
      </c>
      <c r="AE386" s="31" t="s">
        <v>864</v>
      </c>
      <c r="AF386" s="31" t="s">
        <v>860</v>
      </c>
    </row>
    <row r="387" spans="2:32" ht="60" customHeight="1" x14ac:dyDescent="0.25">
      <c r="B387" s="36" t="s">
        <v>1712</v>
      </c>
      <c r="C387" s="42">
        <v>2018</v>
      </c>
      <c r="D387" s="42">
        <f t="shared" si="5"/>
        <v>2021</v>
      </c>
      <c r="E387" s="36" t="s">
        <v>317</v>
      </c>
      <c r="F387" s="36" t="s">
        <v>1713</v>
      </c>
      <c r="G387" s="36" t="s">
        <v>1714</v>
      </c>
      <c r="H387" s="36" t="s">
        <v>129</v>
      </c>
      <c r="I387" s="36" t="s">
        <v>267</v>
      </c>
      <c r="J387" s="36" t="s">
        <v>267</v>
      </c>
      <c r="K387" s="36" t="s">
        <v>163</v>
      </c>
      <c r="L387" s="36" t="s">
        <v>159</v>
      </c>
      <c r="M387" s="37">
        <v>0</v>
      </c>
      <c r="N387" s="37">
        <v>885541950</v>
      </c>
      <c r="O387" s="37">
        <v>885541950</v>
      </c>
      <c r="P387" s="36" t="s">
        <v>122</v>
      </c>
      <c r="Q387" s="37">
        <v>1350000</v>
      </c>
      <c r="R387" s="36" t="s">
        <v>159</v>
      </c>
      <c r="S387" s="38">
        <v>43242</v>
      </c>
      <c r="T387" s="38">
        <v>43231</v>
      </c>
      <c r="U387" s="38">
        <v>44561</v>
      </c>
      <c r="V387" s="27" t="s">
        <v>9307</v>
      </c>
      <c r="W387" s="36" t="s">
        <v>557</v>
      </c>
      <c r="X387" s="36" t="s">
        <v>880</v>
      </c>
      <c r="Y387" s="36" t="s">
        <v>242</v>
      </c>
      <c r="Z387" s="36" t="s">
        <v>962</v>
      </c>
      <c r="AA387" s="36" t="s">
        <v>1035</v>
      </c>
      <c r="AB387" s="36" t="s">
        <v>964</v>
      </c>
      <c r="AC387" s="36" t="s">
        <v>1036</v>
      </c>
      <c r="AD387" s="37">
        <v>16.600000000000001</v>
      </c>
      <c r="AE387" s="36" t="s">
        <v>902</v>
      </c>
      <c r="AF387" s="36" t="s">
        <v>860</v>
      </c>
    </row>
    <row r="388" spans="2:32" ht="60" customHeight="1" x14ac:dyDescent="0.25">
      <c r="B388" s="31" t="s">
        <v>1715</v>
      </c>
      <c r="C388" s="41">
        <v>2018</v>
      </c>
      <c r="D388" s="42">
        <f t="shared" si="5"/>
        <v>2021</v>
      </c>
      <c r="E388" s="31" t="s">
        <v>126</v>
      </c>
      <c r="F388" s="31" t="s">
        <v>1716</v>
      </c>
      <c r="G388" s="31" t="s">
        <v>1717</v>
      </c>
      <c r="H388" s="31" t="s">
        <v>172</v>
      </c>
      <c r="I388" s="31" t="s">
        <v>1272</v>
      </c>
      <c r="J388" s="31" t="s">
        <v>1272</v>
      </c>
      <c r="K388" s="31" t="s">
        <v>190</v>
      </c>
      <c r="L388" s="31" t="s">
        <v>159</v>
      </c>
      <c r="M388" s="34">
        <v>0</v>
      </c>
      <c r="N388" s="34">
        <v>92000000</v>
      </c>
      <c r="O388" s="34">
        <v>92000000</v>
      </c>
      <c r="P388" s="31" t="s">
        <v>136</v>
      </c>
      <c r="Q388" s="34">
        <v>92000000</v>
      </c>
      <c r="R388" s="31" t="s">
        <v>159</v>
      </c>
      <c r="S388" s="35">
        <v>43231</v>
      </c>
      <c r="T388" s="35">
        <v>43170</v>
      </c>
      <c r="U388" s="35">
        <v>44561</v>
      </c>
      <c r="V388" s="27" t="s">
        <v>9437</v>
      </c>
      <c r="W388" s="31" t="s">
        <v>557</v>
      </c>
      <c r="X388" s="31" t="s">
        <v>880</v>
      </c>
      <c r="Y388" s="31" t="s">
        <v>242</v>
      </c>
      <c r="Z388" s="31" t="s">
        <v>1176</v>
      </c>
      <c r="AA388" s="31" t="s">
        <v>862</v>
      </c>
      <c r="AB388" s="31" t="s">
        <v>861</v>
      </c>
      <c r="AC388" s="31" t="s">
        <v>863</v>
      </c>
      <c r="AD388" s="34">
        <v>2.2999999999999998</v>
      </c>
      <c r="AE388" s="31" t="s">
        <v>864</v>
      </c>
      <c r="AF388" s="31" t="s">
        <v>860</v>
      </c>
    </row>
    <row r="389" spans="2:32" ht="60" customHeight="1" x14ac:dyDescent="0.25">
      <c r="B389" s="36" t="s">
        <v>1720</v>
      </c>
      <c r="C389" s="42">
        <v>2018</v>
      </c>
      <c r="D389" s="42">
        <f t="shared" si="5"/>
        <v>2018</v>
      </c>
      <c r="E389" s="36" t="s">
        <v>126</v>
      </c>
      <c r="F389" s="36" t="s">
        <v>1721</v>
      </c>
      <c r="G389" s="36" t="s">
        <v>1722</v>
      </c>
      <c r="H389" s="36" t="s">
        <v>129</v>
      </c>
      <c r="I389" s="36" t="s">
        <v>1128</v>
      </c>
      <c r="J389" s="36" t="s">
        <v>1128</v>
      </c>
      <c r="K389" s="36" t="s">
        <v>526</v>
      </c>
      <c r="L389" s="36" t="s">
        <v>159</v>
      </c>
      <c r="M389" s="37">
        <v>0</v>
      </c>
      <c r="N389" s="37">
        <v>38790000</v>
      </c>
      <c r="O389" s="37">
        <v>38790000</v>
      </c>
      <c r="P389" s="36" t="s">
        <v>1127</v>
      </c>
      <c r="Q389" s="37">
        <v>90000</v>
      </c>
      <c r="R389" s="36" t="s">
        <v>159</v>
      </c>
      <c r="S389" s="38">
        <v>43411</v>
      </c>
      <c r="T389" s="38">
        <v>43231</v>
      </c>
      <c r="U389" s="38">
        <v>43465</v>
      </c>
      <c r="V389" s="27" t="s">
        <v>9308</v>
      </c>
      <c r="W389" s="36" t="s">
        <v>557</v>
      </c>
      <c r="X389" s="36" t="s">
        <v>880</v>
      </c>
      <c r="Y389" s="36" t="s">
        <v>242</v>
      </c>
      <c r="Z389" s="36" t="s">
        <v>1095</v>
      </c>
      <c r="AA389" s="36" t="s">
        <v>561</v>
      </c>
      <c r="AB389" s="36" t="s">
        <v>560</v>
      </c>
      <c r="AC389" s="36" t="s">
        <v>1022</v>
      </c>
      <c r="AD389" s="37">
        <v>1.3</v>
      </c>
      <c r="AE389" s="36" t="s">
        <v>902</v>
      </c>
      <c r="AF389" s="36" t="s">
        <v>860</v>
      </c>
    </row>
    <row r="390" spans="2:32" ht="60" customHeight="1" x14ac:dyDescent="0.25">
      <c r="B390" s="31" t="s">
        <v>1723</v>
      </c>
      <c r="C390" s="41">
        <v>2018</v>
      </c>
      <c r="D390" s="42">
        <f t="shared" si="5"/>
        <v>2023</v>
      </c>
      <c r="E390" s="31" t="s">
        <v>1048</v>
      </c>
      <c r="F390" s="31" t="s">
        <v>1038</v>
      </c>
      <c r="G390" s="31" t="s">
        <v>1724</v>
      </c>
      <c r="H390" s="31" t="s">
        <v>172</v>
      </c>
      <c r="I390" s="31" t="s">
        <v>1044</v>
      </c>
      <c r="J390" s="31" t="s">
        <v>1045</v>
      </c>
      <c r="K390" s="31" t="s">
        <v>1039</v>
      </c>
      <c r="L390" s="31" t="s">
        <v>127</v>
      </c>
      <c r="M390" s="34">
        <v>461700660000</v>
      </c>
      <c r="N390" s="34">
        <v>0</v>
      </c>
      <c r="O390" s="34">
        <v>461700660000</v>
      </c>
      <c r="P390" s="31" t="s">
        <v>136</v>
      </c>
      <c r="Q390" s="34">
        <v>461700660000</v>
      </c>
      <c r="R390" s="31" t="s">
        <v>1049</v>
      </c>
      <c r="S390" s="35">
        <v>43231</v>
      </c>
      <c r="T390" s="35">
        <v>43101</v>
      </c>
      <c r="U390" s="35">
        <v>45291</v>
      </c>
      <c r="V390" s="27" t="s">
        <v>9308</v>
      </c>
      <c r="W390" s="31" t="s">
        <v>1043</v>
      </c>
      <c r="X390" s="31" t="s">
        <v>1038</v>
      </c>
      <c r="Y390" s="31" t="s">
        <v>1044</v>
      </c>
      <c r="Z390" s="31" t="s">
        <v>1040</v>
      </c>
      <c r="AA390" s="31" t="s">
        <v>1046</v>
      </c>
      <c r="AB390" s="31" t="s">
        <v>861</v>
      </c>
      <c r="AC390" s="31" t="s">
        <v>1047</v>
      </c>
      <c r="AD390" s="34">
        <v>17.170000000000002</v>
      </c>
      <c r="AE390" s="31" t="s">
        <v>864</v>
      </c>
      <c r="AF390" s="31" t="s">
        <v>860</v>
      </c>
    </row>
    <row r="391" spans="2:32" ht="60" customHeight="1" x14ac:dyDescent="0.25">
      <c r="B391" s="36" t="s">
        <v>1725</v>
      </c>
      <c r="C391" s="42">
        <v>2018</v>
      </c>
      <c r="D391" s="42">
        <f t="shared" ref="D391:D454" si="6">YEAR(U391)</f>
        <v>2019</v>
      </c>
      <c r="E391" s="36" t="s">
        <v>126</v>
      </c>
      <c r="F391" s="36" t="s">
        <v>1392</v>
      </c>
      <c r="G391" s="36" t="s">
        <v>1726</v>
      </c>
      <c r="H391" s="36" t="s">
        <v>172</v>
      </c>
      <c r="I391" s="36" t="s">
        <v>1010</v>
      </c>
      <c r="J391" s="36" t="s">
        <v>1011</v>
      </c>
      <c r="K391" s="36" t="s">
        <v>1039</v>
      </c>
      <c r="L391" s="36" t="s">
        <v>159</v>
      </c>
      <c r="M391" s="37">
        <v>0</v>
      </c>
      <c r="N391" s="37">
        <v>270100600</v>
      </c>
      <c r="O391" s="37">
        <v>270100600</v>
      </c>
      <c r="P391" s="36" t="s">
        <v>624</v>
      </c>
      <c r="Q391" s="37">
        <v>491092</v>
      </c>
      <c r="R391" s="36" t="s">
        <v>159</v>
      </c>
      <c r="S391" s="38">
        <v>43231</v>
      </c>
      <c r="T391" s="38">
        <v>43101</v>
      </c>
      <c r="U391" s="38">
        <v>43830</v>
      </c>
      <c r="V391" s="27" t="s">
        <v>9308</v>
      </c>
      <c r="W391" s="36" t="s">
        <v>557</v>
      </c>
      <c r="X391" s="36" t="s">
        <v>880</v>
      </c>
      <c r="Y391" s="36" t="s">
        <v>125</v>
      </c>
      <c r="Z391" s="36" t="s">
        <v>1040</v>
      </c>
      <c r="AA391" s="36" t="s">
        <v>1046</v>
      </c>
      <c r="AB391" s="36" t="s">
        <v>861</v>
      </c>
      <c r="AC391" s="36" t="s">
        <v>1047</v>
      </c>
      <c r="AD391" s="37">
        <v>17.170000000000002</v>
      </c>
      <c r="AE391" s="36" t="s">
        <v>864</v>
      </c>
      <c r="AF391" s="36" t="s">
        <v>860</v>
      </c>
    </row>
    <row r="392" spans="2:32" ht="60" customHeight="1" x14ac:dyDescent="0.25">
      <c r="B392" s="31" t="s">
        <v>1727</v>
      </c>
      <c r="C392" s="41">
        <v>2018</v>
      </c>
      <c r="D392" s="42">
        <f t="shared" si="6"/>
        <v>2021</v>
      </c>
      <c r="E392" s="31" t="s">
        <v>126</v>
      </c>
      <c r="F392" s="31" t="s">
        <v>1728</v>
      </c>
      <c r="G392" s="31" t="s">
        <v>1729</v>
      </c>
      <c r="H392" s="31" t="s">
        <v>172</v>
      </c>
      <c r="I392" s="31" t="s">
        <v>1020</v>
      </c>
      <c r="J392" s="31" t="s">
        <v>1021</v>
      </c>
      <c r="K392" s="31" t="s">
        <v>216</v>
      </c>
      <c r="L392" s="31" t="s">
        <v>159</v>
      </c>
      <c r="M392" s="34">
        <v>0</v>
      </c>
      <c r="N392" s="34">
        <v>1178262800</v>
      </c>
      <c r="O392" s="34">
        <v>1178262800</v>
      </c>
      <c r="P392" s="31" t="s">
        <v>624</v>
      </c>
      <c r="Q392" s="34">
        <v>2142296</v>
      </c>
      <c r="R392" s="31" t="s">
        <v>159</v>
      </c>
      <c r="S392" s="35">
        <v>43231</v>
      </c>
      <c r="T392" s="35">
        <v>43170</v>
      </c>
      <c r="U392" s="35">
        <v>44561</v>
      </c>
      <c r="V392" s="27" t="s">
        <v>9308</v>
      </c>
      <c r="W392" s="31" t="s">
        <v>557</v>
      </c>
      <c r="X392" s="31" t="s">
        <v>880</v>
      </c>
      <c r="Y392" s="31" t="s">
        <v>242</v>
      </c>
      <c r="Z392" s="31" t="s">
        <v>1103</v>
      </c>
      <c r="AA392" s="31" t="s">
        <v>561</v>
      </c>
      <c r="AB392" s="31" t="s">
        <v>560</v>
      </c>
      <c r="AC392" s="31" t="s">
        <v>989</v>
      </c>
      <c r="AD392" s="34">
        <v>3.8</v>
      </c>
      <c r="AE392" s="31" t="s">
        <v>902</v>
      </c>
      <c r="AF392" s="31" t="s">
        <v>860</v>
      </c>
    </row>
    <row r="393" spans="2:32" ht="60" customHeight="1" x14ac:dyDescent="0.25">
      <c r="B393" s="36" t="s">
        <v>1730</v>
      </c>
      <c r="C393" s="42">
        <v>2018</v>
      </c>
      <c r="D393" s="42">
        <f t="shared" si="6"/>
        <v>2022</v>
      </c>
      <c r="E393" s="36" t="s">
        <v>126</v>
      </c>
      <c r="F393" s="36" t="s">
        <v>1731</v>
      </c>
      <c r="G393" s="36" t="s">
        <v>1732</v>
      </c>
      <c r="H393" s="36" t="s">
        <v>129</v>
      </c>
      <c r="I393" s="36" t="s">
        <v>1128</v>
      </c>
      <c r="J393" s="36" t="s">
        <v>1128</v>
      </c>
      <c r="K393" s="36" t="s">
        <v>216</v>
      </c>
      <c r="L393" s="36" t="s">
        <v>159</v>
      </c>
      <c r="M393" s="37">
        <v>0</v>
      </c>
      <c r="N393" s="37">
        <v>3448000000</v>
      </c>
      <c r="O393" s="37">
        <v>3448000000</v>
      </c>
      <c r="P393" s="36" t="s">
        <v>1127</v>
      </c>
      <c r="Q393" s="37">
        <v>8000000</v>
      </c>
      <c r="R393" s="36" t="s">
        <v>159</v>
      </c>
      <c r="S393" s="38">
        <v>43276</v>
      </c>
      <c r="T393" s="38">
        <v>43231</v>
      </c>
      <c r="U393" s="38">
        <v>44926</v>
      </c>
      <c r="V393" s="27" t="s">
        <v>9308</v>
      </c>
      <c r="W393" s="36" t="s">
        <v>557</v>
      </c>
      <c r="X393" s="36" t="s">
        <v>880</v>
      </c>
      <c r="Y393" s="36" t="s">
        <v>242</v>
      </c>
      <c r="Z393" s="36" t="s">
        <v>1091</v>
      </c>
      <c r="AA393" s="36" t="s">
        <v>561</v>
      </c>
      <c r="AB393" s="36" t="s">
        <v>560</v>
      </c>
      <c r="AC393" s="36" t="s">
        <v>989</v>
      </c>
      <c r="AD393" s="37">
        <v>3.8</v>
      </c>
      <c r="AE393" s="36" t="s">
        <v>902</v>
      </c>
      <c r="AF393" s="36" t="s">
        <v>860</v>
      </c>
    </row>
    <row r="394" spans="2:32" ht="60" customHeight="1" x14ac:dyDescent="0.25">
      <c r="B394" s="31" t="s">
        <v>1733</v>
      </c>
      <c r="C394" s="41">
        <v>2018</v>
      </c>
      <c r="D394" s="42">
        <f t="shared" si="6"/>
        <v>2020</v>
      </c>
      <c r="E394" s="31" t="s">
        <v>317</v>
      </c>
      <c r="F394" s="31" t="s">
        <v>1734</v>
      </c>
      <c r="G394" s="31" t="s">
        <v>1735</v>
      </c>
      <c r="H394" s="31" t="s">
        <v>172</v>
      </c>
      <c r="I394" s="31" t="s">
        <v>1010</v>
      </c>
      <c r="J394" s="31" t="s">
        <v>1011</v>
      </c>
      <c r="K394" s="31" t="s">
        <v>526</v>
      </c>
      <c r="L394" s="31" t="s">
        <v>159</v>
      </c>
      <c r="M394" s="34">
        <v>0</v>
      </c>
      <c r="N394" s="34">
        <v>377979228</v>
      </c>
      <c r="O394" s="34">
        <v>377979228</v>
      </c>
      <c r="P394" s="31" t="s">
        <v>624</v>
      </c>
      <c r="Q394" s="34">
        <v>687234.96</v>
      </c>
      <c r="R394" s="31" t="s">
        <v>159</v>
      </c>
      <c r="S394" s="35">
        <v>43231</v>
      </c>
      <c r="T394" s="35">
        <v>43170</v>
      </c>
      <c r="U394" s="35">
        <v>44196</v>
      </c>
      <c r="V394" s="27" t="s">
        <v>9307</v>
      </c>
      <c r="W394" s="31" t="s">
        <v>557</v>
      </c>
      <c r="X394" s="31" t="s">
        <v>880</v>
      </c>
      <c r="Y394" s="31" t="s">
        <v>125</v>
      </c>
      <c r="Z394" s="31" t="s">
        <v>962</v>
      </c>
      <c r="AA394" s="31" t="s">
        <v>561</v>
      </c>
      <c r="AB394" s="31" t="s">
        <v>560</v>
      </c>
      <c r="AC394" s="31" t="s">
        <v>1022</v>
      </c>
      <c r="AD394" s="34">
        <v>1.3</v>
      </c>
      <c r="AE394" s="31" t="s">
        <v>902</v>
      </c>
      <c r="AF394" s="31" t="s">
        <v>860</v>
      </c>
    </row>
    <row r="395" spans="2:32" ht="60" customHeight="1" x14ac:dyDescent="0.25">
      <c r="B395" s="36" t="s">
        <v>1736</v>
      </c>
      <c r="C395" s="42">
        <v>2018</v>
      </c>
      <c r="D395" s="42">
        <f t="shared" si="6"/>
        <v>2023</v>
      </c>
      <c r="E395" s="36" t="s">
        <v>126</v>
      </c>
      <c r="F395" s="36" t="s">
        <v>1737</v>
      </c>
      <c r="G395" s="36" t="s">
        <v>1738</v>
      </c>
      <c r="H395" s="36" t="s">
        <v>129</v>
      </c>
      <c r="I395" s="36" t="s">
        <v>267</v>
      </c>
      <c r="J395" s="36" t="s">
        <v>267</v>
      </c>
      <c r="K395" s="36" t="s">
        <v>205</v>
      </c>
      <c r="L395" s="36" t="s">
        <v>159</v>
      </c>
      <c r="M395" s="37">
        <v>0</v>
      </c>
      <c r="N395" s="37">
        <v>957697220</v>
      </c>
      <c r="O395" s="37">
        <v>957697220</v>
      </c>
      <c r="P395" s="36" t="s">
        <v>122</v>
      </c>
      <c r="Q395" s="37">
        <v>1460000</v>
      </c>
      <c r="R395" s="36" t="s">
        <v>159</v>
      </c>
      <c r="S395" s="38">
        <v>43231</v>
      </c>
      <c r="T395" s="38">
        <v>43193</v>
      </c>
      <c r="U395" s="38">
        <v>45291</v>
      </c>
      <c r="V395" s="27" t="s">
        <v>9358</v>
      </c>
      <c r="W395" s="36" t="s">
        <v>557</v>
      </c>
      <c r="X395" s="36" t="s">
        <v>880</v>
      </c>
      <c r="Y395" s="36" t="s">
        <v>242</v>
      </c>
      <c r="Z395" s="36" t="s">
        <v>1006</v>
      </c>
      <c r="AA395" s="36" t="s">
        <v>1012</v>
      </c>
      <c r="AB395" s="36" t="s">
        <v>560</v>
      </c>
      <c r="AC395" s="36" t="s">
        <v>939</v>
      </c>
      <c r="AD395" s="37">
        <v>11.3</v>
      </c>
      <c r="AE395" s="36" t="s">
        <v>563</v>
      </c>
      <c r="AF395" s="36" t="s">
        <v>860</v>
      </c>
    </row>
    <row r="396" spans="2:32" ht="60" customHeight="1" x14ac:dyDescent="0.25">
      <c r="B396" s="31" t="s">
        <v>1739</v>
      </c>
      <c r="C396" s="41">
        <v>2018</v>
      </c>
      <c r="D396" s="42">
        <f t="shared" si="6"/>
        <v>2022</v>
      </c>
      <c r="E396" s="31" t="s">
        <v>126</v>
      </c>
      <c r="F396" s="31" t="s">
        <v>1740</v>
      </c>
      <c r="G396" s="31" t="s">
        <v>1741</v>
      </c>
      <c r="H396" s="31" t="s">
        <v>129</v>
      </c>
      <c r="I396" s="31" t="s">
        <v>1128</v>
      </c>
      <c r="J396" s="31" t="s">
        <v>1128</v>
      </c>
      <c r="K396" s="31" t="s">
        <v>216</v>
      </c>
      <c r="L396" s="31" t="s">
        <v>159</v>
      </c>
      <c r="M396" s="34">
        <v>0</v>
      </c>
      <c r="N396" s="34">
        <v>3469550000</v>
      </c>
      <c r="O396" s="34">
        <v>3469550000</v>
      </c>
      <c r="P396" s="31" t="s">
        <v>1127</v>
      </c>
      <c r="Q396" s="34">
        <v>8050000</v>
      </c>
      <c r="R396" s="31" t="s">
        <v>159</v>
      </c>
      <c r="S396" s="35">
        <v>43279</v>
      </c>
      <c r="T396" s="35">
        <v>43231</v>
      </c>
      <c r="U396" s="35">
        <v>44926</v>
      </c>
      <c r="V396" s="27" t="s">
        <v>9438</v>
      </c>
      <c r="W396" s="31" t="s">
        <v>557</v>
      </c>
      <c r="X396" s="31" t="s">
        <v>880</v>
      </c>
      <c r="Y396" s="31" t="s">
        <v>242</v>
      </c>
      <c r="Z396" s="31" t="s">
        <v>1091</v>
      </c>
      <c r="AA396" s="31" t="s">
        <v>561</v>
      </c>
      <c r="AB396" s="31" t="s">
        <v>560</v>
      </c>
      <c r="AC396" s="31" t="s">
        <v>989</v>
      </c>
      <c r="AD396" s="34">
        <v>3.8</v>
      </c>
      <c r="AE396" s="31" t="s">
        <v>902</v>
      </c>
      <c r="AF396" s="31" t="s">
        <v>860</v>
      </c>
    </row>
    <row r="397" spans="2:32" ht="60" customHeight="1" x14ac:dyDescent="0.25">
      <c r="B397" s="36" t="s">
        <v>1743</v>
      </c>
      <c r="C397" s="42">
        <v>2018</v>
      </c>
      <c r="D397" s="42">
        <f t="shared" si="6"/>
        <v>2021</v>
      </c>
      <c r="E397" s="36" t="s">
        <v>170</v>
      </c>
      <c r="F397" s="36" t="s">
        <v>1744</v>
      </c>
      <c r="G397" s="36" t="s">
        <v>1745</v>
      </c>
      <c r="H397" s="36" t="s">
        <v>129</v>
      </c>
      <c r="I397" s="36" t="s">
        <v>822</v>
      </c>
      <c r="J397" s="36" t="s">
        <v>823</v>
      </c>
      <c r="K397" s="36" t="s">
        <v>526</v>
      </c>
      <c r="L397" s="36" t="s">
        <v>159</v>
      </c>
      <c r="M397" s="37">
        <v>0</v>
      </c>
      <c r="N397" s="37">
        <v>2116600000</v>
      </c>
      <c r="O397" s="37">
        <v>2116600000</v>
      </c>
      <c r="P397" s="36" t="s">
        <v>1110</v>
      </c>
      <c r="Q397" s="37">
        <v>3800000</v>
      </c>
      <c r="R397" s="36" t="s">
        <v>159</v>
      </c>
      <c r="S397" s="38">
        <v>43231</v>
      </c>
      <c r="T397" s="38">
        <v>43193</v>
      </c>
      <c r="U397" s="38">
        <v>44561</v>
      </c>
      <c r="V397" s="27" t="s">
        <v>9396</v>
      </c>
      <c r="W397" s="36" t="s">
        <v>557</v>
      </c>
      <c r="X397" s="36" t="s">
        <v>880</v>
      </c>
      <c r="Y397" s="36" t="s">
        <v>242</v>
      </c>
      <c r="Z397" s="36" t="s">
        <v>1131</v>
      </c>
      <c r="AA397" s="36" t="s">
        <v>561</v>
      </c>
      <c r="AB397" s="36" t="s">
        <v>560</v>
      </c>
      <c r="AC397" s="36" t="s">
        <v>1022</v>
      </c>
      <c r="AD397" s="37">
        <v>1.3</v>
      </c>
      <c r="AE397" s="36" t="s">
        <v>902</v>
      </c>
      <c r="AF397" s="36" t="s">
        <v>860</v>
      </c>
    </row>
    <row r="398" spans="2:32" ht="45" customHeight="1" x14ac:dyDescent="0.25">
      <c r="B398" s="31" t="s">
        <v>1746</v>
      </c>
      <c r="C398" s="41">
        <v>2018</v>
      </c>
      <c r="D398" s="42">
        <f t="shared" si="6"/>
        <v>2021</v>
      </c>
      <c r="E398" s="31" t="s">
        <v>126</v>
      </c>
      <c r="F398" s="31" t="s">
        <v>1747</v>
      </c>
      <c r="G398" s="31" t="s">
        <v>1748</v>
      </c>
      <c r="H398" s="31" t="s">
        <v>172</v>
      </c>
      <c r="I398" s="31" t="s">
        <v>1010</v>
      </c>
      <c r="J398" s="31" t="s">
        <v>1011</v>
      </c>
      <c r="K398" s="31" t="s">
        <v>118</v>
      </c>
      <c r="L398" s="31" t="s">
        <v>159</v>
      </c>
      <c r="M398" s="34">
        <v>0</v>
      </c>
      <c r="N398" s="34">
        <v>388025000</v>
      </c>
      <c r="O398" s="34">
        <v>388025000</v>
      </c>
      <c r="P398" s="31" t="s">
        <v>624</v>
      </c>
      <c r="Q398" s="34">
        <v>705500</v>
      </c>
      <c r="R398" s="31" t="s">
        <v>159</v>
      </c>
      <c r="S398" s="35">
        <v>43231</v>
      </c>
      <c r="T398" s="35">
        <v>43170</v>
      </c>
      <c r="U398" s="35">
        <v>44561</v>
      </c>
      <c r="V398" s="27" t="s">
        <v>9439</v>
      </c>
      <c r="W398" s="31" t="s">
        <v>557</v>
      </c>
      <c r="X398" s="31" t="s">
        <v>880</v>
      </c>
      <c r="Y398" s="31" t="s">
        <v>125</v>
      </c>
      <c r="Z398" s="31" t="s">
        <v>1171</v>
      </c>
      <c r="AA398" s="31" t="s">
        <v>862</v>
      </c>
      <c r="AB398" s="31" t="s">
        <v>861</v>
      </c>
      <c r="AC398" s="31" t="s">
        <v>1173</v>
      </c>
      <c r="AD398" s="34">
        <v>7.1</v>
      </c>
      <c r="AE398" s="31" t="s">
        <v>864</v>
      </c>
      <c r="AF398" s="31" t="s">
        <v>860</v>
      </c>
    </row>
    <row r="399" spans="2:32" ht="60" customHeight="1" x14ac:dyDescent="0.25">
      <c r="B399" s="36" t="s">
        <v>1750</v>
      </c>
      <c r="C399" s="42">
        <v>2018</v>
      </c>
      <c r="D399" s="42">
        <f t="shared" si="6"/>
        <v>2021</v>
      </c>
      <c r="E399" s="36" t="s">
        <v>126</v>
      </c>
      <c r="F399" s="36" t="s">
        <v>1094</v>
      </c>
      <c r="G399" s="36" t="s">
        <v>1751</v>
      </c>
      <c r="H399" s="36" t="s">
        <v>172</v>
      </c>
      <c r="I399" s="36" t="s">
        <v>1020</v>
      </c>
      <c r="J399" s="36" t="s">
        <v>1021</v>
      </c>
      <c r="K399" s="36" t="s">
        <v>526</v>
      </c>
      <c r="L399" s="36" t="s">
        <v>159</v>
      </c>
      <c r="M399" s="37">
        <v>0</v>
      </c>
      <c r="N399" s="37">
        <v>22000000</v>
      </c>
      <c r="O399" s="37">
        <v>22000000</v>
      </c>
      <c r="P399" s="36" t="s">
        <v>624</v>
      </c>
      <c r="Q399" s="37">
        <v>40000</v>
      </c>
      <c r="R399" s="36" t="s">
        <v>159</v>
      </c>
      <c r="S399" s="38">
        <v>43453</v>
      </c>
      <c r="T399" s="38">
        <v>43231</v>
      </c>
      <c r="U399" s="38">
        <v>44469</v>
      </c>
      <c r="V399" s="27" t="s">
        <v>9308</v>
      </c>
      <c r="W399" s="36" t="s">
        <v>557</v>
      </c>
      <c r="X399" s="36" t="s">
        <v>880</v>
      </c>
      <c r="Y399" s="36" t="s">
        <v>242</v>
      </c>
      <c r="Z399" s="36" t="s">
        <v>1095</v>
      </c>
      <c r="AA399" s="36" t="s">
        <v>561</v>
      </c>
      <c r="AB399" s="36" t="s">
        <v>560</v>
      </c>
      <c r="AC399" s="36" t="s">
        <v>1022</v>
      </c>
      <c r="AD399" s="37">
        <v>1.3</v>
      </c>
      <c r="AE399" s="36" t="s">
        <v>902</v>
      </c>
      <c r="AF399" s="36" t="s">
        <v>860</v>
      </c>
    </row>
    <row r="400" spans="2:32" ht="60" customHeight="1" x14ac:dyDescent="0.25">
      <c r="B400" s="31" t="s">
        <v>1752</v>
      </c>
      <c r="C400" s="41">
        <v>2018</v>
      </c>
      <c r="D400" s="42">
        <f t="shared" si="6"/>
        <v>2022</v>
      </c>
      <c r="E400" s="31" t="s">
        <v>126</v>
      </c>
      <c r="F400" s="31" t="s">
        <v>1753</v>
      </c>
      <c r="G400" s="31" t="s">
        <v>1755</v>
      </c>
      <c r="H400" s="31" t="s">
        <v>172</v>
      </c>
      <c r="I400" s="31" t="s">
        <v>1020</v>
      </c>
      <c r="J400" s="31" t="s">
        <v>1021</v>
      </c>
      <c r="K400" s="31" t="s">
        <v>205</v>
      </c>
      <c r="L400" s="31" t="s">
        <v>159</v>
      </c>
      <c r="M400" s="34">
        <v>0</v>
      </c>
      <c r="N400" s="34">
        <v>16948800</v>
      </c>
      <c r="O400" s="34">
        <v>16948800</v>
      </c>
      <c r="P400" s="31" t="s">
        <v>624</v>
      </c>
      <c r="Q400" s="34">
        <v>30816</v>
      </c>
      <c r="R400" s="31" t="s">
        <v>159</v>
      </c>
      <c r="S400" s="35">
        <v>43231</v>
      </c>
      <c r="T400" s="35">
        <v>43170</v>
      </c>
      <c r="U400" s="35">
        <v>44834</v>
      </c>
      <c r="V400" s="27" t="s">
        <v>9308</v>
      </c>
      <c r="W400" s="31" t="s">
        <v>557</v>
      </c>
      <c r="X400" s="31" t="s">
        <v>880</v>
      </c>
      <c r="Y400" s="31" t="s">
        <v>242</v>
      </c>
      <c r="Z400" s="31" t="s">
        <v>1754</v>
      </c>
      <c r="AA400" s="31" t="s">
        <v>1012</v>
      </c>
      <c r="AB400" s="31" t="s">
        <v>560</v>
      </c>
      <c r="AC400" s="31" t="s">
        <v>939</v>
      </c>
      <c r="AD400" s="34">
        <v>11.3</v>
      </c>
      <c r="AE400" s="31" t="s">
        <v>563</v>
      </c>
      <c r="AF400" s="31" t="s">
        <v>860</v>
      </c>
    </row>
    <row r="401" spans="2:32" ht="60" customHeight="1" x14ac:dyDescent="0.25">
      <c r="B401" s="36" t="s">
        <v>1756</v>
      </c>
      <c r="C401" s="42">
        <v>2018</v>
      </c>
      <c r="D401" s="42">
        <f t="shared" si="6"/>
        <v>2021</v>
      </c>
      <c r="E401" s="36" t="s">
        <v>126</v>
      </c>
      <c r="F401" s="36" t="s">
        <v>1422</v>
      </c>
      <c r="G401" s="36" t="s">
        <v>1757</v>
      </c>
      <c r="H401" s="36" t="s">
        <v>129</v>
      </c>
      <c r="I401" s="36" t="s">
        <v>267</v>
      </c>
      <c r="J401" s="36" t="s">
        <v>267</v>
      </c>
      <c r="K401" s="36" t="s">
        <v>190</v>
      </c>
      <c r="L401" s="36" t="s">
        <v>159</v>
      </c>
      <c r="M401" s="37">
        <v>0</v>
      </c>
      <c r="N401" s="37">
        <v>5542836650</v>
      </c>
      <c r="O401" s="37">
        <v>5542836650</v>
      </c>
      <c r="P401" s="36" t="s">
        <v>122</v>
      </c>
      <c r="Q401" s="37">
        <v>8450000</v>
      </c>
      <c r="R401" s="36" t="s">
        <v>159</v>
      </c>
      <c r="S401" s="38">
        <v>43231</v>
      </c>
      <c r="T401" s="38">
        <v>43193</v>
      </c>
      <c r="U401" s="38">
        <v>44561</v>
      </c>
      <c r="V401" s="27" t="s">
        <v>9414</v>
      </c>
      <c r="W401" s="36" t="s">
        <v>557</v>
      </c>
      <c r="X401" s="36" t="s">
        <v>880</v>
      </c>
      <c r="Y401" s="36" t="s">
        <v>242</v>
      </c>
      <c r="Z401" s="36" t="s">
        <v>974</v>
      </c>
      <c r="AA401" s="36" t="s">
        <v>862</v>
      </c>
      <c r="AB401" s="36" t="s">
        <v>861</v>
      </c>
      <c r="AC401" s="36" t="s">
        <v>863</v>
      </c>
      <c r="AD401" s="37">
        <v>2.2999999999999998</v>
      </c>
      <c r="AE401" s="36" t="s">
        <v>864</v>
      </c>
      <c r="AF401" s="36" t="s">
        <v>860</v>
      </c>
    </row>
    <row r="402" spans="2:32" ht="60" customHeight="1" x14ac:dyDescent="0.25">
      <c r="B402" s="31" t="s">
        <v>1758</v>
      </c>
      <c r="C402" s="41">
        <v>2018</v>
      </c>
      <c r="D402" s="42">
        <f t="shared" si="6"/>
        <v>2021</v>
      </c>
      <c r="E402" s="31" t="s">
        <v>126</v>
      </c>
      <c r="F402" s="31" t="s">
        <v>1759</v>
      </c>
      <c r="G402" s="31" t="s">
        <v>1760</v>
      </c>
      <c r="H402" s="31" t="s">
        <v>129</v>
      </c>
      <c r="I402" s="31" t="s">
        <v>267</v>
      </c>
      <c r="J402" s="31" t="s">
        <v>267</v>
      </c>
      <c r="K402" s="31" t="s">
        <v>205</v>
      </c>
      <c r="L402" s="31" t="s">
        <v>159</v>
      </c>
      <c r="M402" s="34">
        <v>0</v>
      </c>
      <c r="N402" s="34">
        <v>1666130780</v>
      </c>
      <c r="O402" s="34">
        <v>1666130780</v>
      </c>
      <c r="P402" s="31" t="s">
        <v>122</v>
      </c>
      <c r="Q402" s="34">
        <v>2540000</v>
      </c>
      <c r="R402" s="31" t="s">
        <v>159</v>
      </c>
      <c r="S402" s="35">
        <v>43231</v>
      </c>
      <c r="T402" s="35">
        <v>43193</v>
      </c>
      <c r="U402" s="35">
        <v>44561</v>
      </c>
      <c r="V402" s="27" t="s">
        <v>9307</v>
      </c>
      <c r="W402" s="31" t="s">
        <v>557</v>
      </c>
      <c r="X402" s="31" t="s">
        <v>880</v>
      </c>
      <c r="Y402" s="31" t="s">
        <v>242</v>
      </c>
      <c r="Z402" s="31" t="s">
        <v>1052</v>
      </c>
      <c r="AA402" s="31" t="s">
        <v>1012</v>
      </c>
      <c r="AB402" s="31" t="s">
        <v>560</v>
      </c>
      <c r="AC402" s="31" t="s">
        <v>939</v>
      </c>
      <c r="AD402" s="34">
        <v>11.3</v>
      </c>
      <c r="AE402" s="31" t="s">
        <v>563</v>
      </c>
      <c r="AF402" s="31" t="s">
        <v>860</v>
      </c>
    </row>
    <row r="403" spans="2:32" ht="60" customHeight="1" x14ac:dyDescent="0.25">
      <c r="B403" s="36" t="s">
        <v>1761</v>
      </c>
      <c r="C403" s="42">
        <v>2018</v>
      </c>
      <c r="D403" s="42">
        <f t="shared" si="6"/>
        <v>2021</v>
      </c>
      <c r="E403" s="36" t="s">
        <v>126</v>
      </c>
      <c r="F403" s="36" t="s">
        <v>1762</v>
      </c>
      <c r="G403" s="36" t="s">
        <v>1763</v>
      </c>
      <c r="H403" s="36" t="s">
        <v>129</v>
      </c>
      <c r="I403" s="36" t="s">
        <v>267</v>
      </c>
      <c r="J403" s="36" t="s">
        <v>267</v>
      </c>
      <c r="K403" s="36" t="s">
        <v>315</v>
      </c>
      <c r="L403" s="36" t="s">
        <v>127</v>
      </c>
      <c r="M403" s="37">
        <v>10495312000</v>
      </c>
      <c r="N403" s="37">
        <v>0</v>
      </c>
      <c r="O403" s="37">
        <v>10495312000</v>
      </c>
      <c r="P403" s="36" t="s">
        <v>122</v>
      </c>
      <c r="Q403" s="37">
        <v>16000000</v>
      </c>
      <c r="R403" s="36" t="s">
        <v>150</v>
      </c>
      <c r="S403" s="38">
        <v>43453</v>
      </c>
      <c r="T403" s="38">
        <v>43231</v>
      </c>
      <c r="U403" s="38">
        <v>44561</v>
      </c>
      <c r="V403" s="27" t="s">
        <v>9308</v>
      </c>
      <c r="W403" s="36" t="s">
        <v>557</v>
      </c>
      <c r="X403" s="36" t="s">
        <v>558</v>
      </c>
      <c r="Y403" s="36" t="s">
        <v>242</v>
      </c>
      <c r="Z403" s="36" t="s">
        <v>1519</v>
      </c>
      <c r="AA403" s="36" t="s">
        <v>900</v>
      </c>
      <c r="AB403" s="36" t="s">
        <v>861</v>
      </c>
      <c r="AC403" s="36" t="s">
        <v>901</v>
      </c>
      <c r="AD403" s="37">
        <v>4.0999999999999996</v>
      </c>
      <c r="AE403" s="36" t="s">
        <v>902</v>
      </c>
      <c r="AF403" s="36" t="s">
        <v>860</v>
      </c>
    </row>
    <row r="404" spans="2:32" ht="60" customHeight="1" x14ac:dyDescent="0.25">
      <c r="B404" s="31" t="s">
        <v>1764</v>
      </c>
      <c r="C404" s="41">
        <v>2018</v>
      </c>
      <c r="D404" s="42">
        <f t="shared" si="6"/>
        <v>2021</v>
      </c>
      <c r="E404" s="31" t="s">
        <v>126</v>
      </c>
      <c r="F404" s="31" t="s">
        <v>1765</v>
      </c>
      <c r="G404" s="31" t="s">
        <v>1766</v>
      </c>
      <c r="H404" s="31" t="s">
        <v>129</v>
      </c>
      <c r="I404" s="31" t="s">
        <v>1439</v>
      </c>
      <c r="J404" s="31" t="s">
        <v>1439</v>
      </c>
      <c r="K404" s="31" t="s">
        <v>526</v>
      </c>
      <c r="L404" s="31" t="s">
        <v>159</v>
      </c>
      <c r="M404" s="34">
        <v>0</v>
      </c>
      <c r="N404" s="34">
        <v>102436213</v>
      </c>
      <c r="O404" s="34">
        <v>102436213</v>
      </c>
      <c r="P404" s="31" t="s">
        <v>122</v>
      </c>
      <c r="Q404" s="34">
        <v>156163</v>
      </c>
      <c r="R404" s="31" t="s">
        <v>159</v>
      </c>
      <c r="S404" s="35">
        <v>43231</v>
      </c>
      <c r="T404" s="35">
        <v>43170</v>
      </c>
      <c r="U404" s="35">
        <v>44561</v>
      </c>
      <c r="V404" s="27" t="s">
        <v>9440</v>
      </c>
      <c r="W404" s="31" t="s">
        <v>557</v>
      </c>
      <c r="X404" s="31" t="s">
        <v>880</v>
      </c>
      <c r="Y404" s="31" t="s">
        <v>242</v>
      </c>
      <c r="Z404" s="31" t="s">
        <v>1095</v>
      </c>
      <c r="AA404" s="31" t="s">
        <v>561</v>
      </c>
      <c r="AB404" s="31" t="s">
        <v>560</v>
      </c>
      <c r="AC404" s="31" t="s">
        <v>1022</v>
      </c>
      <c r="AD404" s="34">
        <v>1.3</v>
      </c>
      <c r="AE404" s="31" t="s">
        <v>902</v>
      </c>
      <c r="AF404" s="31" t="s">
        <v>860</v>
      </c>
    </row>
    <row r="405" spans="2:32" ht="60" customHeight="1" x14ac:dyDescent="0.25">
      <c r="B405" s="36" t="s">
        <v>1768</v>
      </c>
      <c r="C405" s="42">
        <v>2018</v>
      </c>
      <c r="D405" s="42">
        <f t="shared" si="6"/>
        <v>2022</v>
      </c>
      <c r="E405" s="36" t="s">
        <v>126</v>
      </c>
      <c r="F405" s="36" t="s">
        <v>1769</v>
      </c>
      <c r="G405" s="36" t="s">
        <v>1771</v>
      </c>
      <c r="H405" s="36" t="s">
        <v>172</v>
      </c>
      <c r="I405" s="36" t="s">
        <v>1272</v>
      </c>
      <c r="J405" s="36" t="s">
        <v>1272</v>
      </c>
      <c r="K405" s="36" t="s">
        <v>216</v>
      </c>
      <c r="L405" s="36" t="s">
        <v>159</v>
      </c>
      <c r="M405" s="37">
        <v>0</v>
      </c>
      <c r="N405" s="37">
        <v>464000000</v>
      </c>
      <c r="O405" s="37">
        <v>464000000</v>
      </c>
      <c r="P405" s="36" t="s">
        <v>136</v>
      </c>
      <c r="Q405" s="37">
        <v>464000000</v>
      </c>
      <c r="R405" s="36" t="s">
        <v>159</v>
      </c>
      <c r="S405" s="38">
        <v>43231</v>
      </c>
      <c r="T405" s="38">
        <v>43170</v>
      </c>
      <c r="U405" s="38">
        <v>44926</v>
      </c>
      <c r="V405" s="27" t="s">
        <v>9308</v>
      </c>
      <c r="W405" s="36" t="s">
        <v>557</v>
      </c>
      <c r="X405" s="36" t="s">
        <v>880</v>
      </c>
      <c r="Y405" s="36" t="s">
        <v>242</v>
      </c>
      <c r="Z405" s="36" t="s">
        <v>1770</v>
      </c>
      <c r="AA405" s="36" t="s">
        <v>561</v>
      </c>
      <c r="AB405" s="36" t="s">
        <v>560</v>
      </c>
      <c r="AC405" s="36" t="s">
        <v>989</v>
      </c>
      <c r="AD405" s="37">
        <v>3.8</v>
      </c>
      <c r="AE405" s="36" t="s">
        <v>902</v>
      </c>
      <c r="AF405" s="36" t="s">
        <v>860</v>
      </c>
    </row>
    <row r="406" spans="2:32" ht="60" customHeight="1" x14ac:dyDescent="0.25">
      <c r="B406" s="31" t="s">
        <v>1772</v>
      </c>
      <c r="C406" s="41">
        <v>2018</v>
      </c>
      <c r="D406" s="42">
        <f t="shared" si="6"/>
        <v>2021</v>
      </c>
      <c r="E406" s="31" t="s">
        <v>317</v>
      </c>
      <c r="F406" s="31" t="s">
        <v>1773</v>
      </c>
      <c r="G406" s="31" t="s">
        <v>1774</v>
      </c>
      <c r="H406" s="31" t="s">
        <v>129</v>
      </c>
      <c r="I406" s="31" t="s">
        <v>822</v>
      </c>
      <c r="J406" s="31" t="s">
        <v>823</v>
      </c>
      <c r="K406" s="31" t="s">
        <v>315</v>
      </c>
      <c r="L406" s="31" t="s">
        <v>159</v>
      </c>
      <c r="M406" s="34">
        <v>0</v>
      </c>
      <c r="N406" s="34">
        <v>2710260000</v>
      </c>
      <c r="O406" s="34">
        <v>2710260000</v>
      </c>
      <c r="P406" s="31" t="s">
        <v>1110</v>
      </c>
      <c r="Q406" s="34">
        <v>4780000</v>
      </c>
      <c r="R406" s="31" t="s">
        <v>159</v>
      </c>
      <c r="S406" s="35">
        <v>43231</v>
      </c>
      <c r="T406" s="35">
        <v>43193</v>
      </c>
      <c r="U406" s="35">
        <v>44561</v>
      </c>
      <c r="V406" s="27" t="s">
        <v>9396</v>
      </c>
      <c r="W406" s="31" t="s">
        <v>557</v>
      </c>
      <c r="X406" s="31" t="s">
        <v>880</v>
      </c>
      <c r="Y406" s="31" t="s">
        <v>242</v>
      </c>
      <c r="Z406" s="31" t="s">
        <v>1108</v>
      </c>
      <c r="AA406" s="31" t="s">
        <v>900</v>
      </c>
      <c r="AB406" s="31" t="s">
        <v>861</v>
      </c>
      <c r="AC406" s="31" t="s">
        <v>901</v>
      </c>
      <c r="AD406" s="34">
        <v>4.0999999999999996</v>
      </c>
      <c r="AE406" s="31" t="s">
        <v>902</v>
      </c>
      <c r="AF406" s="31" t="s">
        <v>860</v>
      </c>
    </row>
    <row r="407" spans="2:32" ht="60" customHeight="1" x14ac:dyDescent="0.25">
      <c r="B407" s="36" t="s">
        <v>1775</v>
      </c>
      <c r="C407" s="42">
        <v>2018</v>
      </c>
      <c r="D407" s="42">
        <f t="shared" si="6"/>
        <v>2022</v>
      </c>
      <c r="E407" s="36" t="s">
        <v>317</v>
      </c>
      <c r="F407" s="36" t="s">
        <v>1776</v>
      </c>
      <c r="G407" s="36" t="s">
        <v>1777</v>
      </c>
      <c r="H407" s="36" t="s">
        <v>129</v>
      </c>
      <c r="I407" s="36" t="s">
        <v>822</v>
      </c>
      <c r="J407" s="36" t="s">
        <v>823</v>
      </c>
      <c r="K407" s="36" t="s">
        <v>163</v>
      </c>
      <c r="L407" s="36" t="s">
        <v>159</v>
      </c>
      <c r="M407" s="37">
        <v>0</v>
      </c>
      <c r="N407" s="37">
        <v>885541950</v>
      </c>
      <c r="O407" s="37">
        <v>885541950</v>
      </c>
      <c r="P407" s="36" t="s">
        <v>1110</v>
      </c>
      <c r="Q407" s="37">
        <v>1475903.25</v>
      </c>
      <c r="R407" s="36" t="s">
        <v>159</v>
      </c>
      <c r="S407" s="38">
        <v>43231</v>
      </c>
      <c r="T407" s="38">
        <v>43193</v>
      </c>
      <c r="U407" s="38">
        <v>44926</v>
      </c>
      <c r="V407" s="27" t="s">
        <v>9308</v>
      </c>
      <c r="W407" s="36" t="s">
        <v>557</v>
      </c>
      <c r="X407" s="36" t="s">
        <v>880</v>
      </c>
      <c r="Y407" s="36" t="s">
        <v>242</v>
      </c>
      <c r="Z407" s="36" t="s">
        <v>1476</v>
      </c>
      <c r="AA407" s="36" t="s">
        <v>1046</v>
      </c>
      <c r="AB407" s="36" t="s">
        <v>861</v>
      </c>
      <c r="AC407" s="36" t="s">
        <v>1036</v>
      </c>
      <c r="AD407" s="37">
        <v>16.600000000000001</v>
      </c>
      <c r="AE407" s="36" t="s">
        <v>902</v>
      </c>
      <c r="AF407" s="36" t="s">
        <v>860</v>
      </c>
    </row>
    <row r="408" spans="2:32" ht="60" customHeight="1" x14ac:dyDescent="0.25">
      <c r="B408" s="31" t="s">
        <v>1778</v>
      </c>
      <c r="C408" s="41">
        <v>2018</v>
      </c>
      <c r="D408" s="42">
        <f t="shared" si="6"/>
        <v>2022</v>
      </c>
      <c r="E408" s="31" t="s">
        <v>317</v>
      </c>
      <c r="F408" s="31" t="s">
        <v>1779</v>
      </c>
      <c r="G408" s="31" t="s">
        <v>1780</v>
      </c>
      <c r="H408" s="31" t="s">
        <v>129</v>
      </c>
      <c r="I408" s="31" t="s">
        <v>822</v>
      </c>
      <c r="J408" s="31" t="s">
        <v>823</v>
      </c>
      <c r="K408" s="31" t="s">
        <v>142</v>
      </c>
      <c r="L408" s="31" t="s">
        <v>159</v>
      </c>
      <c r="M408" s="34">
        <v>0</v>
      </c>
      <c r="N408" s="34">
        <v>1047739200</v>
      </c>
      <c r="O408" s="34">
        <v>1047739200</v>
      </c>
      <c r="P408" s="31" t="s">
        <v>1110</v>
      </c>
      <c r="Q408" s="34">
        <v>1746232</v>
      </c>
      <c r="R408" s="31" t="s">
        <v>159</v>
      </c>
      <c r="S408" s="35">
        <v>43231</v>
      </c>
      <c r="T408" s="35">
        <v>43193</v>
      </c>
      <c r="U408" s="35">
        <v>44926</v>
      </c>
      <c r="V408" s="27" t="s">
        <v>9396</v>
      </c>
      <c r="W408" s="31" t="s">
        <v>557</v>
      </c>
      <c r="X408" s="31" t="s">
        <v>880</v>
      </c>
      <c r="Y408" s="31" t="s">
        <v>242</v>
      </c>
      <c r="Z408" s="31" t="s">
        <v>1693</v>
      </c>
      <c r="AA408" s="31" t="s">
        <v>862</v>
      </c>
      <c r="AB408" s="31" t="s">
        <v>861</v>
      </c>
      <c r="AC408" s="31" t="s">
        <v>971</v>
      </c>
      <c r="AD408" s="34">
        <v>9.1</v>
      </c>
      <c r="AE408" s="31" t="s">
        <v>864</v>
      </c>
      <c r="AF408" s="31" t="s">
        <v>860</v>
      </c>
    </row>
    <row r="409" spans="2:32" ht="60" customHeight="1" x14ac:dyDescent="0.25">
      <c r="B409" s="36" t="s">
        <v>1781</v>
      </c>
      <c r="C409" s="42">
        <v>2018</v>
      </c>
      <c r="D409" s="42">
        <f t="shared" si="6"/>
        <v>2021</v>
      </c>
      <c r="E409" s="36" t="s">
        <v>317</v>
      </c>
      <c r="F409" s="36" t="s">
        <v>1782</v>
      </c>
      <c r="G409" s="36" t="s">
        <v>1783</v>
      </c>
      <c r="H409" s="36" t="s">
        <v>129</v>
      </c>
      <c r="I409" s="36" t="s">
        <v>822</v>
      </c>
      <c r="J409" s="36" t="s">
        <v>823</v>
      </c>
      <c r="K409" s="36" t="s">
        <v>315</v>
      </c>
      <c r="L409" s="36" t="s">
        <v>127</v>
      </c>
      <c r="M409" s="37">
        <v>5700000000</v>
      </c>
      <c r="N409" s="37">
        <v>0</v>
      </c>
      <c r="O409" s="37">
        <v>5700000000</v>
      </c>
      <c r="P409" s="36" t="s">
        <v>1110</v>
      </c>
      <c r="Q409" s="37">
        <v>9500000</v>
      </c>
      <c r="R409" s="36" t="s">
        <v>127</v>
      </c>
      <c r="S409" s="38">
        <v>43231</v>
      </c>
      <c r="T409" s="38">
        <v>43193</v>
      </c>
      <c r="U409" s="38">
        <v>44561</v>
      </c>
      <c r="V409" s="27" t="s">
        <v>9396</v>
      </c>
      <c r="W409" s="36" t="s">
        <v>557</v>
      </c>
      <c r="X409" s="36" t="s">
        <v>558</v>
      </c>
      <c r="Y409" s="36" t="s">
        <v>242</v>
      </c>
      <c r="Z409" s="36" t="s">
        <v>1108</v>
      </c>
      <c r="AA409" s="36" t="s">
        <v>900</v>
      </c>
      <c r="AB409" s="36" t="s">
        <v>861</v>
      </c>
      <c r="AC409" s="36" t="s">
        <v>901</v>
      </c>
      <c r="AD409" s="37">
        <v>4.0999999999999996</v>
      </c>
      <c r="AE409" s="36" t="s">
        <v>902</v>
      </c>
      <c r="AF409" s="36" t="s">
        <v>860</v>
      </c>
    </row>
    <row r="410" spans="2:32" ht="60" customHeight="1" x14ac:dyDescent="0.25">
      <c r="B410" s="31" t="s">
        <v>1784</v>
      </c>
      <c r="C410" s="41">
        <v>2018</v>
      </c>
      <c r="D410" s="42">
        <f t="shared" si="6"/>
        <v>2020</v>
      </c>
      <c r="E410" s="31" t="s">
        <v>126</v>
      </c>
      <c r="F410" s="31" t="s">
        <v>1785</v>
      </c>
      <c r="G410" s="31" t="s">
        <v>1786</v>
      </c>
      <c r="H410" s="31" t="s">
        <v>172</v>
      </c>
      <c r="I410" s="31" t="s">
        <v>1148</v>
      </c>
      <c r="J410" s="31" t="s">
        <v>1148</v>
      </c>
      <c r="K410" s="31" t="s">
        <v>315</v>
      </c>
      <c r="L410" s="31" t="s">
        <v>159</v>
      </c>
      <c r="M410" s="34">
        <v>0</v>
      </c>
      <c r="N410" s="34">
        <v>97035719</v>
      </c>
      <c r="O410" s="34">
        <v>97035719</v>
      </c>
      <c r="P410" s="31" t="s">
        <v>136</v>
      </c>
      <c r="Q410" s="34">
        <v>97035719</v>
      </c>
      <c r="R410" s="31" t="s">
        <v>159</v>
      </c>
      <c r="S410" s="35">
        <v>43335</v>
      </c>
      <c r="T410" s="35">
        <v>43231</v>
      </c>
      <c r="U410" s="35">
        <v>44196</v>
      </c>
      <c r="V410" s="27" t="s">
        <v>9417</v>
      </c>
      <c r="W410" s="31" t="s">
        <v>557</v>
      </c>
      <c r="X410" s="31" t="s">
        <v>880</v>
      </c>
      <c r="Y410" s="31" t="s">
        <v>242</v>
      </c>
      <c r="Z410" s="31" t="s">
        <v>998</v>
      </c>
      <c r="AA410" s="31" t="s">
        <v>900</v>
      </c>
      <c r="AB410" s="31" t="s">
        <v>861</v>
      </c>
      <c r="AC410" s="31" t="s">
        <v>901</v>
      </c>
      <c r="AD410" s="34">
        <v>4.0999999999999996</v>
      </c>
      <c r="AE410" s="31" t="s">
        <v>902</v>
      </c>
      <c r="AF410" s="31" t="s">
        <v>860</v>
      </c>
    </row>
    <row r="411" spans="2:32" ht="60" customHeight="1" x14ac:dyDescent="0.25">
      <c r="B411" s="36" t="s">
        <v>1787</v>
      </c>
      <c r="C411" s="42">
        <v>2018</v>
      </c>
      <c r="D411" s="42">
        <f t="shared" si="6"/>
        <v>2020</v>
      </c>
      <c r="E411" s="36" t="s">
        <v>126</v>
      </c>
      <c r="F411" s="36" t="s">
        <v>1788</v>
      </c>
      <c r="G411" s="36" t="s">
        <v>1789</v>
      </c>
      <c r="H411" s="36" t="s">
        <v>172</v>
      </c>
      <c r="I411" s="36" t="s">
        <v>1148</v>
      </c>
      <c r="J411" s="36" t="s">
        <v>1148</v>
      </c>
      <c r="K411" s="36" t="s">
        <v>315</v>
      </c>
      <c r="L411" s="36" t="s">
        <v>159</v>
      </c>
      <c r="M411" s="37">
        <v>0</v>
      </c>
      <c r="N411" s="37">
        <v>97147231</v>
      </c>
      <c r="O411" s="37">
        <v>97147231</v>
      </c>
      <c r="P411" s="36" t="s">
        <v>136</v>
      </c>
      <c r="Q411" s="37">
        <v>97147231</v>
      </c>
      <c r="R411" s="36" t="s">
        <v>159</v>
      </c>
      <c r="S411" s="38">
        <v>43231</v>
      </c>
      <c r="T411" s="38">
        <v>43101</v>
      </c>
      <c r="U411" s="38">
        <v>44196</v>
      </c>
      <c r="V411" s="27" t="s">
        <v>9308</v>
      </c>
      <c r="W411" s="36" t="s">
        <v>557</v>
      </c>
      <c r="X411" s="36" t="s">
        <v>880</v>
      </c>
      <c r="Y411" s="36" t="s">
        <v>242</v>
      </c>
      <c r="Z411" s="36" t="s">
        <v>1146</v>
      </c>
      <c r="AA411" s="36" t="s">
        <v>900</v>
      </c>
      <c r="AB411" s="36" t="s">
        <v>861</v>
      </c>
      <c r="AC411" s="36" t="s">
        <v>901</v>
      </c>
      <c r="AD411" s="37">
        <v>4.0999999999999996</v>
      </c>
      <c r="AE411" s="36" t="s">
        <v>902</v>
      </c>
      <c r="AF411" s="36" t="s">
        <v>860</v>
      </c>
    </row>
    <row r="412" spans="2:32" ht="60" customHeight="1" x14ac:dyDescent="0.25">
      <c r="B412" s="31" t="s">
        <v>1790</v>
      </c>
      <c r="C412" s="41">
        <v>2018</v>
      </c>
      <c r="D412" s="42">
        <f t="shared" si="6"/>
        <v>2025</v>
      </c>
      <c r="E412" s="31" t="s">
        <v>126</v>
      </c>
      <c r="F412" s="31" t="s">
        <v>1791</v>
      </c>
      <c r="G412" s="31" t="s">
        <v>1792</v>
      </c>
      <c r="H412" s="31" t="s">
        <v>172</v>
      </c>
      <c r="I412" s="31" t="s">
        <v>1148</v>
      </c>
      <c r="J412" s="31" t="s">
        <v>1148</v>
      </c>
      <c r="K412" s="31" t="s">
        <v>142</v>
      </c>
      <c r="L412" s="31" t="s">
        <v>159</v>
      </c>
      <c r="M412" s="34">
        <v>0</v>
      </c>
      <c r="N412" s="34">
        <v>16000000000</v>
      </c>
      <c r="O412" s="34">
        <v>16000000000</v>
      </c>
      <c r="P412" s="31" t="s">
        <v>624</v>
      </c>
      <c r="Q412" s="34">
        <v>29090909.09</v>
      </c>
      <c r="R412" s="31" t="s">
        <v>159</v>
      </c>
      <c r="S412" s="35">
        <v>43231</v>
      </c>
      <c r="T412" s="35">
        <v>43101</v>
      </c>
      <c r="U412" s="35">
        <v>46022</v>
      </c>
      <c r="V412" s="27" t="s">
        <v>9441</v>
      </c>
      <c r="W412" s="31" t="s">
        <v>557</v>
      </c>
      <c r="X412" s="31" t="s">
        <v>880</v>
      </c>
      <c r="Y412" s="31" t="s">
        <v>242</v>
      </c>
      <c r="Z412" s="31" t="s">
        <v>968</v>
      </c>
      <c r="AA412" s="31" t="s">
        <v>862</v>
      </c>
      <c r="AB412" s="31" t="s">
        <v>861</v>
      </c>
      <c r="AC412" s="31" t="s">
        <v>971</v>
      </c>
      <c r="AD412" s="34">
        <v>9.1</v>
      </c>
      <c r="AE412" s="31" t="s">
        <v>864</v>
      </c>
      <c r="AF412" s="31" t="s">
        <v>860</v>
      </c>
    </row>
    <row r="413" spans="2:32" ht="60" customHeight="1" x14ac:dyDescent="0.25">
      <c r="B413" s="36" t="s">
        <v>1794</v>
      </c>
      <c r="C413" s="42">
        <v>2018</v>
      </c>
      <c r="D413" s="42">
        <f t="shared" si="6"/>
        <v>2021</v>
      </c>
      <c r="E413" s="36" t="s">
        <v>126</v>
      </c>
      <c r="F413" s="36" t="s">
        <v>1795</v>
      </c>
      <c r="G413" s="36" t="s">
        <v>1796</v>
      </c>
      <c r="H413" s="36" t="s">
        <v>172</v>
      </c>
      <c r="I413" s="36" t="s">
        <v>1800</v>
      </c>
      <c r="J413" s="36" t="s">
        <v>1800</v>
      </c>
      <c r="K413" s="36" t="s">
        <v>1344</v>
      </c>
      <c r="L413" s="36" t="s">
        <v>127</v>
      </c>
      <c r="M413" s="37">
        <v>8002675400</v>
      </c>
      <c r="N413" s="37">
        <v>0</v>
      </c>
      <c r="O413" s="37">
        <v>8002675400</v>
      </c>
      <c r="P413" s="36" t="s">
        <v>624</v>
      </c>
      <c r="Q413" s="37">
        <v>14550318.91</v>
      </c>
      <c r="R413" s="36" t="s">
        <v>824</v>
      </c>
      <c r="S413" s="38">
        <v>43280</v>
      </c>
      <c r="T413" s="38">
        <v>43231</v>
      </c>
      <c r="U413" s="38">
        <v>44561</v>
      </c>
      <c r="V413" s="27" t="s">
        <v>9442</v>
      </c>
      <c r="W413" s="36" t="s">
        <v>557</v>
      </c>
      <c r="X413" s="36" t="s">
        <v>558</v>
      </c>
      <c r="Y413" s="36" t="s">
        <v>242</v>
      </c>
      <c r="Z413" s="36" t="s">
        <v>1508</v>
      </c>
      <c r="AA413" s="36" t="s">
        <v>965</v>
      </c>
      <c r="AB413" s="36" t="s">
        <v>964</v>
      </c>
      <c r="AC413" s="36" t="s">
        <v>1036</v>
      </c>
      <c r="AD413" s="37">
        <v>16.600000000000001</v>
      </c>
      <c r="AE413" s="36" t="s">
        <v>902</v>
      </c>
      <c r="AF413" s="36" t="s">
        <v>860</v>
      </c>
    </row>
    <row r="414" spans="2:32" ht="60" customHeight="1" x14ac:dyDescent="0.25">
      <c r="B414" s="31" t="s">
        <v>1801</v>
      </c>
      <c r="C414" s="41">
        <v>2018</v>
      </c>
      <c r="D414" s="42">
        <f t="shared" si="6"/>
        <v>2021</v>
      </c>
      <c r="E414" s="31" t="s">
        <v>126</v>
      </c>
      <c r="F414" s="31" t="s">
        <v>1802</v>
      </c>
      <c r="G414" s="31" t="s">
        <v>1803</v>
      </c>
      <c r="H414" s="31" t="s">
        <v>172</v>
      </c>
      <c r="I414" s="31" t="s">
        <v>1010</v>
      </c>
      <c r="J414" s="31" t="s">
        <v>1011</v>
      </c>
      <c r="K414" s="31" t="s">
        <v>190</v>
      </c>
      <c r="L414" s="31" t="s">
        <v>159</v>
      </c>
      <c r="M414" s="34">
        <v>0</v>
      </c>
      <c r="N414" s="34">
        <v>29150000</v>
      </c>
      <c r="O414" s="34">
        <v>29150000</v>
      </c>
      <c r="P414" s="31" t="s">
        <v>624</v>
      </c>
      <c r="Q414" s="34">
        <v>53000</v>
      </c>
      <c r="R414" s="31" t="s">
        <v>159</v>
      </c>
      <c r="S414" s="35">
        <v>43231</v>
      </c>
      <c r="T414" s="35">
        <v>43101</v>
      </c>
      <c r="U414" s="35">
        <v>44561</v>
      </c>
      <c r="V414" s="27" t="s">
        <v>9308</v>
      </c>
      <c r="W414" s="31" t="s">
        <v>557</v>
      </c>
      <c r="X414" s="31" t="s">
        <v>880</v>
      </c>
      <c r="Y414" s="31" t="s">
        <v>125</v>
      </c>
      <c r="Z414" s="31" t="s">
        <v>974</v>
      </c>
      <c r="AA414" s="31" t="s">
        <v>862</v>
      </c>
      <c r="AB414" s="31" t="s">
        <v>861</v>
      </c>
      <c r="AC414" s="31" t="s">
        <v>863</v>
      </c>
      <c r="AD414" s="34">
        <v>2.2999999999999998</v>
      </c>
      <c r="AE414" s="31" t="s">
        <v>864</v>
      </c>
      <c r="AF414" s="31" t="s">
        <v>860</v>
      </c>
    </row>
    <row r="415" spans="2:32" ht="60" customHeight="1" x14ac:dyDescent="0.25">
      <c r="B415" s="36" t="s">
        <v>1804</v>
      </c>
      <c r="C415" s="42">
        <v>2018</v>
      </c>
      <c r="D415" s="42">
        <f t="shared" si="6"/>
        <v>2021</v>
      </c>
      <c r="E415" s="36" t="s">
        <v>126</v>
      </c>
      <c r="F415" s="36" t="s">
        <v>1805</v>
      </c>
      <c r="G415" s="36" t="s">
        <v>1806</v>
      </c>
      <c r="H415" s="36" t="s">
        <v>172</v>
      </c>
      <c r="I415" s="36" t="s">
        <v>1010</v>
      </c>
      <c r="J415" s="36" t="s">
        <v>1011</v>
      </c>
      <c r="K415" s="36" t="s">
        <v>216</v>
      </c>
      <c r="L415" s="36" t="s">
        <v>159</v>
      </c>
      <c r="M415" s="37">
        <v>0</v>
      </c>
      <c r="N415" s="37">
        <v>148046684</v>
      </c>
      <c r="O415" s="37">
        <v>148046684</v>
      </c>
      <c r="P415" s="36" t="s">
        <v>624</v>
      </c>
      <c r="Q415" s="37">
        <v>269175.78999999998</v>
      </c>
      <c r="R415" s="36" t="s">
        <v>159</v>
      </c>
      <c r="S415" s="38">
        <v>43231</v>
      </c>
      <c r="T415" s="38">
        <v>43101</v>
      </c>
      <c r="U415" s="38">
        <v>44561</v>
      </c>
      <c r="V415" s="27" t="s">
        <v>9308</v>
      </c>
      <c r="W415" s="36" t="s">
        <v>557</v>
      </c>
      <c r="X415" s="36" t="s">
        <v>880</v>
      </c>
      <c r="Y415" s="36" t="s">
        <v>125</v>
      </c>
      <c r="Z415" s="36" t="s">
        <v>992</v>
      </c>
      <c r="AA415" s="36" t="s">
        <v>561</v>
      </c>
      <c r="AB415" s="36" t="s">
        <v>560</v>
      </c>
      <c r="AC415" s="36" t="s">
        <v>989</v>
      </c>
      <c r="AD415" s="37">
        <v>3.8</v>
      </c>
      <c r="AE415" s="36" t="s">
        <v>902</v>
      </c>
      <c r="AF415" s="36" t="s">
        <v>860</v>
      </c>
    </row>
    <row r="416" spans="2:32" ht="60" customHeight="1" x14ac:dyDescent="0.25">
      <c r="B416" s="31" t="s">
        <v>1807</v>
      </c>
      <c r="C416" s="41">
        <v>2018</v>
      </c>
      <c r="D416" s="42">
        <f t="shared" si="6"/>
        <v>2022</v>
      </c>
      <c r="E416" s="31" t="s">
        <v>126</v>
      </c>
      <c r="F416" s="31" t="s">
        <v>1808</v>
      </c>
      <c r="G416" s="31" t="s">
        <v>1809</v>
      </c>
      <c r="H416" s="31" t="s">
        <v>172</v>
      </c>
      <c r="I416" s="31" t="s">
        <v>1010</v>
      </c>
      <c r="J416" s="31" t="s">
        <v>1011</v>
      </c>
      <c r="K416" s="31" t="s">
        <v>263</v>
      </c>
      <c r="L416" s="31" t="s">
        <v>159</v>
      </c>
      <c r="M416" s="34">
        <v>0</v>
      </c>
      <c r="N416" s="34">
        <v>1310181950</v>
      </c>
      <c r="O416" s="34">
        <v>1310181950</v>
      </c>
      <c r="P416" s="31" t="s">
        <v>624</v>
      </c>
      <c r="Q416" s="34">
        <v>2382149</v>
      </c>
      <c r="R416" s="31" t="s">
        <v>159</v>
      </c>
      <c r="S416" s="35">
        <v>43231</v>
      </c>
      <c r="T416" s="35">
        <v>43101</v>
      </c>
      <c r="U416" s="35">
        <v>44926</v>
      </c>
      <c r="V416" s="27" t="s">
        <v>9308</v>
      </c>
      <c r="W416" s="31" t="s">
        <v>557</v>
      </c>
      <c r="X416" s="31" t="s">
        <v>880</v>
      </c>
      <c r="Y416" s="31" t="s">
        <v>125</v>
      </c>
      <c r="Z416" s="31" t="s">
        <v>555</v>
      </c>
      <c r="AA416" s="31" t="s">
        <v>561</v>
      </c>
      <c r="AB416" s="31" t="s">
        <v>560</v>
      </c>
      <c r="AC416" s="31" t="s">
        <v>562</v>
      </c>
      <c r="AD416" s="34">
        <v>6.1</v>
      </c>
      <c r="AE416" s="31" t="s">
        <v>563</v>
      </c>
      <c r="AF416" s="31" t="s">
        <v>860</v>
      </c>
    </row>
    <row r="417" spans="2:32" ht="60" customHeight="1" x14ac:dyDescent="0.25">
      <c r="B417" s="36" t="s">
        <v>1810</v>
      </c>
      <c r="C417" s="42">
        <v>2018</v>
      </c>
      <c r="D417" s="42">
        <f t="shared" si="6"/>
        <v>2021</v>
      </c>
      <c r="E417" s="36" t="s">
        <v>126</v>
      </c>
      <c r="F417" s="36" t="s">
        <v>1811</v>
      </c>
      <c r="G417" s="36" t="s">
        <v>1812</v>
      </c>
      <c r="H417" s="36" t="s">
        <v>172</v>
      </c>
      <c r="I417" s="36" t="s">
        <v>1010</v>
      </c>
      <c r="J417" s="36" t="s">
        <v>1011</v>
      </c>
      <c r="K417" s="36" t="s">
        <v>282</v>
      </c>
      <c r="L417" s="36" t="s">
        <v>159</v>
      </c>
      <c r="M417" s="37">
        <v>0</v>
      </c>
      <c r="N417" s="37">
        <v>475119150</v>
      </c>
      <c r="O417" s="37">
        <v>475119150</v>
      </c>
      <c r="P417" s="36" t="s">
        <v>624</v>
      </c>
      <c r="Q417" s="37">
        <v>863853</v>
      </c>
      <c r="R417" s="36" t="s">
        <v>159</v>
      </c>
      <c r="S417" s="38">
        <v>43231</v>
      </c>
      <c r="T417" s="38">
        <v>43101</v>
      </c>
      <c r="U417" s="38">
        <v>44561</v>
      </c>
      <c r="V417" s="27" t="s">
        <v>9308</v>
      </c>
      <c r="W417" s="36" t="s">
        <v>557</v>
      </c>
      <c r="X417" s="36" t="s">
        <v>880</v>
      </c>
      <c r="Y417" s="36" t="s">
        <v>125</v>
      </c>
      <c r="Z417" s="36" t="s">
        <v>1076</v>
      </c>
      <c r="AA417" s="36" t="s">
        <v>965</v>
      </c>
      <c r="AB417" s="36" t="s">
        <v>964</v>
      </c>
      <c r="AC417" s="36" t="s">
        <v>939</v>
      </c>
      <c r="AD417" s="37">
        <v>11.3</v>
      </c>
      <c r="AE417" s="36" t="s">
        <v>902</v>
      </c>
      <c r="AF417" s="36" t="s">
        <v>860</v>
      </c>
    </row>
    <row r="418" spans="2:32" ht="60" customHeight="1" x14ac:dyDescent="0.25">
      <c r="B418" s="31" t="s">
        <v>1813</v>
      </c>
      <c r="C418" s="41">
        <v>2018</v>
      </c>
      <c r="D418" s="42">
        <f t="shared" si="6"/>
        <v>2022</v>
      </c>
      <c r="E418" s="31" t="s">
        <v>126</v>
      </c>
      <c r="F418" s="31" t="s">
        <v>1814</v>
      </c>
      <c r="G418" s="31" t="s">
        <v>1815</v>
      </c>
      <c r="H418" s="31" t="s">
        <v>172</v>
      </c>
      <c r="I418" s="31" t="s">
        <v>1010</v>
      </c>
      <c r="J418" s="31" t="s">
        <v>1011</v>
      </c>
      <c r="K418" s="31" t="s">
        <v>190</v>
      </c>
      <c r="L418" s="31" t="s">
        <v>159</v>
      </c>
      <c r="M418" s="34">
        <v>0</v>
      </c>
      <c r="N418" s="34">
        <v>189750000</v>
      </c>
      <c r="O418" s="34">
        <v>189750000</v>
      </c>
      <c r="P418" s="31" t="s">
        <v>624</v>
      </c>
      <c r="Q418" s="34">
        <v>345000</v>
      </c>
      <c r="R418" s="31" t="s">
        <v>159</v>
      </c>
      <c r="S418" s="35">
        <v>43231</v>
      </c>
      <c r="T418" s="35">
        <v>43101</v>
      </c>
      <c r="U418" s="35">
        <v>44926</v>
      </c>
      <c r="V418" s="27" t="s">
        <v>9308</v>
      </c>
      <c r="W418" s="31" t="s">
        <v>557</v>
      </c>
      <c r="X418" s="31" t="s">
        <v>880</v>
      </c>
      <c r="Y418" s="31" t="s">
        <v>125</v>
      </c>
      <c r="Z418" s="31" t="s">
        <v>856</v>
      </c>
      <c r="AA418" s="31" t="s">
        <v>862</v>
      </c>
      <c r="AB418" s="31" t="s">
        <v>861</v>
      </c>
      <c r="AC418" s="31" t="s">
        <v>863</v>
      </c>
      <c r="AD418" s="34">
        <v>2.2999999999999998</v>
      </c>
      <c r="AE418" s="31" t="s">
        <v>864</v>
      </c>
      <c r="AF418" s="31" t="s">
        <v>860</v>
      </c>
    </row>
    <row r="419" spans="2:32" ht="60" customHeight="1" x14ac:dyDescent="0.25">
      <c r="B419" s="36" t="s">
        <v>1816</v>
      </c>
      <c r="C419" s="42">
        <v>2018</v>
      </c>
      <c r="D419" s="42">
        <f t="shared" si="6"/>
        <v>2022</v>
      </c>
      <c r="E419" s="36" t="s">
        <v>126</v>
      </c>
      <c r="F419" s="36" t="s">
        <v>1817</v>
      </c>
      <c r="G419" s="36" t="s">
        <v>1818</v>
      </c>
      <c r="H419" s="36" t="s">
        <v>172</v>
      </c>
      <c r="I419" s="36" t="s">
        <v>1010</v>
      </c>
      <c r="J419" s="36" t="s">
        <v>1011</v>
      </c>
      <c r="K419" s="36" t="s">
        <v>190</v>
      </c>
      <c r="L419" s="36" t="s">
        <v>159</v>
      </c>
      <c r="M419" s="37">
        <v>0</v>
      </c>
      <c r="N419" s="37">
        <v>2750000000</v>
      </c>
      <c r="O419" s="37">
        <v>2750000000</v>
      </c>
      <c r="P419" s="36" t="s">
        <v>624</v>
      </c>
      <c r="Q419" s="37">
        <v>5000000</v>
      </c>
      <c r="R419" s="36" t="s">
        <v>159</v>
      </c>
      <c r="S419" s="38">
        <v>43231</v>
      </c>
      <c r="T419" s="38">
        <v>43101</v>
      </c>
      <c r="U419" s="38">
        <v>44926</v>
      </c>
      <c r="V419" s="27" t="s">
        <v>9308</v>
      </c>
      <c r="W419" s="36" t="s">
        <v>557</v>
      </c>
      <c r="X419" s="36" t="s">
        <v>880</v>
      </c>
      <c r="Y419" s="36" t="s">
        <v>125</v>
      </c>
      <c r="Z419" s="36" t="s">
        <v>856</v>
      </c>
      <c r="AA419" s="36" t="s">
        <v>862</v>
      </c>
      <c r="AB419" s="36" t="s">
        <v>861</v>
      </c>
      <c r="AC419" s="36" t="s">
        <v>863</v>
      </c>
      <c r="AD419" s="37">
        <v>2.2999999999999998</v>
      </c>
      <c r="AE419" s="36" t="s">
        <v>864</v>
      </c>
      <c r="AF419" s="36" t="s">
        <v>860</v>
      </c>
    </row>
    <row r="420" spans="2:32" ht="60" customHeight="1" x14ac:dyDescent="0.25">
      <c r="B420" s="31" t="s">
        <v>1819</v>
      </c>
      <c r="C420" s="41">
        <v>2018</v>
      </c>
      <c r="D420" s="42">
        <f t="shared" si="6"/>
        <v>2021</v>
      </c>
      <c r="E420" s="31" t="s">
        <v>317</v>
      </c>
      <c r="F420" s="31" t="s">
        <v>1098</v>
      </c>
      <c r="G420" s="31" t="s">
        <v>1820</v>
      </c>
      <c r="H420" s="31" t="s">
        <v>172</v>
      </c>
      <c r="I420" s="31" t="s">
        <v>1010</v>
      </c>
      <c r="J420" s="31" t="s">
        <v>1011</v>
      </c>
      <c r="K420" s="31" t="s">
        <v>526</v>
      </c>
      <c r="L420" s="31" t="s">
        <v>159</v>
      </c>
      <c r="M420" s="34">
        <v>0</v>
      </c>
      <c r="N420" s="34">
        <v>878559170</v>
      </c>
      <c r="O420" s="34">
        <v>878559170</v>
      </c>
      <c r="P420" s="31" t="s">
        <v>624</v>
      </c>
      <c r="Q420" s="34">
        <v>1597380.31</v>
      </c>
      <c r="R420" s="31" t="s">
        <v>159</v>
      </c>
      <c r="S420" s="35">
        <v>43231</v>
      </c>
      <c r="T420" s="35">
        <v>43101</v>
      </c>
      <c r="U420" s="35">
        <v>44561</v>
      </c>
      <c r="V420" s="27" t="s">
        <v>9308</v>
      </c>
      <c r="W420" s="31" t="s">
        <v>557</v>
      </c>
      <c r="X420" s="31" t="s">
        <v>880</v>
      </c>
      <c r="Y420" s="31" t="s">
        <v>125</v>
      </c>
      <c r="Z420" s="31" t="s">
        <v>1099</v>
      </c>
      <c r="AA420" s="31" t="s">
        <v>561</v>
      </c>
      <c r="AB420" s="31" t="s">
        <v>560</v>
      </c>
      <c r="AC420" s="31" t="s">
        <v>1022</v>
      </c>
      <c r="AD420" s="34">
        <v>1.3</v>
      </c>
      <c r="AE420" s="31" t="s">
        <v>902</v>
      </c>
      <c r="AF420" s="31" t="s">
        <v>860</v>
      </c>
    </row>
    <row r="421" spans="2:32" ht="60" customHeight="1" x14ac:dyDescent="0.25">
      <c r="B421" s="36" t="s">
        <v>1821</v>
      </c>
      <c r="C421" s="42">
        <v>2018</v>
      </c>
      <c r="D421" s="42">
        <f t="shared" si="6"/>
        <v>2021</v>
      </c>
      <c r="E421" s="36" t="s">
        <v>126</v>
      </c>
      <c r="F421" s="36" t="s">
        <v>1822</v>
      </c>
      <c r="G421" s="36" t="s">
        <v>1825</v>
      </c>
      <c r="H421" s="36" t="s">
        <v>172</v>
      </c>
      <c r="I421" s="36" t="s">
        <v>1010</v>
      </c>
      <c r="J421" s="36" t="s">
        <v>1011</v>
      </c>
      <c r="K421" s="36" t="s">
        <v>1823</v>
      </c>
      <c r="L421" s="36" t="s">
        <v>159</v>
      </c>
      <c r="M421" s="37">
        <v>0</v>
      </c>
      <c r="N421" s="37">
        <v>156816000</v>
      </c>
      <c r="O421" s="37">
        <v>156816000</v>
      </c>
      <c r="P421" s="36" t="s">
        <v>624</v>
      </c>
      <c r="Q421" s="37">
        <v>285120</v>
      </c>
      <c r="R421" s="36" t="s">
        <v>159</v>
      </c>
      <c r="S421" s="38">
        <v>43231</v>
      </c>
      <c r="T421" s="38">
        <v>43170</v>
      </c>
      <c r="U421" s="38">
        <v>44561</v>
      </c>
      <c r="V421" s="27" t="s">
        <v>9308</v>
      </c>
      <c r="W421" s="36" t="s">
        <v>557</v>
      </c>
      <c r="X421" s="36" t="s">
        <v>880</v>
      </c>
      <c r="Y421" s="36" t="s">
        <v>125</v>
      </c>
      <c r="Z421" s="36" t="s">
        <v>1824</v>
      </c>
      <c r="AA421" s="36" t="s">
        <v>965</v>
      </c>
      <c r="AB421" s="36" t="s">
        <v>964</v>
      </c>
      <c r="AC421" s="36" t="s">
        <v>1036</v>
      </c>
      <c r="AD421" s="37">
        <v>16.600000000000001</v>
      </c>
      <c r="AE421" s="36" t="s">
        <v>902</v>
      </c>
      <c r="AF421" s="36" t="s">
        <v>860</v>
      </c>
    </row>
    <row r="422" spans="2:32" ht="60" customHeight="1" x14ac:dyDescent="0.25">
      <c r="B422" s="31" t="s">
        <v>1826</v>
      </c>
      <c r="C422" s="41">
        <v>2018</v>
      </c>
      <c r="D422" s="42">
        <f t="shared" si="6"/>
        <v>2021</v>
      </c>
      <c r="E422" s="31" t="s">
        <v>126</v>
      </c>
      <c r="F422" s="31" t="s">
        <v>1827</v>
      </c>
      <c r="G422" s="31" t="s">
        <v>1828</v>
      </c>
      <c r="H422" s="31" t="s">
        <v>129</v>
      </c>
      <c r="I422" s="31" t="s">
        <v>1010</v>
      </c>
      <c r="J422" s="31" t="s">
        <v>1011</v>
      </c>
      <c r="K422" s="31" t="s">
        <v>282</v>
      </c>
      <c r="L422" s="31" t="s">
        <v>159</v>
      </c>
      <c r="M422" s="34">
        <v>0</v>
      </c>
      <c r="N422" s="34">
        <v>90524642</v>
      </c>
      <c r="O422" s="34">
        <v>90524642</v>
      </c>
      <c r="P422" s="31" t="s">
        <v>136</v>
      </c>
      <c r="Q422" s="34">
        <v>90524642</v>
      </c>
      <c r="R422" s="31" t="s">
        <v>159</v>
      </c>
      <c r="S422" s="35">
        <v>43231</v>
      </c>
      <c r="T422" s="35">
        <v>43170</v>
      </c>
      <c r="U422" s="35">
        <v>44561</v>
      </c>
      <c r="V422" s="27" t="s">
        <v>9443</v>
      </c>
      <c r="W422" s="31" t="s">
        <v>557</v>
      </c>
      <c r="X422" s="31" t="s">
        <v>880</v>
      </c>
      <c r="Y422" s="31" t="s">
        <v>125</v>
      </c>
      <c r="Z422" s="31" t="s">
        <v>1029</v>
      </c>
      <c r="AA422" s="31" t="s">
        <v>965</v>
      </c>
      <c r="AB422" s="31" t="s">
        <v>964</v>
      </c>
      <c r="AC422" s="31" t="s">
        <v>939</v>
      </c>
      <c r="AD422" s="34">
        <v>11.3</v>
      </c>
      <c r="AE422" s="31" t="s">
        <v>902</v>
      </c>
      <c r="AF422" s="31" t="s">
        <v>860</v>
      </c>
    </row>
    <row r="423" spans="2:32" ht="60" customHeight="1" x14ac:dyDescent="0.25">
      <c r="B423" s="36" t="s">
        <v>1831</v>
      </c>
      <c r="C423" s="42">
        <v>2018</v>
      </c>
      <c r="D423" s="42">
        <f t="shared" si="6"/>
        <v>2021</v>
      </c>
      <c r="E423" s="36" t="s">
        <v>126</v>
      </c>
      <c r="F423" s="36" t="s">
        <v>1832</v>
      </c>
      <c r="G423" s="36" t="s">
        <v>1833</v>
      </c>
      <c r="H423" s="36" t="s">
        <v>172</v>
      </c>
      <c r="I423" s="36" t="s">
        <v>1010</v>
      </c>
      <c r="J423" s="36" t="s">
        <v>1011</v>
      </c>
      <c r="K423" s="36" t="s">
        <v>315</v>
      </c>
      <c r="L423" s="36" t="s">
        <v>159</v>
      </c>
      <c r="M423" s="37">
        <v>0</v>
      </c>
      <c r="N423" s="37">
        <v>26761022750</v>
      </c>
      <c r="O423" s="37">
        <v>26761022750</v>
      </c>
      <c r="P423" s="36" t="s">
        <v>624</v>
      </c>
      <c r="Q423" s="37">
        <v>48656405</v>
      </c>
      <c r="R423" s="36" t="s">
        <v>159</v>
      </c>
      <c r="S423" s="38">
        <v>43231</v>
      </c>
      <c r="T423" s="38">
        <v>43170</v>
      </c>
      <c r="U423" s="38">
        <v>44561</v>
      </c>
      <c r="V423" s="27" t="s">
        <v>9308</v>
      </c>
      <c r="W423" s="36" t="s">
        <v>557</v>
      </c>
      <c r="X423" s="36" t="s">
        <v>880</v>
      </c>
      <c r="Y423" s="36" t="s">
        <v>125</v>
      </c>
      <c r="Z423" s="36" t="s">
        <v>1492</v>
      </c>
      <c r="AA423" s="36" t="s">
        <v>900</v>
      </c>
      <c r="AB423" s="36" t="s">
        <v>861</v>
      </c>
      <c r="AC423" s="36" t="s">
        <v>901</v>
      </c>
      <c r="AD423" s="37">
        <v>4.0999999999999996</v>
      </c>
      <c r="AE423" s="36" t="s">
        <v>902</v>
      </c>
      <c r="AF423" s="36" t="s">
        <v>860</v>
      </c>
    </row>
    <row r="424" spans="2:32" ht="75" customHeight="1" x14ac:dyDescent="0.25">
      <c r="B424" s="31" t="s">
        <v>1834</v>
      </c>
      <c r="C424" s="41">
        <v>2018</v>
      </c>
      <c r="D424" s="42">
        <f t="shared" si="6"/>
        <v>2021</v>
      </c>
      <c r="E424" s="31" t="s">
        <v>126</v>
      </c>
      <c r="F424" s="31" t="s">
        <v>1425</v>
      </c>
      <c r="G424" s="31" t="s">
        <v>1835</v>
      </c>
      <c r="H424" s="31" t="s">
        <v>172</v>
      </c>
      <c r="I424" s="31" t="s">
        <v>1010</v>
      </c>
      <c r="J424" s="31" t="s">
        <v>1011</v>
      </c>
      <c r="K424" s="31" t="s">
        <v>216</v>
      </c>
      <c r="L424" s="31" t="s">
        <v>159</v>
      </c>
      <c r="M424" s="34">
        <v>0</v>
      </c>
      <c r="N424" s="34">
        <v>92664000</v>
      </c>
      <c r="O424" s="34">
        <v>92664000</v>
      </c>
      <c r="P424" s="31" t="s">
        <v>624</v>
      </c>
      <c r="Q424" s="34">
        <v>168480</v>
      </c>
      <c r="R424" s="31" t="s">
        <v>159</v>
      </c>
      <c r="S424" s="35">
        <v>43383</v>
      </c>
      <c r="T424" s="35">
        <v>43231</v>
      </c>
      <c r="U424" s="35">
        <v>44561</v>
      </c>
      <c r="V424" s="27" t="s">
        <v>9308</v>
      </c>
      <c r="W424" s="31" t="s">
        <v>557</v>
      </c>
      <c r="X424" s="31" t="s">
        <v>880</v>
      </c>
      <c r="Y424" s="31" t="s">
        <v>125</v>
      </c>
      <c r="Z424" s="31" t="s">
        <v>1426</v>
      </c>
      <c r="AA424" s="31" t="s">
        <v>561</v>
      </c>
      <c r="AB424" s="31" t="s">
        <v>560</v>
      </c>
      <c r="AC424" s="31" t="s">
        <v>989</v>
      </c>
      <c r="AD424" s="34">
        <v>3.8</v>
      </c>
      <c r="AE424" s="31" t="s">
        <v>902</v>
      </c>
      <c r="AF424" s="31" t="s">
        <v>860</v>
      </c>
    </row>
    <row r="425" spans="2:32" ht="60" customHeight="1" x14ac:dyDescent="0.25">
      <c r="B425" s="36" t="s">
        <v>1836</v>
      </c>
      <c r="C425" s="42">
        <v>2018</v>
      </c>
      <c r="D425" s="42">
        <f t="shared" si="6"/>
        <v>2020</v>
      </c>
      <c r="E425" s="36" t="s">
        <v>170</v>
      </c>
      <c r="F425" s="36" t="s">
        <v>1837</v>
      </c>
      <c r="G425" s="36" t="s">
        <v>1839</v>
      </c>
      <c r="H425" s="36" t="s">
        <v>172</v>
      </c>
      <c r="I425" s="36" t="s">
        <v>1010</v>
      </c>
      <c r="J425" s="36" t="s">
        <v>1011</v>
      </c>
      <c r="K425" s="36" t="s">
        <v>369</v>
      </c>
      <c r="L425" s="36" t="s">
        <v>159</v>
      </c>
      <c r="M425" s="37">
        <v>0</v>
      </c>
      <c r="N425" s="37">
        <v>21787333</v>
      </c>
      <c r="O425" s="37">
        <v>21787333</v>
      </c>
      <c r="P425" s="36" t="s">
        <v>136</v>
      </c>
      <c r="Q425" s="37">
        <v>21787333</v>
      </c>
      <c r="R425" s="36" t="s">
        <v>171</v>
      </c>
      <c r="S425" s="38">
        <v>43362</v>
      </c>
      <c r="T425" s="38">
        <v>43231</v>
      </c>
      <c r="U425" s="38">
        <v>44196</v>
      </c>
      <c r="V425" s="27" t="s">
        <v>9307</v>
      </c>
      <c r="W425" s="36" t="s">
        <v>557</v>
      </c>
      <c r="X425" s="36" t="s">
        <v>880</v>
      </c>
      <c r="Y425" s="36" t="s">
        <v>125</v>
      </c>
      <c r="Z425" s="36" t="s">
        <v>1838</v>
      </c>
      <c r="AA425" s="36" t="s">
        <v>862</v>
      </c>
      <c r="AB425" s="36" t="s">
        <v>861</v>
      </c>
      <c r="AC425" s="36" t="s">
        <v>971</v>
      </c>
      <c r="AD425" s="37">
        <v>9.1</v>
      </c>
      <c r="AE425" s="36" t="s">
        <v>864</v>
      </c>
      <c r="AF425" s="36" t="s">
        <v>860</v>
      </c>
    </row>
    <row r="426" spans="2:32" ht="60" customHeight="1" x14ac:dyDescent="0.25">
      <c r="B426" s="31" t="s">
        <v>1840</v>
      </c>
      <c r="C426" s="41">
        <v>2018</v>
      </c>
      <c r="D426" s="42">
        <f t="shared" si="6"/>
        <v>2021</v>
      </c>
      <c r="E426" s="31" t="s">
        <v>126</v>
      </c>
      <c r="F426" s="31" t="s">
        <v>1841</v>
      </c>
      <c r="G426" s="31" t="s">
        <v>1842</v>
      </c>
      <c r="H426" s="31" t="s">
        <v>172</v>
      </c>
      <c r="I426" s="31" t="s">
        <v>1010</v>
      </c>
      <c r="J426" s="31" t="s">
        <v>1011</v>
      </c>
      <c r="K426" s="31" t="s">
        <v>190</v>
      </c>
      <c r="L426" s="31" t="s">
        <v>159</v>
      </c>
      <c r="M426" s="34">
        <v>0</v>
      </c>
      <c r="N426" s="34">
        <v>4785000000</v>
      </c>
      <c r="O426" s="34">
        <v>4785000000</v>
      </c>
      <c r="P426" s="31" t="s">
        <v>624</v>
      </c>
      <c r="Q426" s="34">
        <v>8700000</v>
      </c>
      <c r="R426" s="31" t="s">
        <v>159</v>
      </c>
      <c r="S426" s="35">
        <v>43231</v>
      </c>
      <c r="T426" s="35">
        <v>43170</v>
      </c>
      <c r="U426" s="35">
        <v>44561</v>
      </c>
      <c r="V426" s="27" t="s">
        <v>9308</v>
      </c>
      <c r="W426" s="31" t="s">
        <v>557</v>
      </c>
      <c r="X426" s="31" t="s">
        <v>880</v>
      </c>
      <c r="Y426" s="31" t="s">
        <v>125</v>
      </c>
      <c r="Z426" s="31" t="s">
        <v>856</v>
      </c>
      <c r="AA426" s="31" t="s">
        <v>862</v>
      </c>
      <c r="AB426" s="31" t="s">
        <v>861</v>
      </c>
      <c r="AC426" s="31" t="s">
        <v>863</v>
      </c>
      <c r="AD426" s="34">
        <v>2.2999999999999998</v>
      </c>
      <c r="AE426" s="31" t="s">
        <v>864</v>
      </c>
      <c r="AF426" s="31" t="s">
        <v>860</v>
      </c>
    </row>
    <row r="427" spans="2:32" ht="60" customHeight="1" x14ac:dyDescent="0.25">
      <c r="B427" s="36" t="s">
        <v>1843</v>
      </c>
      <c r="C427" s="42">
        <v>2018</v>
      </c>
      <c r="D427" s="42">
        <f t="shared" si="6"/>
        <v>2020</v>
      </c>
      <c r="E427" s="36" t="s">
        <v>126</v>
      </c>
      <c r="F427" s="36" t="s">
        <v>1844</v>
      </c>
      <c r="G427" s="36" t="s">
        <v>1845</v>
      </c>
      <c r="H427" s="36" t="s">
        <v>172</v>
      </c>
      <c r="I427" s="36" t="s">
        <v>1010</v>
      </c>
      <c r="J427" s="36" t="s">
        <v>1011</v>
      </c>
      <c r="K427" s="36" t="s">
        <v>245</v>
      </c>
      <c r="L427" s="36" t="s">
        <v>159</v>
      </c>
      <c r="M427" s="37">
        <v>0</v>
      </c>
      <c r="N427" s="37">
        <v>43239208.399999999</v>
      </c>
      <c r="O427" s="37">
        <v>43239208.399999999</v>
      </c>
      <c r="P427" s="36" t="s">
        <v>136</v>
      </c>
      <c r="Q427" s="37">
        <v>43239208.399999999</v>
      </c>
      <c r="R427" s="36" t="s">
        <v>159</v>
      </c>
      <c r="S427" s="38">
        <v>43447</v>
      </c>
      <c r="T427" s="38">
        <v>43231</v>
      </c>
      <c r="U427" s="38">
        <v>44196</v>
      </c>
      <c r="V427" s="27" t="s">
        <v>9308</v>
      </c>
      <c r="W427" s="36" t="s">
        <v>557</v>
      </c>
      <c r="X427" s="36" t="s">
        <v>880</v>
      </c>
      <c r="Y427" s="36" t="s">
        <v>125</v>
      </c>
      <c r="Z427" s="36" t="s">
        <v>1410</v>
      </c>
      <c r="AA427" s="36" t="s">
        <v>862</v>
      </c>
      <c r="AB427" s="36" t="s">
        <v>861</v>
      </c>
      <c r="AC427" s="36" t="s">
        <v>971</v>
      </c>
      <c r="AD427" s="37">
        <v>9.1</v>
      </c>
      <c r="AE427" s="36" t="s">
        <v>864</v>
      </c>
      <c r="AF427" s="36" t="s">
        <v>860</v>
      </c>
    </row>
    <row r="428" spans="2:32" ht="60" customHeight="1" x14ac:dyDescent="0.25">
      <c r="B428" s="31" t="s">
        <v>1846</v>
      </c>
      <c r="C428" s="41">
        <v>2018</v>
      </c>
      <c r="D428" s="42">
        <f t="shared" si="6"/>
        <v>2019</v>
      </c>
      <c r="E428" s="31" t="s">
        <v>126</v>
      </c>
      <c r="F428" s="31" t="s">
        <v>1847</v>
      </c>
      <c r="G428" s="31" t="s">
        <v>1848</v>
      </c>
      <c r="H428" s="31" t="s">
        <v>172</v>
      </c>
      <c r="I428" s="31" t="s">
        <v>1184</v>
      </c>
      <c r="J428" s="31" t="s">
        <v>1184</v>
      </c>
      <c r="K428" s="31" t="s">
        <v>369</v>
      </c>
      <c r="L428" s="31" t="s">
        <v>159</v>
      </c>
      <c r="M428" s="34">
        <v>0</v>
      </c>
      <c r="N428" s="34">
        <v>4393400</v>
      </c>
      <c r="O428" s="34">
        <v>4393400</v>
      </c>
      <c r="P428" s="31" t="s">
        <v>624</v>
      </c>
      <c r="Q428" s="34">
        <v>7988</v>
      </c>
      <c r="R428" s="31" t="s">
        <v>159</v>
      </c>
      <c r="S428" s="35">
        <v>43231</v>
      </c>
      <c r="T428" s="35">
        <v>43170</v>
      </c>
      <c r="U428" s="35">
        <v>43830</v>
      </c>
      <c r="V428" s="27" t="s">
        <v>9307</v>
      </c>
      <c r="W428" s="31" t="s">
        <v>557</v>
      </c>
      <c r="X428" s="31" t="s">
        <v>880</v>
      </c>
      <c r="Y428" s="31" t="s">
        <v>242</v>
      </c>
      <c r="Z428" s="31" t="s">
        <v>1087</v>
      </c>
      <c r="AA428" s="31" t="s">
        <v>862</v>
      </c>
      <c r="AB428" s="31" t="s">
        <v>861</v>
      </c>
      <c r="AC428" s="31" t="s">
        <v>971</v>
      </c>
      <c r="AD428" s="34">
        <v>9.1</v>
      </c>
      <c r="AE428" s="31" t="s">
        <v>864</v>
      </c>
      <c r="AF428" s="31" t="s">
        <v>860</v>
      </c>
    </row>
    <row r="429" spans="2:32" ht="45" customHeight="1" x14ac:dyDescent="0.25">
      <c r="B429" s="36" t="s">
        <v>1849</v>
      </c>
      <c r="C429" s="42">
        <v>2018</v>
      </c>
      <c r="D429" s="42">
        <f t="shared" si="6"/>
        <v>2020</v>
      </c>
      <c r="E429" s="36" t="s">
        <v>126</v>
      </c>
      <c r="F429" s="36" t="s">
        <v>1850</v>
      </c>
      <c r="G429" s="36" t="s">
        <v>1852</v>
      </c>
      <c r="H429" s="36" t="s">
        <v>172</v>
      </c>
      <c r="I429" s="36" t="s">
        <v>1184</v>
      </c>
      <c r="J429" s="36" t="s">
        <v>1184</v>
      </c>
      <c r="K429" s="36" t="s">
        <v>216</v>
      </c>
      <c r="L429" s="36" t="s">
        <v>159</v>
      </c>
      <c r="M429" s="37">
        <v>0</v>
      </c>
      <c r="N429" s="37">
        <v>20350000</v>
      </c>
      <c r="O429" s="37">
        <v>20350000</v>
      </c>
      <c r="P429" s="36" t="s">
        <v>624</v>
      </c>
      <c r="Q429" s="37">
        <v>37000</v>
      </c>
      <c r="R429" s="36" t="s">
        <v>159</v>
      </c>
      <c r="S429" s="38">
        <v>43405</v>
      </c>
      <c r="T429" s="38">
        <v>43231</v>
      </c>
      <c r="U429" s="38">
        <v>44196</v>
      </c>
      <c r="V429" s="27" t="s">
        <v>9308</v>
      </c>
      <c r="W429" s="36" t="s">
        <v>557</v>
      </c>
      <c r="X429" s="36" t="s">
        <v>880</v>
      </c>
      <c r="Y429" s="36" t="s">
        <v>242</v>
      </c>
      <c r="Z429" s="36" t="s">
        <v>1851</v>
      </c>
      <c r="AA429" s="36" t="s">
        <v>561</v>
      </c>
      <c r="AB429" s="36" t="s">
        <v>560</v>
      </c>
      <c r="AC429" s="36" t="s">
        <v>989</v>
      </c>
      <c r="AD429" s="37">
        <v>3.8</v>
      </c>
      <c r="AE429" s="36" t="s">
        <v>902</v>
      </c>
      <c r="AF429" s="36" t="s">
        <v>860</v>
      </c>
    </row>
    <row r="430" spans="2:32" ht="60" customHeight="1" x14ac:dyDescent="0.25">
      <c r="B430" s="31" t="s">
        <v>1853</v>
      </c>
      <c r="C430" s="41">
        <v>2018</v>
      </c>
      <c r="D430" s="42">
        <f t="shared" si="6"/>
        <v>2020</v>
      </c>
      <c r="E430" s="31" t="s">
        <v>126</v>
      </c>
      <c r="F430" s="31" t="s">
        <v>1854</v>
      </c>
      <c r="G430" s="31" t="s">
        <v>1856</v>
      </c>
      <c r="H430" s="31" t="s">
        <v>172</v>
      </c>
      <c r="I430" s="31" t="s">
        <v>1184</v>
      </c>
      <c r="J430" s="31" t="s">
        <v>1184</v>
      </c>
      <c r="K430" s="31" t="s">
        <v>1344</v>
      </c>
      <c r="L430" s="31" t="s">
        <v>159</v>
      </c>
      <c r="M430" s="34">
        <v>0</v>
      </c>
      <c r="N430" s="34">
        <v>22533594</v>
      </c>
      <c r="O430" s="34">
        <v>22533594</v>
      </c>
      <c r="P430" s="31" t="s">
        <v>624</v>
      </c>
      <c r="Q430" s="34">
        <v>40970.17</v>
      </c>
      <c r="R430" s="31" t="s">
        <v>159</v>
      </c>
      <c r="S430" s="35">
        <v>43447</v>
      </c>
      <c r="T430" s="35">
        <v>43231</v>
      </c>
      <c r="U430" s="35">
        <v>44196</v>
      </c>
      <c r="V430" s="27" t="s">
        <v>9308</v>
      </c>
      <c r="W430" s="31" t="s">
        <v>557</v>
      </c>
      <c r="X430" s="31" t="s">
        <v>880</v>
      </c>
      <c r="Y430" s="31" t="s">
        <v>242</v>
      </c>
      <c r="Z430" s="31" t="s">
        <v>1855</v>
      </c>
      <c r="AA430" s="31" t="s">
        <v>965</v>
      </c>
      <c r="AB430" s="31" t="s">
        <v>964</v>
      </c>
      <c r="AC430" s="31" t="s">
        <v>1036</v>
      </c>
      <c r="AD430" s="34">
        <v>16.600000000000001</v>
      </c>
      <c r="AE430" s="31" t="s">
        <v>902</v>
      </c>
      <c r="AF430" s="31" t="s">
        <v>860</v>
      </c>
    </row>
    <row r="431" spans="2:32" ht="45" customHeight="1" x14ac:dyDescent="0.25">
      <c r="B431" s="36" t="s">
        <v>1857</v>
      </c>
      <c r="C431" s="42">
        <v>2018</v>
      </c>
      <c r="D431" s="42">
        <f t="shared" si="6"/>
        <v>2021</v>
      </c>
      <c r="E431" s="36" t="s">
        <v>126</v>
      </c>
      <c r="F431" s="36" t="s">
        <v>1858</v>
      </c>
      <c r="G431" s="36" t="s">
        <v>1859</v>
      </c>
      <c r="H431" s="36" t="s">
        <v>172</v>
      </c>
      <c r="I431" s="36" t="s">
        <v>1184</v>
      </c>
      <c r="J431" s="36" t="s">
        <v>1184</v>
      </c>
      <c r="K431" s="36" t="s">
        <v>315</v>
      </c>
      <c r="L431" s="36" t="s">
        <v>159</v>
      </c>
      <c r="M431" s="37">
        <v>0</v>
      </c>
      <c r="N431" s="37">
        <v>401461125</v>
      </c>
      <c r="O431" s="37">
        <v>401461125</v>
      </c>
      <c r="P431" s="36" t="s">
        <v>122</v>
      </c>
      <c r="Q431" s="37">
        <v>612023.54</v>
      </c>
      <c r="R431" s="36" t="s">
        <v>159</v>
      </c>
      <c r="S431" s="38">
        <v>43347</v>
      </c>
      <c r="T431" s="38">
        <v>43231</v>
      </c>
      <c r="U431" s="38">
        <v>44561</v>
      </c>
      <c r="V431" s="27" t="s">
        <v>9308</v>
      </c>
      <c r="W431" s="36" t="s">
        <v>557</v>
      </c>
      <c r="X431" s="36" t="s">
        <v>880</v>
      </c>
      <c r="Y431" s="36" t="s">
        <v>242</v>
      </c>
      <c r="Z431" s="36" t="s">
        <v>896</v>
      </c>
      <c r="AA431" s="36" t="s">
        <v>900</v>
      </c>
      <c r="AB431" s="36" t="s">
        <v>861</v>
      </c>
      <c r="AC431" s="36" t="s">
        <v>901</v>
      </c>
      <c r="AD431" s="37">
        <v>4.0999999999999996</v>
      </c>
      <c r="AE431" s="36" t="s">
        <v>902</v>
      </c>
      <c r="AF431" s="36" t="s">
        <v>860</v>
      </c>
    </row>
    <row r="432" spans="2:32" ht="60" customHeight="1" x14ac:dyDescent="0.25">
      <c r="B432" s="31" t="s">
        <v>1860</v>
      </c>
      <c r="C432" s="41">
        <v>2018</v>
      </c>
      <c r="D432" s="42">
        <f t="shared" si="6"/>
        <v>2021</v>
      </c>
      <c r="E432" s="31" t="s">
        <v>126</v>
      </c>
      <c r="F432" s="31" t="s">
        <v>1102</v>
      </c>
      <c r="G432" s="31" t="s">
        <v>1861</v>
      </c>
      <c r="H432" s="31" t="s">
        <v>172</v>
      </c>
      <c r="I432" s="31" t="s">
        <v>1020</v>
      </c>
      <c r="J432" s="31" t="s">
        <v>1021</v>
      </c>
      <c r="K432" s="31" t="s">
        <v>216</v>
      </c>
      <c r="L432" s="31" t="s">
        <v>159</v>
      </c>
      <c r="M432" s="34">
        <v>0</v>
      </c>
      <c r="N432" s="34">
        <v>2351800000</v>
      </c>
      <c r="O432" s="34">
        <v>2351800000</v>
      </c>
      <c r="P432" s="31" t="s">
        <v>624</v>
      </c>
      <c r="Q432" s="34">
        <v>4276000</v>
      </c>
      <c r="R432" s="31" t="s">
        <v>159</v>
      </c>
      <c r="S432" s="35">
        <v>43231</v>
      </c>
      <c r="T432" s="35">
        <v>43170</v>
      </c>
      <c r="U432" s="35">
        <v>44469</v>
      </c>
      <c r="V432" s="27" t="s">
        <v>9395</v>
      </c>
      <c r="W432" s="31" t="s">
        <v>557</v>
      </c>
      <c r="X432" s="31" t="s">
        <v>880</v>
      </c>
      <c r="Y432" s="31" t="s">
        <v>242</v>
      </c>
      <c r="Z432" s="31" t="s">
        <v>1103</v>
      </c>
      <c r="AA432" s="31" t="s">
        <v>561</v>
      </c>
      <c r="AB432" s="31" t="s">
        <v>560</v>
      </c>
      <c r="AC432" s="31" t="s">
        <v>989</v>
      </c>
      <c r="AD432" s="34">
        <v>3.8</v>
      </c>
      <c r="AE432" s="31" t="s">
        <v>902</v>
      </c>
      <c r="AF432" s="31" t="s">
        <v>860</v>
      </c>
    </row>
    <row r="433" spans="2:32" ht="60" customHeight="1" x14ac:dyDescent="0.25">
      <c r="B433" s="36" t="s">
        <v>1862</v>
      </c>
      <c r="C433" s="42">
        <v>2018</v>
      </c>
      <c r="D433" s="42">
        <f t="shared" si="6"/>
        <v>2022</v>
      </c>
      <c r="E433" s="36" t="s">
        <v>126</v>
      </c>
      <c r="F433" s="36" t="s">
        <v>1863</v>
      </c>
      <c r="G433" s="36" t="s">
        <v>1864</v>
      </c>
      <c r="H433" s="36" t="s">
        <v>172</v>
      </c>
      <c r="I433" s="36" t="s">
        <v>1020</v>
      </c>
      <c r="J433" s="36" t="s">
        <v>1021</v>
      </c>
      <c r="K433" s="36" t="s">
        <v>216</v>
      </c>
      <c r="L433" s="36" t="s">
        <v>159</v>
      </c>
      <c r="M433" s="37">
        <v>0</v>
      </c>
      <c r="N433" s="37">
        <v>79215950</v>
      </c>
      <c r="O433" s="37">
        <v>79215950</v>
      </c>
      <c r="P433" s="36" t="s">
        <v>624</v>
      </c>
      <c r="Q433" s="37">
        <v>144029</v>
      </c>
      <c r="R433" s="36" t="s">
        <v>159</v>
      </c>
      <c r="S433" s="38">
        <v>43299</v>
      </c>
      <c r="T433" s="38">
        <v>43231</v>
      </c>
      <c r="U433" s="38">
        <v>44834</v>
      </c>
      <c r="V433" s="27" t="s">
        <v>9307</v>
      </c>
      <c r="W433" s="36" t="s">
        <v>557</v>
      </c>
      <c r="X433" s="36" t="s">
        <v>880</v>
      </c>
      <c r="Y433" s="36" t="s">
        <v>242</v>
      </c>
      <c r="Z433" s="36" t="s">
        <v>1064</v>
      </c>
      <c r="AA433" s="36" t="s">
        <v>561</v>
      </c>
      <c r="AB433" s="36" t="s">
        <v>560</v>
      </c>
      <c r="AC433" s="36" t="s">
        <v>989</v>
      </c>
      <c r="AD433" s="37">
        <v>3.8</v>
      </c>
      <c r="AE433" s="36" t="s">
        <v>902</v>
      </c>
      <c r="AF433" s="36" t="s">
        <v>860</v>
      </c>
    </row>
    <row r="434" spans="2:32" ht="60" customHeight="1" x14ac:dyDescent="0.25">
      <c r="B434" s="31" t="s">
        <v>1865</v>
      </c>
      <c r="C434" s="41">
        <v>2018</v>
      </c>
      <c r="D434" s="42">
        <f t="shared" si="6"/>
        <v>2021</v>
      </c>
      <c r="E434" s="31" t="s">
        <v>126</v>
      </c>
      <c r="F434" s="31" t="s">
        <v>1866</v>
      </c>
      <c r="G434" s="31" t="s">
        <v>1867</v>
      </c>
      <c r="H434" s="31" t="s">
        <v>172</v>
      </c>
      <c r="I434" s="31" t="s">
        <v>1020</v>
      </c>
      <c r="J434" s="31" t="s">
        <v>1021</v>
      </c>
      <c r="K434" s="31" t="s">
        <v>163</v>
      </c>
      <c r="L434" s="31" t="s">
        <v>159</v>
      </c>
      <c r="M434" s="34">
        <v>0</v>
      </c>
      <c r="N434" s="34">
        <v>550000000</v>
      </c>
      <c r="O434" s="34">
        <v>550000000</v>
      </c>
      <c r="P434" s="31" t="s">
        <v>624</v>
      </c>
      <c r="Q434" s="34">
        <v>1000000</v>
      </c>
      <c r="R434" s="31" t="s">
        <v>159</v>
      </c>
      <c r="S434" s="35">
        <v>43447</v>
      </c>
      <c r="T434" s="35">
        <v>43231</v>
      </c>
      <c r="U434" s="35">
        <v>44561</v>
      </c>
      <c r="V434" s="27" t="s">
        <v>9307</v>
      </c>
      <c r="W434" s="31" t="s">
        <v>557</v>
      </c>
      <c r="X434" s="31" t="s">
        <v>880</v>
      </c>
      <c r="Y434" s="31" t="s">
        <v>242</v>
      </c>
      <c r="Z434" s="31" t="s">
        <v>1476</v>
      </c>
      <c r="AA434" s="31" t="s">
        <v>965</v>
      </c>
      <c r="AB434" s="31" t="s">
        <v>964</v>
      </c>
      <c r="AC434" s="31" t="s">
        <v>1036</v>
      </c>
      <c r="AD434" s="34">
        <v>16.600000000000001</v>
      </c>
      <c r="AE434" s="31" t="s">
        <v>902</v>
      </c>
      <c r="AF434" s="31" t="s">
        <v>860</v>
      </c>
    </row>
    <row r="435" spans="2:32" ht="75" customHeight="1" x14ac:dyDescent="0.25">
      <c r="B435" s="36" t="s">
        <v>1868</v>
      </c>
      <c r="C435" s="33">
        <v>2018</v>
      </c>
      <c r="D435" s="33">
        <f t="shared" si="6"/>
        <v>2020</v>
      </c>
      <c r="E435" s="36" t="s">
        <v>126</v>
      </c>
      <c r="F435" s="36" t="s">
        <v>1869</v>
      </c>
      <c r="G435" s="36" t="s">
        <v>1870</v>
      </c>
      <c r="H435" s="36" t="s">
        <v>172</v>
      </c>
      <c r="I435" s="36" t="s">
        <v>358</v>
      </c>
      <c r="J435" s="36" t="s">
        <v>358</v>
      </c>
      <c r="K435" s="36" t="s">
        <v>190</v>
      </c>
      <c r="L435" s="36" t="s">
        <v>159</v>
      </c>
      <c r="M435" s="37">
        <v>0</v>
      </c>
      <c r="N435" s="37">
        <v>2508300000</v>
      </c>
      <c r="O435" s="37">
        <v>2508300000</v>
      </c>
      <c r="P435" s="36" t="s">
        <v>357</v>
      </c>
      <c r="Q435" s="37">
        <v>30000000</v>
      </c>
      <c r="R435" s="36" t="s">
        <v>159</v>
      </c>
      <c r="S435" s="47"/>
      <c r="T435" s="38">
        <v>43231</v>
      </c>
      <c r="U435" s="38">
        <v>44196</v>
      </c>
      <c r="V435" s="27" t="s">
        <v>9308</v>
      </c>
      <c r="W435" s="37"/>
      <c r="X435" s="37"/>
      <c r="Y435" s="37" t="s">
        <v>242</v>
      </c>
      <c r="Z435" s="37"/>
      <c r="AA435" s="37"/>
      <c r="AB435" s="37"/>
      <c r="AC435" s="37"/>
      <c r="AD435" s="37"/>
      <c r="AE435" s="37"/>
      <c r="AF435" s="37"/>
    </row>
    <row r="436" spans="2:32" ht="60" customHeight="1" x14ac:dyDescent="0.25">
      <c r="B436" s="31" t="s">
        <v>1871</v>
      </c>
      <c r="C436" s="32">
        <v>2018</v>
      </c>
      <c r="D436" s="33">
        <f t="shared" si="6"/>
        <v>2020</v>
      </c>
      <c r="E436" s="31" t="s">
        <v>126</v>
      </c>
      <c r="F436" s="31" t="s">
        <v>1872</v>
      </c>
      <c r="G436" s="31" t="s">
        <v>1873</v>
      </c>
      <c r="H436" s="31" t="s">
        <v>172</v>
      </c>
      <c r="I436" s="31" t="s">
        <v>1020</v>
      </c>
      <c r="J436" s="31" t="s">
        <v>1021</v>
      </c>
      <c r="K436" s="31" t="s">
        <v>163</v>
      </c>
      <c r="L436" s="31" t="s">
        <v>159</v>
      </c>
      <c r="M436" s="34">
        <v>0</v>
      </c>
      <c r="N436" s="34">
        <v>85674741</v>
      </c>
      <c r="O436" s="34">
        <v>85674741</v>
      </c>
      <c r="P436" s="31" t="s">
        <v>624</v>
      </c>
      <c r="Q436" s="34">
        <v>148628</v>
      </c>
      <c r="R436" s="31" t="s">
        <v>159</v>
      </c>
      <c r="S436" s="35">
        <v>43252</v>
      </c>
      <c r="T436" s="35">
        <v>43231</v>
      </c>
      <c r="U436" s="35">
        <v>44104</v>
      </c>
      <c r="V436" s="27" t="s">
        <v>9307</v>
      </c>
      <c r="W436" s="34"/>
      <c r="X436" s="34"/>
      <c r="Y436" s="34" t="s">
        <v>242</v>
      </c>
      <c r="Z436" s="34"/>
      <c r="AA436" s="34"/>
      <c r="AB436" s="34"/>
      <c r="AC436" s="34"/>
      <c r="AD436" s="34"/>
      <c r="AE436" s="34"/>
      <c r="AF436" s="34"/>
    </row>
    <row r="437" spans="2:32" ht="60" customHeight="1" x14ac:dyDescent="0.25">
      <c r="B437" s="36" t="s">
        <v>1874</v>
      </c>
      <c r="C437" s="42">
        <v>2018</v>
      </c>
      <c r="D437" s="42">
        <f t="shared" si="6"/>
        <v>2024</v>
      </c>
      <c r="E437" s="36" t="s">
        <v>1877</v>
      </c>
      <c r="F437" s="36" t="s">
        <v>1875</v>
      </c>
      <c r="G437" s="36" t="s">
        <v>1876</v>
      </c>
      <c r="H437" s="36" t="s">
        <v>372</v>
      </c>
      <c r="I437" s="36" t="s">
        <v>178</v>
      </c>
      <c r="J437" s="36" t="s">
        <v>179</v>
      </c>
      <c r="K437" s="36" t="s">
        <v>216</v>
      </c>
      <c r="L437" s="36" t="s">
        <v>201</v>
      </c>
      <c r="M437" s="37">
        <v>45925000000</v>
      </c>
      <c r="N437" s="37">
        <v>48410090140</v>
      </c>
      <c r="O437" s="37">
        <v>94335090140</v>
      </c>
      <c r="P437" s="36" t="s">
        <v>624</v>
      </c>
      <c r="Q437" s="37">
        <v>171518345.71000001</v>
      </c>
      <c r="R437" s="36" t="s">
        <v>279</v>
      </c>
      <c r="S437" s="38">
        <v>43432</v>
      </c>
      <c r="T437" s="38">
        <v>43235</v>
      </c>
      <c r="U437" s="38">
        <v>45657</v>
      </c>
      <c r="V437" s="27" t="s">
        <v>9308</v>
      </c>
      <c r="W437" s="36" t="s">
        <v>557</v>
      </c>
      <c r="X437" s="36" t="s">
        <v>859</v>
      </c>
      <c r="Y437" s="36" t="s">
        <v>125</v>
      </c>
      <c r="Z437" s="36" t="s">
        <v>1064</v>
      </c>
      <c r="AA437" s="36" t="s">
        <v>561</v>
      </c>
      <c r="AB437" s="36" t="s">
        <v>560</v>
      </c>
      <c r="AC437" s="36" t="s">
        <v>989</v>
      </c>
      <c r="AD437" s="37">
        <v>3.8</v>
      </c>
      <c r="AE437" s="36" t="s">
        <v>902</v>
      </c>
      <c r="AF437" s="36" t="s">
        <v>860</v>
      </c>
    </row>
    <row r="438" spans="2:32" ht="90" customHeight="1" x14ac:dyDescent="0.25">
      <c r="B438" s="31" t="s">
        <v>1878</v>
      </c>
      <c r="C438" s="41">
        <v>2019</v>
      </c>
      <c r="D438" s="42" t="e">
        <f t="shared" si="6"/>
        <v>#VALUE!</v>
      </c>
      <c r="E438" s="31" t="s">
        <v>1048</v>
      </c>
      <c r="F438" s="31" t="s">
        <v>1879</v>
      </c>
      <c r="G438" s="31" t="s">
        <v>1881</v>
      </c>
      <c r="H438" s="31" t="s">
        <v>172</v>
      </c>
      <c r="I438" s="31" t="s">
        <v>1355</v>
      </c>
      <c r="J438" s="31" t="s">
        <v>1356</v>
      </c>
      <c r="K438" s="31" t="s">
        <v>1880</v>
      </c>
      <c r="L438" s="31" t="s">
        <v>127</v>
      </c>
      <c r="M438" s="34">
        <v>327978500000</v>
      </c>
      <c r="N438" s="34">
        <v>0</v>
      </c>
      <c r="O438" s="34">
        <v>327978500000</v>
      </c>
      <c r="P438" s="31" t="s">
        <v>122</v>
      </c>
      <c r="Q438" s="34">
        <v>500000000</v>
      </c>
      <c r="R438" s="31" t="s">
        <v>1883</v>
      </c>
      <c r="S438" s="35">
        <v>43543</v>
      </c>
      <c r="T438" s="35">
        <v>43538</v>
      </c>
      <c r="U438" s="35" t="s">
        <v>1882</v>
      </c>
      <c r="V438" s="27" t="s">
        <v>9308</v>
      </c>
      <c r="W438" s="31" t="s">
        <v>1043</v>
      </c>
      <c r="X438" s="31" t="s">
        <v>558</v>
      </c>
      <c r="Y438" s="31" t="s">
        <v>442</v>
      </c>
      <c r="Z438" s="31" t="s">
        <v>1040</v>
      </c>
      <c r="AA438" s="31" t="s">
        <v>1046</v>
      </c>
      <c r="AB438" s="31" t="s">
        <v>861</v>
      </c>
      <c r="AC438" s="31" t="s">
        <v>1047</v>
      </c>
      <c r="AD438" s="34">
        <v>17.170000000000002</v>
      </c>
      <c r="AE438" s="31" t="s">
        <v>864</v>
      </c>
      <c r="AF438" s="31" t="s">
        <v>860</v>
      </c>
    </row>
    <row r="439" spans="2:32" ht="90" customHeight="1" x14ac:dyDescent="0.25">
      <c r="B439" s="36" t="s">
        <v>1884</v>
      </c>
      <c r="C439" s="42">
        <v>2019</v>
      </c>
      <c r="D439" s="42">
        <f t="shared" si="6"/>
        <v>2024</v>
      </c>
      <c r="E439" s="36" t="s">
        <v>126</v>
      </c>
      <c r="F439" s="36" t="s">
        <v>1885</v>
      </c>
      <c r="G439" s="36" t="s">
        <v>1886</v>
      </c>
      <c r="H439" s="36" t="s">
        <v>172</v>
      </c>
      <c r="I439" s="36" t="s">
        <v>1355</v>
      </c>
      <c r="J439" s="36" t="s">
        <v>1356</v>
      </c>
      <c r="K439" s="36" t="s">
        <v>526</v>
      </c>
      <c r="L439" s="36" t="s">
        <v>127</v>
      </c>
      <c r="M439" s="37">
        <v>83306539000</v>
      </c>
      <c r="N439" s="37">
        <v>0</v>
      </c>
      <c r="O439" s="37">
        <v>83306539000</v>
      </c>
      <c r="P439" s="36" t="s">
        <v>122</v>
      </c>
      <c r="Q439" s="37">
        <v>127000000</v>
      </c>
      <c r="R439" s="36" t="s">
        <v>443</v>
      </c>
      <c r="S439" s="38">
        <v>43596</v>
      </c>
      <c r="T439" s="38">
        <v>43473</v>
      </c>
      <c r="U439" s="38">
        <v>45657</v>
      </c>
      <c r="V439" s="27" t="s">
        <v>9308</v>
      </c>
      <c r="W439" s="36" t="s">
        <v>1043</v>
      </c>
      <c r="X439" s="36" t="s">
        <v>558</v>
      </c>
      <c r="Y439" s="36" t="s">
        <v>442</v>
      </c>
      <c r="Z439" s="36" t="s">
        <v>1064</v>
      </c>
      <c r="AA439" s="36" t="s">
        <v>561</v>
      </c>
      <c r="AB439" s="36" t="s">
        <v>560</v>
      </c>
      <c r="AC439" s="36" t="s">
        <v>989</v>
      </c>
      <c r="AD439" s="37">
        <v>3.8</v>
      </c>
      <c r="AE439" s="36" t="s">
        <v>902</v>
      </c>
      <c r="AF439" s="37"/>
    </row>
    <row r="440" spans="2:32" ht="150" customHeight="1" x14ac:dyDescent="0.25">
      <c r="B440" s="31" t="s">
        <v>1887</v>
      </c>
      <c r="C440" s="41">
        <v>2019</v>
      </c>
      <c r="D440" s="42">
        <f t="shared" si="6"/>
        <v>2026</v>
      </c>
      <c r="E440" s="31" t="s">
        <v>126</v>
      </c>
      <c r="F440" s="31" t="s">
        <v>1888</v>
      </c>
      <c r="G440" s="31" t="s">
        <v>1889</v>
      </c>
      <c r="H440" s="31" t="s">
        <v>151</v>
      </c>
      <c r="I440" s="31" t="s">
        <v>277</v>
      </c>
      <c r="J440" s="31" t="s">
        <v>278</v>
      </c>
      <c r="K440" s="31" t="s">
        <v>142</v>
      </c>
      <c r="L440" s="31" t="s">
        <v>127</v>
      </c>
      <c r="M440" s="34">
        <v>106999705840</v>
      </c>
      <c r="N440" s="34">
        <v>0</v>
      </c>
      <c r="O440" s="34">
        <v>106999705840</v>
      </c>
      <c r="P440" s="31" t="s">
        <v>122</v>
      </c>
      <c r="Q440" s="34">
        <v>163120000</v>
      </c>
      <c r="R440" s="31" t="s">
        <v>1892</v>
      </c>
      <c r="S440" s="35">
        <v>43794</v>
      </c>
      <c r="T440" s="35">
        <v>43483</v>
      </c>
      <c r="U440" s="35">
        <v>46387</v>
      </c>
      <c r="V440" s="27" t="s">
        <v>9444</v>
      </c>
      <c r="W440" s="34"/>
      <c r="X440" s="34"/>
      <c r="Y440" s="34" t="s">
        <v>125</v>
      </c>
      <c r="Z440" s="34"/>
      <c r="AA440" s="34"/>
      <c r="AB440" s="34"/>
      <c r="AC440" s="34"/>
      <c r="AD440" s="34"/>
      <c r="AE440" s="34"/>
      <c r="AF440" s="34"/>
    </row>
    <row r="441" spans="2:32" ht="75" customHeight="1" x14ac:dyDescent="0.25">
      <c r="B441" s="36" t="s">
        <v>1893</v>
      </c>
      <c r="C441" s="42">
        <v>2019</v>
      </c>
      <c r="D441" s="42">
        <f t="shared" si="6"/>
        <v>2025</v>
      </c>
      <c r="E441" s="36" t="s">
        <v>126</v>
      </c>
      <c r="F441" s="36" t="s">
        <v>1894</v>
      </c>
      <c r="G441" s="36" t="s">
        <v>1895</v>
      </c>
      <c r="H441" s="36" t="s">
        <v>129</v>
      </c>
      <c r="I441" s="36" t="s">
        <v>240</v>
      </c>
      <c r="J441" s="36" t="s">
        <v>241</v>
      </c>
      <c r="K441" s="36" t="s">
        <v>263</v>
      </c>
      <c r="L441" s="36" t="s">
        <v>127</v>
      </c>
      <c r="M441" s="37">
        <v>9735000000</v>
      </c>
      <c r="N441" s="37">
        <v>0</v>
      </c>
      <c r="O441" s="37">
        <v>9735000000</v>
      </c>
      <c r="P441" s="36" t="s">
        <v>624</v>
      </c>
      <c r="Q441" s="37">
        <v>17700000</v>
      </c>
      <c r="R441" s="36" t="s">
        <v>150</v>
      </c>
      <c r="S441" s="38">
        <v>43749</v>
      </c>
      <c r="T441" s="38">
        <v>43493</v>
      </c>
      <c r="U441" s="38">
        <v>46022</v>
      </c>
      <c r="V441" s="27" t="s">
        <v>9445</v>
      </c>
      <c r="W441" s="37"/>
      <c r="X441" s="37"/>
      <c r="Y441" s="37" t="s">
        <v>242</v>
      </c>
      <c r="Z441" s="37"/>
      <c r="AA441" s="37"/>
      <c r="AB441" s="37"/>
      <c r="AC441" s="37"/>
      <c r="AD441" s="37"/>
      <c r="AE441" s="37"/>
      <c r="AF441" s="37"/>
    </row>
    <row r="442" spans="2:32" ht="75" customHeight="1" x14ac:dyDescent="0.25">
      <c r="B442" s="31" t="s">
        <v>1898</v>
      </c>
      <c r="C442" s="41">
        <v>2019</v>
      </c>
      <c r="D442" s="42">
        <f t="shared" si="6"/>
        <v>2025</v>
      </c>
      <c r="E442" s="31" t="s">
        <v>126</v>
      </c>
      <c r="F442" s="46" t="s">
        <v>1899</v>
      </c>
      <c r="G442" s="31" t="s">
        <v>1900</v>
      </c>
      <c r="H442" s="31" t="s">
        <v>129</v>
      </c>
      <c r="I442" s="31" t="s">
        <v>448</v>
      </c>
      <c r="J442" s="31" t="s">
        <v>449</v>
      </c>
      <c r="K442" s="31" t="s">
        <v>190</v>
      </c>
      <c r="L442" s="31" t="s">
        <v>127</v>
      </c>
      <c r="M442" s="34">
        <v>8737347240</v>
      </c>
      <c r="N442" s="34">
        <v>0</v>
      </c>
      <c r="O442" s="34">
        <v>8737347240</v>
      </c>
      <c r="P442" s="31" t="s">
        <v>122</v>
      </c>
      <c r="Q442" s="34">
        <v>13320000</v>
      </c>
      <c r="R442" s="31" t="s">
        <v>150</v>
      </c>
      <c r="S442" s="35">
        <v>43510</v>
      </c>
      <c r="T442" s="35">
        <v>43504</v>
      </c>
      <c r="U442" s="35">
        <v>46022</v>
      </c>
      <c r="V442" s="27" t="s">
        <v>9308</v>
      </c>
      <c r="W442" s="34"/>
      <c r="X442" s="34"/>
      <c r="Y442" s="34" t="s">
        <v>125</v>
      </c>
      <c r="Z442" s="34"/>
      <c r="AA442" s="34"/>
      <c r="AB442" s="34"/>
      <c r="AC442" s="34"/>
      <c r="AD442" s="34"/>
      <c r="AE442" s="34"/>
      <c r="AF442" s="34"/>
    </row>
    <row r="443" spans="2:32" ht="75" customHeight="1" x14ac:dyDescent="0.25">
      <c r="B443" s="36" t="s">
        <v>1901</v>
      </c>
      <c r="C443" s="42">
        <v>2019</v>
      </c>
      <c r="D443" s="42">
        <f t="shared" si="6"/>
        <v>2025</v>
      </c>
      <c r="E443" s="36" t="s">
        <v>126</v>
      </c>
      <c r="F443" s="48" t="s">
        <v>1899</v>
      </c>
      <c r="G443" s="36" t="s">
        <v>1902</v>
      </c>
      <c r="H443" s="36" t="s">
        <v>151</v>
      </c>
      <c r="I443" s="36" t="s">
        <v>148</v>
      </c>
      <c r="J443" s="36" t="s">
        <v>149</v>
      </c>
      <c r="K443" s="36" t="s">
        <v>190</v>
      </c>
      <c r="L443" s="36" t="s">
        <v>127</v>
      </c>
      <c r="M443" s="37">
        <v>5500000000</v>
      </c>
      <c r="N443" s="37">
        <v>0</v>
      </c>
      <c r="O443" s="37">
        <v>5500000000</v>
      </c>
      <c r="P443" s="36" t="s">
        <v>624</v>
      </c>
      <c r="Q443" s="37">
        <v>10000000</v>
      </c>
      <c r="R443" s="36" t="s">
        <v>150</v>
      </c>
      <c r="S443" s="38">
        <v>43753</v>
      </c>
      <c r="T443" s="38">
        <v>43510</v>
      </c>
      <c r="U443" s="38">
        <v>45930</v>
      </c>
      <c r="V443" s="27" t="s">
        <v>9308</v>
      </c>
      <c r="W443" s="37"/>
      <c r="X443" s="37"/>
      <c r="Y443" s="37" t="s">
        <v>125</v>
      </c>
      <c r="Z443" s="37"/>
      <c r="AA443" s="37"/>
      <c r="AB443" s="37"/>
      <c r="AC443" s="37"/>
      <c r="AD443" s="37"/>
      <c r="AE443" s="37"/>
      <c r="AF443" s="37"/>
    </row>
    <row r="444" spans="2:32" ht="90" customHeight="1" x14ac:dyDescent="0.25">
      <c r="B444" s="31" t="s">
        <v>1903</v>
      </c>
      <c r="C444" s="32">
        <v>2019</v>
      </c>
      <c r="D444" s="33">
        <f t="shared" si="6"/>
        <v>2023</v>
      </c>
      <c r="E444" s="31" t="s">
        <v>126</v>
      </c>
      <c r="F444" s="31" t="s">
        <v>1904</v>
      </c>
      <c r="G444" s="31" t="s">
        <v>1905</v>
      </c>
      <c r="H444" s="31" t="s">
        <v>151</v>
      </c>
      <c r="I444" s="31" t="s">
        <v>305</v>
      </c>
      <c r="J444" s="31" t="s">
        <v>306</v>
      </c>
      <c r="K444" s="31" t="s">
        <v>315</v>
      </c>
      <c r="L444" s="31" t="s">
        <v>127</v>
      </c>
      <c r="M444" s="34">
        <v>11000000000</v>
      </c>
      <c r="N444" s="34">
        <v>0</v>
      </c>
      <c r="O444" s="34">
        <v>11000000000</v>
      </c>
      <c r="P444" s="31" t="s">
        <v>624</v>
      </c>
      <c r="Q444" s="34">
        <v>20000000</v>
      </c>
      <c r="R444" s="31" t="s">
        <v>150</v>
      </c>
      <c r="S444" s="35">
        <v>43560</v>
      </c>
      <c r="T444" s="35">
        <v>43543</v>
      </c>
      <c r="U444" s="35">
        <v>45291</v>
      </c>
      <c r="V444" s="27" t="s">
        <v>9446</v>
      </c>
      <c r="W444" s="34"/>
      <c r="X444" s="34"/>
      <c r="Y444" s="34" t="s">
        <v>125</v>
      </c>
      <c r="Z444" s="34"/>
      <c r="AA444" s="34"/>
      <c r="AB444" s="34"/>
      <c r="AC444" s="34"/>
      <c r="AD444" s="34"/>
      <c r="AE444" s="34"/>
      <c r="AF444" s="34"/>
    </row>
    <row r="445" spans="2:32" ht="75" customHeight="1" x14ac:dyDescent="0.25">
      <c r="B445" s="36" t="s">
        <v>1908</v>
      </c>
      <c r="C445" s="42">
        <v>2019</v>
      </c>
      <c r="D445" s="42">
        <f t="shared" si="6"/>
        <v>2025</v>
      </c>
      <c r="E445" s="36" t="s">
        <v>126</v>
      </c>
      <c r="F445" s="48" t="s">
        <v>1909</v>
      </c>
      <c r="G445" s="36" t="s">
        <v>1910</v>
      </c>
      <c r="H445" s="36" t="s">
        <v>151</v>
      </c>
      <c r="I445" s="36" t="s">
        <v>277</v>
      </c>
      <c r="J445" s="36" t="s">
        <v>278</v>
      </c>
      <c r="K445" s="36" t="s">
        <v>190</v>
      </c>
      <c r="L445" s="36" t="s">
        <v>127</v>
      </c>
      <c r="M445" s="37">
        <v>5671001680</v>
      </c>
      <c r="N445" s="37">
        <v>0</v>
      </c>
      <c r="O445" s="37">
        <v>5671001680</v>
      </c>
      <c r="P445" s="36" t="s">
        <v>276</v>
      </c>
      <c r="Q445" s="37">
        <v>7120000</v>
      </c>
      <c r="R445" s="36" t="s">
        <v>150</v>
      </c>
      <c r="S445" s="38">
        <v>43812</v>
      </c>
      <c r="T445" s="38">
        <v>43592</v>
      </c>
      <c r="U445" s="38">
        <v>46022</v>
      </c>
      <c r="V445" s="27" t="s">
        <v>9447</v>
      </c>
      <c r="W445" s="36" t="s">
        <v>557</v>
      </c>
      <c r="X445" s="36" t="s">
        <v>859</v>
      </c>
      <c r="Y445" s="36" t="s">
        <v>125</v>
      </c>
      <c r="Z445" s="36" t="s">
        <v>1176</v>
      </c>
      <c r="AA445" s="36" t="s">
        <v>862</v>
      </c>
      <c r="AB445" s="36" t="s">
        <v>861</v>
      </c>
      <c r="AC445" s="36" t="s">
        <v>863</v>
      </c>
      <c r="AD445" s="37">
        <v>2.2999999999999998</v>
      </c>
      <c r="AE445" s="36" t="s">
        <v>864</v>
      </c>
      <c r="AF445" s="36" t="s">
        <v>860</v>
      </c>
    </row>
    <row r="446" spans="2:32" ht="75" customHeight="1" x14ac:dyDescent="0.25">
      <c r="B446" s="31" t="s">
        <v>1912</v>
      </c>
      <c r="C446" s="32">
        <v>2019</v>
      </c>
      <c r="D446" s="33">
        <f t="shared" si="6"/>
        <v>2023</v>
      </c>
      <c r="E446" s="31" t="s">
        <v>126</v>
      </c>
      <c r="F446" s="31" t="s">
        <v>1913</v>
      </c>
      <c r="G446" s="31" t="s">
        <v>1914</v>
      </c>
      <c r="H446" s="31" t="s">
        <v>853</v>
      </c>
      <c r="I446" s="31" t="s">
        <v>123</v>
      </c>
      <c r="J446" s="31" t="s">
        <v>124</v>
      </c>
      <c r="K446" s="31" t="s">
        <v>216</v>
      </c>
      <c r="L446" s="31" t="s">
        <v>127</v>
      </c>
      <c r="M446" s="34">
        <v>2750000000</v>
      </c>
      <c r="N446" s="34">
        <v>0</v>
      </c>
      <c r="O446" s="34">
        <v>2750000000</v>
      </c>
      <c r="P446" s="31" t="s">
        <v>624</v>
      </c>
      <c r="Q446" s="34">
        <v>5000000</v>
      </c>
      <c r="R446" s="31" t="s">
        <v>128</v>
      </c>
      <c r="S446" s="35">
        <v>43649</v>
      </c>
      <c r="T446" s="35">
        <v>43605</v>
      </c>
      <c r="U446" s="35">
        <v>45291</v>
      </c>
      <c r="V446" s="27" t="s">
        <v>9327</v>
      </c>
      <c r="W446" s="34"/>
      <c r="X446" s="34"/>
      <c r="Y446" s="34" t="s">
        <v>125</v>
      </c>
      <c r="Z446" s="34"/>
      <c r="AA446" s="34"/>
      <c r="AB446" s="34"/>
      <c r="AC446" s="34"/>
      <c r="AD446" s="34"/>
      <c r="AE446" s="34"/>
      <c r="AF446" s="34"/>
    </row>
    <row r="447" spans="2:32" ht="75" customHeight="1" x14ac:dyDescent="0.25">
      <c r="B447" s="36" t="s">
        <v>1915</v>
      </c>
      <c r="C447" s="42">
        <v>2019</v>
      </c>
      <c r="D447" s="42">
        <f t="shared" si="6"/>
        <v>2025</v>
      </c>
      <c r="E447" s="36" t="s">
        <v>126</v>
      </c>
      <c r="F447" s="36" t="s">
        <v>1916</v>
      </c>
      <c r="G447" s="36" t="s">
        <v>1917</v>
      </c>
      <c r="H447" s="36" t="s">
        <v>129</v>
      </c>
      <c r="I447" s="36" t="s">
        <v>337</v>
      </c>
      <c r="J447" s="36" t="s">
        <v>338</v>
      </c>
      <c r="K447" s="36" t="s">
        <v>118</v>
      </c>
      <c r="L447" s="36" t="s">
        <v>127</v>
      </c>
      <c r="M447" s="37">
        <v>29518065000</v>
      </c>
      <c r="N447" s="37">
        <v>0</v>
      </c>
      <c r="O447" s="37">
        <v>29518065000</v>
      </c>
      <c r="P447" s="36" t="s">
        <v>122</v>
      </c>
      <c r="Q447" s="37">
        <v>45000000</v>
      </c>
      <c r="R447" s="36" t="s">
        <v>150</v>
      </c>
      <c r="S447" s="38">
        <v>43670</v>
      </c>
      <c r="T447" s="38">
        <v>43613</v>
      </c>
      <c r="U447" s="38">
        <v>46022</v>
      </c>
      <c r="V447" s="27" t="s">
        <v>9308</v>
      </c>
      <c r="W447" s="37"/>
      <c r="X447" s="37"/>
      <c r="Y447" s="37" t="s">
        <v>242</v>
      </c>
      <c r="Z447" s="37"/>
      <c r="AA447" s="37"/>
      <c r="AB447" s="37"/>
      <c r="AC447" s="37"/>
      <c r="AD447" s="37"/>
      <c r="AE447" s="37"/>
      <c r="AF447" s="37"/>
    </row>
    <row r="448" spans="2:32" ht="75" customHeight="1" x14ac:dyDescent="0.25">
      <c r="B448" s="31" t="s">
        <v>1918</v>
      </c>
      <c r="C448" s="41">
        <v>2019</v>
      </c>
      <c r="D448" s="42">
        <f t="shared" si="6"/>
        <v>2025</v>
      </c>
      <c r="E448" s="31" t="s">
        <v>126</v>
      </c>
      <c r="F448" s="31" t="s">
        <v>1919</v>
      </c>
      <c r="G448" s="31" t="s">
        <v>1920</v>
      </c>
      <c r="H448" s="31" t="s">
        <v>181</v>
      </c>
      <c r="I448" s="31" t="s">
        <v>178</v>
      </c>
      <c r="J448" s="31" t="s">
        <v>179</v>
      </c>
      <c r="K448" s="31" t="s">
        <v>369</v>
      </c>
      <c r="L448" s="31" t="s">
        <v>127</v>
      </c>
      <c r="M448" s="34">
        <v>58511364400</v>
      </c>
      <c r="N448" s="34">
        <v>0</v>
      </c>
      <c r="O448" s="34">
        <v>58511364400</v>
      </c>
      <c r="P448" s="31" t="s">
        <v>122</v>
      </c>
      <c r="Q448" s="34">
        <v>89200000</v>
      </c>
      <c r="R448" s="31" t="s">
        <v>150</v>
      </c>
      <c r="S448" s="35">
        <v>43685</v>
      </c>
      <c r="T448" s="35">
        <v>43657</v>
      </c>
      <c r="U448" s="35">
        <v>45838</v>
      </c>
      <c r="V448" s="27" t="s">
        <v>9308</v>
      </c>
      <c r="W448" s="34"/>
      <c r="X448" s="34"/>
      <c r="Y448" s="34" t="s">
        <v>125</v>
      </c>
      <c r="Z448" s="34"/>
      <c r="AA448" s="34"/>
      <c r="AB448" s="34"/>
      <c r="AC448" s="34"/>
      <c r="AD448" s="34"/>
      <c r="AE448" s="34"/>
      <c r="AF448" s="34"/>
    </row>
    <row r="449" spans="2:32" ht="75" customHeight="1" x14ac:dyDescent="0.25">
      <c r="B449" s="36" t="s">
        <v>1921</v>
      </c>
      <c r="C449" s="33">
        <v>2019</v>
      </c>
      <c r="D449" s="33">
        <f t="shared" si="6"/>
        <v>2021</v>
      </c>
      <c r="E449" s="36" t="s">
        <v>317</v>
      </c>
      <c r="F449" s="36" t="s">
        <v>1922</v>
      </c>
      <c r="G449" s="36" t="s">
        <v>1924</v>
      </c>
      <c r="H449" s="36" t="s">
        <v>151</v>
      </c>
      <c r="I449" s="36" t="s">
        <v>277</v>
      </c>
      <c r="J449" s="36" t="s">
        <v>278</v>
      </c>
      <c r="K449" s="36" t="s">
        <v>1923</v>
      </c>
      <c r="L449" s="36" t="s">
        <v>127</v>
      </c>
      <c r="M449" s="37">
        <v>2809871575</v>
      </c>
      <c r="N449" s="37">
        <v>0</v>
      </c>
      <c r="O449" s="37">
        <v>2809871575</v>
      </c>
      <c r="P449" s="36" t="s">
        <v>276</v>
      </c>
      <c r="Q449" s="37">
        <v>3497974</v>
      </c>
      <c r="R449" s="36" t="s">
        <v>150</v>
      </c>
      <c r="S449" s="38">
        <v>43812</v>
      </c>
      <c r="T449" s="38">
        <v>43690</v>
      </c>
      <c r="U449" s="38">
        <v>44561</v>
      </c>
      <c r="V449" s="27" t="s">
        <v>9308</v>
      </c>
      <c r="W449" s="37"/>
      <c r="X449" s="37"/>
      <c r="Y449" s="37" t="s">
        <v>125</v>
      </c>
      <c r="Z449" s="37"/>
      <c r="AA449" s="37"/>
      <c r="AB449" s="37"/>
      <c r="AC449" s="37"/>
      <c r="AD449" s="37"/>
      <c r="AE449" s="37"/>
      <c r="AF449" s="37"/>
    </row>
    <row r="450" spans="2:32" ht="90" customHeight="1" x14ac:dyDescent="0.25">
      <c r="B450" s="31" t="s">
        <v>1925</v>
      </c>
      <c r="C450" s="41">
        <v>2019</v>
      </c>
      <c r="D450" s="42">
        <f t="shared" si="6"/>
        <v>2024</v>
      </c>
      <c r="E450" s="31" t="s">
        <v>126</v>
      </c>
      <c r="F450" s="31" t="s">
        <v>1926</v>
      </c>
      <c r="G450" s="31" t="s">
        <v>1927</v>
      </c>
      <c r="H450" s="31" t="s">
        <v>129</v>
      </c>
      <c r="I450" s="31" t="s">
        <v>337</v>
      </c>
      <c r="J450" s="31" t="s">
        <v>338</v>
      </c>
      <c r="K450" s="31" t="s">
        <v>873</v>
      </c>
      <c r="L450" s="31" t="s">
        <v>127</v>
      </c>
      <c r="M450" s="34">
        <v>22630516500</v>
      </c>
      <c r="N450" s="34">
        <v>0</v>
      </c>
      <c r="O450" s="34">
        <v>22630516500</v>
      </c>
      <c r="P450" s="31" t="s">
        <v>122</v>
      </c>
      <c r="Q450" s="34">
        <v>34500000</v>
      </c>
      <c r="R450" s="31" t="s">
        <v>150</v>
      </c>
      <c r="S450" s="35">
        <v>43734</v>
      </c>
      <c r="T450" s="35">
        <v>43613</v>
      </c>
      <c r="U450" s="35">
        <v>45657</v>
      </c>
      <c r="V450" s="27" t="s">
        <v>9448</v>
      </c>
      <c r="W450" s="34"/>
      <c r="X450" s="34"/>
      <c r="Y450" s="34" t="s">
        <v>242</v>
      </c>
      <c r="Z450" s="34"/>
      <c r="AA450" s="34"/>
      <c r="AB450" s="34"/>
      <c r="AC450" s="34"/>
      <c r="AD450" s="34"/>
      <c r="AE450" s="34"/>
      <c r="AF450" s="34"/>
    </row>
    <row r="451" spans="2:32" ht="75" customHeight="1" x14ac:dyDescent="0.25">
      <c r="B451" s="36" t="s">
        <v>1930</v>
      </c>
      <c r="C451" s="42">
        <v>2019</v>
      </c>
      <c r="D451" s="42">
        <f t="shared" si="6"/>
        <v>2025</v>
      </c>
      <c r="E451" s="36" t="s">
        <v>126</v>
      </c>
      <c r="F451" s="36" t="s">
        <v>1931</v>
      </c>
      <c r="G451" s="36" t="s">
        <v>1933</v>
      </c>
      <c r="H451" s="36" t="s">
        <v>181</v>
      </c>
      <c r="I451" s="36" t="s">
        <v>178</v>
      </c>
      <c r="J451" s="36" t="s">
        <v>179</v>
      </c>
      <c r="K451" s="36" t="s">
        <v>1932</v>
      </c>
      <c r="L451" s="36" t="s">
        <v>127</v>
      </c>
      <c r="M451" s="37">
        <v>58445768700</v>
      </c>
      <c r="N451" s="37">
        <v>0</v>
      </c>
      <c r="O451" s="37">
        <v>58445768700</v>
      </c>
      <c r="P451" s="36" t="s">
        <v>122</v>
      </c>
      <c r="Q451" s="37">
        <v>89100000</v>
      </c>
      <c r="R451" s="36" t="s">
        <v>150</v>
      </c>
      <c r="S451" s="38">
        <v>43745</v>
      </c>
      <c r="T451" s="38">
        <v>43601</v>
      </c>
      <c r="U451" s="38">
        <v>46022</v>
      </c>
      <c r="V451" s="27" t="s">
        <v>9307</v>
      </c>
      <c r="W451" s="37"/>
      <c r="X451" s="37"/>
      <c r="Y451" s="37" t="s">
        <v>125</v>
      </c>
      <c r="Z451" s="37"/>
      <c r="AA451" s="37"/>
      <c r="AB451" s="37"/>
      <c r="AC451" s="37"/>
      <c r="AD451" s="37"/>
      <c r="AE451" s="37"/>
      <c r="AF451" s="37"/>
    </row>
    <row r="452" spans="2:32" ht="135" customHeight="1" x14ac:dyDescent="0.25">
      <c r="B452" s="31" t="s">
        <v>1934</v>
      </c>
      <c r="C452" s="41">
        <v>2019</v>
      </c>
      <c r="D452" s="42">
        <f t="shared" si="6"/>
        <v>2024</v>
      </c>
      <c r="E452" s="31" t="s">
        <v>126</v>
      </c>
      <c r="F452" s="31" t="s">
        <v>1935</v>
      </c>
      <c r="G452" s="31" t="s">
        <v>1937</v>
      </c>
      <c r="H452" s="31" t="s">
        <v>151</v>
      </c>
      <c r="I452" s="31" t="s">
        <v>168</v>
      </c>
      <c r="J452" s="31" t="s">
        <v>169</v>
      </c>
      <c r="K452" s="31" t="s">
        <v>1936</v>
      </c>
      <c r="L452" s="31" t="s">
        <v>127</v>
      </c>
      <c r="M452" s="34">
        <v>41246576160</v>
      </c>
      <c r="N452" s="34">
        <v>0</v>
      </c>
      <c r="O452" s="34">
        <v>41246576160</v>
      </c>
      <c r="P452" s="31" t="s">
        <v>122</v>
      </c>
      <c r="Q452" s="34">
        <v>62880000</v>
      </c>
      <c r="R452" s="31" t="s">
        <v>150</v>
      </c>
      <c r="S452" s="35">
        <v>43755</v>
      </c>
      <c r="T452" s="35">
        <v>43610</v>
      </c>
      <c r="U452" s="35">
        <v>45657</v>
      </c>
      <c r="V452" s="27" t="s">
        <v>9411</v>
      </c>
      <c r="W452" s="34"/>
      <c r="X452" s="34"/>
      <c r="Y452" s="34" t="s">
        <v>125</v>
      </c>
      <c r="Z452" s="34"/>
      <c r="AA452" s="34"/>
      <c r="AB452" s="34"/>
      <c r="AC452" s="34"/>
      <c r="AD452" s="34"/>
      <c r="AE452" s="34"/>
      <c r="AF452" s="34"/>
    </row>
    <row r="453" spans="2:32" ht="75" customHeight="1" x14ac:dyDescent="0.25">
      <c r="B453" s="36" t="s">
        <v>1938</v>
      </c>
      <c r="C453" s="42">
        <v>2019</v>
      </c>
      <c r="D453" s="42">
        <f t="shared" si="6"/>
        <v>2025</v>
      </c>
      <c r="E453" s="36" t="s">
        <v>126</v>
      </c>
      <c r="F453" s="36" t="s">
        <v>1939</v>
      </c>
      <c r="G453" s="36" t="s">
        <v>1940</v>
      </c>
      <c r="H453" s="36" t="s">
        <v>151</v>
      </c>
      <c r="I453" s="36" t="s">
        <v>277</v>
      </c>
      <c r="J453" s="36" t="s">
        <v>278</v>
      </c>
      <c r="K453" s="36" t="s">
        <v>1932</v>
      </c>
      <c r="L453" s="36" t="s">
        <v>127</v>
      </c>
      <c r="M453" s="37">
        <v>40013377000</v>
      </c>
      <c r="N453" s="37">
        <v>0</v>
      </c>
      <c r="O453" s="37">
        <v>40013377000</v>
      </c>
      <c r="P453" s="36" t="s">
        <v>122</v>
      </c>
      <c r="Q453" s="37">
        <v>61000000</v>
      </c>
      <c r="R453" s="36" t="s">
        <v>128</v>
      </c>
      <c r="S453" s="38">
        <v>43812</v>
      </c>
      <c r="T453" s="38">
        <v>43784</v>
      </c>
      <c r="U453" s="38">
        <v>46022</v>
      </c>
      <c r="V453" s="27" t="s">
        <v>9307</v>
      </c>
      <c r="W453" s="37"/>
      <c r="X453" s="37"/>
      <c r="Y453" s="37" t="s">
        <v>125</v>
      </c>
      <c r="Z453" s="37"/>
      <c r="AA453" s="37"/>
      <c r="AB453" s="37"/>
      <c r="AC453" s="37"/>
      <c r="AD453" s="37"/>
      <c r="AE453" s="37"/>
      <c r="AF453" s="37"/>
    </row>
    <row r="454" spans="2:32" ht="75" customHeight="1" x14ac:dyDescent="0.25">
      <c r="B454" s="31" t="s">
        <v>1941</v>
      </c>
      <c r="C454" s="41">
        <v>2019</v>
      </c>
      <c r="D454" s="42">
        <f t="shared" si="6"/>
        <v>2026</v>
      </c>
      <c r="E454" s="31" t="s">
        <v>126</v>
      </c>
      <c r="F454" s="31" t="s">
        <v>1942</v>
      </c>
      <c r="G454" s="31" t="s">
        <v>1943</v>
      </c>
      <c r="H454" s="31" t="s">
        <v>151</v>
      </c>
      <c r="I454" s="31" t="s">
        <v>277</v>
      </c>
      <c r="J454" s="31" t="s">
        <v>278</v>
      </c>
      <c r="K454" s="31" t="s">
        <v>118</v>
      </c>
      <c r="L454" s="31" t="s">
        <v>127</v>
      </c>
      <c r="M454" s="34">
        <v>40518463890</v>
      </c>
      <c r="N454" s="34">
        <v>0</v>
      </c>
      <c r="O454" s="34">
        <v>40518463890</v>
      </c>
      <c r="P454" s="31" t="s">
        <v>122</v>
      </c>
      <c r="Q454" s="34">
        <v>61770000</v>
      </c>
      <c r="R454" s="31" t="s">
        <v>128</v>
      </c>
      <c r="S454" s="35">
        <v>43812</v>
      </c>
      <c r="T454" s="35">
        <v>43784</v>
      </c>
      <c r="U454" s="35">
        <v>46387</v>
      </c>
      <c r="V454" s="27" t="s">
        <v>9308</v>
      </c>
      <c r="W454" s="34"/>
      <c r="X454" s="34"/>
      <c r="Y454" s="34" t="s">
        <v>125</v>
      </c>
      <c r="Z454" s="34"/>
      <c r="AA454" s="34"/>
      <c r="AB454" s="34"/>
      <c r="AC454" s="34"/>
      <c r="AD454" s="34"/>
      <c r="AE454" s="34"/>
      <c r="AF454" s="34"/>
    </row>
    <row r="455" spans="2:32" ht="75" customHeight="1" x14ac:dyDescent="0.25">
      <c r="B455" s="36" t="s">
        <v>1944</v>
      </c>
      <c r="C455" s="33">
        <v>2019</v>
      </c>
      <c r="D455" s="33">
        <f t="shared" ref="D455:D518" si="7">YEAR(U455)</f>
        <v>2020</v>
      </c>
      <c r="E455" s="36" t="s">
        <v>126</v>
      </c>
      <c r="F455" s="36" t="s">
        <v>1945</v>
      </c>
      <c r="G455" s="36" t="s">
        <v>1946</v>
      </c>
      <c r="H455" s="36" t="s">
        <v>372</v>
      </c>
      <c r="I455" s="36" t="s">
        <v>178</v>
      </c>
      <c r="J455" s="36" t="s">
        <v>179</v>
      </c>
      <c r="K455" s="36" t="s">
        <v>1880</v>
      </c>
      <c r="L455" s="36" t="s">
        <v>127</v>
      </c>
      <c r="M455" s="37">
        <v>26631854200</v>
      </c>
      <c r="N455" s="37">
        <v>0</v>
      </c>
      <c r="O455" s="37">
        <v>26631854200</v>
      </c>
      <c r="P455" s="36" t="s">
        <v>122</v>
      </c>
      <c r="Q455" s="37">
        <v>40600000</v>
      </c>
      <c r="R455" s="36" t="s">
        <v>150</v>
      </c>
      <c r="S455" s="38">
        <v>43815</v>
      </c>
      <c r="T455" s="38">
        <v>43811</v>
      </c>
      <c r="U455" s="38">
        <v>44196</v>
      </c>
      <c r="V455" s="27" t="s">
        <v>9308</v>
      </c>
      <c r="W455" s="37"/>
      <c r="X455" s="37"/>
      <c r="Y455" s="37" t="s">
        <v>125</v>
      </c>
      <c r="Z455" s="37"/>
      <c r="AA455" s="37"/>
      <c r="AB455" s="37"/>
      <c r="AC455" s="37"/>
      <c r="AD455" s="37"/>
      <c r="AE455" s="37"/>
      <c r="AF455" s="37"/>
    </row>
    <row r="456" spans="2:32" ht="45" customHeight="1" x14ac:dyDescent="0.25">
      <c r="B456" s="31" t="s">
        <v>1947</v>
      </c>
      <c r="C456" s="41">
        <v>2019</v>
      </c>
      <c r="D456" s="42">
        <f t="shared" si="7"/>
        <v>2023</v>
      </c>
      <c r="E456" s="31" t="s">
        <v>126</v>
      </c>
      <c r="F456" s="31" t="s">
        <v>1948</v>
      </c>
      <c r="G456" s="31" t="s">
        <v>1949</v>
      </c>
      <c r="H456" s="31" t="s">
        <v>129</v>
      </c>
      <c r="I456" s="31" t="s">
        <v>267</v>
      </c>
      <c r="J456" s="31" t="s">
        <v>267</v>
      </c>
      <c r="K456" s="31" t="s">
        <v>190</v>
      </c>
      <c r="L456" s="31" t="s">
        <v>159</v>
      </c>
      <c r="M456" s="34">
        <v>0</v>
      </c>
      <c r="N456" s="34">
        <v>7149931300</v>
      </c>
      <c r="O456" s="34">
        <v>7149931300</v>
      </c>
      <c r="P456" s="31" t="s">
        <v>122</v>
      </c>
      <c r="Q456" s="34">
        <v>10900000</v>
      </c>
      <c r="R456" s="31" t="s">
        <v>159</v>
      </c>
      <c r="S456" s="35">
        <v>43784</v>
      </c>
      <c r="T456" s="35">
        <v>43749</v>
      </c>
      <c r="U456" s="35">
        <v>45291</v>
      </c>
      <c r="V456" s="27" t="s">
        <v>9308</v>
      </c>
      <c r="W456" s="31" t="s">
        <v>557</v>
      </c>
      <c r="X456" s="31" t="s">
        <v>880</v>
      </c>
      <c r="Y456" s="31" t="s">
        <v>242</v>
      </c>
      <c r="Z456" s="31" t="s">
        <v>856</v>
      </c>
      <c r="AA456" s="31" t="s">
        <v>862</v>
      </c>
      <c r="AB456" s="31" t="s">
        <v>861</v>
      </c>
      <c r="AC456" s="31" t="s">
        <v>863</v>
      </c>
      <c r="AD456" s="34">
        <v>2.2999999999999998</v>
      </c>
      <c r="AE456" s="31" t="s">
        <v>864</v>
      </c>
      <c r="AF456" s="31" t="s">
        <v>860</v>
      </c>
    </row>
    <row r="457" spans="2:32" ht="75" customHeight="1" x14ac:dyDescent="0.25">
      <c r="B457" s="36" t="s">
        <v>1950</v>
      </c>
      <c r="C457" s="42">
        <v>2019</v>
      </c>
      <c r="D457" s="42">
        <f t="shared" si="7"/>
        <v>2024</v>
      </c>
      <c r="E457" s="36" t="s">
        <v>126</v>
      </c>
      <c r="F457" s="36" t="s">
        <v>1951</v>
      </c>
      <c r="G457" s="36" t="s">
        <v>1952</v>
      </c>
      <c r="H457" s="36" t="s">
        <v>151</v>
      </c>
      <c r="I457" s="36" t="s">
        <v>675</v>
      </c>
      <c r="J457" s="36" t="s">
        <v>676</v>
      </c>
      <c r="K457" s="36" t="s">
        <v>142</v>
      </c>
      <c r="L457" s="36" t="s">
        <v>127</v>
      </c>
      <c r="M457" s="37">
        <v>64288219505</v>
      </c>
      <c r="N457" s="37">
        <v>0</v>
      </c>
      <c r="O457" s="37">
        <v>64288219505</v>
      </c>
      <c r="P457" s="36" t="s">
        <v>136</v>
      </c>
      <c r="Q457" s="37">
        <v>64288219505</v>
      </c>
      <c r="R457" s="36" t="s">
        <v>443</v>
      </c>
      <c r="S457" s="38">
        <v>43596</v>
      </c>
      <c r="T457" s="38">
        <v>43538</v>
      </c>
      <c r="U457" s="38">
        <v>45657</v>
      </c>
      <c r="V457" s="27" t="s">
        <v>9383</v>
      </c>
      <c r="W457" s="36" t="s">
        <v>1043</v>
      </c>
      <c r="X457" s="36" t="s">
        <v>558</v>
      </c>
      <c r="Y457" s="36" t="s">
        <v>442</v>
      </c>
      <c r="Z457" s="36" t="s">
        <v>968</v>
      </c>
      <c r="AA457" s="36" t="s">
        <v>862</v>
      </c>
      <c r="AB457" s="36" t="s">
        <v>861</v>
      </c>
      <c r="AC457" s="36" t="s">
        <v>971</v>
      </c>
      <c r="AD457" s="37">
        <v>9.1</v>
      </c>
      <c r="AE457" s="36" t="s">
        <v>864</v>
      </c>
      <c r="AF457" s="36" t="s">
        <v>860</v>
      </c>
    </row>
    <row r="458" spans="2:32" ht="60" customHeight="1" x14ac:dyDescent="0.25">
      <c r="B458" s="31" t="s">
        <v>1953</v>
      </c>
      <c r="C458" s="41">
        <v>2019</v>
      </c>
      <c r="D458" s="42">
        <f t="shared" si="7"/>
        <v>2021</v>
      </c>
      <c r="E458" s="31" t="s">
        <v>126</v>
      </c>
      <c r="F458" s="31" t="s">
        <v>967</v>
      </c>
      <c r="G458" s="31" t="s">
        <v>1954</v>
      </c>
      <c r="H458" s="31" t="s">
        <v>129</v>
      </c>
      <c r="I458" s="31" t="s">
        <v>574</v>
      </c>
      <c r="J458" s="31" t="s">
        <v>575</v>
      </c>
      <c r="K458" s="31" t="s">
        <v>142</v>
      </c>
      <c r="L458" s="31" t="s">
        <v>159</v>
      </c>
      <c r="M458" s="34">
        <v>0</v>
      </c>
      <c r="N458" s="34">
        <v>6589091345</v>
      </c>
      <c r="O458" s="34">
        <v>6589091345</v>
      </c>
      <c r="P458" s="31" t="s">
        <v>122</v>
      </c>
      <c r="Q458" s="34">
        <v>10045005</v>
      </c>
      <c r="R458" s="31" t="s">
        <v>159</v>
      </c>
      <c r="S458" s="35">
        <v>43657</v>
      </c>
      <c r="T458" s="35">
        <v>43538</v>
      </c>
      <c r="U458" s="35">
        <v>44561</v>
      </c>
      <c r="V458" s="27" t="s">
        <v>9386</v>
      </c>
      <c r="W458" s="31" t="s">
        <v>557</v>
      </c>
      <c r="X458" s="31" t="s">
        <v>880</v>
      </c>
      <c r="Y458" s="31" t="s">
        <v>125</v>
      </c>
      <c r="Z458" s="31" t="s">
        <v>968</v>
      </c>
      <c r="AA458" s="31" t="s">
        <v>862</v>
      </c>
      <c r="AB458" s="31" t="s">
        <v>861</v>
      </c>
      <c r="AC458" s="31" t="s">
        <v>971</v>
      </c>
      <c r="AD458" s="34">
        <v>9.1</v>
      </c>
      <c r="AE458" s="31" t="s">
        <v>864</v>
      </c>
      <c r="AF458" s="31" t="s">
        <v>860</v>
      </c>
    </row>
    <row r="459" spans="2:32" ht="60" customHeight="1" x14ac:dyDescent="0.25">
      <c r="B459" s="36" t="s">
        <v>1955</v>
      </c>
      <c r="C459" s="42">
        <v>2019</v>
      </c>
      <c r="D459" s="42">
        <f t="shared" si="7"/>
        <v>2020</v>
      </c>
      <c r="E459" s="36" t="s">
        <v>1335</v>
      </c>
      <c r="F459" s="36" t="s">
        <v>1956</v>
      </c>
      <c r="G459" s="36" t="s">
        <v>1957</v>
      </c>
      <c r="H459" s="36" t="s">
        <v>172</v>
      </c>
      <c r="I459" s="36" t="s">
        <v>358</v>
      </c>
      <c r="J459" s="36" t="s">
        <v>358</v>
      </c>
      <c r="K459" s="36" t="s">
        <v>163</v>
      </c>
      <c r="L459" s="36" t="s">
        <v>159</v>
      </c>
      <c r="M459" s="37">
        <v>0</v>
      </c>
      <c r="N459" s="37">
        <v>26001000000</v>
      </c>
      <c r="O459" s="37">
        <v>26001000000</v>
      </c>
      <c r="P459" s="36" t="s">
        <v>357</v>
      </c>
      <c r="Q459" s="37">
        <v>300000000</v>
      </c>
      <c r="R459" s="36" t="s">
        <v>1252</v>
      </c>
      <c r="S459" s="38">
        <v>43726</v>
      </c>
      <c r="T459" s="38">
        <v>43538</v>
      </c>
      <c r="U459" s="38">
        <v>44196</v>
      </c>
      <c r="V459" s="27" t="s">
        <v>9308</v>
      </c>
      <c r="W459" s="36" t="s">
        <v>557</v>
      </c>
      <c r="X459" s="36" t="s">
        <v>880</v>
      </c>
      <c r="Y459" s="36" t="s">
        <v>242</v>
      </c>
      <c r="Z459" s="36" t="s">
        <v>1033</v>
      </c>
      <c r="AA459" s="36" t="s">
        <v>1046</v>
      </c>
      <c r="AB459" s="36" t="s">
        <v>861</v>
      </c>
      <c r="AC459" s="36" t="s">
        <v>1036</v>
      </c>
      <c r="AD459" s="37">
        <v>16.600000000000001</v>
      </c>
      <c r="AE459" s="36" t="s">
        <v>902</v>
      </c>
      <c r="AF459" s="36" t="s">
        <v>860</v>
      </c>
    </row>
    <row r="460" spans="2:32" ht="60" customHeight="1" x14ac:dyDescent="0.25">
      <c r="B460" s="31" t="s">
        <v>1958</v>
      </c>
      <c r="C460" s="41">
        <v>2019</v>
      </c>
      <c r="D460" s="42">
        <f t="shared" si="7"/>
        <v>2023</v>
      </c>
      <c r="E460" s="31" t="s">
        <v>126</v>
      </c>
      <c r="F460" s="31" t="s">
        <v>1959</v>
      </c>
      <c r="G460" s="31" t="s">
        <v>1960</v>
      </c>
      <c r="H460" s="31" t="s">
        <v>129</v>
      </c>
      <c r="I460" s="31" t="s">
        <v>574</v>
      </c>
      <c r="J460" s="31" t="s">
        <v>575</v>
      </c>
      <c r="K460" s="31" t="s">
        <v>142</v>
      </c>
      <c r="L460" s="31" t="s">
        <v>159</v>
      </c>
      <c r="M460" s="34">
        <v>0</v>
      </c>
      <c r="N460" s="34">
        <v>787148400</v>
      </c>
      <c r="O460" s="34">
        <v>787148400</v>
      </c>
      <c r="P460" s="31" t="s">
        <v>122</v>
      </c>
      <c r="Q460" s="34">
        <v>1200000</v>
      </c>
      <c r="R460" s="31" t="s">
        <v>159</v>
      </c>
      <c r="S460" s="35">
        <v>43596</v>
      </c>
      <c r="T460" s="35">
        <v>43538</v>
      </c>
      <c r="U460" s="35">
        <v>45291</v>
      </c>
      <c r="V460" s="27" t="s">
        <v>9308</v>
      </c>
      <c r="W460" s="31" t="s">
        <v>557</v>
      </c>
      <c r="X460" s="31" t="s">
        <v>880</v>
      </c>
      <c r="Y460" s="31" t="s">
        <v>125</v>
      </c>
      <c r="Z460" s="31" t="s">
        <v>968</v>
      </c>
      <c r="AA460" s="31" t="s">
        <v>862</v>
      </c>
      <c r="AB460" s="31" t="s">
        <v>861</v>
      </c>
      <c r="AC460" s="31" t="s">
        <v>971</v>
      </c>
      <c r="AD460" s="34">
        <v>9.1</v>
      </c>
      <c r="AE460" s="31" t="s">
        <v>864</v>
      </c>
      <c r="AF460" s="31" t="s">
        <v>860</v>
      </c>
    </row>
    <row r="461" spans="2:32" ht="75" customHeight="1" x14ac:dyDescent="0.25">
      <c r="B461" s="36" t="s">
        <v>1961</v>
      </c>
      <c r="C461" s="42">
        <v>2019</v>
      </c>
      <c r="D461" s="42">
        <f t="shared" si="7"/>
        <v>2024</v>
      </c>
      <c r="E461" s="36" t="s">
        <v>126</v>
      </c>
      <c r="F461" s="36" t="s">
        <v>1962</v>
      </c>
      <c r="G461" s="36" t="s">
        <v>1963</v>
      </c>
      <c r="H461" s="36" t="s">
        <v>129</v>
      </c>
      <c r="I461" s="36" t="s">
        <v>574</v>
      </c>
      <c r="J461" s="36" t="s">
        <v>575</v>
      </c>
      <c r="K461" s="36" t="s">
        <v>163</v>
      </c>
      <c r="L461" s="36" t="s">
        <v>159</v>
      </c>
      <c r="M461" s="37">
        <v>0</v>
      </c>
      <c r="N461" s="37">
        <v>1547242759</v>
      </c>
      <c r="O461" s="37">
        <v>1547242759</v>
      </c>
      <c r="P461" s="36" t="s">
        <v>122</v>
      </c>
      <c r="Q461" s="37">
        <v>2358756.38</v>
      </c>
      <c r="R461" s="36" t="s">
        <v>159</v>
      </c>
      <c r="S461" s="38">
        <v>43596</v>
      </c>
      <c r="T461" s="38">
        <v>43538</v>
      </c>
      <c r="U461" s="38">
        <v>45657</v>
      </c>
      <c r="V461" s="27" t="s">
        <v>9307</v>
      </c>
      <c r="W461" s="36" t="s">
        <v>557</v>
      </c>
      <c r="X461" s="36" t="s">
        <v>880</v>
      </c>
      <c r="Y461" s="36" t="s">
        <v>125</v>
      </c>
      <c r="Z461" s="36" t="s">
        <v>1033</v>
      </c>
      <c r="AA461" s="36" t="s">
        <v>1046</v>
      </c>
      <c r="AB461" s="36" t="s">
        <v>861</v>
      </c>
      <c r="AC461" s="36" t="s">
        <v>1036</v>
      </c>
      <c r="AD461" s="37">
        <v>16.600000000000001</v>
      </c>
      <c r="AE461" s="36" t="s">
        <v>902</v>
      </c>
      <c r="AF461" s="36" t="s">
        <v>860</v>
      </c>
    </row>
    <row r="462" spans="2:32" ht="60" customHeight="1" x14ac:dyDescent="0.25">
      <c r="B462" s="31" t="s">
        <v>1964</v>
      </c>
      <c r="C462" s="41">
        <v>2019</v>
      </c>
      <c r="D462" s="42">
        <f t="shared" si="7"/>
        <v>2022</v>
      </c>
      <c r="E462" s="31" t="s">
        <v>126</v>
      </c>
      <c r="F462" s="31" t="s">
        <v>1965</v>
      </c>
      <c r="G462" s="31" t="s">
        <v>1966</v>
      </c>
      <c r="H462" s="31" t="s">
        <v>129</v>
      </c>
      <c r="I462" s="31" t="s">
        <v>574</v>
      </c>
      <c r="J462" s="31" t="s">
        <v>575</v>
      </c>
      <c r="K462" s="31" t="s">
        <v>142</v>
      </c>
      <c r="L462" s="31" t="s">
        <v>159</v>
      </c>
      <c r="M462" s="34">
        <v>0</v>
      </c>
      <c r="N462" s="34">
        <v>406877664</v>
      </c>
      <c r="O462" s="34">
        <v>406877664</v>
      </c>
      <c r="P462" s="31" t="s">
        <v>122</v>
      </c>
      <c r="Q462" s="34">
        <v>620281</v>
      </c>
      <c r="R462" s="31" t="s">
        <v>159</v>
      </c>
      <c r="S462" s="35">
        <v>43596</v>
      </c>
      <c r="T462" s="35">
        <v>43538</v>
      </c>
      <c r="U462" s="35">
        <v>44926</v>
      </c>
      <c r="V462" s="27" t="s">
        <v>9308</v>
      </c>
      <c r="W462" s="31" t="s">
        <v>557</v>
      </c>
      <c r="X462" s="31" t="s">
        <v>880</v>
      </c>
      <c r="Y462" s="31" t="s">
        <v>125</v>
      </c>
      <c r="Z462" s="31" t="s">
        <v>968</v>
      </c>
      <c r="AA462" s="31" t="s">
        <v>862</v>
      </c>
      <c r="AB462" s="31" t="s">
        <v>861</v>
      </c>
      <c r="AC462" s="31" t="s">
        <v>971</v>
      </c>
      <c r="AD462" s="34">
        <v>9.1</v>
      </c>
      <c r="AE462" s="31" t="s">
        <v>864</v>
      </c>
      <c r="AF462" s="31" t="s">
        <v>860</v>
      </c>
    </row>
    <row r="463" spans="2:32" ht="60" customHeight="1" x14ac:dyDescent="0.25">
      <c r="B463" s="36" t="s">
        <v>1967</v>
      </c>
      <c r="C463" s="42">
        <v>2019</v>
      </c>
      <c r="D463" s="42">
        <f t="shared" si="7"/>
        <v>2024</v>
      </c>
      <c r="E463" s="36" t="s">
        <v>126</v>
      </c>
      <c r="F463" s="36" t="s">
        <v>1968</v>
      </c>
      <c r="G463" s="36" t="s">
        <v>1969</v>
      </c>
      <c r="H463" s="36" t="s">
        <v>129</v>
      </c>
      <c r="I463" s="36" t="s">
        <v>738</v>
      </c>
      <c r="J463" s="36" t="s">
        <v>739</v>
      </c>
      <c r="K463" s="36" t="s">
        <v>142</v>
      </c>
      <c r="L463" s="36" t="s">
        <v>127</v>
      </c>
      <c r="M463" s="37">
        <v>10000000000</v>
      </c>
      <c r="N463" s="37">
        <v>0</v>
      </c>
      <c r="O463" s="37">
        <v>10000000000</v>
      </c>
      <c r="P463" s="36" t="s">
        <v>136</v>
      </c>
      <c r="Q463" s="37">
        <v>10000000000</v>
      </c>
      <c r="R463" s="36" t="s">
        <v>443</v>
      </c>
      <c r="S463" s="38">
        <v>43596</v>
      </c>
      <c r="T463" s="38">
        <v>43538</v>
      </c>
      <c r="U463" s="38">
        <v>45657</v>
      </c>
      <c r="V463" s="27" t="s">
        <v>9432</v>
      </c>
      <c r="W463" s="36" t="s">
        <v>1043</v>
      </c>
      <c r="X463" s="36" t="s">
        <v>558</v>
      </c>
      <c r="Y463" s="36" t="s">
        <v>442</v>
      </c>
      <c r="Z463" s="36" t="s">
        <v>968</v>
      </c>
      <c r="AA463" s="36" t="s">
        <v>862</v>
      </c>
      <c r="AB463" s="36" t="s">
        <v>861</v>
      </c>
      <c r="AC463" s="36" t="s">
        <v>971</v>
      </c>
      <c r="AD463" s="37">
        <v>9.1</v>
      </c>
      <c r="AE463" s="36" t="s">
        <v>864</v>
      </c>
      <c r="AF463" s="36" t="s">
        <v>860</v>
      </c>
    </row>
    <row r="464" spans="2:32" ht="90" customHeight="1" x14ac:dyDescent="0.25">
      <c r="B464" s="31" t="s">
        <v>1970</v>
      </c>
      <c r="C464" s="41">
        <v>2019</v>
      </c>
      <c r="D464" s="42">
        <f t="shared" si="7"/>
        <v>2021</v>
      </c>
      <c r="E464" s="31" t="s">
        <v>126</v>
      </c>
      <c r="F464" s="31" t="s">
        <v>1971</v>
      </c>
      <c r="G464" s="31" t="s">
        <v>1973</v>
      </c>
      <c r="H464" s="31" t="s">
        <v>129</v>
      </c>
      <c r="I464" s="31" t="s">
        <v>484</v>
      </c>
      <c r="J464" s="31" t="s">
        <v>484</v>
      </c>
      <c r="K464" s="31" t="s">
        <v>205</v>
      </c>
      <c r="L464" s="31" t="s">
        <v>127</v>
      </c>
      <c r="M464" s="34">
        <v>16385284333</v>
      </c>
      <c r="N464" s="34">
        <v>0</v>
      </c>
      <c r="O464" s="34">
        <v>16385284333</v>
      </c>
      <c r="P464" s="31" t="s">
        <v>624</v>
      </c>
      <c r="Q464" s="34">
        <v>29791426.059999999</v>
      </c>
      <c r="R464" s="31" t="s">
        <v>127</v>
      </c>
      <c r="S464" s="35">
        <v>43596</v>
      </c>
      <c r="T464" s="35">
        <v>43538</v>
      </c>
      <c r="U464" s="35">
        <v>44561</v>
      </c>
      <c r="V464" s="27" t="s">
        <v>9356</v>
      </c>
      <c r="W464" s="31" t="s">
        <v>557</v>
      </c>
      <c r="X464" s="31" t="s">
        <v>558</v>
      </c>
      <c r="Y464" s="31" t="s">
        <v>242</v>
      </c>
      <c r="Z464" s="31" t="s">
        <v>1972</v>
      </c>
      <c r="AA464" s="31" t="s">
        <v>1012</v>
      </c>
      <c r="AB464" s="31" t="s">
        <v>560</v>
      </c>
      <c r="AC464" s="31" t="s">
        <v>939</v>
      </c>
      <c r="AD464" s="34">
        <v>11.3</v>
      </c>
      <c r="AE464" s="31" t="s">
        <v>563</v>
      </c>
      <c r="AF464" s="31" t="s">
        <v>860</v>
      </c>
    </row>
    <row r="465" spans="2:32" ht="60" customHeight="1" x14ac:dyDescent="0.25">
      <c r="B465" s="36" t="s">
        <v>1974</v>
      </c>
      <c r="C465" s="42">
        <v>2019</v>
      </c>
      <c r="D465" s="42">
        <f t="shared" si="7"/>
        <v>2021</v>
      </c>
      <c r="E465" s="36" t="s">
        <v>126</v>
      </c>
      <c r="F465" s="36" t="s">
        <v>1975</v>
      </c>
      <c r="G465" s="36" t="s">
        <v>1976</v>
      </c>
      <c r="H465" s="36" t="s">
        <v>172</v>
      </c>
      <c r="I465" s="36" t="s">
        <v>358</v>
      </c>
      <c r="J465" s="36" t="s">
        <v>358</v>
      </c>
      <c r="K465" s="36" t="s">
        <v>315</v>
      </c>
      <c r="L465" s="36" t="s">
        <v>159</v>
      </c>
      <c r="M465" s="37">
        <v>0</v>
      </c>
      <c r="N465" s="37">
        <v>5220000000</v>
      </c>
      <c r="O465" s="37">
        <v>5220000000</v>
      </c>
      <c r="P465" s="36" t="s">
        <v>357</v>
      </c>
      <c r="Q465" s="37">
        <v>63257392.149999999</v>
      </c>
      <c r="R465" s="36" t="s">
        <v>159</v>
      </c>
      <c r="S465" s="38">
        <v>43538</v>
      </c>
      <c r="T465" s="38">
        <v>43483</v>
      </c>
      <c r="U465" s="38">
        <v>44561</v>
      </c>
      <c r="V465" s="27" t="s">
        <v>9334</v>
      </c>
      <c r="W465" s="36" t="s">
        <v>557</v>
      </c>
      <c r="X465" s="36" t="s">
        <v>880</v>
      </c>
      <c r="Y465" s="36" t="s">
        <v>242</v>
      </c>
      <c r="Z465" s="36" t="s">
        <v>896</v>
      </c>
      <c r="AA465" s="36" t="s">
        <v>900</v>
      </c>
      <c r="AB465" s="36" t="s">
        <v>861</v>
      </c>
      <c r="AC465" s="36" t="s">
        <v>901</v>
      </c>
      <c r="AD465" s="37">
        <v>4.0999999999999996</v>
      </c>
      <c r="AE465" s="36" t="s">
        <v>902</v>
      </c>
      <c r="AF465" s="36" t="s">
        <v>860</v>
      </c>
    </row>
    <row r="466" spans="2:32" ht="60" customHeight="1" x14ac:dyDescent="0.25">
      <c r="B466" s="31" t="s">
        <v>1977</v>
      </c>
      <c r="C466" s="41">
        <v>2019</v>
      </c>
      <c r="D466" s="42">
        <f t="shared" si="7"/>
        <v>2025</v>
      </c>
      <c r="E466" s="31" t="s">
        <v>126</v>
      </c>
      <c r="F466" s="31" t="s">
        <v>1978</v>
      </c>
      <c r="G466" s="31" t="s">
        <v>1979</v>
      </c>
      <c r="H466" s="31" t="s">
        <v>326</v>
      </c>
      <c r="I466" s="31" t="s">
        <v>574</v>
      </c>
      <c r="J466" s="31" t="s">
        <v>575</v>
      </c>
      <c r="K466" s="31" t="s">
        <v>118</v>
      </c>
      <c r="L466" s="31" t="s">
        <v>159</v>
      </c>
      <c r="M466" s="34">
        <v>0</v>
      </c>
      <c r="N466" s="34">
        <v>9999999998</v>
      </c>
      <c r="O466" s="34">
        <v>9999999998</v>
      </c>
      <c r="P466" s="31" t="s">
        <v>122</v>
      </c>
      <c r="Q466" s="34">
        <v>15244901.720000001</v>
      </c>
      <c r="R466" s="31" t="s">
        <v>159</v>
      </c>
      <c r="S466" s="35">
        <v>43596</v>
      </c>
      <c r="T466" s="35">
        <v>43538</v>
      </c>
      <c r="U466" s="35">
        <v>46022</v>
      </c>
      <c r="V466" s="27" t="s">
        <v>9308</v>
      </c>
      <c r="W466" s="31" t="s">
        <v>557</v>
      </c>
      <c r="X466" s="31" t="s">
        <v>880</v>
      </c>
      <c r="Y466" s="31" t="s">
        <v>125</v>
      </c>
      <c r="Z466" s="31" t="s">
        <v>1275</v>
      </c>
      <c r="AA466" s="31" t="s">
        <v>862</v>
      </c>
      <c r="AB466" s="31" t="s">
        <v>861</v>
      </c>
      <c r="AC466" s="31" t="s">
        <v>1173</v>
      </c>
      <c r="AD466" s="34">
        <v>7.1</v>
      </c>
      <c r="AE466" s="31" t="s">
        <v>864</v>
      </c>
      <c r="AF466" s="31" t="s">
        <v>860</v>
      </c>
    </row>
    <row r="467" spans="2:32" ht="75" customHeight="1" x14ac:dyDescent="0.25">
      <c r="B467" s="36" t="s">
        <v>1980</v>
      </c>
      <c r="C467" s="42">
        <v>2019</v>
      </c>
      <c r="D467" s="42">
        <f t="shared" si="7"/>
        <v>2026</v>
      </c>
      <c r="E467" s="36" t="s">
        <v>126</v>
      </c>
      <c r="F467" s="36" t="s">
        <v>1981</v>
      </c>
      <c r="G467" s="36" t="s">
        <v>1982</v>
      </c>
      <c r="H467" s="36" t="s">
        <v>129</v>
      </c>
      <c r="I467" s="36" t="s">
        <v>484</v>
      </c>
      <c r="J467" s="36" t="s">
        <v>484</v>
      </c>
      <c r="K467" s="36" t="s">
        <v>205</v>
      </c>
      <c r="L467" s="36" t="s">
        <v>127</v>
      </c>
      <c r="M467" s="37">
        <v>7215527000</v>
      </c>
      <c r="N467" s="37">
        <v>0</v>
      </c>
      <c r="O467" s="37">
        <v>7215527000</v>
      </c>
      <c r="P467" s="36" t="s">
        <v>122</v>
      </c>
      <c r="Q467" s="37">
        <v>11000000</v>
      </c>
      <c r="R467" s="36" t="s">
        <v>127</v>
      </c>
      <c r="S467" s="38">
        <v>43574</v>
      </c>
      <c r="T467" s="38">
        <v>43231</v>
      </c>
      <c r="U467" s="38">
        <v>46387</v>
      </c>
      <c r="V467" s="27" t="s">
        <v>9308</v>
      </c>
      <c r="W467" s="36" t="s">
        <v>557</v>
      </c>
      <c r="X467" s="36" t="s">
        <v>558</v>
      </c>
      <c r="Y467" s="36" t="s">
        <v>242</v>
      </c>
      <c r="Z467" s="36" t="s">
        <v>1052</v>
      </c>
      <c r="AA467" s="36" t="s">
        <v>1012</v>
      </c>
      <c r="AB467" s="36" t="s">
        <v>560</v>
      </c>
      <c r="AC467" s="36" t="s">
        <v>939</v>
      </c>
      <c r="AD467" s="37">
        <v>11.3</v>
      </c>
      <c r="AE467" s="36" t="s">
        <v>563</v>
      </c>
      <c r="AF467" s="36" t="s">
        <v>860</v>
      </c>
    </row>
    <row r="468" spans="2:32" ht="75" customHeight="1" x14ac:dyDescent="0.25">
      <c r="B468" s="31" t="s">
        <v>1983</v>
      </c>
      <c r="C468" s="41">
        <v>2019</v>
      </c>
      <c r="D468" s="42">
        <f t="shared" si="7"/>
        <v>2024</v>
      </c>
      <c r="E468" s="31" t="s">
        <v>126</v>
      </c>
      <c r="F468" s="31" t="s">
        <v>1984</v>
      </c>
      <c r="G468" s="31" t="s">
        <v>1985</v>
      </c>
      <c r="H468" s="31" t="s">
        <v>151</v>
      </c>
      <c r="I468" s="31" t="s">
        <v>297</v>
      </c>
      <c r="J468" s="43" t="s">
        <v>298</v>
      </c>
      <c r="K468" s="31" t="s">
        <v>118</v>
      </c>
      <c r="L468" s="31" t="s">
        <v>127</v>
      </c>
      <c r="M468" s="34">
        <v>27500000000</v>
      </c>
      <c r="N468" s="34">
        <v>0</v>
      </c>
      <c r="O468" s="34">
        <v>27500000000</v>
      </c>
      <c r="P468" s="31" t="s">
        <v>624</v>
      </c>
      <c r="Q468" s="34">
        <v>50000000</v>
      </c>
      <c r="R468" s="31" t="s">
        <v>150</v>
      </c>
      <c r="S468" s="35">
        <v>43663</v>
      </c>
      <c r="T468" s="35">
        <v>43538</v>
      </c>
      <c r="U468" s="35">
        <v>45657</v>
      </c>
      <c r="V468" s="27" t="s">
        <v>9449</v>
      </c>
      <c r="W468" s="31" t="s">
        <v>557</v>
      </c>
      <c r="X468" s="31" t="s">
        <v>558</v>
      </c>
      <c r="Y468" s="43" t="s">
        <v>242</v>
      </c>
      <c r="Z468" s="31" t="s">
        <v>1275</v>
      </c>
      <c r="AA468" s="31" t="s">
        <v>862</v>
      </c>
      <c r="AB468" s="31" t="s">
        <v>861</v>
      </c>
      <c r="AC468" s="31" t="s">
        <v>1173</v>
      </c>
      <c r="AD468" s="34">
        <v>7.1</v>
      </c>
      <c r="AE468" s="31" t="s">
        <v>864</v>
      </c>
      <c r="AF468" s="31" t="s">
        <v>860</v>
      </c>
    </row>
    <row r="469" spans="2:32" ht="60" customHeight="1" x14ac:dyDescent="0.25">
      <c r="B469" s="36" t="s">
        <v>1988</v>
      </c>
      <c r="C469" s="42">
        <v>2019</v>
      </c>
      <c r="D469" s="42">
        <f t="shared" si="7"/>
        <v>2024</v>
      </c>
      <c r="E469" s="36" t="s">
        <v>126</v>
      </c>
      <c r="F469" s="36" t="s">
        <v>1989</v>
      </c>
      <c r="G469" s="36" t="s">
        <v>1990</v>
      </c>
      <c r="H469" s="36" t="s">
        <v>129</v>
      </c>
      <c r="I469" s="36" t="s">
        <v>1128</v>
      </c>
      <c r="J469" s="36" t="s">
        <v>1128</v>
      </c>
      <c r="K469" s="36" t="s">
        <v>216</v>
      </c>
      <c r="L469" s="36" t="s">
        <v>159</v>
      </c>
      <c r="M469" s="37">
        <v>0</v>
      </c>
      <c r="N469" s="37">
        <v>976413300</v>
      </c>
      <c r="O469" s="37">
        <v>976413300</v>
      </c>
      <c r="P469" s="36" t="s">
        <v>1127</v>
      </c>
      <c r="Q469" s="37">
        <v>2130000</v>
      </c>
      <c r="R469" s="36" t="s">
        <v>159</v>
      </c>
      <c r="S469" s="38">
        <v>43596</v>
      </c>
      <c r="T469" s="38">
        <v>43538</v>
      </c>
      <c r="U469" s="38">
        <v>45657</v>
      </c>
      <c r="V469" s="27" t="s">
        <v>9308</v>
      </c>
      <c r="W469" s="36" t="s">
        <v>557</v>
      </c>
      <c r="X469" s="36" t="s">
        <v>880</v>
      </c>
      <c r="Y469" s="36" t="s">
        <v>242</v>
      </c>
      <c r="Z469" s="36" t="s">
        <v>1025</v>
      </c>
      <c r="AA469" s="36" t="s">
        <v>561</v>
      </c>
      <c r="AB469" s="36" t="s">
        <v>560</v>
      </c>
      <c r="AC469" s="36" t="s">
        <v>989</v>
      </c>
      <c r="AD469" s="37">
        <v>3.8</v>
      </c>
      <c r="AE469" s="36" t="s">
        <v>902</v>
      </c>
      <c r="AF469" s="36" t="s">
        <v>860</v>
      </c>
    </row>
    <row r="470" spans="2:32" ht="105" customHeight="1" x14ac:dyDescent="0.25">
      <c r="B470" s="31" t="s">
        <v>1991</v>
      </c>
      <c r="C470" s="41">
        <v>2019</v>
      </c>
      <c r="D470" s="42">
        <f t="shared" si="7"/>
        <v>2022</v>
      </c>
      <c r="E470" s="31" t="s">
        <v>126</v>
      </c>
      <c r="F470" s="31" t="s">
        <v>1992</v>
      </c>
      <c r="G470" s="31" t="s">
        <v>1993</v>
      </c>
      <c r="H470" s="31" t="s">
        <v>1994</v>
      </c>
      <c r="I470" s="31" t="s">
        <v>1010</v>
      </c>
      <c r="J470" s="31" t="s">
        <v>1011</v>
      </c>
      <c r="K470" s="31" t="s">
        <v>190</v>
      </c>
      <c r="L470" s="31" t="s">
        <v>159</v>
      </c>
      <c r="M470" s="34">
        <v>0</v>
      </c>
      <c r="N470" s="34">
        <v>48950000</v>
      </c>
      <c r="O470" s="34">
        <v>48950000</v>
      </c>
      <c r="P470" s="31" t="s">
        <v>624</v>
      </c>
      <c r="Q470" s="34">
        <v>89000</v>
      </c>
      <c r="R470" s="31" t="s">
        <v>159</v>
      </c>
      <c r="S470" s="35">
        <v>43573</v>
      </c>
      <c r="T470" s="35">
        <v>43538</v>
      </c>
      <c r="U470" s="35">
        <v>44926</v>
      </c>
      <c r="V470" s="27" t="s">
        <v>9308</v>
      </c>
      <c r="W470" s="31" t="s">
        <v>557</v>
      </c>
      <c r="X470" s="31" t="s">
        <v>880</v>
      </c>
      <c r="Y470" s="31" t="s">
        <v>125</v>
      </c>
      <c r="Z470" s="31" t="s">
        <v>856</v>
      </c>
      <c r="AA470" s="31" t="s">
        <v>862</v>
      </c>
      <c r="AB470" s="31" t="s">
        <v>861</v>
      </c>
      <c r="AC470" s="31" t="s">
        <v>863</v>
      </c>
      <c r="AD470" s="34">
        <v>2.2999999999999998</v>
      </c>
      <c r="AE470" s="31" t="s">
        <v>864</v>
      </c>
      <c r="AF470" s="31" t="s">
        <v>860</v>
      </c>
    </row>
    <row r="471" spans="2:32" ht="90" customHeight="1" x14ac:dyDescent="0.25">
      <c r="B471" s="36" t="s">
        <v>1995</v>
      </c>
      <c r="C471" s="42">
        <v>2019</v>
      </c>
      <c r="D471" s="42">
        <f t="shared" si="7"/>
        <v>2023</v>
      </c>
      <c r="E471" s="36" t="s">
        <v>126</v>
      </c>
      <c r="F471" s="36" t="s">
        <v>1996</v>
      </c>
      <c r="G471" s="36" t="s">
        <v>1997</v>
      </c>
      <c r="H471" s="36" t="s">
        <v>1998</v>
      </c>
      <c r="I471" s="36" t="s">
        <v>1020</v>
      </c>
      <c r="J471" s="36" t="s">
        <v>1021</v>
      </c>
      <c r="K471" s="36" t="s">
        <v>216</v>
      </c>
      <c r="L471" s="36" t="s">
        <v>159</v>
      </c>
      <c r="M471" s="37">
        <v>0</v>
      </c>
      <c r="N471" s="37">
        <v>302500000</v>
      </c>
      <c r="O471" s="37">
        <v>302500000</v>
      </c>
      <c r="P471" s="36" t="s">
        <v>624</v>
      </c>
      <c r="Q471" s="37">
        <v>550000</v>
      </c>
      <c r="R471" s="36" t="s">
        <v>159</v>
      </c>
      <c r="S471" s="38">
        <v>43596</v>
      </c>
      <c r="T471" s="38">
        <v>43538</v>
      </c>
      <c r="U471" s="38">
        <v>45199</v>
      </c>
      <c r="V471" s="27" t="s">
        <v>9308</v>
      </c>
      <c r="W471" s="36" t="s">
        <v>557</v>
      </c>
      <c r="X471" s="36" t="s">
        <v>880</v>
      </c>
      <c r="Y471" s="36" t="s">
        <v>242</v>
      </c>
      <c r="Z471" s="36" t="s">
        <v>1559</v>
      </c>
      <c r="AA471" s="36" t="s">
        <v>561</v>
      </c>
      <c r="AB471" s="36" t="s">
        <v>560</v>
      </c>
      <c r="AC471" s="36" t="s">
        <v>989</v>
      </c>
      <c r="AD471" s="37">
        <v>3.8</v>
      </c>
      <c r="AE471" s="36" t="s">
        <v>902</v>
      </c>
      <c r="AF471" s="36" t="s">
        <v>860</v>
      </c>
    </row>
    <row r="472" spans="2:32" ht="60" customHeight="1" x14ac:dyDescent="0.25">
      <c r="B472" s="31" t="s">
        <v>1999</v>
      </c>
      <c r="C472" s="41">
        <v>2019</v>
      </c>
      <c r="D472" s="42">
        <f t="shared" si="7"/>
        <v>2022</v>
      </c>
      <c r="E472" s="31" t="s">
        <v>126</v>
      </c>
      <c r="F472" s="31" t="s">
        <v>2000</v>
      </c>
      <c r="G472" s="31" t="s">
        <v>2001</v>
      </c>
      <c r="H472" s="31" t="s">
        <v>129</v>
      </c>
      <c r="I472" s="31" t="s">
        <v>267</v>
      </c>
      <c r="J472" s="31" t="s">
        <v>267</v>
      </c>
      <c r="K472" s="31" t="s">
        <v>315</v>
      </c>
      <c r="L472" s="31" t="s">
        <v>159</v>
      </c>
      <c r="M472" s="34">
        <v>0</v>
      </c>
      <c r="N472" s="34">
        <v>1213520450</v>
      </c>
      <c r="O472" s="34">
        <v>1213520450</v>
      </c>
      <c r="P472" s="31" t="s">
        <v>122</v>
      </c>
      <c r="Q472" s="34">
        <v>1850000</v>
      </c>
      <c r="R472" s="31" t="s">
        <v>159</v>
      </c>
      <c r="S472" s="35">
        <v>43538</v>
      </c>
      <c r="T472" s="35">
        <v>43483</v>
      </c>
      <c r="U472" s="35">
        <v>44926</v>
      </c>
      <c r="V472" s="27" t="s">
        <v>9308</v>
      </c>
      <c r="W472" s="31" t="s">
        <v>557</v>
      </c>
      <c r="X472" s="31" t="s">
        <v>880</v>
      </c>
      <c r="Y472" s="31" t="s">
        <v>242</v>
      </c>
      <c r="Z472" s="31" t="s">
        <v>1108</v>
      </c>
      <c r="AA472" s="31" t="s">
        <v>900</v>
      </c>
      <c r="AB472" s="31" t="s">
        <v>861</v>
      </c>
      <c r="AC472" s="31" t="s">
        <v>901</v>
      </c>
      <c r="AD472" s="34">
        <v>4.0999999999999996</v>
      </c>
      <c r="AE472" s="31" t="s">
        <v>902</v>
      </c>
      <c r="AF472" s="31" t="s">
        <v>860</v>
      </c>
    </row>
    <row r="473" spans="2:32" ht="60" customHeight="1" x14ac:dyDescent="0.25">
      <c r="B473" s="36" t="s">
        <v>2002</v>
      </c>
      <c r="C473" s="42">
        <v>2019</v>
      </c>
      <c r="D473" s="42">
        <f t="shared" si="7"/>
        <v>2023</v>
      </c>
      <c r="E473" s="36" t="s">
        <v>126</v>
      </c>
      <c r="F473" s="36" t="s">
        <v>1716</v>
      </c>
      <c r="G473" s="36" t="s">
        <v>2003</v>
      </c>
      <c r="H473" s="36" t="s">
        <v>172</v>
      </c>
      <c r="I473" s="36" t="s">
        <v>1272</v>
      </c>
      <c r="J473" s="36" t="s">
        <v>1272</v>
      </c>
      <c r="K473" s="36" t="s">
        <v>190</v>
      </c>
      <c r="L473" s="36" t="s">
        <v>159</v>
      </c>
      <c r="M473" s="37">
        <v>0</v>
      </c>
      <c r="N473" s="37">
        <v>92000000</v>
      </c>
      <c r="O473" s="37">
        <v>92000000</v>
      </c>
      <c r="P473" s="36" t="s">
        <v>136</v>
      </c>
      <c r="Q473" s="37">
        <v>92000000</v>
      </c>
      <c r="R473" s="36" t="s">
        <v>159</v>
      </c>
      <c r="S473" s="38">
        <v>43596</v>
      </c>
      <c r="T473" s="38">
        <v>43538</v>
      </c>
      <c r="U473" s="38">
        <v>45291</v>
      </c>
      <c r="V473" s="27" t="s">
        <v>9437</v>
      </c>
      <c r="W473" s="36" t="s">
        <v>557</v>
      </c>
      <c r="X473" s="36" t="s">
        <v>880</v>
      </c>
      <c r="Y473" s="36" t="s">
        <v>242</v>
      </c>
      <c r="Z473" s="36" t="s">
        <v>1176</v>
      </c>
      <c r="AA473" s="36" t="s">
        <v>862</v>
      </c>
      <c r="AB473" s="36" t="s">
        <v>861</v>
      </c>
      <c r="AC473" s="36" t="s">
        <v>863</v>
      </c>
      <c r="AD473" s="37">
        <v>2.2999999999999998</v>
      </c>
      <c r="AE473" s="36" t="s">
        <v>864</v>
      </c>
      <c r="AF473" s="36" t="s">
        <v>860</v>
      </c>
    </row>
    <row r="474" spans="2:32" ht="60" customHeight="1" x14ac:dyDescent="0.25">
      <c r="B474" s="31" t="s">
        <v>2004</v>
      </c>
      <c r="C474" s="41">
        <v>2019</v>
      </c>
      <c r="D474" s="42" t="e">
        <f t="shared" si="7"/>
        <v>#VALUE!</v>
      </c>
      <c r="E474" s="31" t="s">
        <v>1048</v>
      </c>
      <c r="F474" s="31" t="s">
        <v>1038</v>
      </c>
      <c r="G474" s="31" t="s">
        <v>2005</v>
      </c>
      <c r="H474" s="31" t="s">
        <v>172</v>
      </c>
      <c r="I474" s="31" t="s">
        <v>1044</v>
      </c>
      <c r="J474" s="31" t="s">
        <v>1045</v>
      </c>
      <c r="K474" s="31" t="s">
        <v>1039</v>
      </c>
      <c r="L474" s="31" t="s">
        <v>127</v>
      </c>
      <c r="M474" s="34">
        <v>1467527200000</v>
      </c>
      <c r="N474" s="34">
        <v>0</v>
      </c>
      <c r="O474" s="34">
        <v>1467527200000</v>
      </c>
      <c r="P474" s="31" t="s">
        <v>136</v>
      </c>
      <c r="Q474" s="34">
        <v>1467527200000</v>
      </c>
      <c r="R474" s="31" t="s">
        <v>1049</v>
      </c>
      <c r="S474" s="35">
        <v>43466</v>
      </c>
      <c r="T474" s="35">
        <v>43538</v>
      </c>
      <c r="U474" s="35" t="s">
        <v>2006</v>
      </c>
      <c r="V474" s="27" t="s">
        <v>9308</v>
      </c>
      <c r="W474" s="31" t="s">
        <v>1043</v>
      </c>
      <c r="X474" s="31" t="s">
        <v>1038</v>
      </c>
      <c r="Y474" s="31" t="s">
        <v>1044</v>
      </c>
      <c r="Z474" s="31" t="s">
        <v>1040</v>
      </c>
      <c r="AA474" s="31" t="s">
        <v>1046</v>
      </c>
      <c r="AB474" s="31" t="s">
        <v>861</v>
      </c>
      <c r="AC474" s="31" t="s">
        <v>1047</v>
      </c>
      <c r="AD474" s="34">
        <v>17.170000000000002</v>
      </c>
      <c r="AE474" s="31" t="s">
        <v>864</v>
      </c>
      <c r="AF474" s="31" t="s">
        <v>860</v>
      </c>
    </row>
    <row r="475" spans="2:32" ht="60" customHeight="1" x14ac:dyDescent="0.25">
      <c r="B475" s="36" t="s">
        <v>2007</v>
      </c>
      <c r="C475" s="42">
        <v>2019</v>
      </c>
      <c r="D475" s="42">
        <f t="shared" si="7"/>
        <v>2022</v>
      </c>
      <c r="E475" s="36" t="s">
        <v>126</v>
      </c>
      <c r="F475" s="36" t="s">
        <v>2008</v>
      </c>
      <c r="G475" s="36" t="s">
        <v>2009</v>
      </c>
      <c r="H475" s="36" t="s">
        <v>172</v>
      </c>
      <c r="I475" s="36" t="s">
        <v>1010</v>
      </c>
      <c r="J475" s="36" t="s">
        <v>1011</v>
      </c>
      <c r="K475" s="36" t="s">
        <v>163</v>
      </c>
      <c r="L475" s="36" t="s">
        <v>159</v>
      </c>
      <c r="M475" s="37">
        <v>0</v>
      </c>
      <c r="N475" s="37">
        <v>825133650</v>
      </c>
      <c r="O475" s="37">
        <v>825133650</v>
      </c>
      <c r="P475" s="36" t="s">
        <v>624</v>
      </c>
      <c r="Q475" s="37">
        <v>1500243</v>
      </c>
      <c r="R475" s="36" t="s">
        <v>159</v>
      </c>
      <c r="S475" s="38">
        <v>43538</v>
      </c>
      <c r="T475" s="38">
        <v>43504</v>
      </c>
      <c r="U475" s="38">
        <v>44926</v>
      </c>
      <c r="V475" s="27" t="s">
        <v>9307</v>
      </c>
      <c r="W475" s="36" t="s">
        <v>557</v>
      </c>
      <c r="X475" s="36" t="s">
        <v>880</v>
      </c>
      <c r="Y475" s="36" t="s">
        <v>125</v>
      </c>
      <c r="Z475" s="36" t="s">
        <v>962</v>
      </c>
      <c r="AA475" s="36" t="s">
        <v>1035</v>
      </c>
      <c r="AB475" s="36" t="s">
        <v>964</v>
      </c>
      <c r="AC475" s="36" t="s">
        <v>1036</v>
      </c>
      <c r="AD475" s="37">
        <v>16.600000000000001</v>
      </c>
      <c r="AE475" s="36" t="s">
        <v>902</v>
      </c>
      <c r="AF475" s="36" t="s">
        <v>860</v>
      </c>
    </row>
    <row r="476" spans="2:32" ht="60" customHeight="1" x14ac:dyDescent="0.25">
      <c r="B476" s="31" t="s">
        <v>2010</v>
      </c>
      <c r="C476" s="41">
        <v>2019</v>
      </c>
      <c r="D476" s="42">
        <f t="shared" si="7"/>
        <v>2022</v>
      </c>
      <c r="E476" s="31" t="s">
        <v>126</v>
      </c>
      <c r="F476" s="31" t="s">
        <v>1397</v>
      </c>
      <c r="G476" s="31" t="s">
        <v>2011</v>
      </c>
      <c r="H476" s="31" t="s">
        <v>172</v>
      </c>
      <c r="I476" s="31" t="s">
        <v>1010</v>
      </c>
      <c r="J476" s="31" t="s">
        <v>1011</v>
      </c>
      <c r="K476" s="31" t="s">
        <v>205</v>
      </c>
      <c r="L476" s="31" t="s">
        <v>159</v>
      </c>
      <c r="M476" s="34">
        <v>0</v>
      </c>
      <c r="N476" s="34">
        <v>1766362950</v>
      </c>
      <c r="O476" s="34">
        <v>1766362950</v>
      </c>
      <c r="P476" s="31" t="s">
        <v>624</v>
      </c>
      <c r="Q476" s="34">
        <v>3211569</v>
      </c>
      <c r="R476" s="31" t="s">
        <v>159</v>
      </c>
      <c r="S476" s="35">
        <v>43466</v>
      </c>
      <c r="T476" s="35">
        <v>43538</v>
      </c>
      <c r="U476" s="35">
        <v>44926</v>
      </c>
      <c r="V476" s="27" t="s">
        <v>9420</v>
      </c>
      <c r="W476" s="31" t="s">
        <v>557</v>
      </c>
      <c r="X476" s="31" t="s">
        <v>880</v>
      </c>
      <c r="Y476" s="31" t="s">
        <v>125</v>
      </c>
      <c r="Z476" s="31" t="s">
        <v>1006</v>
      </c>
      <c r="AA476" s="31" t="s">
        <v>1012</v>
      </c>
      <c r="AB476" s="31" t="s">
        <v>560</v>
      </c>
      <c r="AC476" s="31" t="s">
        <v>939</v>
      </c>
      <c r="AD476" s="34">
        <v>11.3</v>
      </c>
      <c r="AE476" s="31" t="s">
        <v>563</v>
      </c>
      <c r="AF476" s="31" t="s">
        <v>860</v>
      </c>
    </row>
    <row r="477" spans="2:32" ht="45" customHeight="1" x14ac:dyDescent="0.25">
      <c r="B477" s="36" t="s">
        <v>2012</v>
      </c>
      <c r="C477" s="42">
        <v>2019</v>
      </c>
      <c r="D477" s="42">
        <f t="shared" si="7"/>
        <v>2023</v>
      </c>
      <c r="E477" s="36" t="s">
        <v>126</v>
      </c>
      <c r="F477" s="36" t="s">
        <v>1728</v>
      </c>
      <c r="G477" s="36" t="s">
        <v>2013</v>
      </c>
      <c r="H477" s="36" t="s">
        <v>2014</v>
      </c>
      <c r="I477" s="36" t="s">
        <v>1020</v>
      </c>
      <c r="J477" s="36" t="s">
        <v>1021</v>
      </c>
      <c r="K477" s="36" t="s">
        <v>216</v>
      </c>
      <c r="L477" s="36" t="s">
        <v>159</v>
      </c>
      <c r="M477" s="37">
        <v>0</v>
      </c>
      <c r="N477" s="37">
        <v>588500000</v>
      </c>
      <c r="O477" s="37">
        <v>588500000</v>
      </c>
      <c r="P477" s="36" t="s">
        <v>624</v>
      </c>
      <c r="Q477" s="37">
        <v>1070000</v>
      </c>
      <c r="R477" s="36" t="s">
        <v>159</v>
      </c>
      <c r="S477" s="38">
        <v>43596</v>
      </c>
      <c r="T477" s="38">
        <v>43538</v>
      </c>
      <c r="U477" s="38">
        <v>45199</v>
      </c>
      <c r="V477" s="27" t="s">
        <v>9308</v>
      </c>
      <c r="W477" s="36" t="s">
        <v>557</v>
      </c>
      <c r="X477" s="36" t="s">
        <v>880</v>
      </c>
      <c r="Y477" s="36" t="s">
        <v>242</v>
      </c>
      <c r="Z477" s="36" t="s">
        <v>1103</v>
      </c>
      <c r="AA477" s="36" t="s">
        <v>561</v>
      </c>
      <c r="AB477" s="36" t="s">
        <v>560</v>
      </c>
      <c r="AC477" s="36" t="s">
        <v>989</v>
      </c>
      <c r="AD477" s="37">
        <v>3.8</v>
      </c>
      <c r="AE477" s="36" t="s">
        <v>902</v>
      </c>
      <c r="AF477" s="36" t="s">
        <v>860</v>
      </c>
    </row>
    <row r="478" spans="2:32" ht="60" customHeight="1" x14ac:dyDescent="0.25">
      <c r="B478" s="31" t="s">
        <v>2015</v>
      </c>
      <c r="C478" s="41">
        <v>2019</v>
      </c>
      <c r="D478" s="42">
        <f t="shared" si="7"/>
        <v>2022</v>
      </c>
      <c r="E478" s="31" t="s">
        <v>317</v>
      </c>
      <c r="F478" s="31" t="s">
        <v>2016</v>
      </c>
      <c r="G478" s="31" t="s">
        <v>2017</v>
      </c>
      <c r="H478" s="31" t="s">
        <v>326</v>
      </c>
      <c r="I478" s="31" t="s">
        <v>267</v>
      </c>
      <c r="J478" s="31" t="s">
        <v>267</v>
      </c>
      <c r="K478" s="31" t="s">
        <v>263</v>
      </c>
      <c r="L478" s="31" t="s">
        <v>159</v>
      </c>
      <c r="M478" s="34">
        <v>0</v>
      </c>
      <c r="N478" s="34">
        <v>6821952800</v>
      </c>
      <c r="O478" s="34">
        <v>6821952800</v>
      </c>
      <c r="P478" s="31" t="s">
        <v>122</v>
      </c>
      <c r="Q478" s="34">
        <v>10400000</v>
      </c>
      <c r="R478" s="31" t="s">
        <v>159</v>
      </c>
      <c r="S478" s="35">
        <v>43596</v>
      </c>
      <c r="T478" s="35">
        <v>43538</v>
      </c>
      <c r="U478" s="35">
        <v>44926</v>
      </c>
      <c r="V478" s="27" t="s">
        <v>9308</v>
      </c>
      <c r="W478" s="31" t="s">
        <v>557</v>
      </c>
      <c r="X478" s="31" t="s">
        <v>880</v>
      </c>
      <c r="Y478" s="31" t="s">
        <v>242</v>
      </c>
      <c r="Z478" s="31" t="s">
        <v>952</v>
      </c>
      <c r="AA478" s="31" t="s">
        <v>561</v>
      </c>
      <c r="AB478" s="31" t="s">
        <v>560</v>
      </c>
      <c r="AC478" s="31" t="s">
        <v>562</v>
      </c>
      <c r="AD478" s="34">
        <v>6.1</v>
      </c>
      <c r="AE478" s="31" t="s">
        <v>563</v>
      </c>
      <c r="AF478" s="31" t="s">
        <v>860</v>
      </c>
    </row>
    <row r="479" spans="2:32" ht="60" customHeight="1" x14ac:dyDescent="0.25">
      <c r="B479" s="36" t="s">
        <v>2018</v>
      </c>
      <c r="C479" s="42">
        <v>2019</v>
      </c>
      <c r="D479" s="42">
        <f t="shared" si="7"/>
        <v>2024</v>
      </c>
      <c r="E479" s="36" t="s">
        <v>126</v>
      </c>
      <c r="F479" s="36" t="s">
        <v>1079</v>
      </c>
      <c r="G479" s="36" t="s">
        <v>2019</v>
      </c>
      <c r="H479" s="36" t="s">
        <v>326</v>
      </c>
      <c r="I479" s="36" t="s">
        <v>267</v>
      </c>
      <c r="J479" s="36" t="s">
        <v>267</v>
      </c>
      <c r="K479" s="36" t="s">
        <v>1039</v>
      </c>
      <c r="L479" s="36" t="s">
        <v>159</v>
      </c>
      <c r="M479" s="37">
        <v>0</v>
      </c>
      <c r="N479" s="37">
        <v>1049531200</v>
      </c>
      <c r="O479" s="37">
        <v>1049531200</v>
      </c>
      <c r="P479" s="36" t="s">
        <v>122</v>
      </c>
      <c r="Q479" s="37">
        <v>1600000</v>
      </c>
      <c r="R479" s="36" t="s">
        <v>159</v>
      </c>
      <c r="S479" s="38">
        <v>43596</v>
      </c>
      <c r="T479" s="38">
        <v>43538</v>
      </c>
      <c r="U479" s="38">
        <v>45657</v>
      </c>
      <c r="V479" s="27" t="s">
        <v>9307</v>
      </c>
      <c r="W479" s="36" t="s">
        <v>557</v>
      </c>
      <c r="X479" s="36" t="s">
        <v>880</v>
      </c>
      <c r="Y479" s="36" t="s">
        <v>242</v>
      </c>
      <c r="Z479" s="36" t="s">
        <v>1080</v>
      </c>
      <c r="AA479" s="36" t="s">
        <v>1046</v>
      </c>
      <c r="AB479" s="36" t="s">
        <v>861</v>
      </c>
      <c r="AC479" s="36" t="s">
        <v>1047</v>
      </c>
      <c r="AD479" s="37">
        <v>17.170000000000002</v>
      </c>
      <c r="AE479" s="36" t="s">
        <v>864</v>
      </c>
      <c r="AF479" s="36" t="s">
        <v>860</v>
      </c>
    </row>
    <row r="480" spans="2:32" ht="60" customHeight="1" x14ac:dyDescent="0.25">
      <c r="B480" s="31" t="s">
        <v>2020</v>
      </c>
      <c r="C480" s="41">
        <v>2019</v>
      </c>
      <c r="D480" s="42" t="e">
        <f t="shared" si="7"/>
        <v>#VALUE!</v>
      </c>
      <c r="E480" s="31" t="s">
        <v>126</v>
      </c>
      <c r="F480" s="31" t="s">
        <v>1737</v>
      </c>
      <c r="G480" s="31" t="s">
        <v>2021</v>
      </c>
      <c r="H480" s="31" t="s">
        <v>326</v>
      </c>
      <c r="I480" s="31" t="s">
        <v>267</v>
      </c>
      <c r="J480" s="31" t="s">
        <v>267</v>
      </c>
      <c r="K480" s="31" t="s">
        <v>205</v>
      </c>
      <c r="L480" s="31" t="s">
        <v>159</v>
      </c>
      <c r="M480" s="34">
        <v>0</v>
      </c>
      <c r="N480" s="34">
        <v>3935742000</v>
      </c>
      <c r="O480" s="34">
        <v>3935742000</v>
      </c>
      <c r="P480" s="31" t="s">
        <v>122</v>
      </c>
      <c r="Q480" s="34">
        <v>6000000</v>
      </c>
      <c r="R480" s="31" t="s">
        <v>159</v>
      </c>
      <c r="S480" s="35">
        <v>43543</v>
      </c>
      <c r="T480" s="35">
        <v>43538</v>
      </c>
      <c r="U480" s="35" t="s">
        <v>2022</v>
      </c>
      <c r="V480" s="27" t="s">
        <v>9358</v>
      </c>
      <c r="W480" s="31" t="s">
        <v>557</v>
      </c>
      <c r="X480" s="31" t="s">
        <v>880</v>
      </c>
      <c r="Y480" s="31" t="s">
        <v>242</v>
      </c>
      <c r="Z480" s="31" t="s">
        <v>1006</v>
      </c>
      <c r="AA480" s="31" t="s">
        <v>1012</v>
      </c>
      <c r="AB480" s="31" t="s">
        <v>560</v>
      </c>
      <c r="AC480" s="31" t="s">
        <v>939</v>
      </c>
      <c r="AD480" s="34">
        <v>11.3</v>
      </c>
      <c r="AE480" s="31" t="s">
        <v>563</v>
      </c>
      <c r="AF480" s="31" t="s">
        <v>860</v>
      </c>
    </row>
    <row r="481" spans="2:32" ht="60" customHeight="1" x14ac:dyDescent="0.25">
      <c r="B481" s="36" t="s">
        <v>2023</v>
      </c>
      <c r="C481" s="42">
        <v>2019</v>
      </c>
      <c r="D481" s="42">
        <f t="shared" si="7"/>
        <v>2022</v>
      </c>
      <c r="E481" s="36" t="s">
        <v>126</v>
      </c>
      <c r="F481" s="36" t="s">
        <v>2024</v>
      </c>
      <c r="G481" s="36" t="s">
        <v>2025</v>
      </c>
      <c r="H481" s="36" t="s">
        <v>326</v>
      </c>
      <c r="I481" s="36" t="s">
        <v>267</v>
      </c>
      <c r="J481" s="36" t="s">
        <v>267</v>
      </c>
      <c r="K481" s="36" t="s">
        <v>245</v>
      </c>
      <c r="L481" s="36" t="s">
        <v>159</v>
      </c>
      <c r="M481" s="37">
        <v>0</v>
      </c>
      <c r="N481" s="37">
        <v>85274410</v>
      </c>
      <c r="O481" s="37">
        <v>85274410</v>
      </c>
      <c r="P481" s="36" t="s">
        <v>122</v>
      </c>
      <c r="Q481" s="37">
        <v>130000</v>
      </c>
      <c r="R481" s="36" t="s">
        <v>159</v>
      </c>
      <c r="S481" s="38">
        <v>43538</v>
      </c>
      <c r="T481" s="38">
        <v>43473</v>
      </c>
      <c r="U481" s="38">
        <v>44926</v>
      </c>
      <c r="V481" s="27" t="s">
        <v>9308</v>
      </c>
      <c r="W481" s="36" t="s">
        <v>557</v>
      </c>
      <c r="X481" s="36" t="s">
        <v>880</v>
      </c>
      <c r="Y481" s="36" t="s">
        <v>242</v>
      </c>
      <c r="Z481" s="36" t="s">
        <v>1410</v>
      </c>
      <c r="AA481" s="36" t="s">
        <v>862</v>
      </c>
      <c r="AB481" s="36" t="s">
        <v>861</v>
      </c>
      <c r="AC481" s="36" t="s">
        <v>971</v>
      </c>
      <c r="AD481" s="37">
        <v>9.1</v>
      </c>
      <c r="AE481" s="36" t="s">
        <v>864</v>
      </c>
      <c r="AF481" s="36" t="s">
        <v>860</v>
      </c>
    </row>
    <row r="482" spans="2:32" ht="60" customHeight="1" x14ac:dyDescent="0.25">
      <c r="B482" s="31" t="s">
        <v>2026</v>
      </c>
      <c r="C482" s="41">
        <v>2019</v>
      </c>
      <c r="D482" s="42">
        <f t="shared" si="7"/>
        <v>2022</v>
      </c>
      <c r="E482" s="31" t="s">
        <v>126</v>
      </c>
      <c r="F482" s="31" t="s">
        <v>2027</v>
      </c>
      <c r="G482" s="31" t="s">
        <v>2028</v>
      </c>
      <c r="H482" s="31" t="s">
        <v>326</v>
      </c>
      <c r="I482" s="31" t="s">
        <v>267</v>
      </c>
      <c r="J482" s="31" t="s">
        <v>267</v>
      </c>
      <c r="K482" s="31" t="s">
        <v>190</v>
      </c>
      <c r="L482" s="31" t="s">
        <v>159</v>
      </c>
      <c r="M482" s="34">
        <v>0</v>
      </c>
      <c r="N482" s="34">
        <v>32797850</v>
      </c>
      <c r="O482" s="34">
        <v>32797850</v>
      </c>
      <c r="P482" s="31" t="s">
        <v>122</v>
      </c>
      <c r="Q482" s="34">
        <v>50000</v>
      </c>
      <c r="R482" s="31" t="s">
        <v>159</v>
      </c>
      <c r="S482" s="35">
        <v>43657</v>
      </c>
      <c r="T482" s="35">
        <v>43538</v>
      </c>
      <c r="U482" s="35">
        <v>44926</v>
      </c>
      <c r="V482" s="27" t="s">
        <v>9308</v>
      </c>
      <c r="W482" s="31" t="s">
        <v>557</v>
      </c>
      <c r="X482" s="31" t="s">
        <v>880</v>
      </c>
      <c r="Y482" s="31" t="s">
        <v>242</v>
      </c>
      <c r="Z482" s="31" t="s">
        <v>1453</v>
      </c>
      <c r="AA482" s="31" t="s">
        <v>862</v>
      </c>
      <c r="AB482" s="31" t="s">
        <v>861</v>
      </c>
      <c r="AC482" s="31" t="s">
        <v>863</v>
      </c>
      <c r="AD482" s="34">
        <v>2.2999999999999998</v>
      </c>
      <c r="AE482" s="31" t="s">
        <v>864</v>
      </c>
      <c r="AF482" s="31" t="s">
        <v>860</v>
      </c>
    </row>
    <row r="483" spans="2:32" ht="60" customHeight="1" x14ac:dyDescent="0.25">
      <c r="B483" s="36" t="s">
        <v>2029</v>
      </c>
      <c r="C483" s="42">
        <v>2019</v>
      </c>
      <c r="D483" s="42">
        <f t="shared" si="7"/>
        <v>2022</v>
      </c>
      <c r="E483" s="36" t="s">
        <v>126</v>
      </c>
      <c r="F483" s="36" t="s">
        <v>2030</v>
      </c>
      <c r="G483" s="36" t="s">
        <v>2031</v>
      </c>
      <c r="H483" s="36" t="s">
        <v>326</v>
      </c>
      <c r="I483" s="36" t="s">
        <v>267</v>
      </c>
      <c r="J483" s="36" t="s">
        <v>267</v>
      </c>
      <c r="K483" s="36" t="s">
        <v>190</v>
      </c>
      <c r="L483" s="36" t="s">
        <v>127</v>
      </c>
      <c r="M483" s="37">
        <v>91833980</v>
      </c>
      <c r="N483" s="37">
        <v>0</v>
      </c>
      <c r="O483" s="37">
        <v>91833980</v>
      </c>
      <c r="P483" s="36" t="s">
        <v>122</v>
      </c>
      <c r="Q483" s="37">
        <v>140000</v>
      </c>
      <c r="R483" s="36" t="s">
        <v>150</v>
      </c>
      <c r="S483" s="38">
        <v>43596</v>
      </c>
      <c r="T483" s="38">
        <v>43538</v>
      </c>
      <c r="U483" s="38">
        <v>44926</v>
      </c>
      <c r="V483" s="27" t="s">
        <v>9308</v>
      </c>
      <c r="W483" s="36" t="s">
        <v>557</v>
      </c>
      <c r="X483" s="36" t="s">
        <v>558</v>
      </c>
      <c r="Y483" s="36" t="s">
        <v>242</v>
      </c>
      <c r="Z483" s="36" t="s">
        <v>1176</v>
      </c>
      <c r="AA483" s="36" t="s">
        <v>862</v>
      </c>
      <c r="AB483" s="36" t="s">
        <v>861</v>
      </c>
      <c r="AC483" s="36" t="s">
        <v>863</v>
      </c>
      <c r="AD483" s="37">
        <v>2.2999999999999998</v>
      </c>
      <c r="AE483" s="36" t="s">
        <v>864</v>
      </c>
      <c r="AF483" s="36" t="s">
        <v>860</v>
      </c>
    </row>
    <row r="484" spans="2:32" ht="60" customHeight="1" x14ac:dyDescent="0.25">
      <c r="B484" s="31" t="s">
        <v>2032</v>
      </c>
      <c r="C484" s="41">
        <v>2019</v>
      </c>
      <c r="D484" s="42">
        <f t="shared" si="7"/>
        <v>2022</v>
      </c>
      <c r="E484" s="31" t="s">
        <v>284</v>
      </c>
      <c r="F484" s="31" t="s">
        <v>2033</v>
      </c>
      <c r="G484" s="31" t="s">
        <v>2034</v>
      </c>
      <c r="H484" s="31" t="s">
        <v>326</v>
      </c>
      <c r="I484" s="31" t="s">
        <v>267</v>
      </c>
      <c r="J484" s="31" t="s">
        <v>267</v>
      </c>
      <c r="K484" s="31" t="s">
        <v>282</v>
      </c>
      <c r="L484" s="31" t="s">
        <v>159</v>
      </c>
      <c r="M484" s="34">
        <v>0</v>
      </c>
      <c r="N484" s="34">
        <v>6559570000</v>
      </c>
      <c r="O484" s="34">
        <v>6559570000</v>
      </c>
      <c r="P484" s="31" t="s">
        <v>122</v>
      </c>
      <c r="Q484" s="34">
        <v>10000000</v>
      </c>
      <c r="R484" s="31" t="s">
        <v>159</v>
      </c>
      <c r="S484" s="35">
        <v>43755</v>
      </c>
      <c r="T484" s="35">
        <v>43538</v>
      </c>
      <c r="U484" s="35">
        <v>44926</v>
      </c>
      <c r="V484" s="27" t="s">
        <v>9308</v>
      </c>
      <c r="W484" s="31" t="s">
        <v>557</v>
      </c>
      <c r="X484" s="31" t="s">
        <v>880</v>
      </c>
      <c r="Y484" s="31" t="s">
        <v>242</v>
      </c>
      <c r="Z484" s="31" t="s">
        <v>1029</v>
      </c>
      <c r="AA484" s="31" t="s">
        <v>965</v>
      </c>
      <c r="AB484" s="31" t="s">
        <v>964</v>
      </c>
      <c r="AC484" s="31" t="s">
        <v>939</v>
      </c>
      <c r="AD484" s="34">
        <v>11.3</v>
      </c>
      <c r="AE484" s="31" t="s">
        <v>902</v>
      </c>
      <c r="AF484" s="31" t="s">
        <v>860</v>
      </c>
    </row>
    <row r="485" spans="2:32" ht="60" customHeight="1" x14ac:dyDescent="0.25">
      <c r="B485" s="36" t="s">
        <v>2035</v>
      </c>
      <c r="C485" s="42">
        <v>2019</v>
      </c>
      <c r="D485" s="42">
        <f t="shared" si="7"/>
        <v>2022</v>
      </c>
      <c r="E485" s="36" t="s">
        <v>126</v>
      </c>
      <c r="F485" s="36" t="s">
        <v>2036</v>
      </c>
      <c r="G485" s="36" t="s">
        <v>2037</v>
      </c>
      <c r="H485" s="36" t="s">
        <v>326</v>
      </c>
      <c r="I485" s="36" t="s">
        <v>267</v>
      </c>
      <c r="J485" s="36" t="s">
        <v>267</v>
      </c>
      <c r="K485" s="36" t="s">
        <v>315</v>
      </c>
      <c r="L485" s="36" t="s">
        <v>159</v>
      </c>
      <c r="M485" s="37">
        <v>0</v>
      </c>
      <c r="N485" s="37">
        <v>5247656000</v>
      </c>
      <c r="O485" s="37">
        <v>5247656000</v>
      </c>
      <c r="P485" s="36" t="s">
        <v>122</v>
      </c>
      <c r="Q485" s="37">
        <v>8000000</v>
      </c>
      <c r="R485" s="36" t="s">
        <v>159</v>
      </c>
      <c r="S485" s="38">
        <v>43596</v>
      </c>
      <c r="T485" s="38">
        <v>43538</v>
      </c>
      <c r="U485" s="38">
        <v>44926</v>
      </c>
      <c r="V485" s="27" t="s">
        <v>9308</v>
      </c>
      <c r="W485" s="36" t="s">
        <v>557</v>
      </c>
      <c r="X485" s="36" t="s">
        <v>880</v>
      </c>
      <c r="Y485" s="36" t="s">
        <v>242</v>
      </c>
      <c r="Z485" s="36" t="s">
        <v>1519</v>
      </c>
      <c r="AA485" s="36" t="s">
        <v>900</v>
      </c>
      <c r="AB485" s="36" t="s">
        <v>861</v>
      </c>
      <c r="AC485" s="36" t="s">
        <v>901</v>
      </c>
      <c r="AD485" s="37">
        <v>4.0999999999999996</v>
      </c>
      <c r="AE485" s="36" t="s">
        <v>902</v>
      </c>
      <c r="AF485" s="36" t="s">
        <v>860</v>
      </c>
    </row>
    <row r="486" spans="2:32" ht="60" customHeight="1" x14ac:dyDescent="0.25">
      <c r="B486" s="31" t="s">
        <v>2038</v>
      </c>
      <c r="C486" s="41">
        <v>2019</v>
      </c>
      <c r="D486" s="42">
        <f t="shared" si="7"/>
        <v>2022</v>
      </c>
      <c r="E486" s="31" t="s">
        <v>126</v>
      </c>
      <c r="F486" s="31" t="s">
        <v>2039</v>
      </c>
      <c r="G486" s="31" t="s">
        <v>2040</v>
      </c>
      <c r="H486" s="31" t="s">
        <v>326</v>
      </c>
      <c r="I486" s="31" t="s">
        <v>267</v>
      </c>
      <c r="J486" s="31" t="s">
        <v>267</v>
      </c>
      <c r="K486" s="31" t="s">
        <v>190</v>
      </c>
      <c r="L486" s="31" t="s">
        <v>127</v>
      </c>
      <c r="M486" s="34">
        <v>6461071595</v>
      </c>
      <c r="N486" s="34">
        <v>0</v>
      </c>
      <c r="O486" s="34">
        <v>6461071595</v>
      </c>
      <c r="P486" s="31" t="s">
        <v>122</v>
      </c>
      <c r="Q486" s="34">
        <v>9849840.1500000004</v>
      </c>
      <c r="R486" s="31" t="s">
        <v>150</v>
      </c>
      <c r="S486" s="35">
        <v>43727</v>
      </c>
      <c r="T486" s="35">
        <v>43538</v>
      </c>
      <c r="U486" s="35">
        <v>44926</v>
      </c>
      <c r="V486" s="27" t="s">
        <v>9308</v>
      </c>
      <c r="W486" s="31" t="s">
        <v>557</v>
      </c>
      <c r="X486" s="31" t="s">
        <v>558</v>
      </c>
      <c r="Y486" s="31" t="s">
        <v>242</v>
      </c>
      <c r="Z486" s="31" t="s">
        <v>856</v>
      </c>
      <c r="AA486" s="31" t="s">
        <v>862</v>
      </c>
      <c r="AB486" s="31" t="s">
        <v>861</v>
      </c>
      <c r="AC486" s="31" t="s">
        <v>863</v>
      </c>
      <c r="AD486" s="34">
        <v>2.2999999999999998</v>
      </c>
      <c r="AE486" s="31" t="s">
        <v>864</v>
      </c>
      <c r="AF486" s="31" t="s">
        <v>860</v>
      </c>
    </row>
    <row r="487" spans="2:32" ht="60" customHeight="1" x14ac:dyDescent="0.25">
      <c r="B487" s="36" t="s">
        <v>2041</v>
      </c>
      <c r="C487" s="42">
        <v>2019</v>
      </c>
      <c r="D487" s="42">
        <f t="shared" si="7"/>
        <v>2023</v>
      </c>
      <c r="E487" s="36" t="s">
        <v>126</v>
      </c>
      <c r="F487" s="36" t="s">
        <v>2042</v>
      </c>
      <c r="G487" s="36" t="s">
        <v>2044</v>
      </c>
      <c r="H487" s="36" t="s">
        <v>326</v>
      </c>
      <c r="I487" s="36" t="s">
        <v>1439</v>
      </c>
      <c r="J487" s="36" t="s">
        <v>1439</v>
      </c>
      <c r="K487" s="36" t="s">
        <v>216</v>
      </c>
      <c r="L487" s="36" t="s">
        <v>159</v>
      </c>
      <c r="M487" s="37">
        <v>0</v>
      </c>
      <c r="N487" s="37">
        <v>9622889</v>
      </c>
      <c r="O487" s="37">
        <v>9622889</v>
      </c>
      <c r="P487" s="36" t="s">
        <v>122</v>
      </c>
      <c r="Q487" s="37">
        <v>14670</v>
      </c>
      <c r="R487" s="36" t="s">
        <v>159</v>
      </c>
      <c r="S487" s="38">
        <v>43538</v>
      </c>
      <c r="T487" s="38">
        <v>43504</v>
      </c>
      <c r="U487" s="38">
        <v>45291</v>
      </c>
      <c r="V487" s="27" t="s">
        <v>9308</v>
      </c>
      <c r="W487" s="36" t="s">
        <v>557</v>
      </c>
      <c r="X487" s="36" t="s">
        <v>880</v>
      </c>
      <c r="Y487" s="36" t="s">
        <v>242</v>
      </c>
      <c r="Z487" s="36" t="s">
        <v>2043</v>
      </c>
      <c r="AA487" s="36" t="s">
        <v>561</v>
      </c>
      <c r="AB487" s="36" t="s">
        <v>560</v>
      </c>
      <c r="AC487" s="36" t="s">
        <v>989</v>
      </c>
      <c r="AD487" s="37">
        <v>3.8</v>
      </c>
      <c r="AE487" s="36" t="s">
        <v>902</v>
      </c>
      <c r="AF487" s="36" t="s">
        <v>860</v>
      </c>
    </row>
    <row r="488" spans="2:32" ht="60" customHeight="1" x14ac:dyDescent="0.25">
      <c r="B488" s="31" t="s">
        <v>2045</v>
      </c>
      <c r="C488" s="41">
        <v>2019</v>
      </c>
      <c r="D488" s="42">
        <f t="shared" si="7"/>
        <v>2023</v>
      </c>
      <c r="E488" s="31" t="s">
        <v>126</v>
      </c>
      <c r="F488" s="31" t="s">
        <v>2046</v>
      </c>
      <c r="G488" s="31" t="s">
        <v>2047</v>
      </c>
      <c r="H488" s="31" t="s">
        <v>326</v>
      </c>
      <c r="I488" s="31" t="s">
        <v>1439</v>
      </c>
      <c r="J488" s="31" t="s">
        <v>1439</v>
      </c>
      <c r="K488" s="31" t="s">
        <v>190</v>
      </c>
      <c r="L488" s="31" t="s">
        <v>159</v>
      </c>
      <c r="M488" s="34">
        <v>0</v>
      </c>
      <c r="N488" s="34">
        <v>404500476</v>
      </c>
      <c r="O488" s="34">
        <v>404500476</v>
      </c>
      <c r="P488" s="31" t="s">
        <v>122</v>
      </c>
      <c r="Q488" s="34">
        <v>616657</v>
      </c>
      <c r="R488" s="31" t="s">
        <v>159</v>
      </c>
      <c r="S488" s="35">
        <v>43592</v>
      </c>
      <c r="T488" s="35">
        <v>43538</v>
      </c>
      <c r="U488" s="35">
        <v>45291</v>
      </c>
      <c r="V488" s="27" t="s">
        <v>9450</v>
      </c>
      <c r="W488" s="31" t="s">
        <v>557</v>
      </c>
      <c r="X488" s="31" t="s">
        <v>880</v>
      </c>
      <c r="Y488" s="31" t="s">
        <v>242</v>
      </c>
      <c r="Z488" s="31" t="s">
        <v>974</v>
      </c>
      <c r="AA488" s="31" t="s">
        <v>862</v>
      </c>
      <c r="AB488" s="31" t="s">
        <v>861</v>
      </c>
      <c r="AC488" s="31" t="s">
        <v>863</v>
      </c>
      <c r="AD488" s="34">
        <v>2.2999999999999998</v>
      </c>
      <c r="AE488" s="31" t="s">
        <v>864</v>
      </c>
      <c r="AF488" s="31" t="s">
        <v>860</v>
      </c>
    </row>
    <row r="489" spans="2:32" ht="60" customHeight="1" x14ac:dyDescent="0.25">
      <c r="B489" s="36" t="s">
        <v>2048</v>
      </c>
      <c r="C489" s="42">
        <v>2019</v>
      </c>
      <c r="D489" s="42">
        <f t="shared" si="7"/>
        <v>2023</v>
      </c>
      <c r="E489" s="36" t="s">
        <v>126</v>
      </c>
      <c r="F489" s="36" t="s">
        <v>2049</v>
      </c>
      <c r="G489" s="36" t="s">
        <v>2050</v>
      </c>
      <c r="H489" s="36" t="s">
        <v>129</v>
      </c>
      <c r="I489" s="36" t="s">
        <v>1439</v>
      </c>
      <c r="J489" s="36" t="s">
        <v>1439</v>
      </c>
      <c r="K489" s="36" t="s">
        <v>190</v>
      </c>
      <c r="L489" s="36" t="s">
        <v>159</v>
      </c>
      <c r="M489" s="37">
        <v>0</v>
      </c>
      <c r="N489" s="37">
        <v>1320410611</v>
      </c>
      <c r="O489" s="37">
        <v>1320410611</v>
      </c>
      <c r="P489" s="36" t="s">
        <v>122</v>
      </c>
      <c r="Q489" s="37">
        <v>2012953</v>
      </c>
      <c r="R489" s="36" t="s">
        <v>159</v>
      </c>
      <c r="S489" s="38">
        <v>43560</v>
      </c>
      <c r="T489" s="38">
        <v>43538</v>
      </c>
      <c r="U489" s="38">
        <v>45291</v>
      </c>
      <c r="V489" s="27" t="s">
        <v>9450</v>
      </c>
      <c r="W489" s="36" t="s">
        <v>557</v>
      </c>
      <c r="X489" s="36" t="s">
        <v>880</v>
      </c>
      <c r="Y489" s="36" t="s">
        <v>242</v>
      </c>
      <c r="Z489" s="36" t="s">
        <v>1176</v>
      </c>
      <c r="AA489" s="36" t="s">
        <v>862</v>
      </c>
      <c r="AB489" s="36" t="s">
        <v>861</v>
      </c>
      <c r="AC489" s="36" t="s">
        <v>863</v>
      </c>
      <c r="AD489" s="37">
        <v>2.2999999999999998</v>
      </c>
      <c r="AE489" s="36" t="s">
        <v>864</v>
      </c>
      <c r="AF489" s="36" t="s">
        <v>860</v>
      </c>
    </row>
    <row r="490" spans="2:32" ht="60" customHeight="1" x14ac:dyDescent="0.25">
      <c r="B490" s="31" t="s">
        <v>2051</v>
      </c>
      <c r="C490" s="41">
        <v>2019</v>
      </c>
      <c r="D490" s="42">
        <f t="shared" si="7"/>
        <v>2023</v>
      </c>
      <c r="E490" s="31" t="s">
        <v>317</v>
      </c>
      <c r="F490" s="31" t="s">
        <v>2052</v>
      </c>
      <c r="G490" s="31" t="s">
        <v>2053</v>
      </c>
      <c r="H490" s="31" t="s">
        <v>129</v>
      </c>
      <c r="I490" s="31" t="s">
        <v>1439</v>
      </c>
      <c r="J490" s="31" t="s">
        <v>1439</v>
      </c>
      <c r="K490" s="31" t="s">
        <v>216</v>
      </c>
      <c r="L490" s="31" t="s">
        <v>159</v>
      </c>
      <c r="M490" s="34">
        <v>0</v>
      </c>
      <c r="N490" s="34">
        <v>4657194995</v>
      </c>
      <c r="O490" s="34">
        <v>4657194995</v>
      </c>
      <c r="P490" s="31" t="s">
        <v>122</v>
      </c>
      <c r="Q490" s="34">
        <v>7099848</v>
      </c>
      <c r="R490" s="31" t="s">
        <v>159</v>
      </c>
      <c r="S490" s="35">
        <v>43596</v>
      </c>
      <c r="T490" s="35">
        <v>43538</v>
      </c>
      <c r="U490" s="35">
        <v>45291</v>
      </c>
      <c r="V490" s="27" t="s">
        <v>9438</v>
      </c>
      <c r="W490" s="31" t="s">
        <v>557</v>
      </c>
      <c r="X490" s="31" t="s">
        <v>880</v>
      </c>
      <c r="Y490" s="31" t="s">
        <v>242</v>
      </c>
      <c r="Z490" s="31" t="s">
        <v>1091</v>
      </c>
      <c r="AA490" s="31" t="s">
        <v>561</v>
      </c>
      <c r="AB490" s="31" t="s">
        <v>560</v>
      </c>
      <c r="AC490" s="31" t="s">
        <v>989</v>
      </c>
      <c r="AD490" s="34">
        <v>3.8</v>
      </c>
      <c r="AE490" s="31" t="s">
        <v>902</v>
      </c>
      <c r="AF490" s="31" t="s">
        <v>860</v>
      </c>
    </row>
    <row r="491" spans="2:32" ht="60" customHeight="1" x14ac:dyDescent="0.25">
      <c r="B491" s="36" t="s">
        <v>2054</v>
      </c>
      <c r="C491" s="42">
        <v>2019</v>
      </c>
      <c r="D491" s="42">
        <f t="shared" si="7"/>
        <v>2023</v>
      </c>
      <c r="E491" s="36" t="s">
        <v>170</v>
      </c>
      <c r="F491" s="36" t="s">
        <v>2055</v>
      </c>
      <c r="G491" s="36" t="s">
        <v>2056</v>
      </c>
      <c r="H491" s="36" t="s">
        <v>172</v>
      </c>
      <c r="I491" s="36" t="s">
        <v>1272</v>
      </c>
      <c r="J491" s="36" t="s">
        <v>1272</v>
      </c>
      <c r="K491" s="36" t="s">
        <v>315</v>
      </c>
      <c r="L491" s="36" t="s">
        <v>159</v>
      </c>
      <c r="M491" s="37">
        <v>0</v>
      </c>
      <c r="N491" s="37">
        <v>240000000</v>
      </c>
      <c r="O491" s="37">
        <v>240000000</v>
      </c>
      <c r="P491" s="36" t="s">
        <v>136</v>
      </c>
      <c r="Q491" s="37">
        <v>240000000</v>
      </c>
      <c r="R491" s="36" t="s">
        <v>159</v>
      </c>
      <c r="S491" s="38">
        <v>43596</v>
      </c>
      <c r="T491" s="38">
        <v>43538</v>
      </c>
      <c r="U491" s="38">
        <v>45291</v>
      </c>
      <c r="V491" s="27" t="s">
        <v>9451</v>
      </c>
      <c r="W491" s="36" t="s">
        <v>557</v>
      </c>
      <c r="X491" s="36" t="s">
        <v>880</v>
      </c>
      <c r="Y491" s="36" t="s">
        <v>242</v>
      </c>
      <c r="Z491" s="36" t="s">
        <v>1519</v>
      </c>
      <c r="AA491" s="36" t="s">
        <v>900</v>
      </c>
      <c r="AB491" s="36" t="s">
        <v>861</v>
      </c>
      <c r="AC491" s="36" t="s">
        <v>901</v>
      </c>
      <c r="AD491" s="37">
        <v>4.0999999999999996</v>
      </c>
      <c r="AE491" s="36" t="s">
        <v>902</v>
      </c>
      <c r="AF491" s="36" t="s">
        <v>860</v>
      </c>
    </row>
    <row r="492" spans="2:32" ht="60" customHeight="1" x14ac:dyDescent="0.25">
      <c r="B492" s="31" t="s">
        <v>2058</v>
      </c>
      <c r="C492" s="41">
        <v>2019</v>
      </c>
      <c r="D492" s="42">
        <f t="shared" si="7"/>
        <v>2023</v>
      </c>
      <c r="E492" s="31" t="s">
        <v>126</v>
      </c>
      <c r="F492" s="31" t="s">
        <v>2059</v>
      </c>
      <c r="G492" s="31" t="s">
        <v>2060</v>
      </c>
      <c r="H492" s="31" t="s">
        <v>129</v>
      </c>
      <c r="I492" s="31" t="s">
        <v>1128</v>
      </c>
      <c r="J492" s="31" t="s">
        <v>1128</v>
      </c>
      <c r="K492" s="31" t="s">
        <v>216</v>
      </c>
      <c r="L492" s="31" t="s">
        <v>159</v>
      </c>
      <c r="M492" s="34">
        <v>0</v>
      </c>
      <c r="N492" s="34">
        <v>1133586600</v>
      </c>
      <c r="O492" s="34">
        <v>1133586600</v>
      </c>
      <c r="P492" s="31" t="s">
        <v>1127</v>
      </c>
      <c r="Q492" s="34">
        <v>2550000</v>
      </c>
      <c r="R492" s="31" t="s">
        <v>159</v>
      </c>
      <c r="S492" s="35">
        <v>43466</v>
      </c>
      <c r="T492" s="35">
        <v>43538</v>
      </c>
      <c r="U492" s="35">
        <v>45291</v>
      </c>
      <c r="V492" s="27" t="s">
        <v>9308</v>
      </c>
      <c r="W492" s="31" t="s">
        <v>557</v>
      </c>
      <c r="X492" s="31" t="s">
        <v>880</v>
      </c>
      <c r="Y492" s="31" t="s">
        <v>242</v>
      </c>
      <c r="Z492" s="31" t="s">
        <v>1064</v>
      </c>
      <c r="AA492" s="31" t="s">
        <v>561</v>
      </c>
      <c r="AB492" s="31" t="s">
        <v>560</v>
      </c>
      <c r="AC492" s="31" t="s">
        <v>989</v>
      </c>
      <c r="AD492" s="34">
        <v>3.8</v>
      </c>
      <c r="AE492" s="31" t="s">
        <v>902</v>
      </c>
      <c r="AF492" s="31" t="s">
        <v>860</v>
      </c>
    </row>
    <row r="493" spans="2:32" ht="60" customHeight="1" x14ac:dyDescent="0.25">
      <c r="B493" s="36" t="s">
        <v>2061</v>
      </c>
      <c r="C493" s="42">
        <v>2019</v>
      </c>
      <c r="D493" s="42">
        <f t="shared" si="7"/>
        <v>2024</v>
      </c>
      <c r="E493" s="36" t="s">
        <v>126</v>
      </c>
      <c r="F493" s="48" t="s">
        <v>1405</v>
      </c>
      <c r="G493" s="36" t="s">
        <v>2062</v>
      </c>
      <c r="H493" s="36" t="s">
        <v>129</v>
      </c>
      <c r="I493" s="36" t="s">
        <v>1128</v>
      </c>
      <c r="J493" s="36" t="s">
        <v>1128</v>
      </c>
      <c r="K493" s="36" t="s">
        <v>190</v>
      </c>
      <c r="L493" s="36" t="s">
        <v>159</v>
      </c>
      <c r="M493" s="37">
        <v>0</v>
      </c>
      <c r="N493" s="37">
        <v>2521350000</v>
      </c>
      <c r="O493" s="37">
        <v>2521350000</v>
      </c>
      <c r="P493" s="36" t="s">
        <v>1127</v>
      </c>
      <c r="Q493" s="37">
        <v>5850000</v>
      </c>
      <c r="R493" s="36" t="s">
        <v>159</v>
      </c>
      <c r="S493" s="38">
        <v>43596</v>
      </c>
      <c r="T493" s="38">
        <v>43538</v>
      </c>
      <c r="U493" s="38">
        <v>45657</v>
      </c>
      <c r="V493" s="27" t="s">
        <v>9308</v>
      </c>
      <c r="W493" s="36" t="s">
        <v>557</v>
      </c>
      <c r="X493" s="36" t="s">
        <v>880</v>
      </c>
      <c r="Y493" s="36" t="s">
        <v>242</v>
      </c>
      <c r="Z493" s="36" t="s">
        <v>1406</v>
      </c>
      <c r="AA493" s="36" t="s">
        <v>862</v>
      </c>
      <c r="AB493" s="36" t="s">
        <v>861</v>
      </c>
      <c r="AC493" s="36" t="s">
        <v>863</v>
      </c>
      <c r="AD493" s="37">
        <v>2.2999999999999998</v>
      </c>
      <c r="AE493" s="36" t="s">
        <v>864</v>
      </c>
      <c r="AF493" s="36" t="s">
        <v>860</v>
      </c>
    </row>
    <row r="494" spans="2:32" ht="60" customHeight="1" x14ac:dyDescent="0.25">
      <c r="B494" s="31" t="s">
        <v>2063</v>
      </c>
      <c r="C494" s="41">
        <v>2019</v>
      </c>
      <c r="D494" s="42">
        <f t="shared" si="7"/>
        <v>2024</v>
      </c>
      <c r="E494" s="31" t="s">
        <v>126</v>
      </c>
      <c r="F494" s="31" t="s">
        <v>2064</v>
      </c>
      <c r="G494" s="31" t="s">
        <v>2065</v>
      </c>
      <c r="H494" s="31" t="s">
        <v>129</v>
      </c>
      <c r="I494" s="31" t="s">
        <v>1128</v>
      </c>
      <c r="J494" s="31" t="s">
        <v>1128</v>
      </c>
      <c r="K494" s="31" t="s">
        <v>526</v>
      </c>
      <c r="L494" s="31" t="s">
        <v>159</v>
      </c>
      <c r="M494" s="34">
        <v>0</v>
      </c>
      <c r="N494" s="34">
        <v>1311500000</v>
      </c>
      <c r="O494" s="34">
        <v>1311500000</v>
      </c>
      <c r="P494" s="31" t="s">
        <v>1127</v>
      </c>
      <c r="Q494" s="34">
        <v>3050000</v>
      </c>
      <c r="R494" s="31" t="s">
        <v>159</v>
      </c>
      <c r="S494" s="35">
        <v>43596</v>
      </c>
      <c r="T494" s="35">
        <v>43538</v>
      </c>
      <c r="U494" s="35">
        <v>45657</v>
      </c>
      <c r="V494" s="27" t="s">
        <v>9324</v>
      </c>
      <c r="W494" s="31" t="s">
        <v>557</v>
      </c>
      <c r="X494" s="31" t="s">
        <v>880</v>
      </c>
      <c r="Y494" s="31" t="s">
        <v>242</v>
      </c>
      <c r="Z494" s="31" t="s">
        <v>1099</v>
      </c>
      <c r="AA494" s="31" t="s">
        <v>561</v>
      </c>
      <c r="AB494" s="31" t="s">
        <v>560</v>
      </c>
      <c r="AC494" s="31" t="s">
        <v>1022</v>
      </c>
      <c r="AD494" s="34">
        <v>1.3</v>
      </c>
      <c r="AE494" s="31" t="s">
        <v>902</v>
      </c>
      <c r="AF494" s="31" t="s">
        <v>860</v>
      </c>
    </row>
    <row r="495" spans="2:32" ht="60" customHeight="1" x14ac:dyDescent="0.25">
      <c r="B495" s="36" t="s">
        <v>2066</v>
      </c>
      <c r="C495" s="42">
        <v>2019</v>
      </c>
      <c r="D495" s="42">
        <f t="shared" si="7"/>
        <v>2024</v>
      </c>
      <c r="E495" s="36" t="s">
        <v>126</v>
      </c>
      <c r="F495" s="36" t="s">
        <v>2067</v>
      </c>
      <c r="G495" s="36" t="s">
        <v>2068</v>
      </c>
      <c r="H495" s="36" t="s">
        <v>129</v>
      </c>
      <c r="I495" s="36" t="s">
        <v>1128</v>
      </c>
      <c r="J495" s="36" t="s">
        <v>1128</v>
      </c>
      <c r="K495" s="36" t="s">
        <v>315</v>
      </c>
      <c r="L495" s="36" t="s">
        <v>159</v>
      </c>
      <c r="M495" s="37">
        <v>0</v>
      </c>
      <c r="N495" s="37">
        <v>73345600</v>
      </c>
      <c r="O495" s="37">
        <v>73345600</v>
      </c>
      <c r="P495" s="36" t="s">
        <v>1127</v>
      </c>
      <c r="Q495" s="37">
        <v>160000</v>
      </c>
      <c r="R495" s="36" t="s">
        <v>159</v>
      </c>
      <c r="S495" s="38">
        <v>43538</v>
      </c>
      <c r="T495" s="38">
        <v>43493</v>
      </c>
      <c r="U495" s="38">
        <v>45657</v>
      </c>
      <c r="V495" s="27" t="s">
        <v>9308</v>
      </c>
      <c r="W495" s="36" t="s">
        <v>557</v>
      </c>
      <c r="X495" s="36" t="s">
        <v>880</v>
      </c>
      <c r="Y495" s="36" t="s">
        <v>242</v>
      </c>
      <c r="Z495" s="36" t="s">
        <v>1519</v>
      </c>
      <c r="AA495" s="36" t="s">
        <v>900</v>
      </c>
      <c r="AB495" s="36" t="s">
        <v>861</v>
      </c>
      <c r="AC495" s="36" t="s">
        <v>901</v>
      </c>
      <c r="AD495" s="37">
        <v>4.0999999999999996</v>
      </c>
      <c r="AE495" s="36" t="s">
        <v>902</v>
      </c>
      <c r="AF495" s="36" t="s">
        <v>860</v>
      </c>
    </row>
    <row r="496" spans="2:32" ht="60" customHeight="1" x14ac:dyDescent="0.25">
      <c r="B496" s="31" t="s">
        <v>2069</v>
      </c>
      <c r="C496" s="41">
        <v>2019</v>
      </c>
      <c r="D496" s="42">
        <f t="shared" si="7"/>
        <v>2024</v>
      </c>
      <c r="E496" s="31" t="s">
        <v>126</v>
      </c>
      <c r="F496" s="31" t="s">
        <v>2070</v>
      </c>
      <c r="G496" s="31" t="s">
        <v>2071</v>
      </c>
      <c r="H496" s="31" t="s">
        <v>129</v>
      </c>
      <c r="I496" s="31" t="s">
        <v>1128</v>
      </c>
      <c r="J496" s="31" t="s">
        <v>1128</v>
      </c>
      <c r="K496" s="31" t="s">
        <v>526</v>
      </c>
      <c r="L496" s="31" t="s">
        <v>159</v>
      </c>
      <c r="M496" s="34">
        <v>0</v>
      </c>
      <c r="N496" s="34">
        <v>1375230000</v>
      </c>
      <c r="O496" s="34">
        <v>1375230000</v>
      </c>
      <c r="P496" s="31" t="s">
        <v>1127</v>
      </c>
      <c r="Q496" s="34">
        <v>3000000</v>
      </c>
      <c r="R496" s="31" t="s">
        <v>159</v>
      </c>
      <c r="S496" s="35">
        <v>43596</v>
      </c>
      <c r="T496" s="35">
        <v>43538</v>
      </c>
      <c r="U496" s="35">
        <v>45657</v>
      </c>
      <c r="V496" s="27" t="s">
        <v>9324</v>
      </c>
      <c r="W496" s="31" t="s">
        <v>557</v>
      </c>
      <c r="X496" s="31" t="s">
        <v>880</v>
      </c>
      <c r="Y496" s="31" t="s">
        <v>242</v>
      </c>
      <c r="Z496" s="31" t="s">
        <v>1099</v>
      </c>
      <c r="AA496" s="31" t="s">
        <v>561</v>
      </c>
      <c r="AB496" s="31" t="s">
        <v>560</v>
      </c>
      <c r="AC496" s="31" t="s">
        <v>1022</v>
      </c>
      <c r="AD496" s="34">
        <v>1.3</v>
      </c>
      <c r="AE496" s="31" t="s">
        <v>902</v>
      </c>
      <c r="AF496" s="31" t="s">
        <v>860</v>
      </c>
    </row>
    <row r="497" spans="2:32" ht="60" customHeight="1" x14ac:dyDescent="0.25">
      <c r="B497" s="36" t="s">
        <v>2072</v>
      </c>
      <c r="C497" s="42">
        <v>2019</v>
      </c>
      <c r="D497" s="42">
        <f t="shared" si="7"/>
        <v>2024</v>
      </c>
      <c r="E497" s="36" t="s">
        <v>317</v>
      </c>
      <c r="F497" s="48" t="s">
        <v>2073</v>
      </c>
      <c r="G497" s="36" t="s">
        <v>2074</v>
      </c>
      <c r="H497" s="36" t="s">
        <v>129</v>
      </c>
      <c r="I497" s="36" t="s">
        <v>1128</v>
      </c>
      <c r="J497" s="36" t="s">
        <v>1128</v>
      </c>
      <c r="K497" s="36" t="s">
        <v>190</v>
      </c>
      <c r="L497" s="36" t="s">
        <v>159</v>
      </c>
      <c r="M497" s="37">
        <v>0</v>
      </c>
      <c r="N497" s="37">
        <v>444657700</v>
      </c>
      <c r="O497" s="37">
        <v>444657700</v>
      </c>
      <c r="P497" s="36" t="s">
        <v>1127</v>
      </c>
      <c r="Q497" s="37">
        <v>970000</v>
      </c>
      <c r="R497" s="36" t="s">
        <v>159</v>
      </c>
      <c r="S497" s="38">
        <v>43596</v>
      </c>
      <c r="T497" s="38">
        <v>43538</v>
      </c>
      <c r="U497" s="38">
        <v>45657</v>
      </c>
      <c r="V497" s="27" t="s">
        <v>9308</v>
      </c>
      <c r="W497" s="36" t="s">
        <v>557</v>
      </c>
      <c r="X497" s="36" t="s">
        <v>880</v>
      </c>
      <c r="Y497" s="36" t="s">
        <v>242</v>
      </c>
      <c r="Z497" s="36" t="s">
        <v>856</v>
      </c>
      <c r="AA497" s="36" t="s">
        <v>862</v>
      </c>
      <c r="AB497" s="36" t="s">
        <v>861</v>
      </c>
      <c r="AC497" s="36" t="s">
        <v>863</v>
      </c>
      <c r="AD497" s="37">
        <v>2.2999999999999998</v>
      </c>
      <c r="AE497" s="36" t="s">
        <v>864</v>
      </c>
      <c r="AF497" s="36" t="s">
        <v>860</v>
      </c>
    </row>
    <row r="498" spans="2:32" ht="60" customHeight="1" x14ac:dyDescent="0.25">
      <c r="B498" s="31" t="s">
        <v>2075</v>
      </c>
      <c r="C498" s="41">
        <v>2019</v>
      </c>
      <c r="D498" s="42">
        <f t="shared" si="7"/>
        <v>2024</v>
      </c>
      <c r="E498" s="31" t="s">
        <v>126</v>
      </c>
      <c r="F498" s="31" t="s">
        <v>2076</v>
      </c>
      <c r="G498" s="31" t="s">
        <v>2077</v>
      </c>
      <c r="H498" s="31" t="s">
        <v>129</v>
      </c>
      <c r="I498" s="31" t="s">
        <v>1128</v>
      </c>
      <c r="J498" s="31" t="s">
        <v>1128</v>
      </c>
      <c r="K498" s="31" t="s">
        <v>163</v>
      </c>
      <c r="L498" s="31" t="s">
        <v>159</v>
      </c>
      <c r="M498" s="34">
        <v>0</v>
      </c>
      <c r="N498" s="34">
        <v>6637776800</v>
      </c>
      <c r="O498" s="34">
        <v>6637776800</v>
      </c>
      <c r="P498" s="31" t="s">
        <v>1127</v>
      </c>
      <c r="Q498" s="34">
        <v>14480000</v>
      </c>
      <c r="R498" s="31" t="s">
        <v>159</v>
      </c>
      <c r="S498" s="35">
        <v>43596</v>
      </c>
      <c r="T498" s="35">
        <v>43538</v>
      </c>
      <c r="U498" s="35">
        <v>45657</v>
      </c>
      <c r="V498" s="27" t="s">
        <v>9307</v>
      </c>
      <c r="W498" s="31" t="s">
        <v>557</v>
      </c>
      <c r="X498" s="31" t="s">
        <v>880</v>
      </c>
      <c r="Y498" s="31" t="s">
        <v>242</v>
      </c>
      <c r="Z498" s="31" t="s">
        <v>1033</v>
      </c>
      <c r="AA498" s="31" t="s">
        <v>1035</v>
      </c>
      <c r="AB498" s="31" t="s">
        <v>964</v>
      </c>
      <c r="AC498" s="31" t="s">
        <v>1036</v>
      </c>
      <c r="AD498" s="34">
        <v>16.600000000000001</v>
      </c>
      <c r="AE498" s="31" t="s">
        <v>902</v>
      </c>
      <c r="AF498" s="31" t="s">
        <v>860</v>
      </c>
    </row>
    <row r="499" spans="2:32" ht="60" customHeight="1" x14ac:dyDescent="0.25">
      <c r="B499" s="36" t="s">
        <v>2078</v>
      </c>
      <c r="C499" s="42">
        <v>2019</v>
      </c>
      <c r="D499" s="42">
        <f t="shared" si="7"/>
        <v>2024</v>
      </c>
      <c r="E499" s="36" t="s">
        <v>126</v>
      </c>
      <c r="F499" s="36" t="s">
        <v>1409</v>
      </c>
      <c r="G499" s="36" t="s">
        <v>2079</v>
      </c>
      <c r="H499" s="36" t="s">
        <v>129</v>
      </c>
      <c r="I499" s="36" t="s">
        <v>1128</v>
      </c>
      <c r="J499" s="36" t="s">
        <v>1128</v>
      </c>
      <c r="K499" s="36" t="s">
        <v>245</v>
      </c>
      <c r="L499" s="36" t="s">
        <v>159</v>
      </c>
      <c r="M499" s="37">
        <v>0</v>
      </c>
      <c r="N499" s="37">
        <v>8228459500</v>
      </c>
      <c r="O499" s="37">
        <v>8228459500</v>
      </c>
      <c r="P499" s="36" t="s">
        <v>1127</v>
      </c>
      <c r="Q499" s="37">
        <v>17950000</v>
      </c>
      <c r="R499" s="36" t="s">
        <v>159</v>
      </c>
      <c r="S499" s="38">
        <v>43596</v>
      </c>
      <c r="T499" s="38">
        <v>43538</v>
      </c>
      <c r="U499" s="38">
        <v>45657</v>
      </c>
      <c r="V499" s="27" t="s">
        <v>9308</v>
      </c>
      <c r="W499" s="36" t="s">
        <v>557</v>
      </c>
      <c r="X499" s="36" t="s">
        <v>880</v>
      </c>
      <c r="Y499" s="36" t="s">
        <v>242</v>
      </c>
      <c r="Z499" s="36" t="s">
        <v>1410</v>
      </c>
      <c r="AA499" s="36" t="s">
        <v>862</v>
      </c>
      <c r="AB499" s="36" t="s">
        <v>861</v>
      </c>
      <c r="AC499" s="36" t="s">
        <v>971</v>
      </c>
      <c r="AD499" s="37">
        <v>9.1</v>
      </c>
      <c r="AE499" s="36" t="s">
        <v>864</v>
      </c>
      <c r="AF499" s="36" t="s">
        <v>860</v>
      </c>
    </row>
    <row r="500" spans="2:32" ht="60" customHeight="1" x14ac:dyDescent="0.25">
      <c r="B500" s="31" t="s">
        <v>2080</v>
      </c>
      <c r="C500" s="41">
        <v>2019</v>
      </c>
      <c r="D500" s="42">
        <f t="shared" si="7"/>
        <v>2023</v>
      </c>
      <c r="E500" s="31" t="s">
        <v>126</v>
      </c>
      <c r="F500" s="31" t="s">
        <v>1740</v>
      </c>
      <c r="G500" s="31" t="s">
        <v>2081</v>
      </c>
      <c r="H500" s="31" t="s">
        <v>129</v>
      </c>
      <c r="I500" s="31" t="s">
        <v>1128</v>
      </c>
      <c r="J500" s="31" t="s">
        <v>1128</v>
      </c>
      <c r="K500" s="31" t="s">
        <v>216</v>
      </c>
      <c r="L500" s="31" t="s">
        <v>159</v>
      </c>
      <c r="M500" s="34">
        <v>0</v>
      </c>
      <c r="N500" s="34">
        <v>4125690000</v>
      </c>
      <c r="O500" s="34">
        <v>4125690000</v>
      </c>
      <c r="P500" s="31" t="s">
        <v>1127</v>
      </c>
      <c r="Q500" s="34">
        <v>9000000</v>
      </c>
      <c r="R500" s="31" t="s">
        <v>159</v>
      </c>
      <c r="S500" s="35">
        <v>43553</v>
      </c>
      <c r="T500" s="35">
        <v>43538</v>
      </c>
      <c r="U500" s="35">
        <v>45291</v>
      </c>
      <c r="V500" s="27" t="s">
        <v>9438</v>
      </c>
      <c r="W500" s="31" t="s">
        <v>557</v>
      </c>
      <c r="X500" s="31" t="s">
        <v>880</v>
      </c>
      <c r="Y500" s="31" t="s">
        <v>242</v>
      </c>
      <c r="Z500" s="31" t="s">
        <v>1091</v>
      </c>
      <c r="AA500" s="31" t="s">
        <v>561</v>
      </c>
      <c r="AB500" s="31" t="s">
        <v>560</v>
      </c>
      <c r="AC500" s="31" t="s">
        <v>989</v>
      </c>
      <c r="AD500" s="34">
        <v>3.8</v>
      </c>
      <c r="AE500" s="31" t="s">
        <v>902</v>
      </c>
      <c r="AF500" s="31" t="s">
        <v>860</v>
      </c>
    </row>
    <row r="501" spans="2:32" ht="60" customHeight="1" x14ac:dyDescent="0.25">
      <c r="B501" s="36" t="s">
        <v>2082</v>
      </c>
      <c r="C501" s="42">
        <v>2019</v>
      </c>
      <c r="D501" s="42">
        <f t="shared" si="7"/>
        <v>2022</v>
      </c>
      <c r="E501" s="36" t="s">
        <v>317</v>
      </c>
      <c r="F501" s="36" t="s">
        <v>2083</v>
      </c>
      <c r="G501" s="36" t="s">
        <v>2084</v>
      </c>
      <c r="H501" s="36" t="s">
        <v>129</v>
      </c>
      <c r="I501" s="36" t="s">
        <v>822</v>
      </c>
      <c r="J501" s="36" t="s">
        <v>823</v>
      </c>
      <c r="K501" s="36" t="s">
        <v>190</v>
      </c>
      <c r="L501" s="36" t="s">
        <v>159</v>
      </c>
      <c r="M501" s="37">
        <v>0</v>
      </c>
      <c r="N501" s="37">
        <v>5542150000</v>
      </c>
      <c r="O501" s="37">
        <v>5542150000</v>
      </c>
      <c r="P501" s="36" t="s">
        <v>1110</v>
      </c>
      <c r="Q501" s="37">
        <v>9950000</v>
      </c>
      <c r="R501" s="36" t="s">
        <v>159</v>
      </c>
      <c r="S501" s="38">
        <v>43636</v>
      </c>
      <c r="T501" s="38">
        <v>43538</v>
      </c>
      <c r="U501" s="38">
        <v>44926</v>
      </c>
      <c r="V501" s="27" t="s">
        <v>9396</v>
      </c>
      <c r="W501" s="36" t="s">
        <v>557</v>
      </c>
      <c r="X501" s="36" t="s">
        <v>880</v>
      </c>
      <c r="Y501" s="36" t="s">
        <v>242</v>
      </c>
      <c r="Z501" s="36" t="s">
        <v>856</v>
      </c>
      <c r="AA501" s="36" t="s">
        <v>862</v>
      </c>
      <c r="AB501" s="36" t="s">
        <v>861</v>
      </c>
      <c r="AC501" s="36" t="s">
        <v>863</v>
      </c>
      <c r="AD501" s="37">
        <v>2.2999999999999998</v>
      </c>
      <c r="AE501" s="36" t="s">
        <v>864</v>
      </c>
      <c r="AF501" s="36" t="s">
        <v>860</v>
      </c>
    </row>
    <row r="502" spans="2:32" ht="60" customHeight="1" x14ac:dyDescent="0.25">
      <c r="B502" s="31" t="s">
        <v>2085</v>
      </c>
      <c r="C502" s="41">
        <v>2019</v>
      </c>
      <c r="D502" s="42">
        <f t="shared" si="7"/>
        <v>2022</v>
      </c>
      <c r="E502" s="31" t="s">
        <v>284</v>
      </c>
      <c r="F502" s="31" t="s">
        <v>2086</v>
      </c>
      <c r="G502" s="31" t="s">
        <v>2087</v>
      </c>
      <c r="H502" s="31" t="s">
        <v>129</v>
      </c>
      <c r="I502" s="31" t="s">
        <v>822</v>
      </c>
      <c r="J502" s="31" t="s">
        <v>823</v>
      </c>
      <c r="K502" s="31" t="s">
        <v>282</v>
      </c>
      <c r="L502" s="31" t="s">
        <v>159</v>
      </c>
      <c r="M502" s="34">
        <v>0</v>
      </c>
      <c r="N502" s="34">
        <v>845597400</v>
      </c>
      <c r="O502" s="34">
        <v>845597400</v>
      </c>
      <c r="P502" s="31" t="s">
        <v>1110</v>
      </c>
      <c r="Q502" s="34">
        <v>1409329</v>
      </c>
      <c r="R502" s="31" t="s">
        <v>159</v>
      </c>
      <c r="S502" s="35">
        <v>43636</v>
      </c>
      <c r="T502" s="35">
        <v>43538</v>
      </c>
      <c r="U502" s="35">
        <v>44926</v>
      </c>
      <c r="V502" s="27" t="s">
        <v>9308</v>
      </c>
      <c r="W502" s="31" t="s">
        <v>557</v>
      </c>
      <c r="X502" s="31" t="s">
        <v>880</v>
      </c>
      <c r="Y502" s="31" t="s">
        <v>242</v>
      </c>
      <c r="Z502" s="31" t="s">
        <v>1142</v>
      </c>
      <c r="AA502" s="31" t="s">
        <v>965</v>
      </c>
      <c r="AB502" s="31" t="s">
        <v>964</v>
      </c>
      <c r="AC502" s="31" t="s">
        <v>939</v>
      </c>
      <c r="AD502" s="34">
        <v>11.3</v>
      </c>
      <c r="AE502" s="31" t="s">
        <v>902</v>
      </c>
      <c r="AF502" s="31" t="s">
        <v>860</v>
      </c>
    </row>
    <row r="503" spans="2:32" ht="60" customHeight="1" x14ac:dyDescent="0.25">
      <c r="B503" s="36" t="s">
        <v>2088</v>
      </c>
      <c r="C503" s="42">
        <v>2019</v>
      </c>
      <c r="D503" s="42">
        <f t="shared" si="7"/>
        <v>2022</v>
      </c>
      <c r="E503" s="36" t="s">
        <v>317</v>
      </c>
      <c r="F503" s="36" t="s">
        <v>2089</v>
      </c>
      <c r="G503" s="36" t="s">
        <v>2090</v>
      </c>
      <c r="H503" s="36" t="s">
        <v>129</v>
      </c>
      <c r="I503" s="36" t="s">
        <v>822</v>
      </c>
      <c r="J503" s="36" t="s">
        <v>823</v>
      </c>
      <c r="K503" s="36" t="s">
        <v>190</v>
      </c>
      <c r="L503" s="36" t="s">
        <v>159</v>
      </c>
      <c r="M503" s="37">
        <v>0</v>
      </c>
      <c r="N503" s="37">
        <v>899295600</v>
      </c>
      <c r="O503" s="37">
        <v>899295600</v>
      </c>
      <c r="P503" s="36" t="s">
        <v>1110</v>
      </c>
      <c r="Q503" s="37">
        <v>1498826</v>
      </c>
      <c r="R503" s="36" t="s">
        <v>159</v>
      </c>
      <c r="S503" s="38">
        <v>43560</v>
      </c>
      <c r="T503" s="38">
        <v>43538</v>
      </c>
      <c r="U503" s="38">
        <v>44926</v>
      </c>
      <c r="V503" s="27" t="s">
        <v>9396</v>
      </c>
      <c r="W503" s="36" t="s">
        <v>557</v>
      </c>
      <c r="X503" s="36" t="s">
        <v>880</v>
      </c>
      <c r="Y503" s="36" t="s">
        <v>242</v>
      </c>
      <c r="Z503" s="36" t="s">
        <v>856</v>
      </c>
      <c r="AA503" s="36" t="s">
        <v>862</v>
      </c>
      <c r="AB503" s="36" t="s">
        <v>861</v>
      </c>
      <c r="AC503" s="36" t="s">
        <v>863</v>
      </c>
      <c r="AD503" s="37">
        <v>2.2999999999999998</v>
      </c>
      <c r="AE503" s="36" t="s">
        <v>864</v>
      </c>
      <c r="AF503" s="36" t="s">
        <v>860</v>
      </c>
    </row>
    <row r="504" spans="2:32" ht="60" customHeight="1" x14ac:dyDescent="0.25">
      <c r="B504" s="31" t="s">
        <v>2091</v>
      </c>
      <c r="C504" s="41">
        <v>2019</v>
      </c>
      <c r="D504" s="42">
        <f t="shared" si="7"/>
        <v>2022</v>
      </c>
      <c r="E504" s="31" t="s">
        <v>170</v>
      </c>
      <c r="F504" s="31" t="s">
        <v>1744</v>
      </c>
      <c r="G504" s="31" t="s">
        <v>2092</v>
      </c>
      <c r="H504" s="31" t="s">
        <v>129</v>
      </c>
      <c r="I504" s="31" t="s">
        <v>822</v>
      </c>
      <c r="J504" s="31" t="s">
        <v>823</v>
      </c>
      <c r="K504" s="31" t="s">
        <v>526</v>
      </c>
      <c r="L504" s="31" t="s">
        <v>159</v>
      </c>
      <c r="M504" s="34">
        <v>0</v>
      </c>
      <c r="N504" s="34">
        <v>500152800</v>
      </c>
      <c r="O504" s="34">
        <v>500152800</v>
      </c>
      <c r="P504" s="31" t="s">
        <v>1110</v>
      </c>
      <c r="Q504" s="34">
        <v>833588</v>
      </c>
      <c r="R504" s="31" t="s">
        <v>159</v>
      </c>
      <c r="S504" s="35">
        <v>43538</v>
      </c>
      <c r="T504" s="35">
        <v>43504</v>
      </c>
      <c r="U504" s="35">
        <v>44926</v>
      </c>
      <c r="V504" s="27" t="s">
        <v>9396</v>
      </c>
      <c r="W504" s="31" t="s">
        <v>557</v>
      </c>
      <c r="X504" s="31" t="s">
        <v>880</v>
      </c>
      <c r="Y504" s="31" t="s">
        <v>242</v>
      </c>
      <c r="Z504" s="31" t="s">
        <v>1131</v>
      </c>
      <c r="AA504" s="31" t="s">
        <v>561</v>
      </c>
      <c r="AB504" s="31" t="s">
        <v>560</v>
      </c>
      <c r="AC504" s="31" t="s">
        <v>1022</v>
      </c>
      <c r="AD504" s="34">
        <v>1.3</v>
      </c>
      <c r="AE504" s="31" t="s">
        <v>902</v>
      </c>
      <c r="AF504" s="31" t="s">
        <v>860</v>
      </c>
    </row>
    <row r="505" spans="2:32" ht="75" customHeight="1" x14ac:dyDescent="0.25">
      <c r="B505" s="36" t="s">
        <v>2093</v>
      </c>
      <c r="C505" s="42">
        <v>2019</v>
      </c>
      <c r="D505" s="42">
        <f t="shared" si="7"/>
        <v>2020</v>
      </c>
      <c r="E505" s="36" t="s">
        <v>1335</v>
      </c>
      <c r="F505" s="36" t="s">
        <v>2094</v>
      </c>
      <c r="G505" s="36" t="s">
        <v>2095</v>
      </c>
      <c r="H505" s="36" t="s">
        <v>172</v>
      </c>
      <c r="I505" s="36" t="s">
        <v>2096</v>
      </c>
      <c r="J505" s="36" t="s">
        <v>2097</v>
      </c>
      <c r="K505" s="36" t="s">
        <v>163</v>
      </c>
      <c r="L505" s="36" t="s">
        <v>159</v>
      </c>
      <c r="M505" s="37">
        <v>0</v>
      </c>
      <c r="N505" s="37">
        <v>12375000000</v>
      </c>
      <c r="O505" s="37">
        <v>12375000000</v>
      </c>
      <c r="P505" s="36" t="s">
        <v>624</v>
      </c>
      <c r="Q505" s="37">
        <v>22500000</v>
      </c>
      <c r="R505" s="36" t="s">
        <v>1252</v>
      </c>
      <c r="S505" s="38">
        <v>43549</v>
      </c>
      <c r="T505" s="38">
        <v>43538</v>
      </c>
      <c r="U505" s="38">
        <v>44196</v>
      </c>
      <c r="V505" s="27" t="s">
        <v>9308</v>
      </c>
      <c r="W505" s="36" t="s">
        <v>557</v>
      </c>
      <c r="X505" s="36" t="s">
        <v>880</v>
      </c>
      <c r="Y505" s="36" t="s">
        <v>125</v>
      </c>
      <c r="Z505" s="36" t="s">
        <v>1033</v>
      </c>
      <c r="AA505" s="36" t="s">
        <v>1046</v>
      </c>
      <c r="AB505" s="36" t="s">
        <v>861</v>
      </c>
      <c r="AC505" s="36" t="s">
        <v>1036</v>
      </c>
      <c r="AD505" s="37">
        <v>16.600000000000001</v>
      </c>
      <c r="AE505" s="36" t="s">
        <v>902</v>
      </c>
      <c r="AF505" s="36" t="s">
        <v>860</v>
      </c>
    </row>
    <row r="506" spans="2:32" ht="60" customHeight="1" x14ac:dyDescent="0.25">
      <c r="B506" s="31" t="s">
        <v>2098</v>
      </c>
      <c r="C506" s="41">
        <v>2019</v>
      </c>
      <c r="D506" s="42">
        <f t="shared" si="7"/>
        <v>2021</v>
      </c>
      <c r="E506" s="31" t="s">
        <v>126</v>
      </c>
      <c r="F506" s="31" t="s">
        <v>2099</v>
      </c>
      <c r="G506" s="31" t="s">
        <v>2100</v>
      </c>
      <c r="H506" s="31" t="s">
        <v>172</v>
      </c>
      <c r="I506" s="31" t="s">
        <v>1148</v>
      </c>
      <c r="J506" s="31" t="s">
        <v>1148</v>
      </c>
      <c r="K506" s="31" t="s">
        <v>315</v>
      </c>
      <c r="L506" s="31" t="s">
        <v>159</v>
      </c>
      <c r="M506" s="34">
        <v>0</v>
      </c>
      <c r="N506" s="34">
        <v>95936614</v>
      </c>
      <c r="O506" s="34">
        <v>95936614</v>
      </c>
      <c r="P506" s="31" t="s">
        <v>136</v>
      </c>
      <c r="Q506" s="34">
        <v>95936614</v>
      </c>
      <c r="R506" s="31" t="s">
        <v>159</v>
      </c>
      <c r="S506" s="35">
        <v>43552</v>
      </c>
      <c r="T506" s="35">
        <v>43538</v>
      </c>
      <c r="U506" s="35">
        <v>44561</v>
      </c>
      <c r="V506" s="27" t="s">
        <v>9417</v>
      </c>
      <c r="W506" s="31" t="s">
        <v>557</v>
      </c>
      <c r="X506" s="31" t="s">
        <v>880</v>
      </c>
      <c r="Y506" s="31" t="s">
        <v>242</v>
      </c>
      <c r="Z506" s="31" t="s">
        <v>1146</v>
      </c>
      <c r="AA506" s="31" t="s">
        <v>900</v>
      </c>
      <c r="AB506" s="31" t="s">
        <v>861</v>
      </c>
      <c r="AC506" s="31" t="s">
        <v>901</v>
      </c>
      <c r="AD506" s="34">
        <v>4.0999999999999996</v>
      </c>
      <c r="AE506" s="31" t="s">
        <v>902</v>
      </c>
      <c r="AF506" s="31" t="s">
        <v>860</v>
      </c>
    </row>
    <row r="507" spans="2:32" ht="60" customHeight="1" x14ac:dyDescent="0.25">
      <c r="B507" s="36" t="s">
        <v>2101</v>
      </c>
      <c r="C507" s="42">
        <v>2019</v>
      </c>
      <c r="D507" s="42">
        <f t="shared" si="7"/>
        <v>2021</v>
      </c>
      <c r="E507" s="36" t="s">
        <v>126</v>
      </c>
      <c r="F507" s="36" t="s">
        <v>2102</v>
      </c>
      <c r="G507" s="36" t="s">
        <v>2103</v>
      </c>
      <c r="H507" s="36" t="s">
        <v>172</v>
      </c>
      <c r="I507" s="36" t="s">
        <v>1148</v>
      </c>
      <c r="J507" s="36" t="s">
        <v>1148</v>
      </c>
      <c r="K507" s="36" t="s">
        <v>216</v>
      </c>
      <c r="L507" s="36" t="s">
        <v>159</v>
      </c>
      <c r="M507" s="37">
        <v>0</v>
      </c>
      <c r="N507" s="37">
        <v>57026933</v>
      </c>
      <c r="O507" s="37">
        <v>57026933</v>
      </c>
      <c r="P507" s="36" t="s">
        <v>136</v>
      </c>
      <c r="Q507" s="37">
        <v>57026933</v>
      </c>
      <c r="R507" s="36" t="s">
        <v>159</v>
      </c>
      <c r="S507" s="38">
        <v>43552</v>
      </c>
      <c r="T507" s="38">
        <v>43538</v>
      </c>
      <c r="U507" s="38">
        <v>44561</v>
      </c>
      <c r="V507" s="27" t="s">
        <v>9452</v>
      </c>
      <c r="W507" s="36" t="s">
        <v>557</v>
      </c>
      <c r="X507" s="36" t="s">
        <v>880</v>
      </c>
      <c r="Y507" s="36" t="s">
        <v>242</v>
      </c>
      <c r="Z507" s="36" t="s">
        <v>1025</v>
      </c>
      <c r="AA507" s="36" t="s">
        <v>561</v>
      </c>
      <c r="AB507" s="36" t="s">
        <v>560</v>
      </c>
      <c r="AC507" s="36" t="s">
        <v>989</v>
      </c>
      <c r="AD507" s="37">
        <v>3.8</v>
      </c>
      <c r="AE507" s="36" t="s">
        <v>902</v>
      </c>
      <c r="AF507" s="36" t="s">
        <v>860</v>
      </c>
    </row>
    <row r="508" spans="2:32" ht="60" customHeight="1" x14ac:dyDescent="0.25">
      <c r="B508" s="31" t="s">
        <v>2106</v>
      </c>
      <c r="C508" s="41">
        <v>2019</v>
      </c>
      <c r="D508" s="42">
        <f t="shared" si="7"/>
        <v>2024</v>
      </c>
      <c r="E508" s="31" t="s">
        <v>126</v>
      </c>
      <c r="F508" s="31" t="s">
        <v>2107</v>
      </c>
      <c r="G508" s="31" t="s">
        <v>2108</v>
      </c>
      <c r="H508" s="31" t="s">
        <v>172</v>
      </c>
      <c r="I508" s="31" t="s">
        <v>1148</v>
      </c>
      <c r="J508" s="31" t="s">
        <v>1148</v>
      </c>
      <c r="K508" s="31" t="s">
        <v>118</v>
      </c>
      <c r="L508" s="31" t="s">
        <v>127</v>
      </c>
      <c r="M508" s="34">
        <v>19678799998</v>
      </c>
      <c r="N508" s="34">
        <v>0</v>
      </c>
      <c r="O508" s="34">
        <v>19678799998</v>
      </c>
      <c r="P508" s="31" t="s">
        <v>624</v>
      </c>
      <c r="Q508" s="34">
        <v>35779636.359999999</v>
      </c>
      <c r="R508" s="31" t="s">
        <v>150</v>
      </c>
      <c r="S508" s="35">
        <v>43753</v>
      </c>
      <c r="T508" s="35">
        <v>43538</v>
      </c>
      <c r="U508" s="35">
        <v>45657</v>
      </c>
      <c r="V508" s="27" t="s">
        <v>9405</v>
      </c>
      <c r="W508" s="31" t="s">
        <v>557</v>
      </c>
      <c r="X508" s="31" t="s">
        <v>558</v>
      </c>
      <c r="Y508" s="31" t="s">
        <v>242</v>
      </c>
      <c r="Z508" s="31" t="s">
        <v>1171</v>
      </c>
      <c r="AA508" s="31" t="s">
        <v>862</v>
      </c>
      <c r="AB508" s="31" t="s">
        <v>861</v>
      </c>
      <c r="AC508" s="31" t="s">
        <v>1173</v>
      </c>
      <c r="AD508" s="34">
        <v>7.1</v>
      </c>
      <c r="AE508" s="31" t="s">
        <v>864</v>
      </c>
      <c r="AF508" s="31" t="s">
        <v>860</v>
      </c>
    </row>
    <row r="509" spans="2:32" ht="60" customHeight="1" x14ac:dyDescent="0.25">
      <c r="B509" s="36" t="s">
        <v>2109</v>
      </c>
      <c r="C509" s="42">
        <v>2019</v>
      </c>
      <c r="D509" s="42">
        <f t="shared" si="7"/>
        <v>2023</v>
      </c>
      <c r="E509" s="36" t="s">
        <v>126</v>
      </c>
      <c r="F509" s="36" t="s">
        <v>2110</v>
      </c>
      <c r="G509" s="36" t="s">
        <v>2111</v>
      </c>
      <c r="H509" s="36" t="s">
        <v>129</v>
      </c>
      <c r="I509" s="36" t="s">
        <v>1515</v>
      </c>
      <c r="J509" s="36" t="s">
        <v>1516</v>
      </c>
      <c r="K509" s="36" t="s">
        <v>190</v>
      </c>
      <c r="L509" s="36" t="s">
        <v>127</v>
      </c>
      <c r="M509" s="37">
        <v>6690671400</v>
      </c>
      <c r="N509" s="37">
        <v>0</v>
      </c>
      <c r="O509" s="37">
        <v>6690671400</v>
      </c>
      <c r="P509" s="36" t="s">
        <v>624</v>
      </c>
      <c r="Q509" s="37">
        <v>12164857.09</v>
      </c>
      <c r="R509" s="36" t="s">
        <v>150</v>
      </c>
      <c r="S509" s="38">
        <v>43596</v>
      </c>
      <c r="T509" s="38">
        <v>43511</v>
      </c>
      <c r="U509" s="38">
        <v>45291</v>
      </c>
      <c r="V509" s="27" t="s">
        <v>9308</v>
      </c>
      <c r="W509" s="36" t="s">
        <v>557</v>
      </c>
      <c r="X509" s="36" t="s">
        <v>558</v>
      </c>
      <c r="Y509" s="36" t="s">
        <v>242</v>
      </c>
      <c r="Z509" s="36" t="s">
        <v>1453</v>
      </c>
      <c r="AA509" s="36" t="s">
        <v>862</v>
      </c>
      <c r="AB509" s="36" t="s">
        <v>861</v>
      </c>
      <c r="AC509" s="36" t="s">
        <v>863</v>
      </c>
      <c r="AD509" s="37">
        <v>2.2999999999999998</v>
      </c>
      <c r="AE509" s="36" t="s">
        <v>864</v>
      </c>
      <c r="AF509" s="36" t="s">
        <v>860</v>
      </c>
    </row>
    <row r="510" spans="2:32" ht="60" customHeight="1" x14ac:dyDescent="0.25">
      <c r="B510" s="31" t="s">
        <v>2112</v>
      </c>
      <c r="C510" s="41">
        <v>2019</v>
      </c>
      <c r="D510" s="42">
        <f t="shared" si="7"/>
        <v>2022</v>
      </c>
      <c r="E510" s="31" t="s">
        <v>170</v>
      </c>
      <c r="F510" s="31" t="s">
        <v>2113</v>
      </c>
      <c r="G510" s="31" t="s">
        <v>2114</v>
      </c>
      <c r="H510" s="31" t="s">
        <v>172</v>
      </c>
      <c r="I510" s="31" t="s">
        <v>1010</v>
      </c>
      <c r="J510" s="31" t="s">
        <v>1011</v>
      </c>
      <c r="K510" s="31" t="s">
        <v>216</v>
      </c>
      <c r="L510" s="31" t="s">
        <v>159</v>
      </c>
      <c r="M510" s="34">
        <v>0</v>
      </c>
      <c r="N510" s="34">
        <v>106596820</v>
      </c>
      <c r="O510" s="34">
        <v>106596820</v>
      </c>
      <c r="P510" s="31" t="s">
        <v>624</v>
      </c>
      <c r="Q510" s="34">
        <v>193812.4</v>
      </c>
      <c r="R510" s="31" t="s">
        <v>159</v>
      </c>
      <c r="S510" s="35">
        <v>43466</v>
      </c>
      <c r="T510" s="35">
        <v>43538</v>
      </c>
      <c r="U510" s="35">
        <v>44926</v>
      </c>
      <c r="V510" s="27" t="s">
        <v>9307</v>
      </c>
      <c r="W510" s="31" t="s">
        <v>557</v>
      </c>
      <c r="X510" s="31" t="s">
        <v>880</v>
      </c>
      <c r="Y510" s="31" t="s">
        <v>125</v>
      </c>
      <c r="Z510" s="31" t="s">
        <v>1064</v>
      </c>
      <c r="AA510" s="31" t="s">
        <v>561</v>
      </c>
      <c r="AB510" s="31" t="s">
        <v>560</v>
      </c>
      <c r="AC510" s="31" t="s">
        <v>989</v>
      </c>
      <c r="AD510" s="34">
        <v>3.8</v>
      </c>
      <c r="AE510" s="31" t="s">
        <v>902</v>
      </c>
      <c r="AF510" s="31" t="s">
        <v>860</v>
      </c>
    </row>
    <row r="511" spans="2:32" ht="60" customHeight="1" x14ac:dyDescent="0.25">
      <c r="B511" s="36" t="s">
        <v>2115</v>
      </c>
      <c r="C511" s="42">
        <v>2019</v>
      </c>
      <c r="D511" s="42">
        <f t="shared" si="7"/>
        <v>2022</v>
      </c>
      <c r="E511" s="36" t="s">
        <v>126</v>
      </c>
      <c r="F511" s="36" t="s">
        <v>1083</v>
      </c>
      <c r="G511" s="36" t="s">
        <v>2116</v>
      </c>
      <c r="H511" s="36" t="s">
        <v>172</v>
      </c>
      <c r="I511" s="36" t="s">
        <v>1010</v>
      </c>
      <c r="J511" s="36" t="s">
        <v>1011</v>
      </c>
      <c r="K511" s="36" t="s">
        <v>216</v>
      </c>
      <c r="L511" s="36" t="s">
        <v>159</v>
      </c>
      <c r="M511" s="37">
        <v>0</v>
      </c>
      <c r="N511" s="37">
        <v>32200262</v>
      </c>
      <c r="O511" s="37">
        <v>32200262</v>
      </c>
      <c r="P511" s="36" t="s">
        <v>624</v>
      </c>
      <c r="Q511" s="37">
        <v>58545.93</v>
      </c>
      <c r="R511" s="36" t="s">
        <v>159</v>
      </c>
      <c r="S511" s="38">
        <v>43538</v>
      </c>
      <c r="T511" s="38">
        <v>43504</v>
      </c>
      <c r="U511" s="38">
        <v>44926</v>
      </c>
      <c r="V511" s="27" t="s">
        <v>9308</v>
      </c>
      <c r="W511" s="36" t="s">
        <v>557</v>
      </c>
      <c r="X511" s="36" t="s">
        <v>880</v>
      </c>
      <c r="Y511" s="36" t="s">
        <v>125</v>
      </c>
      <c r="Z511" s="36" t="s">
        <v>1025</v>
      </c>
      <c r="AA511" s="36" t="s">
        <v>561</v>
      </c>
      <c r="AB511" s="36" t="s">
        <v>560</v>
      </c>
      <c r="AC511" s="36" t="s">
        <v>989</v>
      </c>
      <c r="AD511" s="37">
        <v>3.8</v>
      </c>
      <c r="AE511" s="36" t="s">
        <v>902</v>
      </c>
      <c r="AF511" s="36" t="s">
        <v>860</v>
      </c>
    </row>
    <row r="512" spans="2:32" ht="60" customHeight="1" x14ac:dyDescent="0.25">
      <c r="B512" s="31" t="s">
        <v>2117</v>
      </c>
      <c r="C512" s="41">
        <v>2019</v>
      </c>
      <c r="D512" s="42">
        <f t="shared" si="7"/>
        <v>2020</v>
      </c>
      <c r="E512" s="31" t="s">
        <v>317</v>
      </c>
      <c r="F512" s="31" t="s">
        <v>2118</v>
      </c>
      <c r="G512" s="31" t="s">
        <v>2119</v>
      </c>
      <c r="H512" s="31" t="s">
        <v>172</v>
      </c>
      <c r="I512" s="31" t="s">
        <v>1010</v>
      </c>
      <c r="J512" s="31" t="s">
        <v>1011</v>
      </c>
      <c r="K512" s="31" t="s">
        <v>216</v>
      </c>
      <c r="L512" s="31" t="s">
        <v>159</v>
      </c>
      <c r="M512" s="34">
        <v>0</v>
      </c>
      <c r="N512" s="34">
        <v>1679437100</v>
      </c>
      <c r="O512" s="34">
        <v>1679437100</v>
      </c>
      <c r="P512" s="31" t="s">
        <v>624</v>
      </c>
      <c r="Q512" s="34">
        <v>3053522</v>
      </c>
      <c r="R512" s="31" t="s">
        <v>159</v>
      </c>
      <c r="S512" s="35">
        <v>43538</v>
      </c>
      <c r="T512" s="35">
        <v>43504</v>
      </c>
      <c r="U512" s="35">
        <v>44196</v>
      </c>
      <c r="V512" s="27" t="s">
        <v>9308</v>
      </c>
      <c r="W512" s="31" t="s">
        <v>557</v>
      </c>
      <c r="X512" s="31" t="s">
        <v>880</v>
      </c>
      <c r="Y512" s="31" t="s">
        <v>125</v>
      </c>
      <c r="Z512" s="31" t="s">
        <v>1103</v>
      </c>
      <c r="AA512" s="31" t="s">
        <v>561</v>
      </c>
      <c r="AB512" s="31" t="s">
        <v>560</v>
      </c>
      <c r="AC512" s="31" t="s">
        <v>989</v>
      </c>
      <c r="AD512" s="34">
        <v>3.8</v>
      </c>
      <c r="AE512" s="31" t="s">
        <v>902</v>
      </c>
      <c r="AF512" s="31" t="s">
        <v>860</v>
      </c>
    </row>
    <row r="513" spans="2:32" ht="60" customHeight="1" x14ac:dyDescent="0.25">
      <c r="B513" s="36" t="s">
        <v>2120</v>
      </c>
      <c r="C513" s="42">
        <v>2019</v>
      </c>
      <c r="D513" s="42">
        <f t="shared" si="7"/>
        <v>2022</v>
      </c>
      <c r="E513" s="36" t="s">
        <v>317</v>
      </c>
      <c r="F513" s="36" t="s">
        <v>2121</v>
      </c>
      <c r="G513" s="36" t="s">
        <v>2122</v>
      </c>
      <c r="H513" s="36" t="s">
        <v>172</v>
      </c>
      <c r="I513" s="36" t="s">
        <v>1010</v>
      </c>
      <c r="J513" s="36" t="s">
        <v>1011</v>
      </c>
      <c r="K513" s="36" t="s">
        <v>190</v>
      </c>
      <c r="L513" s="36" t="s">
        <v>159</v>
      </c>
      <c r="M513" s="37">
        <v>0</v>
      </c>
      <c r="N513" s="37">
        <v>14300000000</v>
      </c>
      <c r="O513" s="37">
        <v>14300000000</v>
      </c>
      <c r="P513" s="36" t="s">
        <v>624</v>
      </c>
      <c r="Q513" s="37">
        <v>26000000</v>
      </c>
      <c r="R513" s="36" t="s">
        <v>159</v>
      </c>
      <c r="S513" s="38">
        <v>43538</v>
      </c>
      <c r="T513" s="38">
        <v>43504</v>
      </c>
      <c r="U513" s="38">
        <v>44926</v>
      </c>
      <c r="V513" s="27" t="s">
        <v>9308</v>
      </c>
      <c r="W513" s="36" t="s">
        <v>557</v>
      </c>
      <c r="X513" s="36" t="s">
        <v>880</v>
      </c>
      <c r="Y513" s="36" t="s">
        <v>125</v>
      </c>
      <c r="Z513" s="36" t="s">
        <v>974</v>
      </c>
      <c r="AA513" s="36" t="s">
        <v>862</v>
      </c>
      <c r="AB513" s="36" t="s">
        <v>861</v>
      </c>
      <c r="AC513" s="36" t="s">
        <v>863</v>
      </c>
      <c r="AD513" s="37">
        <v>2.2999999999999998</v>
      </c>
      <c r="AE513" s="36" t="s">
        <v>864</v>
      </c>
      <c r="AF513" s="36" t="s">
        <v>860</v>
      </c>
    </row>
    <row r="514" spans="2:32" ht="60" customHeight="1" x14ac:dyDescent="0.25">
      <c r="B514" s="31" t="s">
        <v>2123</v>
      </c>
      <c r="C514" s="41">
        <v>2019</v>
      </c>
      <c r="D514" s="42">
        <f t="shared" si="7"/>
        <v>2022</v>
      </c>
      <c r="E514" s="31" t="s">
        <v>126</v>
      </c>
      <c r="F514" s="31" t="s">
        <v>2124</v>
      </c>
      <c r="G514" s="31" t="s">
        <v>2125</v>
      </c>
      <c r="H514" s="31" t="s">
        <v>172</v>
      </c>
      <c r="I514" s="31" t="s">
        <v>1010</v>
      </c>
      <c r="J514" s="31" t="s">
        <v>1011</v>
      </c>
      <c r="K514" s="31" t="s">
        <v>216</v>
      </c>
      <c r="L514" s="31" t="s">
        <v>159</v>
      </c>
      <c r="M514" s="34">
        <v>0</v>
      </c>
      <c r="N514" s="34">
        <v>31885150</v>
      </c>
      <c r="O514" s="34">
        <v>31885150</v>
      </c>
      <c r="P514" s="31" t="s">
        <v>624</v>
      </c>
      <c r="Q514" s="34">
        <v>57973</v>
      </c>
      <c r="R514" s="31" t="s">
        <v>159</v>
      </c>
      <c r="S514" s="35">
        <v>43538</v>
      </c>
      <c r="T514" s="35">
        <v>43504</v>
      </c>
      <c r="U514" s="35">
        <v>44926</v>
      </c>
      <c r="V514" s="27" t="s">
        <v>9308</v>
      </c>
      <c r="W514" s="31" t="s">
        <v>557</v>
      </c>
      <c r="X514" s="31" t="s">
        <v>880</v>
      </c>
      <c r="Y514" s="31" t="s">
        <v>125</v>
      </c>
      <c r="Z514" s="31" t="s">
        <v>1091</v>
      </c>
      <c r="AA514" s="31" t="s">
        <v>561</v>
      </c>
      <c r="AB514" s="31" t="s">
        <v>560</v>
      </c>
      <c r="AC514" s="31" t="s">
        <v>989</v>
      </c>
      <c r="AD514" s="34">
        <v>3.8</v>
      </c>
      <c r="AE514" s="31" t="s">
        <v>902</v>
      </c>
      <c r="AF514" s="31" t="s">
        <v>860</v>
      </c>
    </row>
    <row r="515" spans="2:32" ht="60" customHeight="1" x14ac:dyDescent="0.25">
      <c r="B515" s="36" t="s">
        <v>2126</v>
      </c>
      <c r="C515" s="42">
        <v>2019</v>
      </c>
      <c r="D515" s="42">
        <f t="shared" si="7"/>
        <v>2022</v>
      </c>
      <c r="E515" s="36" t="s">
        <v>170</v>
      </c>
      <c r="F515" s="36" t="s">
        <v>1413</v>
      </c>
      <c r="G515" s="36" t="s">
        <v>2127</v>
      </c>
      <c r="H515" s="36" t="s">
        <v>172</v>
      </c>
      <c r="I515" s="36" t="s">
        <v>1010</v>
      </c>
      <c r="J515" s="36" t="s">
        <v>1011</v>
      </c>
      <c r="K515" s="36" t="s">
        <v>216</v>
      </c>
      <c r="L515" s="36" t="s">
        <v>159</v>
      </c>
      <c r="M515" s="37">
        <v>0</v>
      </c>
      <c r="N515" s="37">
        <v>84604850</v>
      </c>
      <c r="O515" s="37">
        <v>84604850</v>
      </c>
      <c r="P515" s="36" t="s">
        <v>624</v>
      </c>
      <c r="Q515" s="37">
        <v>153827</v>
      </c>
      <c r="R515" s="36" t="s">
        <v>159</v>
      </c>
      <c r="S515" s="38">
        <v>43570</v>
      </c>
      <c r="T515" s="38">
        <v>43538</v>
      </c>
      <c r="U515" s="38">
        <v>44926</v>
      </c>
      <c r="V515" s="27" t="s">
        <v>9307</v>
      </c>
      <c r="W515" s="36" t="s">
        <v>557</v>
      </c>
      <c r="X515" s="36" t="s">
        <v>880</v>
      </c>
      <c r="Y515" s="36" t="s">
        <v>125</v>
      </c>
      <c r="Z515" s="36" t="s">
        <v>1414</v>
      </c>
      <c r="AA515" s="36" t="s">
        <v>561</v>
      </c>
      <c r="AB515" s="36" t="s">
        <v>560</v>
      </c>
      <c r="AC515" s="36" t="s">
        <v>989</v>
      </c>
      <c r="AD515" s="37">
        <v>3.8</v>
      </c>
      <c r="AE515" s="36" t="s">
        <v>902</v>
      </c>
      <c r="AF515" s="36" t="s">
        <v>860</v>
      </c>
    </row>
    <row r="516" spans="2:32" ht="60" customHeight="1" x14ac:dyDescent="0.25">
      <c r="B516" s="31" t="s">
        <v>2128</v>
      </c>
      <c r="C516" s="41">
        <v>2019</v>
      </c>
      <c r="D516" s="42">
        <f t="shared" si="7"/>
        <v>2022</v>
      </c>
      <c r="E516" s="31" t="s">
        <v>126</v>
      </c>
      <c r="F516" s="31" t="s">
        <v>1747</v>
      </c>
      <c r="G516" s="31" t="s">
        <v>2129</v>
      </c>
      <c r="H516" s="31" t="s">
        <v>172</v>
      </c>
      <c r="I516" s="31" t="s">
        <v>1010</v>
      </c>
      <c r="J516" s="31" t="s">
        <v>1011</v>
      </c>
      <c r="K516" s="31" t="s">
        <v>118</v>
      </c>
      <c r="L516" s="31" t="s">
        <v>159</v>
      </c>
      <c r="M516" s="34">
        <v>0</v>
      </c>
      <c r="N516" s="34">
        <v>2404931100</v>
      </c>
      <c r="O516" s="34">
        <v>2404931100</v>
      </c>
      <c r="P516" s="31" t="s">
        <v>624</v>
      </c>
      <c r="Q516" s="34">
        <v>4372602</v>
      </c>
      <c r="R516" s="31" t="s">
        <v>159</v>
      </c>
      <c r="S516" s="35">
        <v>43570</v>
      </c>
      <c r="T516" s="35">
        <v>43538</v>
      </c>
      <c r="U516" s="35">
        <v>44926</v>
      </c>
      <c r="V516" s="27" t="s">
        <v>9439</v>
      </c>
      <c r="W516" s="31" t="s">
        <v>557</v>
      </c>
      <c r="X516" s="31" t="s">
        <v>880</v>
      </c>
      <c r="Y516" s="31" t="s">
        <v>125</v>
      </c>
      <c r="Z516" s="31" t="s">
        <v>1171</v>
      </c>
      <c r="AA516" s="31" t="s">
        <v>862</v>
      </c>
      <c r="AB516" s="31" t="s">
        <v>861</v>
      </c>
      <c r="AC516" s="31" t="s">
        <v>1173</v>
      </c>
      <c r="AD516" s="34">
        <v>7.1</v>
      </c>
      <c r="AE516" s="31" t="s">
        <v>864</v>
      </c>
      <c r="AF516" s="31" t="s">
        <v>860</v>
      </c>
    </row>
    <row r="517" spans="2:32" ht="75" customHeight="1" x14ac:dyDescent="0.25">
      <c r="B517" s="36" t="s">
        <v>2130</v>
      </c>
      <c r="C517" s="42">
        <v>2019</v>
      </c>
      <c r="D517" s="42">
        <f t="shared" si="7"/>
        <v>2022</v>
      </c>
      <c r="E517" s="36" t="s">
        <v>126</v>
      </c>
      <c r="F517" s="36" t="s">
        <v>2131</v>
      </c>
      <c r="G517" s="36" t="s">
        <v>2133</v>
      </c>
      <c r="H517" s="36" t="s">
        <v>129</v>
      </c>
      <c r="I517" s="36" t="s">
        <v>1010</v>
      </c>
      <c r="J517" s="36" t="s">
        <v>1011</v>
      </c>
      <c r="K517" s="36" t="s">
        <v>245</v>
      </c>
      <c r="L517" s="36" t="s">
        <v>159</v>
      </c>
      <c r="M517" s="37">
        <v>0</v>
      </c>
      <c r="N517" s="37">
        <v>16605120</v>
      </c>
      <c r="O517" s="37">
        <v>16605120</v>
      </c>
      <c r="P517" s="36" t="s">
        <v>136</v>
      </c>
      <c r="Q517" s="37">
        <v>16605120</v>
      </c>
      <c r="R517" s="36" t="s">
        <v>159</v>
      </c>
      <c r="S517" s="38">
        <v>43579</v>
      </c>
      <c r="T517" s="38">
        <v>43538</v>
      </c>
      <c r="U517" s="38">
        <v>44926</v>
      </c>
      <c r="V517" s="27" t="s">
        <v>9453</v>
      </c>
      <c r="W517" s="36" t="s">
        <v>557</v>
      </c>
      <c r="X517" s="36" t="s">
        <v>880</v>
      </c>
      <c r="Y517" s="36" t="s">
        <v>125</v>
      </c>
      <c r="Z517" s="36" t="s">
        <v>2132</v>
      </c>
      <c r="AA517" s="36" t="s">
        <v>862</v>
      </c>
      <c r="AB517" s="36" t="s">
        <v>861</v>
      </c>
      <c r="AC517" s="36" t="s">
        <v>971</v>
      </c>
      <c r="AD517" s="37">
        <v>9.1</v>
      </c>
      <c r="AE517" s="36" t="s">
        <v>864</v>
      </c>
      <c r="AF517" s="36" t="s">
        <v>860</v>
      </c>
    </row>
    <row r="518" spans="2:32" ht="60" customHeight="1" x14ac:dyDescent="0.25">
      <c r="B518" s="31" t="s">
        <v>2136</v>
      </c>
      <c r="C518" s="41">
        <v>2019</v>
      </c>
      <c r="D518" s="42">
        <f t="shared" si="7"/>
        <v>2021</v>
      </c>
      <c r="E518" s="31" t="s">
        <v>126</v>
      </c>
      <c r="F518" s="31" t="s">
        <v>2137</v>
      </c>
      <c r="G518" s="31" t="s">
        <v>2138</v>
      </c>
      <c r="H518" s="31" t="s">
        <v>172</v>
      </c>
      <c r="I518" s="31" t="s">
        <v>1010</v>
      </c>
      <c r="J518" s="31" t="s">
        <v>1011</v>
      </c>
      <c r="K518" s="31" t="s">
        <v>205</v>
      </c>
      <c r="L518" s="31" t="s">
        <v>159</v>
      </c>
      <c r="M518" s="34">
        <v>0</v>
      </c>
      <c r="N518" s="34">
        <v>61835068</v>
      </c>
      <c r="O518" s="34">
        <v>61835068</v>
      </c>
      <c r="P518" s="31" t="s">
        <v>136</v>
      </c>
      <c r="Q518" s="34">
        <v>61835068</v>
      </c>
      <c r="R518" s="31" t="s">
        <v>159</v>
      </c>
      <c r="S518" s="35">
        <v>43570</v>
      </c>
      <c r="T518" s="35">
        <v>43538</v>
      </c>
      <c r="U518" s="35">
        <v>44561</v>
      </c>
      <c r="V518" s="27" t="s">
        <v>9307</v>
      </c>
      <c r="W518" s="31" t="s">
        <v>557</v>
      </c>
      <c r="X518" s="31" t="s">
        <v>880</v>
      </c>
      <c r="Y518" s="31" t="s">
        <v>125</v>
      </c>
      <c r="Z518" s="31" t="s">
        <v>1006</v>
      </c>
      <c r="AA518" s="31" t="s">
        <v>1012</v>
      </c>
      <c r="AB518" s="31" t="s">
        <v>560</v>
      </c>
      <c r="AC518" s="31" t="s">
        <v>939</v>
      </c>
      <c r="AD518" s="34">
        <v>11.3</v>
      </c>
      <c r="AE518" s="31" t="s">
        <v>563</v>
      </c>
      <c r="AF518" s="31" t="s">
        <v>860</v>
      </c>
    </row>
    <row r="519" spans="2:32" ht="60" customHeight="1" x14ac:dyDescent="0.25">
      <c r="B519" s="36" t="s">
        <v>2139</v>
      </c>
      <c r="C519" s="42">
        <v>2019</v>
      </c>
      <c r="D519" s="42">
        <f t="shared" ref="D519:D582" si="8">YEAR(U519)</f>
        <v>2022</v>
      </c>
      <c r="E519" s="36" t="s">
        <v>170</v>
      </c>
      <c r="F519" s="36" t="s">
        <v>2140</v>
      </c>
      <c r="G519" s="36" t="s">
        <v>2141</v>
      </c>
      <c r="H519" s="36" t="s">
        <v>172</v>
      </c>
      <c r="I519" s="36" t="s">
        <v>1010</v>
      </c>
      <c r="J519" s="36" t="s">
        <v>1011</v>
      </c>
      <c r="K519" s="36" t="s">
        <v>369</v>
      </c>
      <c r="L519" s="36" t="s">
        <v>159</v>
      </c>
      <c r="M519" s="37">
        <v>0</v>
      </c>
      <c r="N519" s="37">
        <v>55660062.859999999</v>
      </c>
      <c r="O519" s="37">
        <v>55660062.859999999</v>
      </c>
      <c r="P519" s="36" t="s">
        <v>136</v>
      </c>
      <c r="Q519" s="37">
        <v>55660062.859999999</v>
      </c>
      <c r="R519" s="36" t="s">
        <v>171</v>
      </c>
      <c r="S519" s="38">
        <v>43579</v>
      </c>
      <c r="T519" s="38">
        <v>43538</v>
      </c>
      <c r="U519" s="38">
        <v>44926</v>
      </c>
      <c r="V519" s="27" t="s">
        <v>9307</v>
      </c>
      <c r="W519" s="36" t="s">
        <v>557</v>
      </c>
      <c r="X519" s="36" t="s">
        <v>880</v>
      </c>
      <c r="Y519" s="36" t="s">
        <v>125</v>
      </c>
      <c r="Z519" s="36" t="s">
        <v>1838</v>
      </c>
      <c r="AA519" s="36" t="s">
        <v>862</v>
      </c>
      <c r="AB519" s="36" t="s">
        <v>861</v>
      </c>
      <c r="AC519" s="36" t="s">
        <v>971</v>
      </c>
      <c r="AD519" s="37">
        <v>9.1</v>
      </c>
      <c r="AE519" s="36" t="s">
        <v>864</v>
      </c>
      <c r="AF519" s="36" t="s">
        <v>860</v>
      </c>
    </row>
    <row r="520" spans="2:32" ht="60" customHeight="1" x14ac:dyDescent="0.25">
      <c r="B520" s="31" t="s">
        <v>2142</v>
      </c>
      <c r="C520" s="41">
        <v>2019</v>
      </c>
      <c r="D520" s="42">
        <f t="shared" si="8"/>
        <v>2022</v>
      </c>
      <c r="E520" s="31" t="s">
        <v>170</v>
      </c>
      <c r="F520" s="31" t="s">
        <v>1086</v>
      </c>
      <c r="G520" s="31" t="s">
        <v>2143</v>
      </c>
      <c r="H520" s="31" t="s">
        <v>172</v>
      </c>
      <c r="I520" s="31" t="s">
        <v>1010</v>
      </c>
      <c r="J520" s="31" t="s">
        <v>1011</v>
      </c>
      <c r="K520" s="31" t="s">
        <v>163</v>
      </c>
      <c r="L520" s="31" t="s">
        <v>159</v>
      </c>
      <c r="M520" s="34">
        <v>0</v>
      </c>
      <c r="N520" s="34">
        <v>164104050</v>
      </c>
      <c r="O520" s="34">
        <v>164104050</v>
      </c>
      <c r="P520" s="31" t="s">
        <v>624</v>
      </c>
      <c r="Q520" s="34">
        <v>298371</v>
      </c>
      <c r="R520" s="31" t="s">
        <v>159</v>
      </c>
      <c r="S520" s="35">
        <v>43570</v>
      </c>
      <c r="T520" s="35">
        <v>43538</v>
      </c>
      <c r="U520" s="35">
        <v>44926</v>
      </c>
      <c r="V520" s="27" t="s">
        <v>9308</v>
      </c>
      <c r="W520" s="31" t="s">
        <v>557</v>
      </c>
      <c r="X520" s="31" t="s">
        <v>880</v>
      </c>
      <c r="Y520" s="31" t="s">
        <v>125</v>
      </c>
      <c r="Z520" s="31" t="s">
        <v>1087</v>
      </c>
      <c r="AA520" s="31" t="s">
        <v>1046</v>
      </c>
      <c r="AB520" s="31" t="s">
        <v>861</v>
      </c>
      <c r="AC520" s="31" t="s">
        <v>1036</v>
      </c>
      <c r="AD520" s="34">
        <v>16.600000000000001</v>
      </c>
      <c r="AE520" s="31" t="s">
        <v>902</v>
      </c>
      <c r="AF520" s="31" t="s">
        <v>860</v>
      </c>
    </row>
    <row r="521" spans="2:32" ht="75" customHeight="1" x14ac:dyDescent="0.25">
      <c r="B521" s="36" t="s">
        <v>2144</v>
      </c>
      <c r="C521" s="42">
        <v>2019</v>
      </c>
      <c r="D521" s="42">
        <f t="shared" si="8"/>
        <v>2022</v>
      </c>
      <c r="E521" s="36" t="s">
        <v>170</v>
      </c>
      <c r="F521" s="36" t="s">
        <v>2145</v>
      </c>
      <c r="G521" s="36" t="s">
        <v>2147</v>
      </c>
      <c r="H521" s="36" t="s">
        <v>172</v>
      </c>
      <c r="I521" s="36" t="s">
        <v>1010</v>
      </c>
      <c r="J521" s="36" t="s">
        <v>1011</v>
      </c>
      <c r="K521" s="36" t="s">
        <v>163</v>
      </c>
      <c r="L521" s="36" t="s">
        <v>159</v>
      </c>
      <c r="M521" s="37">
        <v>0</v>
      </c>
      <c r="N521" s="37">
        <v>1100000000</v>
      </c>
      <c r="O521" s="37">
        <v>1100000000</v>
      </c>
      <c r="P521" s="36" t="s">
        <v>624</v>
      </c>
      <c r="Q521" s="37">
        <v>2000000</v>
      </c>
      <c r="R521" s="36" t="s">
        <v>159</v>
      </c>
      <c r="S521" s="38">
        <v>43575</v>
      </c>
      <c r="T521" s="38">
        <v>43538</v>
      </c>
      <c r="U521" s="38">
        <v>44926</v>
      </c>
      <c r="V521" s="27" t="s">
        <v>9308</v>
      </c>
      <c r="W521" s="36" t="s">
        <v>557</v>
      </c>
      <c r="X521" s="36" t="s">
        <v>880</v>
      </c>
      <c r="Y521" s="36" t="s">
        <v>125</v>
      </c>
      <c r="Z521" s="36" t="s">
        <v>2146</v>
      </c>
      <c r="AA521" s="36" t="s">
        <v>1046</v>
      </c>
      <c r="AB521" s="36" t="s">
        <v>861</v>
      </c>
      <c r="AC521" s="36" t="s">
        <v>1036</v>
      </c>
      <c r="AD521" s="37">
        <v>16.600000000000001</v>
      </c>
      <c r="AE521" s="36" t="s">
        <v>902</v>
      </c>
      <c r="AF521" s="36" t="s">
        <v>860</v>
      </c>
    </row>
    <row r="522" spans="2:32" ht="75" customHeight="1" x14ac:dyDescent="0.25">
      <c r="B522" s="31" t="s">
        <v>2148</v>
      </c>
      <c r="C522" s="41">
        <v>2019</v>
      </c>
      <c r="D522" s="42">
        <f t="shared" si="8"/>
        <v>2020</v>
      </c>
      <c r="E522" s="31" t="s">
        <v>126</v>
      </c>
      <c r="F522" s="31" t="s">
        <v>1419</v>
      </c>
      <c r="G522" s="31" t="s">
        <v>2149</v>
      </c>
      <c r="H522" s="31" t="s">
        <v>172</v>
      </c>
      <c r="I522" s="31" t="s">
        <v>1020</v>
      </c>
      <c r="J522" s="31" t="s">
        <v>1021</v>
      </c>
      <c r="K522" s="31" t="s">
        <v>216</v>
      </c>
      <c r="L522" s="31" t="s">
        <v>159</v>
      </c>
      <c r="M522" s="34">
        <v>0</v>
      </c>
      <c r="N522" s="34">
        <v>7205535150</v>
      </c>
      <c r="O522" s="34">
        <v>7205535150</v>
      </c>
      <c r="P522" s="31" t="s">
        <v>624</v>
      </c>
      <c r="Q522" s="34">
        <v>13100973</v>
      </c>
      <c r="R522" s="31" t="s">
        <v>159</v>
      </c>
      <c r="S522" s="35">
        <v>43466</v>
      </c>
      <c r="T522" s="35">
        <v>43538</v>
      </c>
      <c r="U522" s="35">
        <v>44104</v>
      </c>
      <c r="V522" s="27" t="s">
        <v>9308</v>
      </c>
      <c r="W522" s="31" t="s">
        <v>557</v>
      </c>
      <c r="X522" s="31" t="s">
        <v>880</v>
      </c>
      <c r="Y522" s="31" t="s">
        <v>242</v>
      </c>
      <c r="Z522" s="31" t="s">
        <v>1060</v>
      </c>
      <c r="AA522" s="31" t="s">
        <v>561</v>
      </c>
      <c r="AB522" s="31" t="s">
        <v>560</v>
      </c>
      <c r="AC522" s="31" t="s">
        <v>989</v>
      </c>
      <c r="AD522" s="34">
        <v>3.8</v>
      </c>
      <c r="AE522" s="31" t="s">
        <v>902</v>
      </c>
      <c r="AF522" s="31" t="s">
        <v>860</v>
      </c>
    </row>
    <row r="523" spans="2:32" ht="60" customHeight="1" x14ac:dyDescent="0.25">
      <c r="B523" s="36" t="s">
        <v>2150</v>
      </c>
      <c r="C523" s="42">
        <v>2019</v>
      </c>
      <c r="D523" s="42">
        <f t="shared" si="8"/>
        <v>2020</v>
      </c>
      <c r="E523" s="36" t="s">
        <v>126</v>
      </c>
      <c r="F523" s="36" t="s">
        <v>1090</v>
      </c>
      <c r="G523" s="36" t="s">
        <v>2151</v>
      </c>
      <c r="H523" s="36" t="s">
        <v>172</v>
      </c>
      <c r="I523" s="36" t="s">
        <v>1020</v>
      </c>
      <c r="J523" s="36" t="s">
        <v>1021</v>
      </c>
      <c r="K523" s="36" t="s">
        <v>216</v>
      </c>
      <c r="L523" s="36" t="s">
        <v>159</v>
      </c>
      <c r="M523" s="37">
        <v>0</v>
      </c>
      <c r="N523" s="37">
        <v>445500000</v>
      </c>
      <c r="O523" s="37">
        <v>445500000</v>
      </c>
      <c r="P523" s="36" t="s">
        <v>624</v>
      </c>
      <c r="Q523" s="37">
        <v>810000</v>
      </c>
      <c r="R523" s="36" t="s">
        <v>159</v>
      </c>
      <c r="S523" s="38">
        <v>43596</v>
      </c>
      <c r="T523" s="38">
        <v>43538</v>
      </c>
      <c r="U523" s="38">
        <v>44104</v>
      </c>
      <c r="V523" s="27" t="s">
        <v>9308</v>
      </c>
      <c r="W523" s="36" t="s">
        <v>557</v>
      </c>
      <c r="X523" s="36" t="s">
        <v>880</v>
      </c>
      <c r="Y523" s="36" t="s">
        <v>242</v>
      </c>
      <c r="Z523" s="36" t="s">
        <v>1091</v>
      </c>
      <c r="AA523" s="36" t="s">
        <v>561</v>
      </c>
      <c r="AB523" s="36" t="s">
        <v>560</v>
      </c>
      <c r="AC523" s="36" t="s">
        <v>989</v>
      </c>
      <c r="AD523" s="37">
        <v>3.8</v>
      </c>
      <c r="AE523" s="36" t="s">
        <v>902</v>
      </c>
      <c r="AF523" s="36" t="s">
        <v>860</v>
      </c>
    </row>
    <row r="524" spans="2:32" ht="60" customHeight="1" x14ac:dyDescent="0.25">
      <c r="B524" s="31" t="s">
        <v>2152</v>
      </c>
      <c r="C524" s="41">
        <v>2019</v>
      </c>
      <c r="D524" s="42">
        <f t="shared" si="8"/>
        <v>2021</v>
      </c>
      <c r="E524" s="31" t="s">
        <v>126</v>
      </c>
      <c r="F524" s="31" t="s">
        <v>2153</v>
      </c>
      <c r="G524" s="31" t="s">
        <v>2154</v>
      </c>
      <c r="H524" s="31" t="s">
        <v>172</v>
      </c>
      <c r="I524" s="31" t="s">
        <v>1020</v>
      </c>
      <c r="J524" s="31" t="s">
        <v>1021</v>
      </c>
      <c r="K524" s="31" t="s">
        <v>216</v>
      </c>
      <c r="L524" s="31" t="s">
        <v>159</v>
      </c>
      <c r="M524" s="34">
        <v>0</v>
      </c>
      <c r="N524" s="34">
        <v>22560450</v>
      </c>
      <c r="O524" s="34">
        <v>22560450</v>
      </c>
      <c r="P524" s="31" t="s">
        <v>624</v>
      </c>
      <c r="Q524" s="34">
        <v>41019</v>
      </c>
      <c r="R524" s="31" t="s">
        <v>159</v>
      </c>
      <c r="S524" s="35">
        <v>43596</v>
      </c>
      <c r="T524" s="35">
        <v>43538</v>
      </c>
      <c r="U524" s="35">
        <v>44561</v>
      </c>
      <c r="V524" s="27" t="s">
        <v>9308</v>
      </c>
      <c r="W524" s="31" t="s">
        <v>557</v>
      </c>
      <c r="X524" s="31" t="s">
        <v>880</v>
      </c>
      <c r="Y524" s="31" t="s">
        <v>242</v>
      </c>
      <c r="Z524" s="31" t="s">
        <v>992</v>
      </c>
      <c r="AA524" s="31" t="s">
        <v>561</v>
      </c>
      <c r="AB524" s="31" t="s">
        <v>560</v>
      </c>
      <c r="AC524" s="31" t="s">
        <v>989</v>
      </c>
      <c r="AD524" s="34">
        <v>3.8</v>
      </c>
      <c r="AE524" s="31" t="s">
        <v>902</v>
      </c>
      <c r="AF524" s="31" t="s">
        <v>860</v>
      </c>
    </row>
    <row r="525" spans="2:32" ht="60" customHeight="1" x14ac:dyDescent="0.25">
      <c r="B525" s="36" t="s">
        <v>2155</v>
      </c>
      <c r="C525" s="42">
        <v>2019</v>
      </c>
      <c r="D525" s="42">
        <f t="shared" si="8"/>
        <v>2021</v>
      </c>
      <c r="E525" s="36" t="s">
        <v>126</v>
      </c>
      <c r="F525" s="36" t="s">
        <v>1094</v>
      </c>
      <c r="G525" s="36" t="s">
        <v>2156</v>
      </c>
      <c r="H525" s="36" t="s">
        <v>172</v>
      </c>
      <c r="I525" s="36" t="s">
        <v>1020</v>
      </c>
      <c r="J525" s="36" t="s">
        <v>1021</v>
      </c>
      <c r="K525" s="36" t="s">
        <v>526</v>
      </c>
      <c r="L525" s="36" t="s">
        <v>159</v>
      </c>
      <c r="M525" s="37">
        <v>0</v>
      </c>
      <c r="N525" s="37">
        <v>33000000</v>
      </c>
      <c r="O525" s="37">
        <v>33000000</v>
      </c>
      <c r="P525" s="36" t="s">
        <v>624</v>
      </c>
      <c r="Q525" s="37">
        <v>60000</v>
      </c>
      <c r="R525" s="36" t="s">
        <v>159</v>
      </c>
      <c r="S525" s="38">
        <v>43607</v>
      </c>
      <c r="T525" s="38">
        <v>43538</v>
      </c>
      <c r="U525" s="38">
        <v>44469</v>
      </c>
      <c r="V525" s="27" t="s">
        <v>9308</v>
      </c>
      <c r="W525" s="36" t="s">
        <v>557</v>
      </c>
      <c r="X525" s="36" t="s">
        <v>880</v>
      </c>
      <c r="Y525" s="36" t="s">
        <v>242</v>
      </c>
      <c r="Z525" s="36" t="s">
        <v>1095</v>
      </c>
      <c r="AA525" s="36" t="s">
        <v>561</v>
      </c>
      <c r="AB525" s="36" t="s">
        <v>560</v>
      </c>
      <c r="AC525" s="36" t="s">
        <v>1022</v>
      </c>
      <c r="AD525" s="37">
        <v>1.3</v>
      </c>
      <c r="AE525" s="36" t="s">
        <v>902</v>
      </c>
      <c r="AF525" s="36" t="s">
        <v>860</v>
      </c>
    </row>
    <row r="526" spans="2:32" ht="60" customHeight="1" x14ac:dyDescent="0.25">
      <c r="B526" s="31" t="s">
        <v>2157</v>
      </c>
      <c r="C526" s="41">
        <v>2019</v>
      </c>
      <c r="D526" s="42">
        <f t="shared" si="8"/>
        <v>2023</v>
      </c>
      <c r="E526" s="31" t="s">
        <v>126</v>
      </c>
      <c r="F526" s="31" t="s">
        <v>2158</v>
      </c>
      <c r="G526" s="31" t="s">
        <v>2159</v>
      </c>
      <c r="H526" s="31" t="s">
        <v>172</v>
      </c>
      <c r="I526" s="31" t="s">
        <v>1020</v>
      </c>
      <c r="J526" s="31" t="s">
        <v>1021</v>
      </c>
      <c r="K526" s="31" t="s">
        <v>216</v>
      </c>
      <c r="L526" s="31" t="s">
        <v>159</v>
      </c>
      <c r="M526" s="34">
        <v>0</v>
      </c>
      <c r="N526" s="34">
        <v>14530450</v>
      </c>
      <c r="O526" s="34">
        <v>14530450</v>
      </c>
      <c r="P526" s="31" t="s">
        <v>624</v>
      </c>
      <c r="Q526" s="34">
        <v>26419</v>
      </c>
      <c r="R526" s="31" t="s">
        <v>159</v>
      </c>
      <c r="S526" s="35">
        <v>43596</v>
      </c>
      <c r="T526" s="35">
        <v>43538</v>
      </c>
      <c r="U526" s="35">
        <v>45199</v>
      </c>
      <c r="V526" s="27" t="s">
        <v>9308</v>
      </c>
      <c r="W526" s="31" t="s">
        <v>557</v>
      </c>
      <c r="X526" s="31" t="s">
        <v>880</v>
      </c>
      <c r="Y526" s="31" t="s">
        <v>242</v>
      </c>
      <c r="Z526" s="31" t="s">
        <v>1103</v>
      </c>
      <c r="AA526" s="31" t="s">
        <v>561</v>
      </c>
      <c r="AB526" s="31" t="s">
        <v>560</v>
      </c>
      <c r="AC526" s="31" t="s">
        <v>989</v>
      </c>
      <c r="AD526" s="34">
        <v>3.8</v>
      </c>
      <c r="AE526" s="31" t="s">
        <v>902</v>
      </c>
      <c r="AF526" s="31" t="s">
        <v>860</v>
      </c>
    </row>
    <row r="527" spans="2:32" ht="75" customHeight="1" x14ac:dyDescent="0.25">
      <c r="B527" s="36" t="s">
        <v>2160</v>
      </c>
      <c r="C527" s="42">
        <v>2019</v>
      </c>
      <c r="D527" s="42">
        <f t="shared" si="8"/>
        <v>2022</v>
      </c>
      <c r="E527" s="36" t="s">
        <v>126</v>
      </c>
      <c r="F527" s="36" t="s">
        <v>1753</v>
      </c>
      <c r="G527" s="36" t="s">
        <v>2161</v>
      </c>
      <c r="H527" s="36" t="s">
        <v>172</v>
      </c>
      <c r="I527" s="36" t="s">
        <v>1020</v>
      </c>
      <c r="J527" s="36" t="s">
        <v>1021</v>
      </c>
      <c r="K527" s="36" t="s">
        <v>205</v>
      </c>
      <c r="L527" s="36" t="s">
        <v>159</v>
      </c>
      <c r="M527" s="37">
        <v>0</v>
      </c>
      <c r="N527" s="37">
        <v>19250000</v>
      </c>
      <c r="O527" s="37">
        <v>19250000</v>
      </c>
      <c r="P527" s="36" t="s">
        <v>624</v>
      </c>
      <c r="Q527" s="37">
        <v>35000</v>
      </c>
      <c r="R527" s="36" t="s">
        <v>159</v>
      </c>
      <c r="S527" s="38">
        <v>43538</v>
      </c>
      <c r="T527" s="38">
        <v>43526</v>
      </c>
      <c r="U527" s="38">
        <v>44834</v>
      </c>
      <c r="V527" s="27" t="s">
        <v>9308</v>
      </c>
      <c r="W527" s="36" t="s">
        <v>557</v>
      </c>
      <c r="X527" s="36" t="s">
        <v>880</v>
      </c>
      <c r="Y527" s="36" t="s">
        <v>242</v>
      </c>
      <c r="Z527" s="36" t="s">
        <v>1754</v>
      </c>
      <c r="AA527" s="36" t="s">
        <v>1012</v>
      </c>
      <c r="AB527" s="36" t="s">
        <v>560</v>
      </c>
      <c r="AC527" s="36" t="s">
        <v>939</v>
      </c>
      <c r="AD527" s="37">
        <v>11.3</v>
      </c>
      <c r="AE527" s="36" t="s">
        <v>563</v>
      </c>
      <c r="AF527" s="36" t="s">
        <v>860</v>
      </c>
    </row>
    <row r="528" spans="2:32" ht="60" customHeight="1" x14ac:dyDescent="0.25">
      <c r="B528" s="31" t="s">
        <v>2162</v>
      </c>
      <c r="C528" s="41">
        <v>2019</v>
      </c>
      <c r="D528" s="42">
        <f t="shared" si="8"/>
        <v>2023</v>
      </c>
      <c r="E528" s="31" t="s">
        <v>126</v>
      </c>
      <c r="F528" s="31" t="s">
        <v>2163</v>
      </c>
      <c r="G528" s="31" t="s">
        <v>2165</v>
      </c>
      <c r="H528" s="31" t="s">
        <v>172</v>
      </c>
      <c r="I528" s="31" t="s">
        <v>1020</v>
      </c>
      <c r="J528" s="31" t="s">
        <v>1021</v>
      </c>
      <c r="K528" s="31" t="s">
        <v>1344</v>
      </c>
      <c r="L528" s="31" t="s">
        <v>159</v>
      </c>
      <c r="M528" s="34">
        <v>0</v>
      </c>
      <c r="N528" s="34">
        <v>3276538100</v>
      </c>
      <c r="O528" s="34">
        <v>3276538100</v>
      </c>
      <c r="P528" s="31" t="s">
        <v>624</v>
      </c>
      <c r="Q528" s="34">
        <v>5957342</v>
      </c>
      <c r="R528" s="31" t="s">
        <v>159</v>
      </c>
      <c r="S528" s="35">
        <v>43596</v>
      </c>
      <c r="T528" s="35">
        <v>43538</v>
      </c>
      <c r="U528" s="35">
        <v>45199</v>
      </c>
      <c r="V528" s="27" t="s">
        <v>9308</v>
      </c>
      <c r="W528" s="31" t="s">
        <v>557</v>
      </c>
      <c r="X528" s="31" t="s">
        <v>880</v>
      </c>
      <c r="Y528" s="31" t="s">
        <v>242</v>
      </c>
      <c r="Z528" s="31" t="s">
        <v>2164</v>
      </c>
      <c r="AA528" s="31" t="s">
        <v>965</v>
      </c>
      <c r="AB528" s="31" t="s">
        <v>964</v>
      </c>
      <c r="AC528" s="31" t="s">
        <v>1036</v>
      </c>
      <c r="AD528" s="34">
        <v>16.600000000000001</v>
      </c>
      <c r="AE528" s="31" t="s">
        <v>902</v>
      </c>
      <c r="AF528" s="31" t="s">
        <v>860</v>
      </c>
    </row>
    <row r="529" spans="2:32" ht="195" customHeight="1" x14ac:dyDescent="0.25">
      <c r="B529" s="36" t="s">
        <v>2166</v>
      </c>
      <c r="C529" s="42">
        <v>2020</v>
      </c>
      <c r="D529" s="42">
        <f t="shared" si="8"/>
        <v>2025</v>
      </c>
      <c r="E529" s="36" t="s">
        <v>126</v>
      </c>
      <c r="F529" s="36" t="s">
        <v>2167</v>
      </c>
      <c r="G529" s="36" t="s">
        <v>2168</v>
      </c>
      <c r="H529" s="36" t="s">
        <v>172</v>
      </c>
      <c r="I529" s="36" t="s">
        <v>2169</v>
      </c>
      <c r="J529" s="36" t="s">
        <v>2170</v>
      </c>
      <c r="K529" s="36" t="s">
        <v>216</v>
      </c>
      <c r="L529" s="36" t="s">
        <v>127</v>
      </c>
      <c r="M529" s="37">
        <v>127583636500</v>
      </c>
      <c r="N529" s="37">
        <v>0</v>
      </c>
      <c r="O529" s="37">
        <v>127583636500</v>
      </c>
      <c r="P529" s="36" t="s">
        <v>122</v>
      </c>
      <c r="Q529" s="37">
        <v>194500000</v>
      </c>
      <c r="R529" s="36" t="s">
        <v>443</v>
      </c>
      <c r="S529" s="38">
        <v>43901</v>
      </c>
      <c r="T529" s="38">
        <v>43852</v>
      </c>
      <c r="U529" s="38">
        <v>46022</v>
      </c>
      <c r="V529" s="27" t="s">
        <v>9334</v>
      </c>
      <c r="W529" s="37"/>
      <c r="X529" s="37"/>
      <c r="Y529" s="37" t="s">
        <v>442</v>
      </c>
      <c r="Z529" s="37"/>
      <c r="AA529" s="37"/>
      <c r="AB529" s="37"/>
      <c r="AC529" s="37"/>
      <c r="AD529" s="37"/>
      <c r="AE529" s="37"/>
      <c r="AF529" s="37"/>
    </row>
    <row r="530" spans="2:32" ht="135" customHeight="1" x14ac:dyDescent="0.25">
      <c r="B530" s="31" t="s">
        <v>2171</v>
      </c>
      <c r="C530" s="32">
        <v>2020</v>
      </c>
      <c r="D530" s="33">
        <f t="shared" si="8"/>
        <v>2023</v>
      </c>
      <c r="E530" s="31" t="s">
        <v>126</v>
      </c>
      <c r="F530" s="31" t="s">
        <v>2172</v>
      </c>
      <c r="G530" s="31" t="s">
        <v>2173</v>
      </c>
      <c r="H530" s="31" t="s">
        <v>172</v>
      </c>
      <c r="I530" s="31" t="s">
        <v>2174</v>
      </c>
      <c r="J530" s="31" t="s">
        <v>2175</v>
      </c>
      <c r="K530" s="31" t="s">
        <v>118</v>
      </c>
      <c r="L530" s="31" t="s">
        <v>127</v>
      </c>
      <c r="M530" s="34">
        <v>13447118500</v>
      </c>
      <c r="N530" s="34">
        <v>0</v>
      </c>
      <c r="O530" s="34">
        <v>13447118500</v>
      </c>
      <c r="P530" s="31" t="s">
        <v>122</v>
      </c>
      <c r="Q530" s="34">
        <v>20500000</v>
      </c>
      <c r="R530" s="31" t="s">
        <v>2176</v>
      </c>
      <c r="S530" s="35">
        <v>43901</v>
      </c>
      <c r="T530" s="35">
        <v>43882</v>
      </c>
      <c r="U530" s="35">
        <v>45291</v>
      </c>
      <c r="V530" s="27" t="s">
        <v>9308</v>
      </c>
      <c r="W530" s="34"/>
      <c r="X530" s="34"/>
      <c r="Y530" s="34" t="s">
        <v>442</v>
      </c>
      <c r="Z530" s="34"/>
      <c r="AA530" s="34"/>
      <c r="AB530" s="34"/>
      <c r="AC530" s="34"/>
      <c r="AD530" s="34"/>
      <c r="AE530" s="34"/>
      <c r="AF530" s="34"/>
    </row>
    <row r="531" spans="2:32" ht="90" customHeight="1" x14ac:dyDescent="0.25">
      <c r="B531" s="36" t="s">
        <v>2177</v>
      </c>
      <c r="C531" s="42">
        <v>2020</v>
      </c>
      <c r="D531" s="42">
        <f t="shared" si="8"/>
        <v>2025</v>
      </c>
      <c r="E531" s="36" t="s">
        <v>126</v>
      </c>
      <c r="F531" s="36" t="s">
        <v>2178</v>
      </c>
      <c r="G531" s="36" t="s">
        <v>2179</v>
      </c>
      <c r="H531" s="36" t="s">
        <v>372</v>
      </c>
      <c r="I531" s="36" t="s">
        <v>178</v>
      </c>
      <c r="J531" s="36" t="s">
        <v>179</v>
      </c>
      <c r="K531" s="36" t="s">
        <v>315</v>
      </c>
      <c r="L531" s="36" t="s">
        <v>127</v>
      </c>
      <c r="M531" s="37">
        <v>1246318300</v>
      </c>
      <c r="N531" s="37">
        <v>0</v>
      </c>
      <c r="O531" s="37">
        <v>1246318300</v>
      </c>
      <c r="P531" s="36" t="s">
        <v>122</v>
      </c>
      <c r="Q531" s="37">
        <v>1900000</v>
      </c>
      <c r="R531" s="36" t="s">
        <v>150</v>
      </c>
      <c r="S531" s="38">
        <v>43892</v>
      </c>
      <c r="T531" s="38">
        <v>43871</v>
      </c>
      <c r="U531" s="38">
        <v>45838</v>
      </c>
      <c r="V531" s="27" t="s">
        <v>9334</v>
      </c>
      <c r="W531" s="37"/>
      <c r="X531" s="37"/>
      <c r="Y531" s="37" t="s">
        <v>125</v>
      </c>
      <c r="Z531" s="37"/>
      <c r="AA531" s="37"/>
      <c r="AB531" s="37"/>
      <c r="AC531" s="37"/>
      <c r="AD531" s="37"/>
      <c r="AE531" s="37"/>
      <c r="AF531" s="37"/>
    </row>
    <row r="532" spans="2:32" ht="60" customHeight="1" x14ac:dyDescent="0.25">
      <c r="B532" s="31" t="s">
        <v>2180</v>
      </c>
      <c r="C532" s="41">
        <v>2020</v>
      </c>
      <c r="D532" s="42">
        <f t="shared" si="8"/>
        <v>2025</v>
      </c>
      <c r="E532" s="31" t="s">
        <v>126</v>
      </c>
      <c r="F532" s="31" t="s">
        <v>2181</v>
      </c>
      <c r="G532" s="31" t="s">
        <v>2182</v>
      </c>
      <c r="H532" s="31" t="s">
        <v>129</v>
      </c>
      <c r="I532" s="31" t="s">
        <v>123</v>
      </c>
      <c r="J532" s="31" t="s">
        <v>124</v>
      </c>
      <c r="K532" s="31" t="s">
        <v>118</v>
      </c>
      <c r="L532" s="31" t="s">
        <v>127</v>
      </c>
      <c r="M532" s="34">
        <v>11765360000</v>
      </c>
      <c r="N532" s="34">
        <v>0</v>
      </c>
      <c r="O532" s="34">
        <v>11765360000</v>
      </c>
      <c r="P532" s="31" t="s">
        <v>624</v>
      </c>
      <c r="Q532" s="34">
        <v>21100000</v>
      </c>
      <c r="R532" s="31" t="s">
        <v>128</v>
      </c>
      <c r="S532" s="35">
        <v>44015</v>
      </c>
      <c r="T532" s="35">
        <v>43895</v>
      </c>
      <c r="U532" s="35">
        <v>46022</v>
      </c>
      <c r="V532" s="27" t="s">
        <v>9308</v>
      </c>
      <c r="W532" s="34"/>
      <c r="X532" s="34"/>
      <c r="Y532" s="34" t="s">
        <v>125</v>
      </c>
      <c r="Z532" s="34"/>
      <c r="AA532" s="34"/>
      <c r="AB532" s="34"/>
      <c r="AC532" s="34"/>
      <c r="AD532" s="34"/>
      <c r="AE532" s="34"/>
      <c r="AF532" s="34"/>
    </row>
    <row r="533" spans="2:32" ht="60" customHeight="1" x14ac:dyDescent="0.25">
      <c r="B533" s="36" t="s">
        <v>2183</v>
      </c>
      <c r="C533" s="42">
        <v>2020</v>
      </c>
      <c r="D533" s="42">
        <f t="shared" si="8"/>
        <v>2023</v>
      </c>
      <c r="E533" s="36" t="s">
        <v>126</v>
      </c>
      <c r="F533" s="36" t="s">
        <v>2184</v>
      </c>
      <c r="G533" s="36" t="s">
        <v>2186</v>
      </c>
      <c r="H533" s="36" t="s">
        <v>172</v>
      </c>
      <c r="I533" s="36" t="s">
        <v>2187</v>
      </c>
      <c r="J533" s="36" t="s">
        <v>2188</v>
      </c>
      <c r="K533" s="36" t="s">
        <v>1932</v>
      </c>
      <c r="L533" s="36" t="s">
        <v>127</v>
      </c>
      <c r="M533" s="37">
        <v>6500533870</v>
      </c>
      <c r="N533" s="37">
        <v>0</v>
      </c>
      <c r="O533" s="37">
        <v>6500533870</v>
      </c>
      <c r="P533" s="36" t="s">
        <v>122</v>
      </c>
      <c r="Q533" s="37">
        <v>9910000</v>
      </c>
      <c r="R533" s="36" t="s">
        <v>128</v>
      </c>
      <c r="S533" s="38">
        <v>43901</v>
      </c>
      <c r="T533" s="38">
        <v>43896</v>
      </c>
      <c r="U533" s="38">
        <v>45291</v>
      </c>
      <c r="V533" s="27" t="s">
        <v>9340</v>
      </c>
      <c r="W533" s="36" t="s">
        <v>1043</v>
      </c>
      <c r="X533" s="36" t="s">
        <v>558</v>
      </c>
      <c r="Y533" s="36" t="s">
        <v>442</v>
      </c>
      <c r="Z533" s="36" t="s">
        <v>2185</v>
      </c>
      <c r="AA533" s="36" t="s">
        <v>1012</v>
      </c>
      <c r="AB533" s="36" t="s">
        <v>560</v>
      </c>
      <c r="AC533" s="36" t="s">
        <v>939</v>
      </c>
      <c r="AD533" s="37">
        <v>11.3</v>
      </c>
      <c r="AE533" s="36" t="s">
        <v>563</v>
      </c>
      <c r="AF533" s="36" t="s">
        <v>860</v>
      </c>
    </row>
    <row r="534" spans="2:32" ht="60" customHeight="1" x14ac:dyDescent="0.25">
      <c r="B534" s="31" t="s">
        <v>2189</v>
      </c>
      <c r="C534" s="41">
        <v>2020</v>
      </c>
      <c r="D534" s="42">
        <f t="shared" si="8"/>
        <v>2024</v>
      </c>
      <c r="E534" s="31" t="s">
        <v>126</v>
      </c>
      <c r="F534" s="31" t="s">
        <v>2190</v>
      </c>
      <c r="G534" s="31" t="s">
        <v>2191</v>
      </c>
      <c r="H534" s="31" t="s">
        <v>181</v>
      </c>
      <c r="I534" s="31" t="s">
        <v>178</v>
      </c>
      <c r="J534" s="31" t="s">
        <v>179</v>
      </c>
      <c r="K534" s="31" t="s">
        <v>216</v>
      </c>
      <c r="L534" s="31" t="s">
        <v>127</v>
      </c>
      <c r="M534" s="34">
        <v>3148593600</v>
      </c>
      <c r="N534" s="34">
        <v>0</v>
      </c>
      <c r="O534" s="34">
        <v>3148593600</v>
      </c>
      <c r="P534" s="31" t="s">
        <v>122</v>
      </c>
      <c r="Q534" s="34">
        <v>4800000</v>
      </c>
      <c r="R534" s="31" t="s">
        <v>150</v>
      </c>
      <c r="S534" s="35">
        <v>43955</v>
      </c>
      <c r="T534" s="35">
        <v>43948</v>
      </c>
      <c r="U534" s="35">
        <v>45657</v>
      </c>
      <c r="V534" s="27" t="s">
        <v>9308</v>
      </c>
      <c r="W534" s="34"/>
      <c r="X534" s="34"/>
      <c r="Y534" s="34" t="s">
        <v>125</v>
      </c>
      <c r="Z534" s="34"/>
      <c r="AA534" s="34"/>
      <c r="AB534" s="34"/>
      <c r="AC534" s="34"/>
      <c r="AD534" s="34"/>
      <c r="AE534" s="34"/>
      <c r="AF534" s="34"/>
    </row>
    <row r="535" spans="2:32" ht="60" customHeight="1" x14ac:dyDescent="0.25">
      <c r="B535" s="36" t="s">
        <v>2192</v>
      </c>
      <c r="C535" s="42">
        <v>2020</v>
      </c>
      <c r="D535" s="42">
        <f t="shared" si="8"/>
        <v>2026</v>
      </c>
      <c r="E535" s="36" t="s">
        <v>126</v>
      </c>
      <c r="F535" s="36" t="s">
        <v>2193</v>
      </c>
      <c r="G535" s="36" t="s">
        <v>2194</v>
      </c>
      <c r="H535" s="36" t="s">
        <v>129</v>
      </c>
      <c r="I535" s="36" t="s">
        <v>337</v>
      </c>
      <c r="J535" s="36" t="s">
        <v>338</v>
      </c>
      <c r="K535" s="36" t="s">
        <v>1932</v>
      </c>
      <c r="L535" s="36" t="s">
        <v>127</v>
      </c>
      <c r="M535" s="37">
        <v>26238280000</v>
      </c>
      <c r="N535" s="37">
        <v>0</v>
      </c>
      <c r="O535" s="37">
        <v>26238280000</v>
      </c>
      <c r="P535" s="36" t="s">
        <v>122</v>
      </c>
      <c r="Q535" s="37">
        <v>40000000</v>
      </c>
      <c r="R535" s="36" t="s">
        <v>150</v>
      </c>
      <c r="S535" s="38">
        <v>43979</v>
      </c>
      <c r="T535" s="38">
        <v>43921</v>
      </c>
      <c r="U535" s="38">
        <v>46387</v>
      </c>
      <c r="V535" s="27" t="s">
        <v>9307</v>
      </c>
      <c r="W535" s="37"/>
      <c r="X535" s="37"/>
      <c r="Y535" s="37" t="s">
        <v>242</v>
      </c>
      <c r="Z535" s="37"/>
      <c r="AA535" s="37"/>
      <c r="AB535" s="37"/>
      <c r="AC535" s="37"/>
      <c r="AD535" s="37"/>
      <c r="AE535" s="37"/>
      <c r="AF535" s="37"/>
    </row>
    <row r="536" spans="2:32" ht="105" customHeight="1" x14ac:dyDescent="0.25">
      <c r="B536" s="31" t="s">
        <v>2195</v>
      </c>
      <c r="C536" s="41">
        <v>2020</v>
      </c>
      <c r="D536" s="42">
        <f t="shared" si="8"/>
        <v>2024</v>
      </c>
      <c r="E536" s="31" t="s">
        <v>126</v>
      </c>
      <c r="F536" s="31" t="s">
        <v>2196</v>
      </c>
      <c r="G536" s="31" t="s">
        <v>2197</v>
      </c>
      <c r="H536" s="31" t="s">
        <v>172</v>
      </c>
      <c r="I536" s="31" t="s">
        <v>2200</v>
      </c>
      <c r="J536" s="31" t="s">
        <v>2200</v>
      </c>
      <c r="K536" s="31" t="s">
        <v>142</v>
      </c>
      <c r="L536" s="31" t="s">
        <v>127</v>
      </c>
      <c r="M536" s="34">
        <v>96995440699</v>
      </c>
      <c r="N536" s="34">
        <v>0</v>
      </c>
      <c r="O536" s="34">
        <v>96995440699</v>
      </c>
      <c r="P536" s="31" t="s">
        <v>122</v>
      </c>
      <c r="Q536" s="34">
        <v>147868596.16</v>
      </c>
      <c r="R536" s="31" t="s">
        <v>443</v>
      </c>
      <c r="S536" s="35">
        <v>43951</v>
      </c>
      <c r="T536" s="35">
        <v>43901</v>
      </c>
      <c r="U536" s="35">
        <v>45657</v>
      </c>
      <c r="V536" s="27" t="s">
        <v>9454</v>
      </c>
      <c r="W536" s="34"/>
      <c r="X536" s="34"/>
      <c r="Y536" s="34" t="s">
        <v>442</v>
      </c>
      <c r="Z536" s="34"/>
      <c r="AA536" s="34"/>
      <c r="AB536" s="34"/>
      <c r="AC536" s="34"/>
      <c r="AD536" s="34"/>
      <c r="AE536" s="34"/>
      <c r="AF536" s="34"/>
    </row>
    <row r="537" spans="2:32" ht="60" customHeight="1" x14ac:dyDescent="0.25">
      <c r="B537" s="36" t="s">
        <v>2201</v>
      </c>
      <c r="C537" s="42">
        <v>2020</v>
      </c>
      <c r="D537" s="42">
        <f t="shared" si="8"/>
        <v>2024</v>
      </c>
      <c r="E537" s="36" t="s">
        <v>625</v>
      </c>
      <c r="F537" s="36" t="s">
        <v>2202</v>
      </c>
      <c r="G537" s="36" t="s">
        <v>2203</v>
      </c>
      <c r="H537" s="36" t="s">
        <v>181</v>
      </c>
      <c r="I537" s="36" t="s">
        <v>178</v>
      </c>
      <c r="J537" s="36" t="s">
        <v>179</v>
      </c>
      <c r="K537" s="36" t="s">
        <v>216</v>
      </c>
      <c r="L537" s="36" t="s">
        <v>127</v>
      </c>
      <c r="M537" s="37">
        <v>2899520000</v>
      </c>
      <c r="N537" s="37">
        <v>0</v>
      </c>
      <c r="O537" s="37">
        <v>2899520000</v>
      </c>
      <c r="P537" s="36" t="s">
        <v>624</v>
      </c>
      <c r="Q537" s="37">
        <v>5200000</v>
      </c>
      <c r="R537" s="36" t="s">
        <v>150</v>
      </c>
      <c r="S537" s="38">
        <v>43955</v>
      </c>
      <c r="T537" s="38">
        <v>43948</v>
      </c>
      <c r="U537" s="38">
        <v>45657</v>
      </c>
      <c r="V537" s="27" t="s">
        <v>9308</v>
      </c>
      <c r="W537" s="36" t="s">
        <v>557</v>
      </c>
      <c r="X537" s="36" t="s">
        <v>859</v>
      </c>
      <c r="Y537" s="36" t="s">
        <v>125</v>
      </c>
      <c r="Z537" s="36" t="s">
        <v>992</v>
      </c>
      <c r="AA537" s="36" t="s">
        <v>561</v>
      </c>
      <c r="AB537" s="36" t="s">
        <v>560</v>
      </c>
      <c r="AC537" s="36" t="s">
        <v>989</v>
      </c>
      <c r="AD537" s="37">
        <v>3.8</v>
      </c>
      <c r="AE537" s="36" t="s">
        <v>902</v>
      </c>
      <c r="AF537" s="36" t="s">
        <v>860</v>
      </c>
    </row>
    <row r="538" spans="2:32" ht="60" customHeight="1" x14ac:dyDescent="0.25">
      <c r="B538" s="31" t="s">
        <v>2204</v>
      </c>
      <c r="C538" s="41">
        <v>2020</v>
      </c>
      <c r="D538" s="42">
        <f t="shared" si="8"/>
        <v>2025</v>
      </c>
      <c r="E538" s="31" t="s">
        <v>126</v>
      </c>
      <c r="F538" s="31" t="s">
        <v>2205</v>
      </c>
      <c r="G538" s="31" t="s">
        <v>2206</v>
      </c>
      <c r="H538" s="31" t="s">
        <v>129</v>
      </c>
      <c r="I538" s="31" t="s">
        <v>337</v>
      </c>
      <c r="J538" s="31" t="s">
        <v>338</v>
      </c>
      <c r="K538" s="31" t="s">
        <v>315</v>
      </c>
      <c r="L538" s="31" t="s">
        <v>127</v>
      </c>
      <c r="M538" s="34">
        <v>6559570000</v>
      </c>
      <c r="N538" s="34">
        <v>0</v>
      </c>
      <c r="O538" s="34">
        <v>6559570000</v>
      </c>
      <c r="P538" s="31" t="s">
        <v>122</v>
      </c>
      <c r="Q538" s="34">
        <v>10000000</v>
      </c>
      <c r="R538" s="31" t="s">
        <v>150</v>
      </c>
      <c r="S538" s="35">
        <v>43979</v>
      </c>
      <c r="T538" s="35">
        <v>43970</v>
      </c>
      <c r="U538" s="35">
        <v>46022</v>
      </c>
      <c r="V538" s="27" t="s">
        <v>9334</v>
      </c>
      <c r="W538" s="34"/>
      <c r="X538" s="34"/>
      <c r="Y538" s="34" t="s">
        <v>242</v>
      </c>
      <c r="Z538" s="34"/>
      <c r="AA538" s="34"/>
      <c r="AB538" s="34"/>
      <c r="AC538" s="34"/>
      <c r="AD538" s="34"/>
      <c r="AE538" s="34"/>
      <c r="AF538" s="34"/>
    </row>
    <row r="539" spans="2:32" ht="60" customHeight="1" x14ac:dyDescent="0.25">
      <c r="B539" s="36" t="s">
        <v>2207</v>
      </c>
      <c r="C539" s="42">
        <v>2020</v>
      </c>
      <c r="D539" s="42">
        <f t="shared" si="8"/>
        <v>2026</v>
      </c>
      <c r="E539" s="36" t="s">
        <v>1335</v>
      </c>
      <c r="F539" s="36" t="s">
        <v>2208</v>
      </c>
      <c r="G539" s="36" t="s">
        <v>2209</v>
      </c>
      <c r="H539" s="36" t="s">
        <v>181</v>
      </c>
      <c r="I539" s="36" t="s">
        <v>178</v>
      </c>
      <c r="J539" s="36" t="s">
        <v>179</v>
      </c>
      <c r="K539" s="36" t="s">
        <v>216</v>
      </c>
      <c r="L539" s="36" t="s">
        <v>127</v>
      </c>
      <c r="M539" s="37">
        <v>12004013100</v>
      </c>
      <c r="N539" s="37">
        <v>0</v>
      </c>
      <c r="O539" s="37">
        <v>12004013100</v>
      </c>
      <c r="P539" s="36" t="s">
        <v>122</v>
      </c>
      <c r="Q539" s="37">
        <v>18300000</v>
      </c>
      <c r="R539" s="36" t="s">
        <v>1252</v>
      </c>
      <c r="S539" s="38">
        <v>44011</v>
      </c>
      <c r="T539" s="38">
        <v>43994</v>
      </c>
      <c r="U539" s="38">
        <v>46387</v>
      </c>
      <c r="V539" s="27" t="s">
        <v>9308</v>
      </c>
      <c r="W539" s="37"/>
      <c r="X539" s="37"/>
      <c r="Y539" s="37" t="s">
        <v>125</v>
      </c>
      <c r="Z539" s="37"/>
      <c r="AA539" s="37"/>
      <c r="AB539" s="37"/>
      <c r="AC539" s="37"/>
      <c r="AD539" s="37"/>
      <c r="AE539" s="37"/>
      <c r="AF539" s="37"/>
    </row>
    <row r="540" spans="2:32" ht="60" customHeight="1" x14ac:dyDescent="0.25">
      <c r="B540" s="31" t="s">
        <v>2210</v>
      </c>
      <c r="C540" s="41">
        <v>2020</v>
      </c>
      <c r="D540" s="42">
        <f t="shared" si="8"/>
        <v>2025</v>
      </c>
      <c r="E540" s="31" t="s">
        <v>126</v>
      </c>
      <c r="F540" s="31" t="s">
        <v>2211</v>
      </c>
      <c r="G540" s="31" t="s">
        <v>2212</v>
      </c>
      <c r="H540" s="31" t="s">
        <v>181</v>
      </c>
      <c r="I540" s="31" t="s">
        <v>178</v>
      </c>
      <c r="J540" s="31" t="s">
        <v>179</v>
      </c>
      <c r="K540" s="31" t="s">
        <v>163</v>
      </c>
      <c r="L540" s="31" t="s">
        <v>127</v>
      </c>
      <c r="M540" s="34">
        <v>17907626100</v>
      </c>
      <c r="N540" s="34">
        <v>0</v>
      </c>
      <c r="O540" s="34">
        <v>17907626100</v>
      </c>
      <c r="P540" s="31" t="s">
        <v>122</v>
      </c>
      <c r="Q540" s="34">
        <v>27300000</v>
      </c>
      <c r="R540" s="31" t="s">
        <v>150</v>
      </c>
      <c r="S540" s="35">
        <v>44011</v>
      </c>
      <c r="T540" s="35">
        <v>43997</v>
      </c>
      <c r="U540" s="35">
        <v>45838</v>
      </c>
      <c r="V540" s="27" t="s">
        <v>9308</v>
      </c>
      <c r="W540" s="34"/>
      <c r="X540" s="34"/>
      <c r="Y540" s="34" t="s">
        <v>125</v>
      </c>
      <c r="Z540" s="34"/>
      <c r="AA540" s="34"/>
      <c r="AB540" s="34"/>
      <c r="AC540" s="34"/>
      <c r="AD540" s="34"/>
      <c r="AE540" s="34"/>
      <c r="AF540" s="34"/>
    </row>
    <row r="541" spans="2:32" ht="60" customHeight="1" x14ac:dyDescent="0.25">
      <c r="B541" s="36" t="s">
        <v>2213</v>
      </c>
      <c r="C541" s="42">
        <v>2020</v>
      </c>
      <c r="D541" s="42">
        <f t="shared" si="8"/>
        <v>2026</v>
      </c>
      <c r="E541" s="36" t="s">
        <v>235</v>
      </c>
      <c r="F541" s="36" t="s">
        <v>2214</v>
      </c>
      <c r="G541" s="36" t="s">
        <v>2215</v>
      </c>
      <c r="H541" s="36" t="s">
        <v>181</v>
      </c>
      <c r="I541" s="36" t="s">
        <v>178</v>
      </c>
      <c r="J541" s="36" t="s">
        <v>179</v>
      </c>
      <c r="K541" s="36" t="s">
        <v>1923</v>
      </c>
      <c r="L541" s="36" t="s">
        <v>127</v>
      </c>
      <c r="M541" s="37">
        <v>95900913400</v>
      </c>
      <c r="N541" s="37">
        <v>0</v>
      </c>
      <c r="O541" s="37">
        <v>95900913400</v>
      </c>
      <c r="P541" s="36" t="s">
        <v>122</v>
      </c>
      <c r="Q541" s="37">
        <v>146200000</v>
      </c>
      <c r="R541" s="36" t="s">
        <v>236</v>
      </c>
      <c r="S541" s="38">
        <v>44012</v>
      </c>
      <c r="T541" s="38">
        <v>43937</v>
      </c>
      <c r="U541" s="38">
        <v>46387</v>
      </c>
      <c r="V541" s="27" t="s">
        <v>9308</v>
      </c>
      <c r="W541" s="37"/>
      <c r="X541" s="37"/>
      <c r="Y541" s="37" t="s">
        <v>125</v>
      </c>
      <c r="Z541" s="37"/>
      <c r="AA541" s="37"/>
      <c r="AB541" s="37"/>
      <c r="AC541" s="37"/>
      <c r="AD541" s="37"/>
      <c r="AE541" s="37"/>
      <c r="AF541" s="37"/>
    </row>
    <row r="542" spans="2:32" ht="105" customHeight="1" x14ac:dyDescent="0.25">
      <c r="B542" s="31" t="s">
        <v>2216</v>
      </c>
      <c r="C542" s="41">
        <v>2020</v>
      </c>
      <c r="D542" s="42">
        <f t="shared" si="8"/>
        <v>2024</v>
      </c>
      <c r="E542" s="31" t="s">
        <v>126</v>
      </c>
      <c r="F542" s="31" t="s">
        <v>2217</v>
      </c>
      <c r="G542" s="31" t="s">
        <v>2218</v>
      </c>
      <c r="H542" s="31" t="s">
        <v>151</v>
      </c>
      <c r="I542" s="31" t="s">
        <v>305</v>
      </c>
      <c r="J542" s="31" t="s">
        <v>306</v>
      </c>
      <c r="K542" s="31" t="s">
        <v>118</v>
      </c>
      <c r="L542" s="31" t="s">
        <v>127</v>
      </c>
      <c r="M542" s="34">
        <v>27880000000</v>
      </c>
      <c r="N542" s="34">
        <v>0</v>
      </c>
      <c r="O542" s="34">
        <v>27880000000</v>
      </c>
      <c r="P542" s="31" t="s">
        <v>624</v>
      </c>
      <c r="Q542" s="34">
        <v>50000000</v>
      </c>
      <c r="R542" s="31" t="s">
        <v>150</v>
      </c>
      <c r="S542" s="35">
        <v>44022</v>
      </c>
      <c r="T542" s="35">
        <v>44015</v>
      </c>
      <c r="U542" s="35">
        <v>45657</v>
      </c>
      <c r="V542" s="27" t="s">
        <v>9455</v>
      </c>
      <c r="W542" s="34"/>
      <c r="X542" s="34"/>
      <c r="Y542" s="34" t="s">
        <v>125</v>
      </c>
      <c r="Z542" s="34"/>
      <c r="AA542" s="34"/>
      <c r="AB542" s="34"/>
      <c r="AC542" s="34"/>
      <c r="AD542" s="34"/>
      <c r="AE542" s="34"/>
      <c r="AF542" s="34"/>
    </row>
    <row r="543" spans="2:32" ht="60" customHeight="1" x14ac:dyDescent="0.25">
      <c r="B543" s="36" t="s">
        <v>2220</v>
      </c>
      <c r="C543" s="33">
        <v>2020</v>
      </c>
      <c r="D543" s="33">
        <f t="shared" si="8"/>
        <v>2022</v>
      </c>
      <c r="E543" s="36" t="s">
        <v>126</v>
      </c>
      <c r="F543" s="36" t="s">
        <v>2221</v>
      </c>
      <c r="G543" s="36" t="s">
        <v>2222</v>
      </c>
      <c r="H543" s="36" t="s">
        <v>129</v>
      </c>
      <c r="I543" s="36" t="s">
        <v>267</v>
      </c>
      <c r="J543" s="36" t="s">
        <v>267</v>
      </c>
      <c r="K543" s="36" t="s">
        <v>263</v>
      </c>
      <c r="L543" s="36" t="s">
        <v>127</v>
      </c>
      <c r="M543" s="37">
        <v>6559570000</v>
      </c>
      <c r="N543" s="37">
        <v>0</v>
      </c>
      <c r="O543" s="37">
        <v>6559570000</v>
      </c>
      <c r="P543" s="36" t="s">
        <v>122</v>
      </c>
      <c r="Q543" s="37">
        <v>10000000</v>
      </c>
      <c r="R543" s="36" t="s">
        <v>150</v>
      </c>
      <c r="S543" s="38">
        <v>44032</v>
      </c>
      <c r="T543" s="38">
        <v>43901</v>
      </c>
      <c r="U543" s="38">
        <v>44926</v>
      </c>
      <c r="V543" s="27" t="s">
        <v>9456</v>
      </c>
      <c r="W543" s="37"/>
      <c r="X543" s="37"/>
      <c r="Y543" s="37" t="s">
        <v>242</v>
      </c>
      <c r="Z543" s="37"/>
      <c r="AA543" s="37"/>
      <c r="AB543" s="37"/>
      <c r="AC543" s="37"/>
      <c r="AD543" s="37"/>
      <c r="AE543" s="37"/>
      <c r="AF543" s="37"/>
    </row>
    <row r="544" spans="2:32" ht="45" customHeight="1" x14ac:dyDescent="0.25">
      <c r="B544" s="31" t="s">
        <v>2225</v>
      </c>
      <c r="C544" s="41">
        <v>2020</v>
      </c>
      <c r="D544" s="42">
        <f t="shared" si="8"/>
        <v>2025</v>
      </c>
      <c r="E544" s="31" t="s">
        <v>126</v>
      </c>
      <c r="F544" s="31" t="s">
        <v>2226</v>
      </c>
      <c r="G544" s="31" t="s">
        <v>2227</v>
      </c>
      <c r="H544" s="31" t="s">
        <v>172</v>
      </c>
      <c r="I544" s="31" t="s">
        <v>2228</v>
      </c>
      <c r="J544" s="31" t="s">
        <v>2229</v>
      </c>
      <c r="K544" s="31" t="s">
        <v>142</v>
      </c>
      <c r="L544" s="31" t="s">
        <v>127</v>
      </c>
      <c r="M544" s="34">
        <v>109787523090</v>
      </c>
      <c r="N544" s="34">
        <v>0</v>
      </c>
      <c r="O544" s="34">
        <v>109787523090</v>
      </c>
      <c r="P544" s="31" t="s">
        <v>122</v>
      </c>
      <c r="Q544" s="34">
        <v>167370000</v>
      </c>
      <c r="R544" s="31" t="s">
        <v>443</v>
      </c>
      <c r="S544" s="35">
        <v>44036</v>
      </c>
      <c r="T544" s="35">
        <v>43901</v>
      </c>
      <c r="U544" s="35">
        <v>46022</v>
      </c>
      <c r="V544" s="27" t="s">
        <v>9387</v>
      </c>
      <c r="W544" s="34"/>
      <c r="X544" s="34"/>
      <c r="Y544" s="34" t="s">
        <v>442</v>
      </c>
      <c r="Z544" s="34"/>
      <c r="AA544" s="34"/>
      <c r="AB544" s="34"/>
      <c r="AC544" s="34"/>
      <c r="AD544" s="34"/>
      <c r="AE544" s="34"/>
      <c r="AF544" s="34"/>
    </row>
    <row r="545" spans="2:32" ht="60" customHeight="1" x14ac:dyDescent="0.25">
      <c r="B545" s="36" t="s">
        <v>2230</v>
      </c>
      <c r="C545" s="33">
        <v>2020</v>
      </c>
      <c r="D545" s="33">
        <f t="shared" si="8"/>
        <v>2021</v>
      </c>
      <c r="E545" s="36" t="s">
        <v>317</v>
      </c>
      <c r="F545" s="36" t="s">
        <v>2231</v>
      </c>
      <c r="G545" s="36" t="s">
        <v>2232</v>
      </c>
      <c r="H545" s="36" t="s">
        <v>151</v>
      </c>
      <c r="I545" s="36" t="s">
        <v>277</v>
      </c>
      <c r="J545" s="36" t="s">
        <v>278</v>
      </c>
      <c r="K545" s="36" t="s">
        <v>216</v>
      </c>
      <c r="L545" s="36" t="s">
        <v>127</v>
      </c>
      <c r="M545" s="37">
        <v>4109865600</v>
      </c>
      <c r="N545" s="37">
        <v>0</v>
      </c>
      <c r="O545" s="37">
        <v>4109865600</v>
      </c>
      <c r="P545" s="36" t="s">
        <v>276</v>
      </c>
      <c r="Q545" s="37">
        <v>5100000</v>
      </c>
      <c r="R545" s="36" t="s">
        <v>150</v>
      </c>
      <c r="S545" s="38">
        <v>44060</v>
      </c>
      <c r="T545" s="38">
        <v>44035</v>
      </c>
      <c r="U545" s="38">
        <v>44561</v>
      </c>
      <c r="V545" s="27" t="s">
        <v>9308</v>
      </c>
      <c r="W545" s="37"/>
      <c r="X545" s="37"/>
      <c r="Y545" s="37" t="s">
        <v>125</v>
      </c>
      <c r="Z545" s="37"/>
      <c r="AA545" s="37"/>
      <c r="AB545" s="37"/>
      <c r="AC545" s="37"/>
      <c r="AD545" s="37"/>
      <c r="AE545" s="37"/>
      <c r="AF545" s="37"/>
    </row>
    <row r="546" spans="2:32" ht="60" customHeight="1" x14ac:dyDescent="0.25">
      <c r="B546" s="31" t="s">
        <v>2233</v>
      </c>
      <c r="C546" s="41">
        <v>2020</v>
      </c>
      <c r="D546" s="42" t="e">
        <f t="shared" si="8"/>
        <v>#VALUE!</v>
      </c>
      <c r="E546" s="31" t="s">
        <v>126</v>
      </c>
      <c r="F546" s="31" t="s">
        <v>2234</v>
      </c>
      <c r="G546" s="31" t="s">
        <v>2235</v>
      </c>
      <c r="H546" s="31" t="s">
        <v>129</v>
      </c>
      <c r="I546" s="31" t="s">
        <v>689</v>
      </c>
      <c r="J546" s="31" t="s">
        <v>690</v>
      </c>
      <c r="K546" s="31" t="s">
        <v>1880</v>
      </c>
      <c r="L546" s="31" t="s">
        <v>127</v>
      </c>
      <c r="M546" s="34">
        <v>9839355000</v>
      </c>
      <c r="N546" s="34">
        <v>0</v>
      </c>
      <c r="O546" s="34">
        <v>9839355000</v>
      </c>
      <c r="P546" s="31" t="s">
        <v>122</v>
      </c>
      <c r="Q546" s="34">
        <v>15000000</v>
      </c>
      <c r="R546" s="31" t="s">
        <v>127</v>
      </c>
      <c r="S546" s="35">
        <v>44117</v>
      </c>
      <c r="T546" s="35">
        <v>43901</v>
      </c>
      <c r="U546" s="35" t="s">
        <v>2236</v>
      </c>
      <c r="V546" s="27" t="s">
        <v>9308</v>
      </c>
      <c r="W546" s="31" t="s">
        <v>557</v>
      </c>
      <c r="X546" s="31" t="s">
        <v>558</v>
      </c>
      <c r="Y546" s="31" t="s">
        <v>125</v>
      </c>
      <c r="Z546" s="31" t="s">
        <v>1880</v>
      </c>
      <c r="AA546" s="31" t="s">
        <v>1046</v>
      </c>
      <c r="AB546" s="31" t="s">
        <v>861</v>
      </c>
      <c r="AC546" s="31" t="s">
        <v>1036</v>
      </c>
      <c r="AD546" s="34">
        <v>16.600000000000001</v>
      </c>
      <c r="AE546" s="31" t="s">
        <v>902</v>
      </c>
      <c r="AF546" s="34"/>
    </row>
    <row r="547" spans="2:32" ht="45" customHeight="1" x14ac:dyDescent="0.25">
      <c r="B547" s="36" t="s">
        <v>2237</v>
      </c>
      <c r="C547" s="33">
        <v>2020</v>
      </c>
      <c r="D547" s="33">
        <f t="shared" si="8"/>
        <v>2021</v>
      </c>
      <c r="E547" s="36" t="s">
        <v>625</v>
      </c>
      <c r="F547" s="36" t="s">
        <v>2238</v>
      </c>
      <c r="G547" s="36" t="s">
        <v>2239</v>
      </c>
      <c r="H547" s="36" t="s">
        <v>129</v>
      </c>
      <c r="I547" s="36" t="s">
        <v>689</v>
      </c>
      <c r="J547" s="36" t="s">
        <v>690</v>
      </c>
      <c r="K547" s="36" t="s">
        <v>216</v>
      </c>
      <c r="L547" s="36" t="s">
        <v>127</v>
      </c>
      <c r="M547" s="37">
        <v>19678710000</v>
      </c>
      <c r="N547" s="37">
        <v>0</v>
      </c>
      <c r="O547" s="37">
        <v>19678710000</v>
      </c>
      <c r="P547" s="36" t="s">
        <v>122</v>
      </c>
      <c r="Q547" s="37">
        <v>30000000</v>
      </c>
      <c r="R547" s="36" t="s">
        <v>127</v>
      </c>
      <c r="S547" s="38">
        <v>44162</v>
      </c>
      <c r="T547" s="38">
        <v>43901</v>
      </c>
      <c r="U547" s="38">
        <v>44561</v>
      </c>
      <c r="V547" s="27" t="s">
        <v>9308</v>
      </c>
      <c r="W547" s="36" t="s">
        <v>557</v>
      </c>
      <c r="X547" s="36" t="s">
        <v>558</v>
      </c>
      <c r="Y547" s="36" t="s">
        <v>125</v>
      </c>
      <c r="Z547" s="36" t="s">
        <v>1851</v>
      </c>
      <c r="AA547" s="36" t="s">
        <v>561</v>
      </c>
      <c r="AB547" s="36" t="s">
        <v>560</v>
      </c>
      <c r="AC547" s="36" t="s">
        <v>989</v>
      </c>
      <c r="AD547" s="37">
        <v>3.8</v>
      </c>
      <c r="AE547" s="36" t="s">
        <v>902</v>
      </c>
      <c r="AF547" s="37"/>
    </row>
    <row r="548" spans="2:32" ht="60" customHeight="1" x14ac:dyDescent="0.25">
      <c r="B548" s="31" t="s">
        <v>2240</v>
      </c>
      <c r="C548" s="32">
        <v>2020</v>
      </c>
      <c r="D548" s="33">
        <f t="shared" si="8"/>
        <v>2021</v>
      </c>
      <c r="E548" s="31" t="s">
        <v>625</v>
      </c>
      <c r="F548" s="31" t="s">
        <v>2238</v>
      </c>
      <c r="G548" s="31" t="s">
        <v>2241</v>
      </c>
      <c r="H548" s="31" t="s">
        <v>151</v>
      </c>
      <c r="I548" s="31" t="s">
        <v>148</v>
      </c>
      <c r="J548" s="36" t="s">
        <v>149</v>
      </c>
      <c r="K548" s="31" t="s">
        <v>216</v>
      </c>
      <c r="L548" s="31" t="s">
        <v>127</v>
      </c>
      <c r="M548" s="34">
        <v>9000000000</v>
      </c>
      <c r="N548" s="34">
        <v>0</v>
      </c>
      <c r="O548" s="34">
        <v>9000000000</v>
      </c>
      <c r="P548" s="31" t="s">
        <v>624</v>
      </c>
      <c r="Q548" s="34">
        <v>15000000</v>
      </c>
      <c r="R548" s="31" t="s">
        <v>150</v>
      </c>
      <c r="S548" s="35">
        <v>44147</v>
      </c>
      <c r="T548" s="35">
        <v>44015</v>
      </c>
      <c r="U548" s="35">
        <v>44561</v>
      </c>
      <c r="V548" s="27" t="s">
        <v>9308</v>
      </c>
      <c r="W548" s="31" t="s">
        <v>557</v>
      </c>
      <c r="X548" s="31" t="s">
        <v>558</v>
      </c>
      <c r="Y548" s="31" t="s">
        <v>125</v>
      </c>
      <c r="Z548" s="31" t="s">
        <v>1851</v>
      </c>
      <c r="AA548" s="31" t="s">
        <v>561</v>
      </c>
      <c r="AB548" s="31" t="s">
        <v>560</v>
      </c>
      <c r="AC548" s="31" t="s">
        <v>989</v>
      </c>
      <c r="AD548" s="34">
        <v>3.8</v>
      </c>
      <c r="AE548" s="31" t="s">
        <v>902</v>
      </c>
      <c r="AF548" s="34"/>
    </row>
    <row r="549" spans="2:32" ht="60" customHeight="1" x14ac:dyDescent="0.25">
      <c r="B549" s="36" t="s">
        <v>2242</v>
      </c>
      <c r="C549" s="33">
        <v>2020</v>
      </c>
      <c r="D549" s="33">
        <f t="shared" si="8"/>
        <v>2021</v>
      </c>
      <c r="E549" s="36" t="s">
        <v>126</v>
      </c>
      <c r="F549" s="36" t="s">
        <v>2243</v>
      </c>
      <c r="G549" s="36" t="s">
        <v>2244</v>
      </c>
      <c r="H549" s="36" t="s">
        <v>151</v>
      </c>
      <c r="I549" s="36" t="s">
        <v>168</v>
      </c>
      <c r="J549" s="36" t="s">
        <v>169</v>
      </c>
      <c r="K549" s="36" t="s">
        <v>118</v>
      </c>
      <c r="L549" s="36" t="s">
        <v>127</v>
      </c>
      <c r="M549" s="37">
        <v>16398925000</v>
      </c>
      <c r="N549" s="37">
        <v>0</v>
      </c>
      <c r="O549" s="37">
        <v>16398925000</v>
      </c>
      <c r="P549" s="36" t="s">
        <v>122</v>
      </c>
      <c r="Q549" s="37">
        <v>25000000</v>
      </c>
      <c r="R549" s="36" t="s">
        <v>150</v>
      </c>
      <c r="S549" s="38">
        <v>44181</v>
      </c>
      <c r="T549" s="38">
        <v>43901</v>
      </c>
      <c r="U549" s="38">
        <v>44561</v>
      </c>
      <c r="V549" s="27" t="s">
        <v>9308</v>
      </c>
      <c r="W549" s="37"/>
      <c r="X549" s="37"/>
      <c r="Y549" s="37" t="s">
        <v>125</v>
      </c>
      <c r="Z549" s="37"/>
      <c r="AA549" s="37"/>
      <c r="AB549" s="37"/>
      <c r="AC549" s="37"/>
      <c r="AD549" s="37"/>
      <c r="AE549" s="37"/>
      <c r="AF549" s="37"/>
    </row>
    <row r="550" spans="2:32" ht="60" customHeight="1" x14ac:dyDescent="0.25">
      <c r="B550" s="31" t="s">
        <v>2245</v>
      </c>
      <c r="C550" s="32">
        <v>2020</v>
      </c>
      <c r="D550" s="33">
        <f t="shared" si="8"/>
        <v>2021</v>
      </c>
      <c r="E550" s="31" t="s">
        <v>1335</v>
      </c>
      <c r="F550" s="31" t="s">
        <v>2246</v>
      </c>
      <c r="G550" s="31" t="s">
        <v>2247</v>
      </c>
      <c r="H550" s="31" t="s">
        <v>181</v>
      </c>
      <c r="I550" s="31" t="s">
        <v>178</v>
      </c>
      <c r="J550" s="31" t="s">
        <v>179</v>
      </c>
      <c r="K550" s="31" t="s">
        <v>1880</v>
      </c>
      <c r="L550" s="31" t="s">
        <v>127</v>
      </c>
      <c r="M550" s="34">
        <v>28140555300</v>
      </c>
      <c r="N550" s="34">
        <v>0</v>
      </c>
      <c r="O550" s="34">
        <v>28140555300</v>
      </c>
      <c r="P550" s="31" t="s">
        <v>122</v>
      </c>
      <c r="Q550" s="34">
        <v>42900000</v>
      </c>
      <c r="R550" s="31" t="s">
        <v>1252</v>
      </c>
      <c r="S550" s="35">
        <v>44183</v>
      </c>
      <c r="T550" s="35">
        <v>44182</v>
      </c>
      <c r="U550" s="35">
        <v>44561</v>
      </c>
      <c r="V550" s="27" t="s">
        <v>9308</v>
      </c>
      <c r="W550" s="34"/>
      <c r="X550" s="34"/>
      <c r="Y550" s="34" t="s">
        <v>125</v>
      </c>
      <c r="Z550" s="34"/>
      <c r="AA550" s="34"/>
      <c r="AB550" s="34"/>
      <c r="AC550" s="34"/>
      <c r="AD550" s="34"/>
      <c r="AE550" s="34"/>
      <c r="AF550" s="34"/>
    </row>
    <row r="551" spans="2:32" ht="60" customHeight="1" x14ac:dyDescent="0.25">
      <c r="B551" s="36" t="s">
        <v>2248</v>
      </c>
      <c r="C551" s="42">
        <v>2020</v>
      </c>
      <c r="D551" s="42">
        <f t="shared" si="8"/>
        <v>2026</v>
      </c>
      <c r="E551" s="36" t="s">
        <v>126</v>
      </c>
      <c r="F551" s="36" t="s">
        <v>2249</v>
      </c>
      <c r="G551" s="36" t="s">
        <v>2250</v>
      </c>
      <c r="H551" s="36" t="s">
        <v>181</v>
      </c>
      <c r="I551" s="36" t="s">
        <v>178</v>
      </c>
      <c r="J551" s="36" t="s">
        <v>179</v>
      </c>
      <c r="K551" s="36" t="s">
        <v>526</v>
      </c>
      <c r="L551" s="36" t="s">
        <v>127</v>
      </c>
      <c r="M551" s="37">
        <v>16923690600</v>
      </c>
      <c r="N551" s="37">
        <v>0</v>
      </c>
      <c r="O551" s="37">
        <v>16923690600</v>
      </c>
      <c r="P551" s="36" t="s">
        <v>122</v>
      </c>
      <c r="Q551" s="37">
        <v>25800000</v>
      </c>
      <c r="R551" s="36" t="s">
        <v>150</v>
      </c>
      <c r="S551" s="38">
        <v>44188</v>
      </c>
      <c r="T551" s="38">
        <v>43976</v>
      </c>
      <c r="U551" s="38">
        <v>46203</v>
      </c>
      <c r="V551" s="27" t="s">
        <v>9308</v>
      </c>
      <c r="W551" s="37"/>
      <c r="X551" s="37"/>
      <c r="Y551" s="37" t="s">
        <v>125</v>
      </c>
      <c r="Z551" s="37"/>
      <c r="AA551" s="37"/>
      <c r="AB551" s="37"/>
      <c r="AC551" s="37"/>
      <c r="AD551" s="37"/>
      <c r="AE551" s="37"/>
      <c r="AF551" s="37"/>
    </row>
    <row r="552" spans="2:32" ht="75" customHeight="1" x14ac:dyDescent="0.25">
      <c r="B552" s="31" t="s">
        <v>2251</v>
      </c>
      <c r="C552" s="41">
        <v>2020</v>
      </c>
      <c r="D552" s="42">
        <f t="shared" si="8"/>
        <v>2025</v>
      </c>
      <c r="E552" s="31" t="s">
        <v>126</v>
      </c>
      <c r="F552" s="31" t="s">
        <v>2252</v>
      </c>
      <c r="G552" s="31" t="s">
        <v>2253</v>
      </c>
      <c r="H552" s="31" t="s">
        <v>172</v>
      </c>
      <c r="I552" s="31" t="s">
        <v>2169</v>
      </c>
      <c r="J552" s="31" t="s">
        <v>2170</v>
      </c>
      <c r="K552" s="31" t="s">
        <v>216</v>
      </c>
      <c r="L552" s="31" t="s">
        <v>127</v>
      </c>
      <c r="M552" s="34">
        <v>114992461891</v>
      </c>
      <c r="N552" s="34">
        <v>0</v>
      </c>
      <c r="O552" s="34">
        <v>114992461891</v>
      </c>
      <c r="P552" s="31" t="s">
        <v>122</v>
      </c>
      <c r="Q552" s="34">
        <v>175304878.05000001</v>
      </c>
      <c r="R552" s="31" t="s">
        <v>443</v>
      </c>
      <c r="S552" s="35">
        <v>43901</v>
      </c>
      <c r="T552" s="35">
        <v>43852</v>
      </c>
      <c r="U552" s="35">
        <v>46022</v>
      </c>
      <c r="V552" s="27" t="s">
        <v>9457</v>
      </c>
      <c r="W552" s="31" t="s">
        <v>1043</v>
      </c>
      <c r="X552" s="31" t="s">
        <v>558</v>
      </c>
      <c r="Y552" s="31" t="s">
        <v>442</v>
      </c>
      <c r="Z552" s="31" t="s">
        <v>1688</v>
      </c>
      <c r="AA552" s="31" t="s">
        <v>561</v>
      </c>
      <c r="AB552" s="31" t="s">
        <v>560</v>
      </c>
      <c r="AC552" s="31" t="s">
        <v>989</v>
      </c>
      <c r="AD552" s="34">
        <v>3.8</v>
      </c>
      <c r="AE552" s="31" t="s">
        <v>902</v>
      </c>
      <c r="AF552" s="31" t="s">
        <v>860</v>
      </c>
    </row>
    <row r="553" spans="2:32" ht="75" customHeight="1" x14ac:dyDescent="0.25">
      <c r="B553" s="36" t="s">
        <v>2255</v>
      </c>
      <c r="C553" s="42">
        <v>2020</v>
      </c>
      <c r="D553" s="42">
        <f t="shared" si="8"/>
        <v>2022</v>
      </c>
      <c r="E553" s="36" t="s">
        <v>126</v>
      </c>
      <c r="F553" s="36" t="s">
        <v>2256</v>
      </c>
      <c r="G553" s="36" t="s">
        <v>2257</v>
      </c>
      <c r="H553" s="36" t="s">
        <v>151</v>
      </c>
      <c r="I553" s="36" t="s">
        <v>168</v>
      </c>
      <c r="J553" s="36" t="s">
        <v>169</v>
      </c>
      <c r="K553" s="36" t="s">
        <v>216</v>
      </c>
      <c r="L553" s="36" t="s">
        <v>127</v>
      </c>
      <c r="M553" s="37">
        <v>12240000000</v>
      </c>
      <c r="N553" s="37">
        <v>0</v>
      </c>
      <c r="O553" s="37">
        <v>12240000000</v>
      </c>
      <c r="P553" s="36" t="s">
        <v>136</v>
      </c>
      <c r="Q553" s="37">
        <v>12240000000</v>
      </c>
      <c r="R553" s="36" t="s">
        <v>150</v>
      </c>
      <c r="S553" s="38">
        <v>43973</v>
      </c>
      <c r="T553" s="38">
        <v>43948</v>
      </c>
      <c r="U553" s="38">
        <v>44926</v>
      </c>
      <c r="V553" s="27" t="s">
        <v>9308</v>
      </c>
      <c r="W553" s="36" t="s">
        <v>557</v>
      </c>
      <c r="X553" s="36" t="s">
        <v>558</v>
      </c>
      <c r="Y553" s="36" t="s">
        <v>125</v>
      </c>
      <c r="Z553" s="36" t="s">
        <v>992</v>
      </c>
      <c r="AA553" s="36" t="s">
        <v>561</v>
      </c>
      <c r="AB553" s="36" t="s">
        <v>560</v>
      </c>
      <c r="AC553" s="36" t="s">
        <v>989</v>
      </c>
      <c r="AD553" s="37">
        <v>3.8</v>
      </c>
      <c r="AE553" s="36" t="s">
        <v>902</v>
      </c>
      <c r="AF553" s="36" t="s">
        <v>559</v>
      </c>
    </row>
    <row r="554" spans="2:32" ht="60" customHeight="1" x14ac:dyDescent="0.25">
      <c r="B554" s="31" t="s">
        <v>2258</v>
      </c>
      <c r="C554" s="41">
        <v>2020</v>
      </c>
      <c r="D554" s="42">
        <f t="shared" si="8"/>
        <v>2026</v>
      </c>
      <c r="E554" s="31" t="s">
        <v>126</v>
      </c>
      <c r="F554" s="31" t="s">
        <v>2259</v>
      </c>
      <c r="G554" s="31" t="s">
        <v>2260</v>
      </c>
      <c r="H554" s="31" t="s">
        <v>129</v>
      </c>
      <c r="I554" s="31" t="s">
        <v>574</v>
      </c>
      <c r="J554" s="31" t="s">
        <v>575</v>
      </c>
      <c r="K554" s="31" t="s">
        <v>118</v>
      </c>
      <c r="L554" s="31" t="s">
        <v>159</v>
      </c>
      <c r="M554" s="34">
        <v>0</v>
      </c>
      <c r="N554" s="34">
        <v>13119999999</v>
      </c>
      <c r="O554" s="34">
        <v>13119999999</v>
      </c>
      <c r="P554" s="31" t="s">
        <v>122</v>
      </c>
      <c r="Q554" s="34">
        <v>20001311.059999999</v>
      </c>
      <c r="R554" s="31" t="s">
        <v>159</v>
      </c>
      <c r="S554" s="35">
        <v>43985</v>
      </c>
      <c r="T554" s="35">
        <v>43901</v>
      </c>
      <c r="U554" s="35">
        <v>46387</v>
      </c>
      <c r="V554" s="27" t="s">
        <v>9308</v>
      </c>
      <c r="W554" s="31" t="s">
        <v>557</v>
      </c>
      <c r="X554" s="31" t="s">
        <v>880</v>
      </c>
      <c r="Y554" s="31" t="s">
        <v>125</v>
      </c>
      <c r="Z554" s="31" t="s">
        <v>1171</v>
      </c>
      <c r="AA554" s="31" t="s">
        <v>862</v>
      </c>
      <c r="AB554" s="31" t="s">
        <v>861</v>
      </c>
      <c r="AC554" s="31" t="s">
        <v>1173</v>
      </c>
      <c r="AD554" s="34">
        <v>7.1</v>
      </c>
      <c r="AE554" s="31" t="s">
        <v>864</v>
      </c>
      <c r="AF554" s="31" t="s">
        <v>860</v>
      </c>
    </row>
    <row r="555" spans="2:32" ht="75" customHeight="1" x14ac:dyDescent="0.25">
      <c r="B555" s="36" t="s">
        <v>2261</v>
      </c>
      <c r="C555" s="42">
        <v>2020</v>
      </c>
      <c r="D555" s="42" t="e">
        <f t="shared" si="8"/>
        <v>#VALUE!</v>
      </c>
      <c r="E555" s="36" t="s">
        <v>1048</v>
      </c>
      <c r="F555" s="36" t="s">
        <v>2262</v>
      </c>
      <c r="G555" s="36" t="s">
        <v>2263</v>
      </c>
      <c r="H555" s="36" t="s">
        <v>151</v>
      </c>
      <c r="I555" s="36" t="s">
        <v>277</v>
      </c>
      <c r="J555" s="36" t="s">
        <v>278</v>
      </c>
      <c r="K555" s="36" t="s">
        <v>1039</v>
      </c>
      <c r="L555" s="36" t="s">
        <v>127</v>
      </c>
      <c r="M555" s="37">
        <v>229580000001</v>
      </c>
      <c r="N555" s="37">
        <v>0</v>
      </c>
      <c r="O555" s="37">
        <v>229580000001</v>
      </c>
      <c r="P555" s="36" t="s">
        <v>624</v>
      </c>
      <c r="Q555" s="37">
        <v>417418181.81999999</v>
      </c>
      <c r="R555" s="36" t="s">
        <v>2265</v>
      </c>
      <c r="S555" s="38">
        <v>44090</v>
      </c>
      <c r="T555" s="38">
        <v>44007</v>
      </c>
      <c r="U555" s="38" t="s">
        <v>2264</v>
      </c>
      <c r="V555" s="27" t="s">
        <v>9308</v>
      </c>
      <c r="W555" s="36" t="s">
        <v>557</v>
      </c>
      <c r="X555" s="36" t="s">
        <v>558</v>
      </c>
      <c r="Y555" s="36" t="s">
        <v>125</v>
      </c>
      <c r="Z555" s="36" t="s">
        <v>1040</v>
      </c>
      <c r="AA555" s="36" t="s">
        <v>1046</v>
      </c>
      <c r="AB555" s="36" t="s">
        <v>861</v>
      </c>
      <c r="AC555" s="36" t="s">
        <v>1047</v>
      </c>
      <c r="AD555" s="37">
        <v>17.170000000000002</v>
      </c>
      <c r="AE555" s="36" t="s">
        <v>864</v>
      </c>
      <c r="AF555" s="36" t="s">
        <v>860</v>
      </c>
    </row>
    <row r="556" spans="2:32" ht="75" customHeight="1" x14ac:dyDescent="0.25">
      <c r="B556" s="31" t="s">
        <v>2266</v>
      </c>
      <c r="C556" s="41">
        <v>2020</v>
      </c>
      <c r="D556" s="42">
        <f t="shared" si="8"/>
        <v>2026</v>
      </c>
      <c r="E556" s="31" t="s">
        <v>126</v>
      </c>
      <c r="F556" s="31" t="s">
        <v>2267</v>
      </c>
      <c r="G556" s="31" t="s">
        <v>2268</v>
      </c>
      <c r="H556" s="31" t="s">
        <v>139</v>
      </c>
      <c r="I556" s="31" t="s">
        <v>137</v>
      </c>
      <c r="J556" s="31" t="s">
        <v>138</v>
      </c>
      <c r="K556" s="31" t="s">
        <v>190</v>
      </c>
      <c r="L556" s="31" t="s">
        <v>127</v>
      </c>
      <c r="M556" s="34">
        <v>28000000000</v>
      </c>
      <c r="N556" s="34">
        <v>0</v>
      </c>
      <c r="O556" s="34">
        <v>28000000000</v>
      </c>
      <c r="P556" s="31" t="s">
        <v>136</v>
      </c>
      <c r="Q556" s="34">
        <v>28000000000</v>
      </c>
      <c r="R556" s="31" t="s">
        <v>128</v>
      </c>
      <c r="S556" s="35">
        <v>44006</v>
      </c>
      <c r="T556" s="35">
        <v>43895</v>
      </c>
      <c r="U556" s="35">
        <v>46387</v>
      </c>
      <c r="V556" s="27" t="s">
        <v>9348</v>
      </c>
      <c r="W556" s="31" t="s">
        <v>1043</v>
      </c>
      <c r="X556" s="31" t="s">
        <v>558</v>
      </c>
      <c r="Y556" s="31" t="s">
        <v>125</v>
      </c>
      <c r="Z556" s="31" t="s">
        <v>1453</v>
      </c>
      <c r="AA556" s="31" t="s">
        <v>862</v>
      </c>
      <c r="AB556" s="31" t="s">
        <v>861</v>
      </c>
      <c r="AC556" s="31" t="s">
        <v>863</v>
      </c>
      <c r="AD556" s="34">
        <v>2.2999999999999998</v>
      </c>
      <c r="AE556" s="31" t="s">
        <v>864</v>
      </c>
      <c r="AF556" s="31" t="s">
        <v>860</v>
      </c>
    </row>
    <row r="557" spans="2:32" ht="60" customHeight="1" x14ac:dyDescent="0.25">
      <c r="B557" s="36" t="s">
        <v>2269</v>
      </c>
      <c r="C557" s="42">
        <v>2020</v>
      </c>
      <c r="D557" s="42">
        <f t="shared" si="8"/>
        <v>2024</v>
      </c>
      <c r="E557" s="36" t="s">
        <v>126</v>
      </c>
      <c r="F557" s="36" t="s">
        <v>2000</v>
      </c>
      <c r="G557" s="36" t="s">
        <v>2270</v>
      </c>
      <c r="H557" s="36" t="s">
        <v>326</v>
      </c>
      <c r="I557" s="36" t="s">
        <v>267</v>
      </c>
      <c r="J557" s="36" t="s">
        <v>267</v>
      </c>
      <c r="K557" s="36" t="s">
        <v>315</v>
      </c>
      <c r="L557" s="36" t="s">
        <v>159</v>
      </c>
      <c r="M557" s="37">
        <v>0</v>
      </c>
      <c r="N557" s="37">
        <v>3522489090</v>
      </c>
      <c r="O557" s="37">
        <v>3522489090</v>
      </c>
      <c r="P557" s="36" t="s">
        <v>122</v>
      </c>
      <c r="Q557" s="37">
        <v>5370000</v>
      </c>
      <c r="R557" s="36" t="s">
        <v>159</v>
      </c>
      <c r="S557" s="38">
        <v>44179</v>
      </c>
      <c r="T557" s="38">
        <v>44139</v>
      </c>
      <c r="U557" s="38">
        <v>45657</v>
      </c>
      <c r="V557" s="27" t="s">
        <v>9308</v>
      </c>
      <c r="W557" s="36" t="s">
        <v>557</v>
      </c>
      <c r="X557" s="36" t="s">
        <v>880</v>
      </c>
      <c r="Y557" s="36" t="s">
        <v>242</v>
      </c>
      <c r="Z557" s="36" t="s">
        <v>1108</v>
      </c>
      <c r="AA557" s="36" t="s">
        <v>900</v>
      </c>
      <c r="AB557" s="36" t="s">
        <v>861</v>
      </c>
      <c r="AC557" s="36" t="s">
        <v>901</v>
      </c>
      <c r="AD557" s="37">
        <v>4.0999999999999996</v>
      </c>
      <c r="AE557" s="36" t="s">
        <v>902</v>
      </c>
      <c r="AF557" s="36" t="s">
        <v>860</v>
      </c>
    </row>
    <row r="558" spans="2:32" ht="60" customHeight="1" x14ac:dyDescent="0.25">
      <c r="B558" s="31" t="s">
        <v>2271</v>
      </c>
      <c r="C558" s="41">
        <v>2020</v>
      </c>
      <c r="D558" s="42">
        <f t="shared" si="8"/>
        <v>2023</v>
      </c>
      <c r="E558" s="31" t="s">
        <v>126</v>
      </c>
      <c r="F558" s="31" t="s">
        <v>1716</v>
      </c>
      <c r="G558" s="31" t="s">
        <v>2272</v>
      </c>
      <c r="H558" s="31" t="s">
        <v>172</v>
      </c>
      <c r="I558" s="31" t="s">
        <v>1272</v>
      </c>
      <c r="J558" s="31" t="s">
        <v>1272</v>
      </c>
      <c r="K558" s="31" t="s">
        <v>190</v>
      </c>
      <c r="L558" s="31" t="s">
        <v>159</v>
      </c>
      <c r="M558" s="34">
        <v>0</v>
      </c>
      <c r="N558" s="34">
        <v>4166000000</v>
      </c>
      <c r="O558" s="34">
        <v>4166000000</v>
      </c>
      <c r="P558" s="31" t="s">
        <v>136</v>
      </c>
      <c r="Q558" s="34">
        <v>4166000000</v>
      </c>
      <c r="R558" s="31" t="s">
        <v>159</v>
      </c>
      <c r="S558" s="35">
        <v>43949</v>
      </c>
      <c r="T558" s="35">
        <v>43901</v>
      </c>
      <c r="U558" s="35">
        <v>45291</v>
      </c>
      <c r="V558" s="27" t="s">
        <v>9437</v>
      </c>
      <c r="W558" s="31" t="s">
        <v>557</v>
      </c>
      <c r="X558" s="31" t="s">
        <v>880</v>
      </c>
      <c r="Y558" s="31" t="s">
        <v>242</v>
      </c>
      <c r="Z558" s="31" t="s">
        <v>1176</v>
      </c>
      <c r="AA558" s="31" t="s">
        <v>862</v>
      </c>
      <c r="AB558" s="31" t="s">
        <v>861</v>
      </c>
      <c r="AC558" s="31" t="s">
        <v>863</v>
      </c>
      <c r="AD558" s="34">
        <v>2.2999999999999998</v>
      </c>
      <c r="AE558" s="31" t="s">
        <v>864</v>
      </c>
      <c r="AF558" s="31" t="s">
        <v>860</v>
      </c>
    </row>
    <row r="559" spans="2:32" ht="60" customHeight="1" x14ac:dyDescent="0.25">
      <c r="B559" s="36" t="s">
        <v>2273</v>
      </c>
      <c r="C559" s="42">
        <v>2020</v>
      </c>
      <c r="D559" s="42">
        <f t="shared" si="8"/>
        <v>2023</v>
      </c>
      <c r="E559" s="36" t="s">
        <v>126</v>
      </c>
      <c r="F559" s="36" t="s">
        <v>1067</v>
      </c>
      <c r="G559" s="36" t="s">
        <v>2274</v>
      </c>
      <c r="H559" s="36" t="s">
        <v>326</v>
      </c>
      <c r="I559" s="36" t="s">
        <v>267</v>
      </c>
      <c r="J559" s="36" t="s">
        <v>267</v>
      </c>
      <c r="K559" s="36" t="s">
        <v>205</v>
      </c>
      <c r="L559" s="36" t="s">
        <v>159</v>
      </c>
      <c r="M559" s="37">
        <v>0</v>
      </c>
      <c r="N559" s="37">
        <v>938018510</v>
      </c>
      <c r="O559" s="37">
        <v>938018510</v>
      </c>
      <c r="P559" s="36" t="s">
        <v>122</v>
      </c>
      <c r="Q559" s="37">
        <v>1430000</v>
      </c>
      <c r="R559" s="36" t="s">
        <v>159</v>
      </c>
      <c r="S559" s="38">
        <v>44022</v>
      </c>
      <c r="T559" s="38">
        <v>43901</v>
      </c>
      <c r="U559" s="38">
        <v>45291</v>
      </c>
      <c r="V559" s="27" t="s">
        <v>9394</v>
      </c>
      <c r="W559" s="36" t="s">
        <v>557</v>
      </c>
      <c r="X559" s="36" t="s">
        <v>880</v>
      </c>
      <c r="Y559" s="36" t="s">
        <v>242</v>
      </c>
      <c r="Z559" s="36" t="s">
        <v>1068</v>
      </c>
      <c r="AA559" s="36" t="s">
        <v>1012</v>
      </c>
      <c r="AB559" s="36" t="s">
        <v>560</v>
      </c>
      <c r="AC559" s="36" t="s">
        <v>939</v>
      </c>
      <c r="AD559" s="37">
        <v>11.3</v>
      </c>
      <c r="AE559" s="36" t="s">
        <v>563</v>
      </c>
      <c r="AF559" s="36" t="s">
        <v>860</v>
      </c>
    </row>
    <row r="560" spans="2:32" ht="60" customHeight="1" x14ac:dyDescent="0.25">
      <c r="B560" s="31" t="s">
        <v>2275</v>
      </c>
      <c r="C560" s="41">
        <v>2020</v>
      </c>
      <c r="D560" s="42">
        <f t="shared" si="8"/>
        <v>2023</v>
      </c>
      <c r="E560" s="31" t="s">
        <v>317</v>
      </c>
      <c r="F560" s="31" t="s">
        <v>2276</v>
      </c>
      <c r="G560" s="31" t="s">
        <v>2277</v>
      </c>
      <c r="H560" s="31" t="s">
        <v>326</v>
      </c>
      <c r="I560" s="31" t="s">
        <v>267</v>
      </c>
      <c r="J560" s="31" t="s">
        <v>267</v>
      </c>
      <c r="K560" s="31" t="s">
        <v>263</v>
      </c>
      <c r="L560" s="31" t="s">
        <v>159</v>
      </c>
      <c r="M560" s="34">
        <v>0</v>
      </c>
      <c r="N560" s="34">
        <v>2148000000</v>
      </c>
      <c r="O560" s="34">
        <v>2148000000</v>
      </c>
      <c r="P560" s="31" t="s">
        <v>122</v>
      </c>
      <c r="Q560" s="34">
        <v>3274604.89</v>
      </c>
      <c r="R560" s="31" t="s">
        <v>159</v>
      </c>
      <c r="S560" s="35">
        <v>44000</v>
      </c>
      <c r="T560" s="35">
        <v>43901</v>
      </c>
      <c r="U560" s="35">
        <v>45291</v>
      </c>
      <c r="V560" s="27" t="s">
        <v>9308</v>
      </c>
      <c r="W560" s="31" t="s">
        <v>557</v>
      </c>
      <c r="X560" s="31" t="s">
        <v>880</v>
      </c>
      <c r="Y560" s="31" t="s">
        <v>242</v>
      </c>
      <c r="Z560" s="31" t="s">
        <v>555</v>
      </c>
      <c r="AA560" s="31" t="s">
        <v>561</v>
      </c>
      <c r="AB560" s="31" t="s">
        <v>560</v>
      </c>
      <c r="AC560" s="31" t="s">
        <v>562</v>
      </c>
      <c r="AD560" s="34">
        <v>6.1</v>
      </c>
      <c r="AE560" s="31" t="s">
        <v>563</v>
      </c>
      <c r="AF560" s="31" t="s">
        <v>860</v>
      </c>
    </row>
    <row r="561" spans="2:32" ht="60" customHeight="1" x14ac:dyDescent="0.25">
      <c r="B561" s="36" t="s">
        <v>2278</v>
      </c>
      <c r="C561" s="42">
        <v>2020</v>
      </c>
      <c r="D561" s="42">
        <f t="shared" si="8"/>
        <v>2023</v>
      </c>
      <c r="E561" s="36" t="s">
        <v>317</v>
      </c>
      <c r="F561" s="36" t="s">
        <v>2279</v>
      </c>
      <c r="G561" s="36" t="s">
        <v>2280</v>
      </c>
      <c r="H561" s="36" t="s">
        <v>326</v>
      </c>
      <c r="I561" s="36" t="s">
        <v>1439</v>
      </c>
      <c r="J561" s="36" t="s">
        <v>1439</v>
      </c>
      <c r="K561" s="36" t="s">
        <v>190</v>
      </c>
      <c r="L561" s="36" t="s">
        <v>159</v>
      </c>
      <c r="M561" s="37">
        <v>0</v>
      </c>
      <c r="N561" s="37">
        <v>1084296921</v>
      </c>
      <c r="O561" s="37">
        <v>1084296921</v>
      </c>
      <c r="P561" s="36" t="s">
        <v>122</v>
      </c>
      <c r="Q561" s="37">
        <v>1653000</v>
      </c>
      <c r="R561" s="36" t="s">
        <v>159</v>
      </c>
      <c r="S561" s="38">
        <v>44053</v>
      </c>
      <c r="T561" s="38">
        <v>43901</v>
      </c>
      <c r="U561" s="38">
        <v>45291</v>
      </c>
      <c r="V561" s="27" t="s">
        <v>9450</v>
      </c>
      <c r="W561" s="36" t="s">
        <v>557</v>
      </c>
      <c r="X561" s="36" t="s">
        <v>880</v>
      </c>
      <c r="Y561" s="36" t="s">
        <v>242</v>
      </c>
      <c r="Z561" s="36" t="s">
        <v>1176</v>
      </c>
      <c r="AA561" s="36" t="s">
        <v>862</v>
      </c>
      <c r="AB561" s="36" t="s">
        <v>861</v>
      </c>
      <c r="AC561" s="36" t="s">
        <v>863</v>
      </c>
      <c r="AD561" s="37">
        <v>2.2999999999999998</v>
      </c>
      <c r="AE561" s="36" t="s">
        <v>864</v>
      </c>
      <c r="AF561" s="36" t="s">
        <v>860</v>
      </c>
    </row>
    <row r="562" spans="2:32" ht="60" customHeight="1" x14ac:dyDescent="0.25">
      <c r="B562" s="31" t="s">
        <v>2281</v>
      </c>
      <c r="C562" s="41">
        <v>2020</v>
      </c>
      <c r="D562" s="42">
        <f t="shared" si="8"/>
        <v>2023</v>
      </c>
      <c r="E562" s="31" t="s">
        <v>317</v>
      </c>
      <c r="F562" s="31" t="s">
        <v>2282</v>
      </c>
      <c r="G562" s="31" t="s">
        <v>2283</v>
      </c>
      <c r="H562" s="31" t="s">
        <v>326</v>
      </c>
      <c r="I562" s="31" t="s">
        <v>1439</v>
      </c>
      <c r="J562" s="31" t="s">
        <v>1439</v>
      </c>
      <c r="K562" s="31" t="s">
        <v>190</v>
      </c>
      <c r="L562" s="31" t="s">
        <v>159</v>
      </c>
      <c r="M562" s="34">
        <v>0</v>
      </c>
      <c r="N562" s="34">
        <v>16264453815</v>
      </c>
      <c r="O562" s="34">
        <v>16264453815</v>
      </c>
      <c r="P562" s="31" t="s">
        <v>122</v>
      </c>
      <c r="Q562" s="34">
        <v>24795000</v>
      </c>
      <c r="R562" s="31" t="s">
        <v>159</v>
      </c>
      <c r="S562" s="35">
        <v>43921</v>
      </c>
      <c r="T562" s="35">
        <v>43901</v>
      </c>
      <c r="U562" s="35">
        <v>45291</v>
      </c>
      <c r="V562" s="27" t="s">
        <v>9421</v>
      </c>
      <c r="W562" s="31" t="s">
        <v>557</v>
      </c>
      <c r="X562" s="31" t="s">
        <v>880</v>
      </c>
      <c r="Y562" s="31" t="s">
        <v>242</v>
      </c>
      <c r="Z562" s="31" t="s">
        <v>1176</v>
      </c>
      <c r="AA562" s="31" t="s">
        <v>862</v>
      </c>
      <c r="AB562" s="31" t="s">
        <v>861</v>
      </c>
      <c r="AC562" s="31" t="s">
        <v>863</v>
      </c>
      <c r="AD562" s="34">
        <v>2.2999999999999998</v>
      </c>
      <c r="AE562" s="31" t="s">
        <v>864</v>
      </c>
      <c r="AF562" s="31" t="s">
        <v>860</v>
      </c>
    </row>
    <row r="563" spans="2:32" ht="60" customHeight="1" x14ac:dyDescent="0.25">
      <c r="B563" s="36" t="s">
        <v>2284</v>
      </c>
      <c r="C563" s="42">
        <v>2020</v>
      </c>
      <c r="D563" s="42">
        <f t="shared" si="8"/>
        <v>2023</v>
      </c>
      <c r="E563" s="36" t="s">
        <v>126</v>
      </c>
      <c r="F563" s="36" t="s">
        <v>2285</v>
      </c>
      <c r="G563" s="36" t="s">
        <v>2286</v>
      </c>
      <c r="H563" s="36" t="s">
        <v>326</v>
      </c>
      <c r="I563" s="36" t="s">
        <v>1128</v>
      </c>
      <c r="J563" s="36" t="s">
        <v>1128</v>
      </c>
      <c r="K563" s="36" t="s">
        <v>163</v>
      </c>
      <c r="L563" s="36" t="s">
        <v>159</v>
      </c>
      <c r="M563" s="37">
        <v>0</v>
      </c>
      <c r="N563" s="37">
        <v>2155000000</v>
      </c>
      <c r="O563" s="37">
        <v>2155000000</v>
      </c>
      <c r="P563" s="36" t="s">
        <v>1127</v>
      </c>
      <c r="Q563" s="37">
        <v>5000000</v>
      </c>
      <c r="R563" s="36" t="s">
        <v>159</v>
      </c>
      <c r="S563" s="38">
        <v>43965</v>
      </c>
      <c r="T563" s="38">
        <v>43901</v>
      </c>
      <c r="U563" s="38">
        <v>45291</v>
      </c>
      <c r="V563" s="27" t="s">
        <v>9307</v>
      </c>
      <c r="W563" s="36" t="s">
        <v>557</v>
      </c>
      <c r="X563" s="36" t="s">
        <v>880</v>
      </c>
      <c r="Y563" s="36" t="s">
        <v>242</v>
      </c>
      <c r="Z563" s="36" t="s">
        <v>1033</v>
      </c>
      <c r="AA563" s="36" t="s">
        <v>1046</v>
      </c>
      <c r="AB563" s="36" t="s">
        <v>861</v>
      </c>
      <c r="AC563" s="36" t="s">
        <v>1036</v>
      </c>
      <c r="AD563" s="37">
        <v>16.600000000000001</v>
      </c>
      <c r="AE563" s="36" t="s">
        <v>902</v>
      </c>
      <c r="AF563" s="36" t="s">
        <v>860</v>
      </c>
    </row>
    <row r="564" spans="2:32" ht="60" customHeight="1" x14ac:dyDescent="0.25">
      <c r="B564" s="31" t="s">
        <v>2287</v>
      </c>
      <c r="C564" s="41">
        <v>2020</v>
      </c>
      <c r="D564" s="42">
        <f t="shared" si="8"/>
        <v>2023</v>
      </c>
      <c r="E564" s="31" t="s">
        <v>126</v>
      </c>
      <c r="F564" s="31" t="s">
        <v>1731</v>
      </c>
      <c r="G564" s="31" t="s">
        <v>2288</v>
      </c>
      <c r="H564" s="31" t="s">
        <v>326</v>
      </c>
      <c r="I564" s="31" t="s">
        <v>1128</v>
      </c>
      <c r="J564" s="31" t="s">
        <v>1128</v>
      </c>
      <c r="K564" s="31" t="s">
        <v>216</v>
      </c>
      <c r="L564" s="31" t="s">
        <v>159</v>
      </c>
      <c r="M564" s="34">
        <v>0</v>
      </c>
      <c r="N564" s="34">
        <v>3667280000</v>
      </c>
      <c r="O564" s="34">
        <v>3667280000</v>
      </c>
      <c r="P564" s="31" t="s">
        <v>1127</v>
      </c>
      <c r="Q564" s="34">
        <v>8000000</v>
      </c>
      <c r="R564" s="31" t="s">
        <v>159</v>
      </c>
      <c r="S564" s="35">
        <v>44179</v>
      </c>
      <c r="T564" s="35">
        <v>43901</v>
      </c>
      <c r="U564" s="35">
        <v>45291</v>
      </c>
      <c r="V564" s="27" t="s">
        <v>9308</v>
      </c>
      <c r="W564" s="31" t="s">
        <v>557</v>
      </c>
      <c r="X564" s="31" t="s">
        <v>880</v>
      </c>
      <c r="Y564" s="31" t="s">
        <v>242</v>
      </c>
      <c r="Z564" s="31" t="s">
        <v>1091</v>
      </c>
      <c r="AA564" s="31" t="s">
        <v>561</v>
      </c>
      <c r="AB564" s="31" t="s">
        <v>560</v>
      </c>
      <c r="AC564" s="31" t="s">
        <v>989</v>
      </c>
      <c r="AD564" s="34">
        <v>3.8</v>
      </c>
      <c r="AE564" s="31" t="s">
        <v>902</v>
      </c>
      <c r="AF564" s="31" t="s">
        <v>860</v>
      </c>
    </row>
    <row r="565" spans="2:32" ht="60" customHeight="1" x14ac:dyDescent="0.25">
      <c r="B565" s="36" t="s">
        <v>2289</v>
      </c>
      <c r="C565" s="42">
        <v>2020</v>
      </c>
      <c r="D565" s="42">
        <f t="shared" si="8"/>
        <v>2023</v>
      </c>
      <c r="E565" s="36" t="s">
        <v>126</v>
      </c>
      <c r="F565" s="36" t="s">
        <v>2290</v>
      </c>
      <c r="G565" s="36" t="s">
        <v>2291</v>
      </c>
      <c r="H565" s="36" t="s">
        <v>326</v>
      </c>
      <c r="I565" s="36" t="s">
        <v>1128</v>
      </c>
      <c r="J565" s="36" t="s">
        <v>1128</v>
      </c>
      <c r="K565" s="36" t="s">
        <v>190</v>
      </c>
      <c r="L565" s="36" t="s">
        <v>159</v>
      </c>
      <c r="M565" s="37">
        <v>0</v>
      </c>
      <c r="N565" s="37">
        <v>1237707000</v>
      </c>
      <c r="O565" s="37">
        <v>1237707000</v>
      </c>
      <c r="P565" s="36" t="s">
        <v>1127</v>
      </c>
      <c r="Q565" s="37">
        <v>2700000</v>
      </c>
      <c r="R565" s="36" t="s">
        <v>159</v>
      </c>
      <c r="S565" s="38">
        <v>43984</v>
      </c>
      <c r="T565" s="38">
        <v>43901</v>
      </c>
      <c r="U565" s="38">
        <v>45291</v>
      </c>
      <c r="V565" s="27" t="s">
        <v>9307</v>
      </c>
      <c r="W565" s="36" t="s">
        <v>557</v>
      </c>
      <c r="X565" s="36" t="s">
        <v>880</v>
      </c>
      <c r="Y565" s="36" t="s">
        <v>242</v>
      </c>
      <c r="Z565" s="36" t="s">
        <v>856</v>
      </c>
      <c r="AA565" s="36" t="s">
        <v>862</v>
      </c>
      <c r="AB565" s="36" t="s">
        <v>861</v>
      </c>
      <c r="AC565" s="36" t="s">
        <v>863</v>
      </c>
      <c r="AD565" s="37">
        <v>2.2999999999999998</v>
      </c>
      <c r="AE565" s="36" t="s">
        <v>864</v>
      </c>
      <c r="AF565" s="36" t="s">
        <v>860</v>
      </c>
    </row>
    <row r="566" spans="2:32" ht="60" customHeight="1" x14ac:dyDescent="0.25">
      <c r="B566" s="31" t="s">
        <v>2292</v>
      </c>
      <c r="C566" s="41">
        <v>2020</v>
      </c>
      <c r="D566" s="42">
        <f t="shared" si="8"/>
        <v>2022</v>
      </c>
      <c r="E566" s="31" t="s">
        <v>126</v>
      </c>
      <c r="F566" s="31" t="s">
        <v>2293</v>
      </c>
      <c r="G566" s="31" t="s">
        <v>2294</v>
      </c>
      <c r="H566" s="31" t="s">
        <v>172</v>
      </c>
      <c r="I566" s="31" t="s">
        <v>1148</v>
      </c>
      <c r="J566" s="31" t="s">
        <v>1148</v>
      </c>
      <c r="K566" s="31" t="s">
        <v>190</v>
      </c>
      <c r="L566" s="31" t="s">
        <v>159</v>
      </c>
      <c r="M566" s="34">
        <v>0</v>
      </c>
      <c r="N566" s="34">
        <v>1600000000</v>
      </c>
      <c r="O566" s="34">
        <v>1600000000</v>
      </c>
      <c r="P566" s="31" t="s">
        <v>136</v>
      </c>
      <c r="Q566" s="34">
        <v>1600000000</v>
      </c>
      <c r="R566" s="31" t="s">
        <v>159</v>
      </c>
      <c r="S566" s="35">
        <v>43915</v>
      </c>
      <c r="T566" s="35">
        <v>43901</v>
      </c>
      <c r="U566" s="35">
        <v>44926</v>
      </c>
      <c r="V566" s="27" t="s">
        <v>9308</v>
      </c>
      <c r="W566" s="31" t="s">
        <v>557</v>
      </c>
      <c r="X566" s="31" t="s">
        <v>880</v>
      </c>
      <c r="Y566" s="31" t="s">
        <v>242</v>
      </c>
      <c r="Z566" s="31" t="s">
        <v>974</v>
      </c>
      <c r="AA566" s="31" t="s">
        <v>862</v>
      </c>
      <c r="AB566" s="31" t="s">
        <v>861</v>
      </c>
      <c r="AC566" s="31" t="s">
        <v>863</v>
      </c>
      <c r="AD566" s="34">
        <v>2.2999999999999998</v>
      </c>
      <c r="AE566" s="31" t="s">
        <v>864</v>
      </c>
      <c r="AF566" s="31" t="s">
        <v>860</v>
      </c>
    </row>
    <row r="567" spans="2:32" ht="60" customHeight="1" x14ac:dyDescent="0.25">
      <c r="B567" s="36" t="s">
        <v>2295</v>
      </c>
      <c r="C567" s="42">
        <v>2020</v>
      </c>
      <c r="D567" s="42">
        <f t="shared" si="8"/>
        <v>2021</v>
      </c>
      <c r="E567" s="36" t="s">
        <v>126</v>
      </c>
      <c r="F567" s="36" t="s">
        <v>2296</v>
      </c>
      <c r="G567" s="36" t="s">
        <v>2297</v>
      </c>
      <c r="H567" s="36" t="s">
        <v>172</v>
      </c>
      <c r="I567" s="36" t="s">
        <v>1148</v>
      </c>
      <c r="J567" s="36" t="s">
        <v>1148</v>
      </c>
      <c r="K567" s="36" t="s">
        <v>315</v>
      </c>
      <c r="L567" s="36" t="s">
        <v>159</v>
      </c>
      <c r="M567" s="37">
        <v>0</v>
      </c>
      <c r="N567" s="37">
        <v>50972450</v>
      </c>
      <c r="O567" s="37">
        <v>50972450</v>
      </c>
      <c r="P567" s="36" t="s">
        <v>136</v>
      </c>
      <c r="Q567" s="37">
        <v>50972450</v>
      </c>
      <c r="R567" s="36" t="s">
        <v>159</v>
      </c>
      <c r="S567" s="38">
        <v>43952</v>
      </c>
      <c r="T567" s="38">
        <v>43901</v>
      </c>
      <c r="U567" s="38">
        <v>44561</v>
      </c>
      <c r="V567" s="27" t="s">
        <v>9398</v>
      </c>
      <c r="W567" s="36" t="s">
        <v>557</v>
      </c>
      <c r="X567" s="36" t="s">
        <v>880</v>
      </c>
      <c r="Y567" s="36" t="s">
        <v>242</v>
      </c>
      <c r="Z567" s="36" t="s">
        <v>1146</v>
      </c>
      <c r="AA567" s="36" t="s">
        <v>900</v>
      </c>
      <c r="AB567" s="36" t="s">
        <v>861</v>
      </c>
      <c r="AC567" s="36" t="s">
        <v>901</v>
      </c>
      <c r="AD567" s="37">
        <v>4.0999999999999996</v>
      </c>
      <c r="AE567" s="36" t="s">
        <v>902</v>
      </c>
      <c r="AF567" s="36" t="s">
        <v>860</v>
      </c>
    </row>
    <row r="568" spans="2:32" ht="60" customHeight="1" x14ac:dyDescent="0.25">
      <c r="B568" s="31" t="s">
        <v>2298</v>
      </c>
      <c r="C568" s="41">
        <v>2020</v>
      </c>
      <c r="D568" s="42">
        <f t="shared" si="8"/>
        <v>2023</v>
      </c>
      <c r="E568" s="31" t="s">
        <v>317</v>
      </c>
      <c r="F568" s="31" t="s">
        <v>1734</v>
      </c>
      <c r="G568" s="31" t="s">
        <v>2299</v>
      </c>
      <c r="H568" s="31" t="s">
        <v>172</v>
      </c>
      <c r="I568" s="31" t="s">
        <v>1010</v>
      </c>
      <c r="J568" s="31" t="s">
        <v>1011</v>
      </c>
      <c r="K568" s="31" t="s">
        <v>526</v>
      </c>
      <c r="L568" s="31" t="s">
        <v>159</v>
      </c>
      <c r="M568" s="34">
        <v>0</v>
      </c>
      <c r="N568" s="34">
        <v>465381824</v>
      </c>
      <c r="O568" s="34">
        <v>465381824</v>
      </c>
      <c r="P568" s="31" t="s">
        <v>624</v>
      </c>
      <c r="Q568" s="34">
        <v>846148.77</v>
      </c>
      <c r="R568" s="31" t="s">
        <v>159</v>
      </c>
      <c r="S568" s="35">
        <v>44117</v>
      </c>
      <c r="T568" s="35">
        <v>43901</v>
      </c>
      <c r="U568" s="35">
        <v>45291</v>
      </c>
      <c r="V568" s="27" t="s">
        <v>9307</v>
      </c>
      <c r="W568" s="31" t="s">
        <v>557</v>
      </c>
      <c r="X568" s="31" t="s">
        <v>880</v>
      </c>
      <c r="Y568" s="31" t="s">
        <v>125</v>
      </c>
      <c r="Z568" s="31" t="s">
        <v>962</v>
      </c>
      <c r="AA568" s="31" t="s">
        <v>561</v>
      </c>
      <c r="AB568" s="31" t="s">
        <v>560</v>
      </c>
      <c r="AC568" s="31" t="s">
        <v>1022</v>
      </c>
      <c r="AD568" s="34">
        <v>1.3</v>
      </c>
      <c r="AE568" s="31" t="s">
        <v>902</v>
      </c>
      <c r="AF568" s="31" t="s">
        <v>860</v>
      </c>
    </row>
    <row r="569" spans="2:32" ht="60" customHeight="1" x14ac:dyDescent="0.25">
      <c r="B569" s="36" t="s">
        <v>2300</v>
      </c>
      <c r="C569" s="42">
        <v>2020</v>
      </c>
      <c r="D569" s="42">
        <f t="shared" si="8"/>
        <v>2023</v>
      </c>
      <c r="E569" s="36" t="s">
        <v>170</v>
      </c>
      <c r="F569" s="36" t="s">
        <v>2301</v>
      </c>
      <c r="G569" s="36" t="s">
        <v>2302</v>
      </c>
      <c r="H569" s="36" t="s">
        <v>172</v>
      </c>
      <c r="I569" s="36" t="s">
        <v>1010</v>
      </c>
      <c r="J569" s="36" t="s">
        <v>1011</v>
      </c>
      <c r="K569" s="36" t="s">
        <v>245</v>
      </c>
      <c r="L569" s="36" t="s">
        <v>159</v>
      </c>
      <c r="M569" s="37">
        <v>0</v>
      </c>
      <c r="N569" s="37">
        <v>29384658</v>
      </c>
      <c r="O569" s="37">
        <v>29384658</v>
      </c>
      <c r="P569" s="36" t="s">
        <v>624</v>
      </c>
      <c r="Q569" s="37">
        <v>53426.65</v>
      </c>
      <c r="R569" s="36" t="s">
        <v>171</v>
      </c>
      <c r="S569" s="38">
        <v>43979</v>
      </c>
      <c r="T569" s="38">
        <v>43901</v>
      </c>
      <c r="U569" s="38">
        <v>45291</v>
      </c>
      <c r="V569" s="27" t="s">
        <v>9308</v>
      </c>
      <c r="W569" s="36" t="s">
        <v>557</v>
      </c>
      <c r="X569" s="36" t="s">
        <v>880</v>
      </c>
      <c r="Y569" s="36" t="s">
        <v>125</v>
      </c>
      <c r="Z569" s="36" t="s">
        <v>1410</v>
      </c>
      <c r="AA569" s="36" t="s">
        <v>862</v>
      </c>
      <c r="AB569" s="36" t="s">
        <v>861</v>
      </c>
      <c r="AC569" s="36" t="s">
        <v>971</v>
      </c>
      <c r="AD569" s="37">
        <v>9.1</v>
      </c>
      <c r="AE569" s="36" t="s">
        <v>864</v>
      </c>
      <c r="AF569" s="36" t="s">
        <v>860</v>
      </c>
    </row>
    <row r="570" spans="2:32" ht="60" customHeight="1" x14ac:dyDescent="0.25">
      <c r="B570" s="31" t="s">
        <v>2303</v>
      </c>
      <c r="C570" s="41">
        <v>2020</v>
      </c>
      <c r="D570" s="42">
        <f t="shared" si="8"/>
        <v>2024</v>
      </c>
      <c r="E570" s="31" t="s">
        <v>126</v>
      </c>
      <c r="F570" s="31" t="s">
        <v>1071</v>
      </c>
      <c r="G570" s="31" t="s">
        <v>2304</v>
      </c>
      <c r="H570" s="31" t="s">
        <v>172</v>
      </c>
      <c r="I570" s="31" t="s">
        <v>1020</v>
      </c>
      <c r="J570" s="31" t="s">
        <v>1021</v>
      </c>
      <c r="K570" s="31" t="s">
        <v>216</v>
      </c>
      <c r="L570" s="31" t="s">
        <v>159</v>
      </c>
      <c r="M570" s="34">
        <v>0</v>
      </c>
      <c r="N570" s="34">
        <v>61338750</v>
      </c>
      <c r="O570" s="34">
        <v>61338750</v>
      </c>
      <c r="P570" s="31" t="s">
        <v>624</v>
      </c>
      <c r="Q570" s="34">
        <v>111525</v>
      </c>
      <c r="R570" s="31" t="s">
        <v>159</v>
      </c>
      <c r="S570" s="35">
        <v>43901</v>
      </c>
      <c r="T570" s="35">
        <v>43892</v>
      </c>
      <c r="U570" s="35">
        <v>45565</v>
      </c>
      <c r="V570" s="27" t="s">
        <v>9307</v>
      </c>
      <c r="W570" s="31" t="s">
        <v>557</v>
      </c>
      <c r="X570" s="31" t="s">
        <v>880</v>
      </c>
      <c r="Y570" s="31" t="s">
        <v>242</v>
      </c>
      <c r="Z570" s="31" t="s">
        <v>1072</v>
      </c>
      <c r="AA570" s="31" t="s">
        <v>561</v>
      </c>
      <c r="AB570" s="31" t="s">
        <v>560</v>
      </c>
      <c r="AC570" s="31" t="s">
        <v>989</v>
      </c>
      <c r="AD570" s="34">
        <v>3.8</v>
      </c>
      <c r="AE570" s="31" t="s">
        <v>902</v>
      </c>
      <c r="AF570" s="31" t="s">
        <v>860</v>
      </c>
    </row>
    <row r="571" spans="2:32" ht="60" customHeight="1" x14ac:dyDescent="0.25">
      <c r="B571" s="36" t="s">
        <v>2305</v>
      </c>
      <c r="C571" s="42">
        <v>2020</v>
      </c>
      <c r="D571" s="42">
        <f t="shared" si="8"/>
        <v>2024</v>
      </c>
      <c r="E571" s="36" t="s">
        <v>126</v>
      </c>
      <c r="F571" s="36" t="s">
        <v>1075</v>
      </c>
      <c r="G571" s="36" t="s">
        <v>2306</v>
      </c>
      <c r="H571" s="36" t="s">
        <v>172</v>
      </c>
      <c r="I571" s="36" t="s">
        <v>1020</v>
      </c>
      <c r="J571" s="36" t="s">
        <v>1021</v>
      </c>
      <c r="K571" s="36" t="s">
        <v>163</v>
      </c>
      <c r="L571" s="36" t="s">
        <v>159</v>
      </c>
      <c r="M571" s="37">
        <v>0</v>
      </c>
      <c r="N571" s="37">
        <v>96697150</v>
      </c>
      <c r="O571" s="37">
        <v>96697150</v>
      </c>
      <c r="P571" s="36" t="s">
        <v>624</v>
      </c>
      <c r="Q571" s="37">
        <v>175813</v>
      </c>
      <c r="R571" s="36" t="s">
        <v>159</v>
      </c>
      <c r="S571" s="38">
        <v>43980</v>
      </c>
      <c r="T571" s="38">
        <v>43901</v>
      </c>
      <c r="U571" s="38">
        <v>45565</v>
      </c>
      <c r="V571" s="27" t="s">
        <v>9307</v>
      </c>
      <c r="W571" s="36" t="s">
        <v>557</v>
      </c>
      <c r="X571" s="36" t="s">
        <v>880</v>
      </c>
      <c r="Y571" s="36" t="s">
        <v>242</v>
      </c>
      <c r="Z571" s="36" t="s">
        <v>1076</v>
      </c>
      <c r="AA571" s="36" t="s">
        <v>965</v>
      </c>
      <c r="AB571" s="36" t="s">
        <v>964</v>
      </c>
      <c r="AC571" s="36" t="s">
        <v>1036</v>
      </c>
      <c r="AD571" s="37">
        <v>16.600000000000001</v>
      </c>
      <c r="AE571" s="36" t="s">
        <v>902</v>
      </c>
      <c r="AF571" s="36" t="s">
        <v>860</v>
      </c>
    </row>
    <row r="572" spans="2:32" ht="60" customHeight="1" x14ac:dyDescent="0.25">
      <c r="B572" s="31" t="s">
        <v>2307</v>
      </c>
      <c r="C572" s="41">
        <v>2020</v>
      </c>
      <c r="D572" s="42">
        <f t="shared" si="8"/>
        <v>2024</v>
      </c>
      <c r="E572" s="31" t="s">
        <v>126</v>
      </c>
      <c r="F572" s="31" t="s">
        <v>2308</v>
      </c>
      <c r="G572" s="31" t="s">
        <v>2310</v>
      </c>
      <c r="H572" s="31" t="s">
        <v>172</v>
      </c>
      <c r="I572" s="31" t="s">
        <v>1020</v>
      </c>
      <c r="J572" s="31" t="s">
        <v>1021</v>
      </c>
      <c r="K572" s="31" t="s">
        <v>163</v>
      </c>
      <c r="L572" s="31" t="s">
        <v>159</v>
      </c>
      <c r="M572" s="34">
        <v>0</v>
      </c>
      <c r="N572" s="34">
        <v>1093936250</v>
      </c>
      <c r="O572" s="34">
        <v>1093936250</v>
      </c>
      <c r="P572" s="31" t="s">
        <v>624</v>
      </c>
      <c r="Q572" s="34">
        <v>1988975</v>
      </c>
      <c r="R572" s="31" t="s">
        <v>159</v>
      </c>
      <c r="S572" s="35">
        <v>43901</v>
      </c>
      <c r="T572" s="35">
        <v>43892</v>
      </c>
      <c r="U572" s="35">
        <v>45657</v>
      </c>
      <c r="V572" s="27" t="s">
        <v>9307</v>
      </c>
      <c r="W572" s="31" t="s">
        <v>557</v>
      </c>
      <c r="X572" s="31" t="s">
        <v>880</v>
      </c>
      <c r="Y572" s="31" t="s">
        <v>242</v>
      </c>
      <c r="Z572" s="31" t="s">
        <v>2309</v>
      </c>
      <c r="AA572" s="31" t="s">
        <v>965</v>
      </c>
      <c r="AB572" s="31" t="s">
        <v>964</v>
      </c>
      <c r="AC572" s="31" t="s">
        <v>1036</v>
      </c>
      <c r="AD572" s="34">
        <v>16.600000000000001</v>
      </c>
      <c r="AE572" s="31" t="s">
        <v>902</v>
      </c>
      <c r="AF572" s="31" t="s">
        <v>860</v>
      </c>
    </row>
    <row r="573" spans="2:32" ht="135" customHeight="1" x14ac:dyDescent="0.25">
      <c r="B573" s="36" t="s">
        <v>2311</v>
      </c>
      <c r="C573" s="42">
        <v>2021</v>
      </c>
      <c r="D573" s="42" t="e">
        <f t="shared" si="8"/>
        <v>#VALUE!</v>
      </c>
      <c r="E573" s="36" t="s">
        <v>1048</v>
      </c>
      <c r="F573" s="36" t="s">
        <v>1879</v>
      </c>
      <c r="G573" s="36" t="s">
        <v>2312</v>
      </c>
      <c r="H573" s="36" t="s">
        <v>172</v>
      </c>
      <c r="I573" s="36" t="s">
        <v>2314</v>
      </c>
      <c r="J573" s="36" t="s">
        <v>2315</v>
      </c>
      <c r="K573" s="36" t="s">
        <v>1039</v>
      </c>
      <c r="L573" s="36" t="s">
        <v>127</v>
      </c>
      <c r="M573" s="37">
        <v>655957000000</v>
      </c>
      <c r="N573" s="37">
        <v>0</v>
      </c>
      <c r="O573" s="37">
        <v>655957000000</v>
      </c>
      <c r="P573" s="36" t="s">
        <v>122</v>
      </c>
      <c r="Q573" s="37">
        <v>1000000000</v>
      </c>
      <c r="R573" s="36" t="s">
        <v>1883</v>
      </c>
      <c r="S573" s="38">
        <v>44215</v>
      </c>
      <c r="T573" s="38">
        <v>44210</v>
      </c>
      <c r="U573" s="38" t="s">
        <v>2313</v>
      </c>
      <c r="V573" s="27" t="s">
        <v>9308</v>
      </c>
      <c r="W573" s="36" t="s">
        <v>1043</v>
      </c>
      <c r="X573" s="36" t="s">
        <v>558</v>
      </c>
      <c r="Y573" s="36" t="s">
        <v>125</v>
      </c>
      <c r="Z573" s="36" t="s">
        <v>1040</v>
      </c>
      <c r="AA573" s="36" t="s">
        <v>1046</v>
      </c>
      <c r="AB573" s="36" t="s">
        <v>861</v>
      </c>
      <c r="AC573" s="36" t="s">
        <v>1047</v>
      </c>
      <c r="AD573" s="37">
        <v>17.170000000000002</v>
      </c>
      <c r="AE573" s="36" t="s">
        <v>864</v>
      </c>
      <c r="AF573" s="36" t="s">
        <v>860</v>
      </c>
    </row>
    <row r="574" spans="2:32" ht="75" customHeight="1" x14ac:dyDescent="0.25">
      <c r="B574" s="31" t="s">
        <v>2316</v>
      </c>
      <c r="C574" s="41">
        <v>2021</v>
      </c>
      <c r="D574" s="42">
        <f t="shared" si="8"/>
        <v>2026</v>
      </c>
      <c r="E574" s="31" t="s">
        <v>126</v>
      </c>
      <c r="F574" s="31" t="s">
        <v>2317</v>
      </c>
      <c r="G574" s="31" t="s">
        <v>2318</v>
      </c>
      <c r="H574" s="31" t="s">
        <v>129</v>
      </c>
      <c r="I574" s="31" t="s">
        <v>240</v>
      </c>
      <c r="J574" s="31" t="s">
        <v>241</v>
      </c>
      <c r="K574" s="31" t="s">
        <v>190</v>
      </c>
      <c r="L574" s="31" t="s">
        <v>127</v>
      </c>
      <c r="M574" s="34">
        <v>8939830000</v>
      </c>
      <c r="N574" s="34">
        <v>0</v>
      </c>
      <c r="O574" s="34">
        <v>8939830000</v>
      </c>
      <c r="P574" s="31" t="s">
        <v>609</v>
      </c>
      <c r="Q574" s="34">
        <v>5000000</v>
      </c>
      <c r="R574" s="31" t="s">
        <v>150</v>
      </c>
      <c r="S574" s="35">
        <v>44222</v>
      </c>
      <c r="T574" s="35">
        <v>44210</v>
      </c>
      <c r="U574" s="35">
        <v>46387</v>
      </c>
      <c r="V574" s="27" t="s">
        <v>9308</v>
      </c>
      <c r="W574" s="34"/>
      <c r="X574" s="34"/>
      <c r="Y574" s="34" t="s">
        <v>242</v>
      </c>
      <c r="Z574" s="34"/>
      <c r="AA574" s="34"/>
      <c r="AB574" s="34"/>
      <c r="AC574" s="34"/>
      <c r="AD574" s="34"/>
      <c r="AE574" s="34"/>
      <c r="AF574" s="34"/>
    </row>
    <row r="575" spans="2:32" ht="75" customHeight="1" x14ac:dyDescent="0.25">
      <c r="B575" s="36" t="s">
        <v>2319</v>
      </c>
      <c r="C575" s="42">
        <v>2021</v>
      </c>
      <c r="D575" s="42" t="e">
        <f t="shared" si="8"/>
        <v>#VALUE!</v>
      </c>
      <c r="E575" s="36" t="s">
        <v>126</v>
      </c>
      <c r="F575" s="36" t="s">
        <v>2320</v>
      </c>
      <c r="G575" s="36" t="s">
        <v>2321</v>
      </c>
      <c r="H575" s="36" t="s">
        <v>172</v>
      </c>
      <c r="I575" s="36" t="s">
        <v>2200</v>
      </c>
      <c r="J575" s="36" t="s">
        <v>2200</v>
      </c>
      <c r="K575" s="36" t="s">
        <v>118</v>
      </c>
      <c r="L575" s="36" t="s">
        <v>127</v>
      </c>
      <c r="M575" s="37">
        <v>213841982000</v>
      </c>
      <c r="N575" s="37">
        <v>0</v>
      </c>
      <c r="O575" s="37">
        <v>213841982000</v>
      </c>
      <c r="P575" s="36" t="s">
        <v>122</v>
      </c>
      <c r="Q575" s="37">
        <v>326000000</v>
      </c>
      <c r="R575" s="36" t="s">
        <v>443</v>
      </c>
      <c r="S575" s="38">
        <v>44281</v>
      </c>
      <c r="T575" s="38">
        <v>44266</v>
      </c>
      <c r="U575" s="38" t="s">
        <v>2324</v>
      </c>
      <c r="V575" s="27" t="s">
        <v>9458</v>
      </c>
      <c r="W575" s="37"/>
      <c r="X575" s="37"/>
      <c r="Y575" s="37" t="s">
        <v>442</v>
      </c>
      <c r="Z575" s="37"/>
      <c r="AA575" s="37"/>
      <c r="AB575" s="37"/>
      <c r="AC575" s="37"/>
      <c r="AD575" s="37"/>
      <c r="AE575" s="37"/>
      <c r="AF575" s="37"/>
    </row>
    <row r="576" spans="2:32" ht="135" customHeight="1" x14ac:dyDescent="0.25">
      <c r="B576" s="31" t="s">
        <v>2325</v>
      </c>
      <c r="C576" s="41">
        <v>2021</v>
      </c>
      <c r="D576" s="42" t="e">
        <f t="shared" si="8"/>
        <v>#VALUE!</v>
      </c>
      <c r="E576" s="31" t="s">
        <v>126</v>
      </c>
      <c r="F576" s="31" t="s">
        <v>2326</v>
      </c>
      <c r="G576" s="31" t="s">
        <v>2327</v>
      </c>
      <c r="H576" s="31" t="s">
        <v>129</v>
      </c>
      <c r="I576" s="31" t="s">
        <v>337</v>
      </c>
      <c r="J576" s="31" t="s">
        <v>338</v>
      </c>
      <c r="K576" s="31" t="s">
        <v>873</v>
      </c>
      <c r="L576" s="31" t="s">
        <v>201</v>
      </c>
      <c r="M576" s="34">
        <v>16398925000</v>
      </c>
      <c r="N576" s="34">
        <v>6559570000</v>
      </c>
      <c r="O576" s="34">
        <v>22958495000</v>
      </c>
      <c r="P576" s="31" t="s">
        <v>122</v>
      </c>
      <c r="Q576" s="34">
        <v>35000000</v>
      </c>
      <c r="R576" s="31" t="s">
        <v>279</v>
      </c>
      <c r="S576" s="35">
        <v>44295</v>
      </c>
      <c r="T576" s="35">
        <v>44252</v>
      </c>
      <c r="U576" s="35" t="s">
        <v>2329</v>
      </c>
      <c r="V576" s="27" t="s">
        <v>9459</v>
      </c>
      <c r="W576" s="34"/>
      <c r="X576" s="34"/>
      <c r="Y576" s="34" t="s">
        <v>242</v>
      </c>
      <c r="Z576" s="34"/>
      <c r="AA576" s="34"/>
      <c r="AB576" s="34"/>
      <c r="AC576" s="34"/>
      <c r="AD576" s="34"/>
      <c r="AE576" s="34"/>
      <c r="AF576" s="34"/>
    </row>
    <row r="577" spans="2:32" ht="75" customHeight="1" x14ac:dyDescent="0.25">
      <c r="B577" s="36" t="s">
        <v>2330</v>
      </c>
      <c r="C577" s="42">
        <v>2021</v>
      </c>
      <c r="D577" s="42">
        <f t="shared" si="8"/>
        <v>2026</v>
      </c>
      <c r="E577" s="36" t="s">
        <v>126</v>
      </c>
      <c r="F577" s="36" t="s">
        <v>2331</v>
      </c>
      <c r="G577" s="36" t="s">
        <v>2332</v>
      </c>
      <c r="H577" s="36" t="s">
        <v>129</v>
      </c>
      <c r="I577" s="36" t="s">
        <v>267</v>
      </c>
      <c r="J577" s="36" t="s">
        <v>267</v>
      </c>
      <c r="K577" s="36" t="s">
        <v>205</v>
      </c>
      <c r="L577" s="36" t="s">
        <v>127</v>
      </c>
      <c r="M577" s="37">
        <v>89306024156.245102</v>
      </c>
      <c r="N577" s="37">
        <v>0</v>
      </c>
      <c r="O577" s="37">
        <v>89306024156.245102</v>
      </c>
      <c r="P577" s="36" t="s">
        <v>122</v>
      </c>
      <c r="Q577" s="37">
        <v>136146156.16</v>
      </c>
      <c r="R577" s="36" t="s">
        <v>443</v>
      </c>
      <c r="S577" s="38">
        <v>44295</v>
      </c>
      <c r="T577" s="38">
        <v>44266</v>
      </c>
      <c r="U577" s="38">
        <v>46387</v>
      </c>
      <c r="V577" s="27" t="s">
        <v>9460</v>
      </c>
      <c r="W577" s="36" t="s">
        <v>557</v>
      </c>
      <c r="X577" s="36" t="s">
        <v>558</v>
      </c>
      <c r="Y577" s="36" t="s">
        <v>242</v>
      </c>
      <c r="Z577" s="36" t="s">
        <v>968</v>
      </c>
      <c r="AA577" s="36" t="s">
        <v>862</v>
      </c>
      <c r="AB577" s="36" t="s">
        <v>861</v>
      </c>
      <c r="AC577" s="36" t="s">
        <v>971</v>
      </c>
      <c r="AD577" s="37">
        <v>9.1</v>
      </c>
      <c r="AE577" s="36" t="s">
        <v>864</v>
      </c>
      <c r="AF577" s="36" t="s">
        <v>860</v>
      </c>
    </row>
    <row r="578" spans="2:32" ht="75" customHeight="1" x14ac:dyDescent="0.25">
      <c r="B578" s="31" t="s">
        <v>2336</v>
      </c>
      <c r="C578" s="41">
        <v>2021</v>
      </c>
      <c r="D578" s="42">
        <f t="shared" si="8"/>
        <v>2027</v>
      </c>
      <c r="E578" s="31" t="s">
        <v>126</v>
      </c>
      <c r="F578" s="31" t="s">
        <v>2337</v>
      </c>
      <c r="G578" s="31" t="s">
        <v>2338</v>
      </c>
      <c r="H578" s="31" t="s">
        <v>129</v>
      </c>
      <c r="I578" s="31" t="s">
        <v>689</v>
      </c>
      <c r="J578" s="31" t="s">
        <v>690</v>
      </c>
      <c r="K578" s="31" t="s">
        <v>205</v>
      </c>
      <c r="L578" s="31" t="s">
        <v>127</v>
      </c>
      <c r="M578" s="34">
        <v>72155270000</v>
      </c>
      <c r="N578" s="34">
        <v>0</v>
      </c>
      <c r="O578" s="34">
        <v>72155270000</v>
      </c>
      <c r="P578" s="31" t="s">
        <v>122</v>
      </c>
      <c r="Q578" s="34">
        <v>110000000</v>
      </c>
      <c r="R578" s="31" t="s">
        <v>127</v>
      </c>
      <c r="S578" s="35">
        <v>44266</v>
      </c>
      <c r="T578" s="35">
        <v>44259</v>
      </c>
      <c r="U578" s="35">
        <v>46752</v>
      </c>
      <c r="V578" s="27" t="s">
        <v>9461</v>
      </c>
      <c r="W578" s="34"/>
      <c r="X578" s="34"/>
      <c r="Y578" s="34" t="s">
        <v>125</v>
      </c>
      <c r="Z578" s="34"/>
      <c r="AA578" s="34"/>
      <c r="AB578" s="34"/>
      <c r="AC578" s="34"/>
      <c r="AD578" s="34"/>
      <c r="AE578" s="34"/>
      <c r="AF578" s="34"/>
    </row>
    <row r="579" spans="2:32" ht="75" customHeight="1" x14ac:dyDescent="0.25">
      <c r="B579" s="36" t="s">
        <v>2341</v>
      </c>
      <c r="C579" s="42">
        <v>2021</v>
      </c>
      <c r="D579" s="42">
        <f t="shared" si="8"/>
        <v>2024</v>
      </c>
      <c r="E579" s="36" t="s">
        <v>126</v>
      </c>
      <c r="F579" s="36" t="s">
        <v>2342</v>
      </c>
      <c r="G579" s="36" t="s">
        <v>2343</v>
      </c>
      <c r="H579" s="36" t="s">
        <v>181</v>
      </c>
      <c r="I579" s="36" t="s">
        <v>178</v>
      </c>
      <c r="J579" s="36" t="s">
        <v>179</v>
      </c>
      <c r="K579" s="36" t="s">
        <v>873</v>
      </c>
      <c r="L579" s="36" t="s">
        <v>201</v>
      </c>
      <c r="M579" s="37">
        <v>7018739900</v>
      </c>
      <c r="N579" s="37">
        <v>6988078993</v>
      </c>
      <c r="O579" s="37">
        <v>14006818893</v>
      </c>
      <c r="P579" s="36" t="s">
        <v>200</v>
      </c>
      <c r="Q579" s="37">
        <v>19600000</v>
      </c>
      <c r="R579" s="36" t="s">
        <v>279</v>
      </c>
      <c r="S579" s="38">
        <v>44362</v>
      </c>
      <c r="T579" s="38">
        <v>44342</v>
      </c>
      <c r="U579" s="38">
        <v>45657</v>
      </c>
      <c r="V579" s="27" t="s">
        <v>9378</v>
      </c>
      <c r="W579" s="37"/>
      <c r="X579" s="37"/>
      <c r="Y579" s="37" t="s">
        <v>125</v>
      </c>
      <c r="Z579" s="37"/>
      <c r="AA579" s="37"/>
      <c r="AB579" s="37"/>
      <c r="AC579" s="37"/>
      <c r="AD579" s="37"/>
      <c r="AE579" s="37"/>
      <c r="AF579" s="37"/>
    </row>
    <row r="580" spans="2:32" ht="75" customHeight="1" x14ac:dyDescent="0.25">
      <c r="B580" s="31" t="s">
        <v>2344</v>
      </c>
      <c r="C580" s="41">
        <v>2021</v>
      </c>
      <c r="D580" s="42">
        <f t="shared" si="8"/>
        <v>2026</v>
      </c>
      <c r="E580" s="31" t="s">
        <v>126</v>
      </c>
      <c r="F580" s="31" t="s">
        <v>2345</v>
      </c>
      <c r="G580" s="31" t="s">
        <v>2346</v>
      </c>
      <c r="H580" s="31" t="s">
        <v>181</v>
      </c>
      <c r="I580" s="31" t="s">
        <v>178</v>
      </c>
      <c r="J580" s="31" t="s">
        <v>179</v>
      </c>
      <c r="K580" s="31" t="s">
        <v>118</v>
      </c>
      <c r="L580" s="31" t="s">
        <v>127</v>
      </c>
      <c r="M580" s="34">
        <v>108626479200</v>
      </c>
      <c r="N580" s="34">
        <v>0</v>
      </c>
      <c r="O580" s="34">
        <v>108626479200</v>
      </c>
      <c r="P580" s="31" t="s">
        <v>122</v>
      </c>
      <c r="Q580" s="34">
        <v>165600000</v>
      </c>
      <c r="R580" s="31" t="s">
        <v>150</v>
      </c>
      <c r="S580" s="35">
        <v>44376</v>
      </c>
      <c r="T580" s="35">
        <v>44336</v>
      </c>
      <c r="U580" s="35">
        <v>46387</v>
      </c>
      <c r="V580" s="27" t="s">
        <v>9308</v>
      </c>
      <c r="W580" s="34"/>
      <c r="X580" s="34"/>
      <c r="Y580" s="34" t="s">
        <v>125</v>
      </c>
      <c r="Z580" s="34"/>
      <c r="AA580" s="34"/>
      <c r="AB580" s="34"/>
      <c r="AC580" s="34"/>
      <c r="AD580" s="34"/>
      <c r="AE580" s="34"/>
      <c r="AF580" s="34"/>
    </row>
    <row r="581" spans="2:32" ht="75" customHeight="1" x14ac:dyDescent="0.25">
      <c r="B581" s="36" t="s">
        <v>2347</v>
      </c>
      <c r="C581" s="42">
        <v>2021</v>
      </c>
      <c r="D581" s="42">
        <f t="shared" si="8"/>
        <v>2026</v>
      </c>
      <c r="E581" s="36" t="s">
        <v>126</v>
      </c>
      <c r="F581" s="36" t="s">
        <v>2348</v>
      </c>
      <c r="G581" s="36" t="s">
        <v>2349</v>
      </c>
      <c r="H581" s="36" t="s">
        <v>151</v>
      </c>
      <c r="I581" s="36" t="s">
        <v>168</v>
      </c>
      <c r="J581" s="36" t="s">
        <v>169</v>
      </c>
      <c r="K581" s="36" t="s">
        <v>205</v>
      </c>
      <c r="L581" s="36" t="s">
        <v>127</v>
      </c>
      <c r="M581" s="37">
        <v>58268004353</v>
      </c>
      <c r="N581" s="37">
        <v>0</v>
      </c>
      <c r="O581" s="37">
        <v>58268004353</v>
      </c>
      <c r="P581" s="36" t="s">
        <v>122</v>
      </c>
      <c r="Q581" s="37">
        <v>88829000</v>
      </c>
      <c r="R581" s="36" t="s">
        <v>150</v>
      </c>
      <c r="S581" s="38">
        <v>44440</v>
      </c>
      <c r="T581" s="38">
        <v>44266</v>
      </c>
      <c r="U581" s="38">
        <v>46387</v>
      </c>
      <c r="V581" s="27" t="s">
        <v>9307</v>
      </c>
      <c r="W581" s="36" t="s">
        <v>557</v>
      </c>
      <c r="X581" s="36" t="s">
        <v>558</v>
      </c>
      <c r="Y581" s="36" t="s">
        <v>125</v>
      </c>
      <c r="Z581" s="36" t="s">
        <v>952</v>
      </c>
      <c r="AA581" s="36" t="s">
        <v>561</v>
      </c>
      <c r="AB581" s="36" t="s">
        <v>560</v>
      </c>
      <c r="AC581" s="36" t="s">
        <v>562</v>
      </c>
      <c r="AD581" s="37">
        <v>6.1</v>
      </c>
      <c r="AE581" s="36" t="s">
        <v>563</v>
      </c>
      <c r="AF581" s="36" t="s">
        <v>860</v>
      </c>
    </row>
    <row r="582" spans="2:32" ht="75" customHeight="1" x14ac:dyDescent="0.25">
      <c r="B582" s="31" t="s">
        <v>2350</v>
      </c>
      <c r="C582" s="41">
        <v>2021</v>
      </c>
      <c r="D582" s="42">
        <f t="shared" si="8"/>
        <v>2026</v>
      </c>
      <c r="E582" s="31" t="s">
        <v>126</v>
      </c>
      <c r="F582" s="31" t="s">
        <v>2351</v>
      </c>
      <c r="G582" s="31" t="s">
        <v>2352</v>
      </c>
      <c r="H582" s="31" t="s">
        <v>151</v>
      </c>
      <c r="I582" s="31" t="s">
        <v>168</v>
      </c>
      <c r="J582" s="31" t="s">
        <v>169</v>
      </c>
      <c r="K582" s="31" t="s">
        <v>216</v>
      </c>
      <c r="L582" s="31" t="s">
        <v>127</v>
      </c>
      <c r="M582" s="34">
        <v>27500000000</v>
      </c>
      <c r="N582" s="34">
        <v>0</v>
      </c>
      <c r="O582" s="34">
        <v>27500000000</v>
      </c>
      <c r="P582" s="31" t="s">
        <v>624</v>
      </c>
      <c r="Q582" s="34">
        <v>50000000</v>
      </c>
      <c r="R582" s="31" t="s">
        <v>150</v>
      </c>
      <c r="S582" s="35">
        <v>44440</v>
      </c>
      <c r="T582" s="35">
        <v>44266</v>
      </c>
      <c r="U582" s="35">
        <v>46387</v>
      </c>
      <c r="V582" s="27" t="s">
        <v>9308</v>
      </c>
      <c r="W582" s="31" t="s">
        <v>557</v>
      </c>
      <c r="X582" s="31" t="s">
        <v>558</v>
      </c>
      <c r="Y582" s="31" t="s">
        <v>125</v>
      </c>
      <c r="Z582" s="31" t="s">
        <v>1064</v>
      </c>
      <c r="AA582" s="31" t="s">
        <v>561</v>
      </c>
      <c r="AB582" s="31" t="s">
        <v>560</v>
      </c>
      <c r="AC582" s="31" t="s">
        <v>989</v>
      </c>
      <c r="AD582" s="34">
        <v>3.8</v>
      </c>
      <c r="AE582" s="31" t="s">
        <v>902</v>
      </c>
      <c r="AF582" s="31" t="s">
        <v>860</v>
      </c>
    </row>
    <row r="583" spans="2:32" ht="75" customHeight="1" x14ac:dyDescent="0.25">
      <c r="B583" s="36" t="s">
        <v>2353</v>
      </c>
      <c r="C583" s="42">
        <v>2021</v>
      </c>
      <c r="D583" s="42" t="e">
        <f t="shared" ref="D583:D646" si="9">YEAR(U583)</f>
        <v>#VALUE!</v>
      </c>
      <c r="E583" s="36" t="s">
        <v>126</v>
      </c>
      <c r="F583" s="36" t="s">
        <v>2354</v>
      </c>
      <c r="G583" s="36" t="s">
        <v>2355</v>
      </c>
      <c r="H583" s="36" t="s">
        <v>151</v>
      </c>
      <c r="I583" s="36" t="s">
        <v>305</v>
      </c>
      <c r="J583" s="36" t="s">
        <v>306</v>
      </c>
      <c r="K583" s="36" t="s">
        <v>205</v>
      </c>
      <c r="L583" s="36" t="s">
        <v>127</v>
      </c>
      <c r="M583" s="37">
        <v>27500000000</v>
      </c>
      <c r="N583" s="37">
        <v>0</v>
      </c>
      <c r="O583" s="37">
        <v>27500000000</v>
      </c>
      <c r="P583" s="36" t="s">
        <v>624</v>
      </c>
      <c r="Q583" s="37">
        <v>50000000</v>
      </c>
      <c r="R583" s="36" t="s">
        <v>150</v>
      </c>
      <c r="S583" s="38">
        <v>44383</v>
      </c>
      <c r="T583" s="38">
        <v>44266</v>
      </c>
      <c r="U583" s="38" t="s">
        <v>2358</v>
      </c>
      <c r="V583" s="27" t="s">
        <v>9462</v>
      </c>
      <c r="W583" s="37"/>
      <c r="X583" s="37"/>
      <c r="Y583" s="37" t="s">
        <v>125</v>
      </c>
      <c r="Z583" s="37"/>
      <c r="AA583" s="37"/>
      <c r="AB583" s="37"/>
      <c r="AC583" s="37"/>
      <c r="AD583" s="37"/>
      <c r="AE583" s="37"/>
      <c r="AF583" s="37"/>
    </row>
    <row r="584" spans="2:32" ht="120" customHeight="1" x14ac:dyDescent="0.25">
      <c r="B584" s="31" t="s">
        <v>2359</v>
      </c>
      <c r="C584" s="41">
        <v>2021</v>
      </c>
      <c r="D584" s="42">
        <f t="shared" si="9"/>
        <v>2027</v>
      </c>
      <c r="E584" s="31" t="s">
        <v>317</v>
      </c>
      <c r="F584" s="31" t="s">
        <v>2360</v>
      </c>
      <c r="G584" s="31" t="s">
        <v>2361</v>
      </c>
      <c r="H584" s="31" t="s">
        <v>129</v>
      </c>
      <c r="I584" s="31" t="s">
        <v>448</v>
      </c>
      <c r="J584" s="31" t="s">
        <v>449</v>
      </c>
      <c r="K584" s="31" t="s">
        <v>190</v>
      </c>
      <c r="L584" s="31" t="s">
        <v>201</v>
      </c>
      <c r="M584" s="34">
        <v>12279515040</v>
      </c>
      <c r="N584" s="34">
        <v>4542502225</v>
      </c>
      <c r="O584" s="34">
        <v>16822017265</v>
      </c>
      <c r="P584" s="31" t="s">
        <v>122</v>
      </c>
      <c r="Q584" s="34">
        <v>25645000</v>
      </c>
      <c r="R584" s="31" t="s">
        <v>279</v>
      </c>
      <c r="S584" s="35">
        <v>44476</v>
      </c>
      <c r="T584" s="35">
        <v>44326</v>
      </c>
      <c r="U584" s="35">
        <v>46752</v>
      </c>
      <c r="V584" s="27" t="s">
        <v>9463</v>
      </c>
      <c r="W584" s="31" t="s">
        <v>557</v>
      </c>
      <c r="X584" s="31" t="s">
        <v>859</v>
      </c>
      <c r="Y584" s="31" t="s">
        <v>125</v>
      </c>
      <c r="Z584" s="31" t="s">
        <v>856</v>
      </c>
      <c r="AA584" s="31" t="s">
        <v>862</v>
      </c>
      <c r="AB584" s="31" t="s">
        <v>861</v>
      </c>
      <c r="AC584" s="31" t="s">
        <v>863</v>
      </c>
      <c r="AD584" s="34">
        <v>2.2999999999999998</v>
      </c>
      <c r="AE584" s="31" t="s">
        <v>864</v>
      </c>
      <c r="AF584" s="31" t="s">
        <v>860</v>
      </c>
    </row>
    <row r="585" spans="2:32" ht="75" customHeight="1" x14ac:dyDescent="0.25">
      <c r="B585" s="36" t="s">
        <v>2363</v>
      </c>
      <c r="C585" s="42">
        <v>2021</v>
      </c>
      <c r="D585" s="42">
        <f t="shared" si="9"/>
        <v>2027</v>
      </c>
      <c r="E585" s="36" t="s">
        <v>317</v>
      </c>
      <c r="F585" s="36" t="s">
        <v>2364</v>
      </c>
      <c r="G585" s="36" t="s">
        <v>2365</v>
      </c>
      <c r="H585" s="36" t="s">
        <v>151</v>
      </c>
      <c r="I585" s="36" t="s">
        <v>148</v>
      </c>
      <c r="J585" s="36" t="s">
        <v>149</v>
      </c>
      <c r="K585" s="36" t="s">
        <v>190</v>
      </c>
      <c r="L585" s="36" t="s">
        <v>127</v>
      </c>
      <c r="M585" s="37">
        <v>8250000000</v>
      </c>
      <c r="N585" s="37">
        <v>0</v>
      </c>
      <c r="O585" s="37">
        <v>8250000000</v>
      </c>
      <c r="P585" s="36" t="s">
        <v>624</v>
      </c>
      <c r="Q585" s="37">
        <v>15000000</v>
      </c>
      <c r="R585" s="36" t="s">
        <v>150</v>
      </c>
      <c r="S585" s="38">
        <v>44453</v>
      </c>
      <c r="T585" s="38">
        <v>44266</v>
      </c>
      <c r="U585" s="38">
        <v>46752</v>
      </c>
      <c r="V585" s="27" t="s">
        <v>9463</v>
      </c>
      <c r="W585" s="36" t="s">
        <v>557</v>
      </c>
      <c r="X585" s="36" t="s">
        <v>859</v>
      </c>
      <c r="Y585" s="36" t="s">
        <v>125</v>
      </c>
      <c r="Z585" s="36" t="s">
        <v>856</v>
      </c>
      <c r="AA585" s="36" t="s">
        <v>862</v>
      </c>
      <c r="AB585" s="36" t="s">
        <v>861</v>
      </c>
      <c r="AC585" s="36" t="s">
        <v>863</v>
      </c>
      <c r="AD585" s="37">
        <v>2.2999999999999998</v>
      </c>
      <c r="AE585" s="36" t="s">
        <v>864</v>
      </c>
      <c r="AF585" s="36" t="s">
        <v>860</v>
      </c>
    </row>
    <row r="586" spans="2:32" ht="60" customHeight="1" x14ac:dyDescent="0.25">
      <c r="B586" s="31" t="s">
        <v>2366</v>
      </c>
      <c r="C586" s="41">
        <v>2021</v>
      </c>
      <c r="D586" s="42">
        <f t="shared" si="9"/>
        <v>2025</v>
      </c>
      <c r="E586" s="31" t="s">
        <v>126</v>
      </c>
      <c r="F586" s="31" t="s">
        <v>2367</v>
      </c>
      <c r="G586" s="31" t="s">
        <v>2368</v>
      </c>
      <c r="H586" s="31" t="s">
        <v>129</v>
      </c>
      <c r="I586" s="31" t="s">
        <v>448</v>
      </c>
      <c r="J586" s="31" t="s">
        <v>449</v>
      </c>
      <c r="K586" s="31" t="s">
        <v>190</v>
      </c>
      <c r="L586" s="31" t="s">
        <v>159</v>
      </c>
      <c r="M586" s="34">
        <v>0</v>
      </c>
      <c r="N586" s="34">
        <v>1138097400</v>
      </c>
      <c r="O586" s="34">
        <v>1138097400</v>
      </c>
      <c r="P586" s="31" t="s">
        <v>624</v>
      </c>
      <c r="Q586" s="34">
        <v>1896829</v>
      </c>
      <c r="R586" s="31" t="s">
        <v>159</v>
      </c>
      <c r="S586" s="35">
        <v>44453</v>
      </c>
      <c r="T586" s="35">
        <v>44252</v>
      </c>
      <c r="U586" s="35">
        <v>45930</v>
      </c>
      <c r="V586" s="27" t="s">
        <v>9308</v>
      </c>
      <c r="W586" s="34"/>
      <c r="X586" s="34"/>
      <c r="Y586" s="34" t="s">
        <v>125</v>
      </c>
      <c r="Z586" s="34"/>
      <c r="AA586" s="34"/>
      <c r="AB586" s="34"/>
      <c r="AC586" s="34"/>
      <c r="AD586" s="34"/>
      <c r="AE586" s="34"/>
      <c r="AF586" s="34"/>
    </row>
    <row r="587" spans="2:32" ht="60" customHeight="1" x14ac:dyDescent="0.25">
      <c r="B587" s="36" t="s">
        <v>2369</v>
      </c>
      <c r="C587" s="42">
        <v>2021</v>
      </c>
      <c r="D587" s="42">
        <f t="shared" si="9"/>
        <v>2025</v>
      </c>
      <c r="E587" s="36" t="s">
        <v>126</v>
      </c>
      <c r="F587" s="36" t="s">
        <v>2370</v>
      </c>
      <c r="G587" s="36" t="s">
        <v>2371</v>
      </c>
      <c r="H587" s="36" t="s">
        <v>172</v>
      </c>
      <c r="I587" s="36" t="s">
        <v>1148</v>
      </c>
      <c r="J587" s="36" t="s">
        <v>1148</v>
      </c>
      <c r="K587" s="36" t="s">
        <v>205</v>
      </c>
      <c r="L587" s="36" t="s">
        <v>127</v>
      </c>
      <c r="M587" s="37">
        <v>115664897810</v>
      </c>
      <c r="N587" s="37">
        <v>0</v>
      </c>
      <c r="O587" s="37">
        <v>115664897810</v>
      </c>
      <c r="P587" s="36" t="s">
        <v>122</v>
      </c>
      <c r="Q587" s="37">
        <v>176330000</v>
      </c>
      <c r="R587" s="36" t="s">
        <v>824</v>
      </c>
      <c r="S587" s="38">
        <v>44519</v>
      </c>
      <c r="T587" s="38">
        <v>44266</v>
      </c>
      <c r="U587" s="38">
        <v>46022</v>
      </c>
      <c r="V587" s="27" t="s">
        <v>9307</v>
      </c>
      <c r="W587" s="37"/>
      <c r="X587" s="37"/>
      <c r="Y587" s="37" t="s">
        <v>242</v>
      </c>
      <c r="Z587" s="37"/>
      <c r="AA587" s="37"/>
      <c r="AB587" s="37"/>
      <c r="AC587" s="37"/>
      <c r="AD587" s="37"/>
      <c r="AE587" s="37"/>
      <c r="AF587" s="37"/>
    </row>
    <row r="588" spans="2:32" ht="75" customHeight="1" x14ac:dyDescent="0.25">
      <c r="B588" s="31" t="s">
        <v>2372</v>
      </c>
      <c r="C588" s="41">
        <v>2021</v>
      </c>
      <c r="D588" s="42">
        <f t="shared" si="9"/>
        <v>2025</v>
      </c>
      <c r="E588" s="31" t="s">
        <v>126</v>
      </c>
      <c r="F588" s="31" t="s">
        <v>2373</v>
      </c>
      <c r="G588" s="31" t="s">
        <v>2374</v>
      </c>
      <c r="H588" s="31" t="s">
        <v>172</v>
      </c>
      <c r="I588" s="31" t="s">
        <v>1800</v>
      </c>
      <c r="J588" s="31" t="s">
        <v>1800</v>
      </c>
      <c r="K588" s="31" t="s">
        <v>205</v>
      </c>
      <c r="L588" s="31" t="s">
        <v>127</v>
      </c>
      <c r="M588" s="34">
        <v>8002675400</v>
      </c>
      <c r="N588" s="34">
        <v>0</v>
      </c>
      <c r="O588" s="34">
        <v>8002675400</v>
      </c>
      <c r="P588" s="31" t="s">
        <v>122</v>
      </c>
      <c r="Q588" s="34">
        <v>12200000</v>
      </c>
      <c r="R588" s="31" t="s">
        <v>824</v>
      </c>
      <c r="S588" s="35">
        <v>44511</v>
      </c>
      <c r="T588" s="35">
        <v>44266</v>
      </c>
      <c r="U588" s="35">
        <v>46022</v>
      </c>
      <c r="V588" s="27" t="s">
        <v>9442</v>
      </c>
      <c r="W588" s="34"/>
      <c r="X588" s="34"/>
      <c r="Y588" s="34" t="s">
        <v>242</v>
      </c>
      <c r="Z588" s="34"/>
      <c r="AA588" s="34"/>
      <c r="AB588" s="34"/>
      <c r="AC588" s="34"/>
      <c r="AD588" s="34"/>
      <c r="AE588" s="34"/>
      <c r="AF588" s="34"/>
    </row>
    <row r="589" spans="2:32" ht="75" customHeight="1" x14ac:dyDescent="0.25">
      <c r="B589" s="36" t="s">
        <v>2375</v>
      </c>
      <c r="C589" s="42">
        <v>2021</v>
      </c>
      <c r="D589" s="42">
        <f t="shared" si="9"/>
        <v>2024</v>
      </c>
      <c r="E589" s="36" t="s">
        <v>126</v>
      </c>
      <c r="F589" s="36" t="s">
        <v>2376</v>
      </c>
      <c r="G589" s="36" t="s">
        <v>2377</v>
      </c>
      <c r="H589" s="36" t="s">
        <v>181</v>
      </c>
      <c r="I589" s="36" t="s">
        <v>178</v>
      </c>
      <c r="J589" s="36" t="s">
        <v>179</v>
      </c>
      <c r="K589" s="36" t="s">
        <v>216</v>
      </c>
      <c r="L589" s="36" t="s">
        <v>201</v>
      </c>
      <c r="M589" s="37">
        <v>8133866800</v>
      </c>
      <c r="N589" s="37">
        <v>8250000000</v>
      </c>
      <c r="O589" s="37">
        <v>16383866800</v>
      </c>
      <c r="P589" s="36" t="s">
        <v>200</v>
      </c>
      <c r="Q589" s="37">
        <v>22800000</v>
      </c>
      <c r="R589" s="36" t="s">
        <v>279</v>
      </c>
      <c r="S589" s="38">
        <v>44391</v>
      </c>
      <c r="T589" s="38">
        <v>44302</v>
      </c>
      <c r="U589" s="38">
        <v>45657</v>
      </c>
      <c r="V589" s="27" t="s">
        <v>9308</v>
      </c>
      <c r="W589" s="37"/>
      <c r="X589" s="37"/>
      <c r="Y589" s="37" t="s">
        <v>125</v>
      </c>
      <c r="Z589" s="37"/>
      <c r="AA589" s="37"/>
      <c r="AB589" s="37"/>
      <c r="AC589" s="37"/>
      <c r="AD589" s="37"/>
      <c r="AE589" s="37"/>
      <c r="AF589" s="37"/>
    </row>
    <row r="590" spans="2:32" ht="120" customHeight="1" x14ac:dyDescent="0.25">
      <c r="B590" s="31" t="s">
        <v>2378</v>
      </c>
      <c r="C590" s="41">
        <v>2021</v>
      </c>
      <c r="D590" s="33">
        <f t="shared" si="9"/>
        <v>2026</v>
      </c>
      <c r="E590" s="31" t="s">
        <v>126</v>
      </c>
      <c r="F590" s="31" t="s">
        <v>2379</v>
      </c>
      <c r="G590" s="31" t="s">
        <v>2380</v>
      </c>
      <c r="H590" s="31" t="s">
        <v>129</v>
      </c>
      <c r="I590" s="31" t="s">
        <v>337</v>
      </c>
      <c r="J590" s="31" t="s">
        <v>338</v>
      </c>
      <c r="K590" s="31" t="s">
        <v>190</v>
      </c>
      <c r="L590" s="31" t="s">
        <v>201</v>
      </c>
      <c r="M590" s="34">
        <v>9839355000</v>
      </c>
      <c r="N590" s="34">
        <v>3279785000</v>
      </c>
      <c r="O590" s="34">
        <v>13119140000</v>
      </c>
      <c r="P590" s="31" t="s">
        <v>122</v>
      </c>
      <c r="Q590" s="34">
        <v>20000000</v>
      </c>
      <c r="R590" s="31" t="s">
        <v>279</v>
      </c>
      <c r="S590" s="35">
        <v>44552</v>
      </c>
      <c r="T590" s="35">
        <v>44252</v>
      </c>
      <c r="U590" s="35">
        <v>46193</v>
      </c>
      <c r="V590" s="27" t="s">
        <v>9308</v>
      </c>
      <c r="W590" s="34"/>
      <c r="X590" s="34"/>
      <c r="Y590" s="34" t="s">
        <v>242</v>
      </c>
      <c r="Z590" s="34"/>
      <c r="AA590" s="34"/>
      <c r="AB590" s="34"/>
      <c r="AC590" s="34"/>
      <c r="AD590" s="34"/>
      <c r="AE590" s="34"/>
      <c r="AF590" s="34"/>
    </row>
    <row r="591" spans="2:32" ht="75" customHeight="1" x14ac:dyDescent="0.25">
      <c r="B591" s="36" t="s">
        <v>2381</v>
      </c>
      <c r="C591" s="42">
        <v>2021</v>
      </c>
      <c r="D591" s="42">
        <f t="shared" si="9"/>
        <v>2025</v>
      </c>
      <c r="E591" s="36" t="s">
        <v>126</v>
      </c>
      <c r="F591" s="36" t="s">
        <v>2382</v>
      </c>
      <c r="G591" s="36" t="s">
        <v>2383</v>
      </c>
      <c r="H591" s="36" t="s">
        <v>181</v>
      </c>
      <c r="I591" s="36" t="s">
        <v>178</v>
      </c>
      <c r="J591" s="36" t="s">
        <v>179</v>
      </c>
      <c r="K591" s="36" t="s">
        <v>205</v>
      </c>
      <c r="L591" s="36" t="s">
        <v>201</v>
      </c>
      <c r="M591" s="37">
        <v>6559570000</v>
      </c>
      <c r="N591" s="37">
        <v>6600000000</v>
      </c>
      <c r="O591" s="37">
        <v>13159570000</v>
      </c>
      <c r="P591" s="36" t="s">
        <v>2384</v>
      </c>
      <c r="Q591" s="37">
        <v>22000000</v>
      </c>
      <c r="R591" s="36" t="s">
        <v>279</v>
      </c>
      <c r="S591" s="38">
        <v>44458</v>
      </c>
      <c r="T591" s="38">
        <v>44328</v>
      </c>
      <c r="U591" s="38">
        <v>46022</v>
      </c>
      <c r="V591" s="27" t="s">
        <v>9410</v>
      </c>
      <c r="W591" s="37"/>
      <c r="X591" s="37"/>
      <c r="Y591" s="37" t="s">
        <v>125</v>
      </c>
      <c r="Z591" s="37"/>
      <c r="AA591" s="37"/>
      <c r="AB591" s="37"/>
      <c r="AC591" s="37"/>
      <c r="AD591" s="37"/>
      <c r="AE591" s="37"/>
      <c r="AF591" s="37"/>
    </row>
    <row r="592" spans="2:32" ht="120" customHeight="1" x14ac:dyDescent="0.25">
      <c r="B592" s="31" t="s">
        <v>2385</v>
      </c>
      <c r="C592" s="41">
        <v>2021</v>
      </c>
      <c r="D592" s="42">
        <f t="shared" si="9"/>
        <v>2026</v>
      </c>
      <c r="E592" s="31" t="s">
        <v>126</v>
      </c>
      <c r="F592" s="31" t="s">
        <v>2386</v>
      </c>
      <c r="G592" s="31" t="s">
        <v>2387</v>
      </c>
      <c r="H592" s="31" t="s">
        <v>129</v>
      </c>
      <c r="I592" s="31" t="s">
        <v>337</v>
      </c>
      <c r="J592" s="31" t="s">
        <v>338</v>
      </c>
      <c r="K592" s="31" t="s">
        <v>118</v>
      </c>
      <c r="L592" s="31" t="s">
        <v>201</v>
      </c>
      <c r="M592" s="34">
        <v>22958495000</v>
      </c>
      <c r="N592" s="34">
        <v>13119140000</v>
      </c>
      <c r="O592" s="34">
        <v>36077635000</v>
      </c>
      <c r="P592" s="31" t="s">
        <v>122</v>
      </c>
      <c r="Q592" s="34">
        <v>55000000</v>
      </c>
      <c r="R592" s="31" t="s">
        <v>279</v>
      </c>
      <c r="S592" s="35">
        <v>44561</v>
      </c>
      <c r="T592" s="35">
        <v>44266</v>
      </c>
      <c r="U592" s="35">
        <v>46387</v>
      </c>
      <c r="V592" s="27" t="s">
        <v>9308</v>
      </c>
      <c r="W592" s="34"/>
      <c r="X592" s="34"/>
      <c r="Y592" s="34" t="s">
        <v>242</v>
      </c>
      <c r="Z592" s="34"/>
      <c r="AA592" s="34"/>
      <c r="AB592" s="34"/>
      <c r="AC592" s="34"/>
      <c r="AD592" s="34"/>
      <c r="AE592" s="34"/>
      <c r="AF592" s="34"/>
    </row>
    <row r="593" spans="2:32" ht="120" customHeight="1" x14ac:dyDescent="0.25">
      <c r="B593" s="36" t="s">
        <v>2388</v>
      </c>
      <c r="C593" s="42">
        <v>2021</v>
      </c>
      <c r="D593" s="42">
        <f t="shared" si="9"/>
        <v>2027</v>
      </c>
      <c r="E593" s="36" t="s">
        <v>126</v>
      </c>
      <c r="F593" s="36" t="s">
        <v>2389</v>
      </c>
      <c r="G593" s="36" t="s">
        <v>2390</v>
      </c>
      <c r="H593" s="36" t="s">
        <v>372</v>
      </c>
      <c r="I593" s="36" t="s">
        <v>178</v>
      </c>
      <c r="J593" s="36" t="s">
        <v>179</v>
      </c>
      <c r="K593" s="36" t="s">
        <v>526</v>
      </c>
      <c r="L593" s="36" t="s">
        <v>127</v>
      </c>
      <c r="M593" s="37">
        <v>132306526900</v>
      </c>
      <c r="N593" s="37">
        <v>0</v>
      </c>
      <c r="O593" s="37">
        <v>132306526900</v>
      </c>
      <c r="P593" s="36" t="s">
        <v>122</v>
      </c>
      <c r="Q593" s="37">
        <v>201700000</v>
      </c>
      <c r="R593" s="36" t="s">
        <v>150</v>
      </c>
      <c r="S593" s="38">
        <v>44561</v>
      </c>
      <c r="T593" s="38">
        <v>44362</v>
      </c>
      <c r="U593" s="38">
        <v>46752</v>
      </c>
      <c r="V593" s="27" t="s">
        <v>9308</v>
      </c>
      <c r="W593" s="37"/>
      <c r="X593" s="37"/>
      <c r="Y593" s="37" t="s">
        <v>125</v>
      </c>
      <c r="Z593" s="37"/>
      <c r="AA593" s="37"/>
      <c r="AB593" s="37"/>
      <c r="AC593" s="37"/>
      <c r="AD593" s="37"/>
      <c r="AE593" s="37"/>
      <c r="AF593" s="37"/>
    </row>
    <row r="594" spans="2:32" ht="60" customHeight="1" x14ac:dyDescent="0.25">
      <c r="B594" s="31" t="s">
        <v>2391</v>
      </c>
      <c r="C594" s="41">
        <v>2021</v>
      </c>
      <c r="D594" s="42">
        <f t="shared" si="9"/>
        <v>2026</v>
      </c>
      <c r="E594" s="31" t="s">
        <v>126</v>
      </c>
      <c r="F594" s="31" t="s">
        <v>2392</v>
      </c>
      <c r="G594" s="31" t="s">
        <v>2393</v>
      </c>
      <c r="H594" s="31" t="s">
        <v>326</v>
      </c>
      <c r="I594" s="31" t="s">
        <v>689</v>
      </c>
      <c r="J594" s="31" t="s">
        <v>690</v>
      </c>
      <c r="K594" s="31" t="s">
        <v>205</v>
      </c>
      <c r="L594" s="31" t="s">
        <v>127</v>
      </c>
      <c r="M594" s="34">
        <v>17710839000</v>
      </c>
      <c r="N594" s="34">
        <v>0</v>
      </c>
      <c r="O594" s="34">
        <v>17710839000</v>
      </c>
      <c r="P594" s="31" t="s">
        <v>122</v>
      </c>
      <c r="Q594" s="34">
        <v>27000000</v>
      </c>
      <c r="R594" s="31" t="s">
        <v>127</v>
      </c>
      <c r="S594" s="35">
        <v>44547</v>
      </c>
      <c r="T594" s="35">
        <v>44266</v>
      </c>
      <c r="U594" s="35">
        <v>46387</v>
      </c>
      <c r="V594" s="27" t="s">
        <v>9307</v>
      </c>
      <c r="W594" s="34"/>
      <c r="X594" s="34"/>
      <c r="Y594" s="34" t="s">
        <v>125</v>
      </c>
      <c r="Z594" s="34"/>
      <c r="AA594" s="34"/>
      <c r="AB594" s="34"/>
      <c r="AC594" s="34"/>
      <c r="AD594" s="34"/>
      <c r="AE594" s="34"/>
      <c r="AF594" s="34"/>
    </row>
    <row r="595" spans="2:32" ht="60" customHeight="1" x14ac:dyDescent="0.25">
      <c r="B595" s="36" t="s">
        <v>2394</v>
      </c>
      <c r="C595" s="42">
        <v>2021</v>
      </c>
      <c r="D595" s="42">
        <f t="shared" si="9"/>
        <v>2026</v>
      </c>
      <c r="E595" s="36" t="s">
        <v>126</v>
      </c>
      <c r="F595" s="36" t="s">
        <v>2395</v>
      </c>
      <c r="G595" s="36" t="s">
        <v>2396</v>
      </c>
      <c r="H595" s="36" t="s">
        <v>326</v>
      </c>
      <c r="I595" s="36" t="s">
        <v>689</v>
      </c>
      <c r="J595" s="36" t="s">
        <v>690</v>
      </c>
      <c r="K595" s="36" t="s">
        <v>205</v>
      </c>
      <c r="L595" s="36" t="s">
        <v>127</v>
      </c>
      <c r="M595" s="37">
        <v>9799997580</v>
      </c>
      <c r="N595" s="37">
        <v>0</v>
      </c>
      <c r="O595" s="37">
        <v>9799997580</v>
      </c>
      <c r="P595" s="36" t="s">
        <v>122</v>
      </c>
      <c r="Q595" s="37">
        <v>14940000</v>
      </c>
      <c r="R595" s="36" t="s">
        <v>127</v>
      </c>
      <c r="S595" s="38">
        <v>44536</v>
      </c>
      <c r="T595" s="38">
        <v>44266</v>
      </c>
      <c r="U595" s="38">
        <v>46387</v>
      </c>
      <c r="V595" s="27" t="s">
        <v>9461</v>
      </c>
      <c r="W595" s="37"/>
      <c r="X595" s="37"/>
      <c r="Y595" s="37" t="s">
        <v>125</v>
      </c>
      <c r="Z595" s="37"/>
      <c r="AA595" s="37"/>
      <c r="AB595" s="37"/>
      <c r="AC595" s="37"/>
      <c r="AD595" s="37"/>
      <c r="AE595" s="37"/>
      <c r="AF595" s="37"/>
    </row>
    <row r="596" spans="2:32" ht="75" customHeight="1" x14ac:dyDescent="0.25">
      <c r="B596" s="31" t="s">
        <v>2397</v>
      </c>
      <c r="C596" s="41">
        <v>2021</v>
      </c>
      <c r="D596" s="42">
        <f t="shared" si="9"/>
        <v>2024</v>
      </c>
      <c r="E596" s="31" t="s">
        <v>126</v>
      </c>
      <c r="F596" s="31" t="s">
        <v>2398</v>
      </c>
      <c r="G596" s="31" t="s">
        <v>2399</v>
      </c>
      <c r="H596" s="31" t="s">
        <v>326</v>
      </c>
      <c r="I596" s="31" t="s">
        <v>689</v>
      </c>
      <c r="J596" s="31" t="s">
        <v>690</v>
      </c>
      <c r="K596" s="31" t="s">
        <v>216</v>
      </c>
      <c r="L596" s="31" t="s">
        <v>127</v>
      </c>
      <c r="M596" s="34">
        <v>29518065000</v>
      </c>
      <c r="N596" s="34">
        <v>0</v>
      </c>
      <c r="O596" s="34">
        <v>29518065000</v>
      </c>
      <c r="P596" s="31" t="s">
        <v>122</v>
      </c>
      <c r="Q596" s="34">
        <v>45000000</v>
      </c>
      <c r="R596" s="31" t="s">
        <v>127</v>
      </c>
      <c r="S596" s="35">
        <v>44547</v>
      </c>
      <c r="T596" s="35">
        <v>44266</v>
      </c>
      <c r="U596" s="35">
        <v>45657</v>
      </c>
      <c r="V596" s="27" t="s">
        <v>9308</v>
      </c>
      <c r="W596" s="31" t="s">
        <v>557</v>
      </c>
      <c r="X596" s="31" t="s">
        <v>558</v>
      </c>
      <c r="Y596" s="31" t="s">
        <v>125</v>
      </c>
      <c r="Z596" s="31" t="s">
        <v>1131</v>
      </c>
      <c r="AA596" s="31" t="s">
        <v>561</v>
      </c>
      <c r="AB596" s="31" t="s">
        <v>560</v>
      </c>
      <c r="AC596" s="31" t="s">
        <v>1022</v>
      </c>
      <c r="AD596" s="34">
        <v>1.3</v>
      </c>
      <c r="AE596" s="31" t="s">
        <v>902</v>
      </c>
      <c r="AF596" s="31" t="s">
        <v>860</v>
      </c>
    </row>
    <row r="597" spans="2:32" ht="60" customHeight="1" x14ac:dyDescent="0.25">
      <c r="B597" s="36" t="s">
        <v>2400</v>
      </c>
      <c r="C597" s="42">
        <v>2021</v>
      </c>
      <c r="D597" s="42">
        <f t="shared" si="9"/>
        <v>2022</v>
      </c>
      <c r="E597" s="36" t="s">
        <v>1335</v>
      </c>
      <c r="F597" s="36" t="s">
        <v>2401</v>
      </c>
      <c r="G597" s="36" t="s">
        <v>2402</v>
      </c>
      <c r="H597" s="36" t="s">
        <v>372</v>
      </c>
      <c r="I597" s="36" t="s">
        <v>178</v>
      </c>
      <c r="J597" s="36" t="s">
        <v>179</v>
      </c>
      <c r="K597" s="36" t="s">
        <v>163</v>
      </c>
      <c r="L597" s="36" t="s">
        <v>127</v>
      </c>
      <c r="M597" s="37">
        <v>28206151000</v>
      </c>
      <c r="N597" s="37">
        <v>0</v>
      </c>
      <c r="O597" s="37">
        <v>28206151000</v>
      </c>
      <c r="P597" s="36" t="s">
        <v>122</v>
      </c>
      <c r="Q597" s="37">
        <v>43000000</v>
      </c>
      <c r="R597" s="36" t="s">
        <v>1252</v>
      </c>
      <c r="S597" s="38">
        <v>44547</v>
      </c>
      <c r="T597" s="38">
        <v>44197</v>
      </c>
      <c r="U597" s="38">
        <v>44926</v>
      </c>
      <c r="V597" s="27" t="s">
        <v>9308</v>
      </c>
      <c r="W597" s="36" t="s">
        <v>557</v>
      </c>
      <c r="X597" s="36" t="s">
        <v>558</v>
      </c>
      <c r="Y597" s="36" t="s">
        <v>125</v>
      </c>
      <c r="Z597" s="36" t="s">
        <v>1033</v>
      </c>
      <c r="AA597" s="36" t="s">
        <v>1046</v>
      </c>
      <c r="AB597" s="36" t="s">
        <v>861</v>
      </c>
      <c r="AC597" s="36" t="s">
        <v>1036</v>
      </c>
      <c r="AD597" s="37">
        <v>16.600000000000001</v>
      </c>
      <c r="AE597" s="36" t="s">
        <v>902</v>
      </c>
      <c r="AF597" s="36" t="s">
        <v>860</v>
      </c>
    </row>
    <row r="598" spans="2:32" ht="75" customHeight="1" x14ac:dyDescent="0.25">
      <c r="B598" s="31" t="s">
        <v>2403</v>
      </c>
      <c r="C598" s="32">
        <v>2021</v>
      </c>
      <c r="D598" s="33">
        <f t="shared" si="9"/>
        <v>2023</v>
      </c>
      <c r="E598" s="31" t="s">
        <v>625</v>
      </c>
      <c r="F598" s="31" t="s">
        <v>2404</v>
      </c>
      <c r="G598" s="31" t="s">
        <v>2405</v>
      </c>
      <c r="H598" s="31" t="s">
        <v>372</v>
      </c>
      <c r="I598" s="31" t="s">
        <v>178</v>
      </c>
      <c r="J598" s="31" t="s">
        <v>179</v>
      </c>
      <c r="K598" s="31" t="s">
        <v>216</v>
      </c>
      <c r="L598" s="31" t="s">
        <v>159</v>
      </c>
      <c r="M598" s="34">
        <v>0</v>
      </c>
      <c r="N598" s="34">
        <v>518571350</v>
      </c>
      <c r="O598" s="34">
        <v>518571350</v>
      </c>
      <c r="P598" s="31" t="s">
        <v>624</v>
      </c>
      <c r="Q598" s="34">
        <v>942857</v>
      </c>
      <c r="R598" s="31" t="s">
        <v>159</v>
      </c>
      <c r="S598" s="35">
        <v>44344</v>
      </c>
      <c r="T598" s="35">
        <v>44253</v>
      </c>
      <c r="U598" s="35">
        <v>45107</v>
      </c>
      <c r="V598" s="27" t="s">
        <v>9308</v>
      </c>
      <c r="W598" s="34"/>
      <c r="X598" s="34"/>
      <c r="Y598" s="34" t="s">
        <v>125</v>
      </c>
      <c r="Z598" s="34"/>
      <c r="AA598" s="34"/>
      <c r="AB598" s="34"/>
      <c r="AC598" s="34"/>
      <c r="AD598" s="34"/>
      <c r="AE598" s="34"/>
      <c r="AF598" s="34"/>
    </row>
    <row r="599" spans="2:32" ht="60" customHeight="1" x14ac:dyDescent="0.25">
      <c r="B599" s="36" t="s">
        <v>2406</v>
      </c>
      <c r="C599" s="42">
        <v>2021</v>
      </c>
      <c r="D599" s="42">
        <f t="shared" si="9"/>
        <v>2027</v>
      </c>
      <c r="E599" s="36" t="s">
        <v>126</v>
      </c>
      <c r="F599" s="36" t="s">
        <v>2407</v>
      </c>
      <c r="G599" s="36" t="s">
        <v>2408</v>
      </c>
      <c r="H599" s="36" t="s">
        <v>372</v>
      </c>
      <c r="I599" s="36" t="s">
        <v>178</v>
      </c>
      <c r="J599" s="36" t="s">
        <v>179</v>
      </c>
      <c r="K599" s="36" t="s">
        <v>526</v>
      </c>
      <c r="L599" s="36" t="s">
        <v>159</v>
      </c>
      <c r="M599" s="37">
        <v>0</v>
      </c>
      <c r="N599" s="37">
        <v>36602400600</v>
      </c>
      <c r="O599" s="37">
        <v>36602400600</v>
      </c>
      <c r="P599" s="36" t="s">
        <v>177</v>
      </c>
      <c r="Q599" s="37">
        <v>46000000</v>
      </c>
      <c r="R599" s="36" t="s">
        <v>159</v>
      </c>
      <c r="S599" s="38">
        <v>44364</v>
      </c>
      <c r="T599" s="38">
        <v>44362</v>
      </c>
      <c r="U599" s="38">
        <v>46752</v>
      </c>
      <c r="V599" s="27" t="s">
        <v>9308</v>
      </c>
      <c r="W599" s="37"/>
      <c r="X599" s="37"/>
      <c r="Y599" s="37" t="s">
        <v>125</v>
      </c>
      <c r="Z599" s="37"/>
      <c r="AA599" s="37"/>
      <c r="AB599" s="37"/>
      <c r="AC599" s="37"/>
      <c r="AD599" s="37"/>
      <c r="AE599" s="37"/>
      <c r="AF599" s="37"/>
    </row>
    <row r="600" spans="2:32" ht="75" customHeight="1" x14ac:dyDescent="0.25">
      <c r="B600" s="31" t="s">
        <v>2409</v>
      </c>
      <c r="C600" s="41">
        <v>2021</v>
      </c>
      <c r="D600" s="42">
        <f t="shared" si="9"/>
        <v>2025</v>
      </c>
      <c r="E600" s="31" t="s">
        <v>126</v>
      </c>
      <c r="F600" s="31" t="s">
        <v>2410</v>
      </c>
      <c r="G600" s="31" t="s">
        <v>2411</v>
      </c>
      <c r="H600" s="31" t="s">
        <v>172</v>
      </c>
      <c r="I600" s="31" t="s">
        <v>892</v>
      </c>
      <c r="J600" s="31" t="s">
        <v>893</v>
      </c>
      <c r="K600" s="31" t="s">
        <v>142</v>
      </c>
      <c r="L600" s="31" t="s">
        <v>159</v>
      </c>
      <c r="M600" s="34">
        <v>0</v>
      </c>
      <c r="N600" s="34">
        <v>18413400000</v>
      </c>
      <c r="O600" s="34">
        <v>18413400000</v>
      </c>
      <c r="P600" s="31" t="s">
        <v>2412</v>
      </c>
      <c r="Q600" s="34">
        <v>3552000000</v>
      </c>
      <c r="R600" s="31" t="s">
        <v>159</v>
      </c>
      <c r="S600" s="35">
        <v>44279</v>
      </c>
      <c r="T600" s="35">
        <v>44222</v>
      </c>
      <c r="U600" s="35">
        <v>46022</v>
      </c>
      <c r="V600" s="27" t="s">
        <v>9441</v>
      </c>
      <c r="W600" s="31" t="s">
        <v>557</v>
      </c>
      <c r="X600" s="31" t="s">
        <v>880</v>
      </c>
      <c r="Y600" s="31" t="s">
        <v>242</v>
      </c>
      <c r="Z600" s="31" t="s">
        <v>968</v>
      </c>
      <c r="AA600" s="31" t="s">
        <v>862</v>
      </c>
      <c r="AB600" s="31" t="s">
        <v>861</v>
      </c>
      <c r="AC600" s="31" t="s">
        <v>971</v>
      </c>
      <c r="AD600" s="34">
        <v>9.1</v>
      </c>
      <c r="AE600" s="31" t="s">
        <v>864</v>
      </c>
      <c r="AF600" s="31" t="s">
        <v>860</v>
      </c>
    </row>
    <row r="601" spans="2:32" ht="60" customHeight="1" x14ac:dyDescent="0.25">
      <c r="B601" s="36" t="s">
        <v>2413</v>
      </c>
      <c r="C601" s="42">
        <v>2021</v>
      </c>
      <c r="D601" s="42">
        <f t="shared" si="9"/>
        <v>2025</v>
      </c>
      <c r="E601" s="36" t="s">
        <v>126</v>
      </c>
      <c r="F601" s="36" t="s">
        <v>2414</v>
      </c>
      <c r="G601" s="36" t="s">
        <v>2415</v>
      </c>
      <c r="H601" s="36" t="s">
        <v>326</v>
      </c>
      <c r="I601" s="36" t="s">
        <v>892</v>
      </c>
      <c r="J601" s="36" t="s">
        <v>893</v>
      </c>
      <c r="K601" s="36" t="s">
        <v>263</v>
      </c>
      <c r="L601" s="36" t="s">
        <v>159</v>
      </c>
      <c r="M601" s="37">
        <v>0</v>
      </c>
      <c r="N601" s="37">
        <v>668731000</v>
      </c>
      <c r="O601" s="37">
        <v>668731000</v>
      </c>
      <c r="P601" s="36" t="s">
        <v>2412</v>
      </c>
      <c r="Q601" s="37">
        <v>129000000</v>
      </c>
      <c r="R601" s="36" t="s">
        <v>159</v>
      </c>
      <c r="S601" s="38">
        <v>44266</v>
      </c>
      <c r="T601" s="38">
        <v>44222</v>
      </c>
      <c r="U601" s="38">
        <v>46022</v>
      </c>
      <c r="V601" s="27" t="s">
        <v>9464</v>
      </c>
      <c r="W601" s="37"/>
      <c r="X601" s="37"/>
      <c r="Y601" s="37" t="s">
        <v>242</v>
      </c>
      <c r="Z601" s="37"/>
      <c r="AA601" s="37"/>
      <c r="AB601" s="37"/>
      <c r="AC601" s="37"/>
      <c r="AD601" s="37"/>
      <c r="AE601" s="37"/>
      <c r="AF601" s="37"/>
    </row>
    <row r="602" spans="2:32" ht="75" customHeight="1" x14ac:dyDescent="0.25">
      <c r="B602" s="31" t="s">
        <v>2418</v>
      </c>
      <c r="C602" s="41">
        <v>2021</v>
      </c>
      <c r="D602" s="42">
        <f t="shared" si="9"/>
        <v>2027</v>
      </c>
      <c r="E602" s="31" t="s">
        <v>126</v>
      </c>
      <c r="F602" s="31" t="s">
        <v>2419</v>
      </c>
      <c r="G602" s="31" t="s">
        <v>2420</v>
      </c>
      <c r="H602" s="31" t="s">
        <v>326</v>
      </c>
      <c r="I602" s="31" t="s">
        <v>892</v>
      </c>
      <c r="J602" s="31" t="s">
        <v>893</v>
      </c>
      <c r="K602" s="31" t="s">
        <v>263</v>
      </c>
      <c r="L602" s="31" t="s">
        <v>159</v>
      </c>
      <c r="M602" s="34">
        <v>0</v>
      </c>
      <c r="N602" s="34">
        <v>16345800000</v>
      </c>
      <c r="O602" s="34">
        <v>16345800000</v>
      </c>
      <c r="P602" s="31" t="s">
        <v>2412</v>
      </c>
      <c r="Q602" s="34">
        <v>3218000000</v>
      </c>
      <c r="R602" s="31" t="s">
        <v>159</v>
      </c>
      <c r="S602" s="35">
        <v>44516</v>
      </c>
      <c r="T602" s="35">
        <v>44266</v>
      </c>
      <c r="U602" s="35">
        <v>46752</v>
      </c>
      <c r="V602" s="27" t="s">
        <v>9464</v>
      </c>
      <c r="W602" s="34"/>
      <c r="X602" s="34"/>
      <c r="Y602" s="34" t="s">
        <v>242</v>
      </c>
      <c r="Z602" s="34"/>
      <c r="AA602" s="34"/>
      <c r="AB602" s="34"/>
      <c r="AC602" s="34"/>
      <c r="AD602" s="34"/>
      <c r="AE602" s="34"/>
      <c r="AF602" s="34"/>
    </row>
    <row r="603" spans="2:32" ht="60" customHeight="1" x14ac:dyDescent="0.25">
      <c r="B603" s="36" t="s">
        <v>2421</v>
      </c>
      <c r="C603" s="42">
        <v>2021</v>
      </c>
      <c r="D603" s="42">
        <f t="shared" si="9"/>
        <v>2026</v>
      </c>
      <c r="E603" s="36" t="s">
        <v>126</v>
      </c>
      <c r="F603" s="36" t="s">
        <v>2422</v>
      </c>
      <c r="G603" s="36" t="s">
        <v>2423</v>
      </c>
      <c r="H603" s="36" t="s">
        <v>326</v>
      </c>
      <c r="I603" s="36" t="s">
        <v>240</v>
      </c>
      <c r="J603" s="36" t="s">
        <v>241</v>
      </c>
      <c r="K603" s="36" t="s">
        <v>190</v>
      </c>
      <c r="L603" s="36" t="s">
        <v>159</v>
      </c>
      <c r="M603" s="37">
        <v>0</v>
      </c>
      <c r="N603" s="37">
        <v>2961418237.921</v>
      </c>
      <c r="O603" s="37">
        <v>2961418237.921</v>
      </c>
      <c r="P603" s="36" t="s">
        <v>122</v>
      </c>
      <c r="Q603" s="37">
        <v>4514653</v>
      </c>
      <c r="R603" s="36" t="s">
        <v>159</v>
      </c>
      <c r="S603" s="38">
        <v>44539</v>
      </c>
      <c r="T603" s="38">
        <v>44210</v>
      </c>
      <c r="U603" s="38">
        <v>46387</v>
      </c>
      <c r="V603" s="27" t="s">
        <v>9308</v>
      </c>
      <c r="W603" s="36" t="s">
        <v>557</v>
      </c>
      <c r="X603" s="36" t="s">
        <v>880</v>
      </c>
      <c r="Y603" s="36" t="s">
        <v>242</v>
      </c>
      <c r="Z603" s="36" t="s">
        <v>856</v>
      </c>
      <c r="AA603" s="36" t="s">
        <v>862</v>
      </c>
      <c r="AB603" s="36" t="s">
        <v>861</v>
      </c>
      <c r="AC603" s="36" t="s">
        <v>863</v>
      </c>
      <c r="AD603" s="37">
        <v>2.2999999999999998</v>
      </c>
      <c r="AE603" s="36" t="s">
        <v>864</v>
      </c>
      <c r="AF603" s="36" t="s">
        <v>860</v>
      </c>
    </row>
    <row r="604" spans="2:32" ht="60" customHeight="1" x14ac:dyDescent="0.25">
      <c r="B604" s="31" t="s">
        <v>2424</v>
      </c>
      <c r="C604" s="41">
        <v>2021</v>
      </c>
      <c r="D604" s="42">
        <f t="shared" si="9"/>
        <v>2022</v>
      </c>
      <c r="E604" s="31" t="s">
        <v>1335</v>
      </c>
      <c r="F604" s="31" t="s">
        <v>1333</v>
      </c>
      <c r="G604" s="31" t="s">
        <v>2425</v>
      </c>
      <c r="H604" s="31" t="s">
        <v>129</v>
      </c>
      <c r="I604" s="31" t="s">
        <v>574</v>
      </c>
      <c r="J604" s="31" t="s">
        <v>575</v>
      </c>
      <c r="K604" s="31" t="s">
        <v>163</v>
      </c>
      <c r="L604" s="31" t="s">
        <v>159</v>
      </c>
      <c r="M604" s="34">
        <v>0</v>
      </c>
      <c r="N604" s="34">
        <v>13447118500</v>
      </c>
      <c r="O604" s="34">
        <v>13447118500</v>
      </c>
      <c r="P604" s="31" t="s">
        <v>122</v>
      </c>
      <c r="Q604" s="34">
        <v>20500000</v>
      </c>
      <c r="R604" s="31" t="s">
        <v>1252</v>
      </c>
      <c r="S604" s="35">
        <v>44211</v>
      </c>
      <c r="T604" s="35">
        <v>44210</v>
      </c>
      <c r="U604" s="35">
        <v>44926</v>
      </c>
      <c r="V604" s="27" t="s">
        <v>9308</v>
      </c>
      <c r="W604" s="31" t="s">
        <v>557</v>
      </c>
      <c r="X604" s="31" t="s">
        <v>880</v>
      </c>
      <c r="Y604" s="31" t="s">
        <v>125</v>
      </c>
      <c r="Z604" s="31" t="s">
        <v>1033</v>
      </c>
      <c r="AA604" s="31" t="s">
        <v>1046</v>
      </c>
      <c r="AB604" s="31" t="s">
        <v>861</v>
      </c>
      <c r="AC604" s="31" t="s">
        <v>1036</v>
      </c>
      <c r="AD604" s="34">
        <v>16.600000000000001</v>
      </c>
      <c r="AE604" s="31" t="s">
        <v>902</v>
      </c>
      <c r="AF604" s="31" t="s">
        <v>860</v>
      </c>
    </row>
    <row r="605" spans="2:32" ht="75" customHeight="1" x14ac:dyDescent="0.25">
      <c r="B605" s="36" t="s">
        <v>2426</v>
      </c>
      <c r="C605" s="42">
        <v>2021</v>
      </c>
      <c r="D605" s="42">
        <f t="shared" si="9"/>
        <v>2022</v>
      </c>
      <c r="E605" s="36" t="s">
        <v>126</v>
      </c>
      <c r="F605" s="36" t="s">
        <v>2427</v>
      </c>
      <c r="G605" s="36" t="s">
        <v>2428</v>
      </c>
      <c r="H605" s="36" t="s">
        <v>172</v>
      </c>
      <c r="I605" s="36" t="s">
        <v>358</v>
      </c>
      <c r="J605" s="36" t="s">
        <v>358</v>
      </c>
      <c r="K605" s="36" t="s">
        <v>190</v>
      </c>
      <c r="L605" s="36" t="s">
        <v>159</v>
      </c>
      <c r="M605" s="37">
        <v>0</v>
      </c>
      <c r="N605" s="37">
        <v>2508300000</v>
      </c>
      <c r="O605" s="37">
        <v>2508300000</v>
      </c>
      <c r="P605" s="36" t="s">
        <v>357</v>
      </c>
      <c r="Q605" s="37">
        <v>30000000</v>
      </c>
      <c r="R605" s="36" t="s">
        <v>159</v>
      </c>
      <c r="S605" s="38">
        <v>44211</v>
      </c>
      <c r="T605" s="38">
        <v>44210</v>
      </c>
      <c r="U605" s="38">
        <v>44926</v>
      </c>
      <c r="V605" s="27" t="s">
        <v>9308</v>
      </c>
      <c r="W605" s="36" t="s">
        <v>557</v>
      </c>
      <c r="X605" s="36" t="s">
        <v>880</v>
      </c>
      <c r="Y605" s="36" t="s">
        <v>242</v>
      </c>
      <c r="Z605" s="36" t="s">
        <v>974</v>
      </c>
      <c r="AA605" s="36" t="s">
        <v>862</v>
      </c>
      <c r="AB605" s="36" t="s">
        <v>861</v>
      </c>
      <c r="AC605" s="36" t="s">
        <v>863</v>
      </c>
      <c r="AD605" s="37">
        <v>2.2999999999999998</v>
      </c>
      <c r="AE605" s="36" t="s">
        <v>864</v>
      </c>
      <c r="AF605" s="36" t="s">
        <v>860</v>
      </c>
    </row>
    <row r="606" spans="2:32" ht="75" customHeight="1" x14ac:dyDescent="0.25">
      <c r="B606" s="31" t="s">
        <v>2429</v>
      </c>
      <c r="C606" s="41">
        <v>2021</v>
      </c>
      <c r="D606" s="42">
        <f t="shared" si="9"/>
        <v>2026</v>
      </c>
      <c r="E606" s="31" t="s">
        <v>317</v>
      </c>
      <c r="F606" s="31" t="s">
        <v>2430</v>
      </c>
      <c r="G606" s="31" t="s">
        <v>2432</v>
      </c>
      <c r="H606" s="31" t="s">
        <v>129</v>
      </c>
      <c r="I606" s="31" t="s">
        <v>574</v>
      </c>
      <c r="J606" s="31" t="s">
        <v>575</v>
      </c>
      <c r="K606" s="31" t="s">
        <v>190</v>
      </c>
      <c r="L606" s="31" t="s">
        <v>159</v>
      </c>
      <c r="M606" s="34">
        <v>0</v>
      </c>
      <c r="N606" s="34">
        <v>8527441000</v>
      </c>
      <c r="O606" s="34">
        <v>8527441000</v>
      </c>
      <c r="P606" s="31" t="s">
        <v>122</v>
      </c>
      <c r="Q606" s="34">
        <v>13000000</v>
      </c>
      <c r="R606" s="31" t="s">
        <v>159</v>
      </c>
      <c r="S606" s="35">
        <v>44211</v>
      </c>
      <c r="T606" s="35">
        <v>44210</v>
      </c>
      <c r="U606" s="35">
        <v>46387</v>
      </c>
      <c r="V606" s="27" t="s">
        <v>9308</v>
      </c>
      <c r="W606" s="31" t="s">
        <v>557</v>
      </c>
      <c r="X606" s="31" t="s">
        <v>880</v>
      </c>
      <c r="Y606" s="31" t="s">
        <v>125</v>
      </c>
      <c r="Z606" s="31" t="s">
        <v>2431</v>
      </c>
      <c r="AA606" s="31" t="s">
        <v>862</v>
      </c>
      <c r="AB606" s="31" t="s">
        <v>861</v>
      </c>
      <c r="AC606" s="31" t="s">
        <v>863</v>
      </c>
      <c r="AD606" s="34">
        <v>2.2999999999999998</v>
      </c>
      <c r="AE606" s="31" t="s">
        <v>864</v>
      </c>
      <c r="AF606" s="31" t="s">
        <v>860</v>
      </c>
    </row>
    <row r="607" spans="2:32" ht="60" customHeight="1" x14ac:dyDescent="0.25">
      <c r="B607" s="36" t="s">
        <v>2433</v>
      </c>
      <c r="C607" s="42">
        <v>2021</v>
      </c>
      <c r="D607" s="42">
        <f t="shared" si="9"/>
        <v>2022</v>
      </c>
      <c r="E607" s="36" t="s">
        <v>126</v>
      </c>
      <c r="F607" s="36" t="s">
        <v>2434</v>
      </c>
      <c r="G607" s="36" t="s">
        <v>2436</v>
      </c>
      <c r="H607" s="36" t="s">
        <v>172</v>
      </c>
      <c r="I607" s="36" t="s">
        <v>358</v>
      </c>
      <c r="J607" s="36" t="s">
        <v>358</v>
      </c>
      <c r="K607" s="36" t="s">
        <v>369</v>
      </c>
      <c r="L607" s="36" t="s">
        <v>159</v>
      </c>
      <c r="M607" s="37">
        <v>0</v>
      </c>
      <c r="N607" s="37">
        <v>1481234000</v>
      </c>
      <c r="O607" s="37">
        <v>1481234000</v>
      </c>
      <c r="P607" s="36" t="s">
        <v>357</v>
      </c>
      <c r="Q607" s="37">
        <v>17950000</v>
      </c>
      <c r="R607" s="36" t="s">
        <v>159</v>
      </c>
      <c r="S607" s="38">
        <v>44552</v>
      </c>
      <c r="T607" s="38">
        <v>44210</v>
      </c>
      <c r="U607" s="38">
        <v>44926</v>
      </c>
      <c r="V607" s="27" t="s">
        <v>9308</v>
      </c>
      <c r="W607" s="36" t="s">
        <v>557</v>
      </c>
      <c r="X607" s="36" t="s">
        <v>880</v>
      </c>
      <c r="Y607" s="36" t="s">
        <v>242</v>
      </c>
      <c r="Z607" s="36" t="s">
        <v>2435</v>
      </c>
      <c r="AA607" s="36" t="s">
        <v>862</v>
      </c>
      <c r="AB607" s="36" t="s">
        <v>861</v>
      </c>
      <c r="AC607" s="36" t="s">
        <v>971</v>
      </c>
      <c r="AD607" s="37">
        <v>9.1</v>
      </c>
      <c r="AE607" s="36" t="s">
        <v>864</v>
      </c>
      <c r="AF607" s="36" t="s">
        <v>860</v>
      </c>
    </row>
    <row r="608" spans="2:32" ht="60" customHeight="1" x14ac:dyDescent="0.25">
      <c r="B608" s="31" t="s">
        <v>2437</v>
      </c>
      <c r="C608" s="41">
        <v>2021</v>
      </c>
      <c r="D608" s="42">
        <f t="shared" si="9"/>
        <v>2027</v>
      </c>
      <c r="E608" s="31" t="s">
        <v>126</v>
      </c>
      <c r="F608" s="31" t="s">
        <v>2438</v>
      </c>
      <c r="G608" s="31" t="s">
        <v>2439</v>
      </c>
      <c r="H608" s="31" t="s">
        <v>139</v>
      </c>
      <c r="I608" s="31" t="s">
        <v>137</v>
      </c>
      <c r="J608" s="31" t="s">
        <v>138</v>
      </c>
      <c r="K608" s="31" t="s">
        <v>190</v>
      </c>
      <c r="L608" s="31" t="s">
        <v>127</v>
      </c>
      <c r="M608" s="34">
        <v>27500000000</v>
      </c>
      <c r="N608" s="34">
        <v>0</v>
      </c>
      <c r="O608" s="34">
        <v>27500000000</v>
      </c>
      <c r="P608" s="31" t="s">
        <v>136</v>
      </c>
      <c r="Q608" s="34">
        <v>27500000000</v>
      </c>
      <c r="R608" s="31" t="s">
        <v>128</v>
      </c>
      <c r="S608" s="35">
        <v>44544</v>
      </c>
      <c r="T608" s="35">
        <v>44210</v>
      </c>
      <c r="U608" s="35">
        <v>46752</v>
      </c>
      <c r="V608" s="27" t="s">
        <v>9308</v>
      </c>
      <c r="W608" s="31" t="s">
        <v>1043</v>
      </c>
      <c r="X608" s="31" t="s">
        <v>558</v>
      </c>
      <c r="Y608" s="31" t="s">
        <v>125</v>
      </c>
      <c r="Z608" s="31" t="s">
        <v>1311</v>
      </c>
      <c r="AA608" s="31" t="s">
        <v>862</v>
      </c>
      <c r="AB608" s="31" t="s">
        <v>861</v>
      </c>
      <c r="AC608" s="31" t="s">
        <v>863</v>
      </c>
      <c r="AD608" s="34">
        <v>2.2999999999999998</v>
      </c>
      <c r="AE608" s="31" t="s">
        <v>864</v>
      </c>
      <c r="AF608" s="31" t="s">
        <v>860</v>
      </c>
    </row>
    <row r="609" spans="2:32" ht="75" customHeight="1" x14ac:dyDescent="0.25">
      <c r="B609" s="36" t="s">
        <v>2440</v>
      </c>
      <c r="C609" s="42">
        <v>2021</v>
      </c>
      <c r="D609" s="42">
        <f t="shared" si="9"/>
        <v>2025</v>
      </c>
      <c r="E609" s="36" t="s">
        <v>126</v>
      </c>
      <c r="F609" s="36" t="s">
        <v>2441</v>
      </c>
      <c r="G609" s="36" t="s">
        <v>2442</v>
      </c>
      <c r="H609" s="36" t="s">
        <v>129</v>
      </c>
      <c r="I609" s="36" t="s">
        <v>484</v>
      </c>
      <c r="J609" s="36" t="s">
        <v>484</v>
      </c>
      <c r="K609" s="36" t="s">
        <v>205</v>
      </c>
      <c r="L609" s="36" t="s">
        <v>127</v>
      </c>
      <c r="M609" s="37">
        <v>3139999999</v>
      </c>
      <c r="N609" s="37">
        <v>0</v>
      </c>
      <c r="O609" s="37">
        <v>3139999999</v>
      </c>
      <c r="P609" s="36" t="s">
        <v>122</v>
      </c>
      <c r="Q609" s="37">
        <v>4786899.1399999997</v>
      </c>
      <c r="R609" s="36" t="s">
        <v>127</v>
      </c>
      <c r="S609" s="38">
        <v>44266</v>
      </c>
      <c r="T609" s="38">
        <v>44253</v>
      </c>
      <c r="U609" s="38">
        <v>46022</v>
      </c>
      <c r="V609" s="27" t="s">
        <v>9308</v>
      </c>
      <c r="W609" s="36" t="s">
        <v>557</v>
      </c>
      <c r="X609" s="36" t="s">
        <v>558</v>
      </c>
      <c r="Y609" s="36" t="s">
        <v>242</v>
      </c>
      <c r="Z609" s="36" t="s">
        <v>1052</v>
      </c>
      <c r="AA609" s="36" t="s">
        <v>1012</v>
      </c>
      <c r="AB609" s="36" t="s">
        <v>560</v>
      </c>
      <c r="AC609" s="36" t="s">
        <v>939</v>
      </c>
      <c r="AD609" s="37">
        <v>11.3</v>
      </c>
      <c r="AE609" s="36" t="s">
        <v>563</v>
      </c>
      <c r="AF609" s="36" t="s">
        <v>860</v>
      </c>
    </row>
    <row r="610" spans="2:32" ht="75" customHeight="1" x14ac:dyDescent="0.25">
      <c r="B610" s="31" t="s">
        <v>2443</v>
      </c>
      <c r="C610" s="41">
        <v>2021</v>
      </c>
      <c r="D610" s="42">
        <f t="shared" si="9"/>
        <v>2024</v>
      </c>
      <c r="E610" s="31" t="s">
        <v>317</v>
      </c>
      <c r="F610" s="31" t="s">
        <v>2444</v>
      </c>
      <c r="G610" s="31" t="s">
        <v>2445</v>
      </c>
      <c r="H610" s="31" t="s">
        <v>129</v>
      </c>
      <c r="I610" s="31" t="s">
        <v>484</v>
      </c>
      <c r="J610" s="31" t="s">
        <v>484</v>
      </c>
      <c r="K610" s="31" t="s">
        <v>315</v>
      </c>
      <c r="L610" s="31" t="s">
        <v>127</v>
      </c>
      <c r="M610" s="34">
        <v>4225000001</v>
      </c>
      <c r="N610" s="34">
        <v>0</v>
      </c>
      <c r="O610" s="34">
        <v>4225000001</v>
      </c>
      <c r="P610" s="31" t="s">
        <v>122</v>
      </c>
      <c r="Q610" s="34">
        <v>6440970.9800000004</v>
      </c>
      <c r="R610" s="31" t="s">
        <v>127</v>
      </c>
      <c r="S610" s="35">
        <v>44266</v>
      </c>
      <c r="T610" s="35">
        <v>44222</v>
      </c>
      <c r="U610" s="35">
        <v>45657</v>
      </c>
      <c r="V610" s="27" t="s">
        <v>9308</v>
      </c>
      <c r="W610" s="31" t="s">
        <v>557</v>
      </c>
      <c r="X610" s="31" t="s">
        <v>558</v>
      </c>
      <c r="Y610" s="31" t="s">
        <v>242</v>
      </c>
      <c r="Z610" s="31" t="s">
        <v>1519</v>
      </c>
      <c r="AA610" s="31" t="s">
        <v>900</v>
      </c>
      <c r="AB610" s="31" t="s">
        <v>861</v>
      </c>
      <c r="AC610" s="31" t="s">
        <v>901</v>
      </c>
      <c r="AD610" s="34">
        <v>4.0999999999999996</v>
      </c>
      <c r="AE610" s="31" t="s">
        <v>902</v>
      </c>
      <c r="AF610" s="31" t="s">
        <v>860</v>
      </c>
    </row>
    <row r="611" spans="2:32" ht="60" customHeight="1" x14ac:dyDescent="0.25">
      <c r="B611" s="36" t="s">
        <v>2446</v>
      </c>
      <c r="C611" s="42">
        <v>2021</v>
      </c>
      <c r="D611" s="42">
        <f t="shared" si="9"/>
        <v>2026</v>
      </c>
      <c r="E611" s="36" t="s">
        <v>126</v>
      </c>
      <c r="F611" s="36" t="s">
        <v>2447</v>
      </c>
      <c r="G611" s="36" t="s">
        <v>2448</v>
      </c>
      <c r="H611" s="36" t="s">
        <v>129</v>
      </c>
      <c r="I611" s="36" t="s">
        <v>267</v>
      </c>
      <c r="J611" s="36" t="s">
        <v>267</v>
      </c>
      <c r="K611" s="36" t="s">
        <v>315</v>
      </c>
      <c r="L611" s="36" t="s">
        <v>127</v>
      </c>
      <c r="M611" s="37">
        <v>13119140001</v>
      </c>
      <c r="N611" s="37">
        <v>0</v>
      </c>
      <c r="O611" s="37">
        <v>13119140001</v>
      </c>
      <c r="P611" s="36" t="s">
        <v>624</v>
      </c>
      <c r="Q611" s="37">
        <v>23852981.82</v>
      </c>
      <c r="R611" s="36" t="s">
        <v>150</v>
      </c>
      <c r="S611" s="38">
        <v>44211</v>
      </c>
      <c r="T611" s="38">
        <v>44210</v>
      </c>
      <c r="U611" s="38">
        <v>46387</v>
      </c>
      <c r="V611" s="27" t="s">
        <v>9308</v>
      </c>
      <c r="W611" s="36" t="s">
        <v>557</v>
      </c>
      <c r="X611" s="36" t="s">
        <v>558</v>
      </c>
      <c r="Y611" s="36" t="s">
        <v>242</v>
      </c>
      <c r="Z611" s="36" t="s">
        <v>1519</v>
      </c>
      <c r="AA611" s="36" t="s">
        <v>900</v>
      </c>
      <c r="AB611" s="36" t="s">
        <v>861</v>
      </c>
      <c r="AC611" s="36" t="s">
        <v>901</v>
      </c>
      <c r="AD611" s="37">
        <v>4.0999999999999996</v>
      </c>
      <c r="AE611" s="36" t="s">
        <v>902</v>
      </c>
      <c r="AF611" s="36" t="s">
        <v>860</v>
      </c>
    </row>
    <row r="612" spans="2:32" ht="60" customHeight="1" x14ac:dyDescent="0.25">
      <c r="B612" s="31" t="s">
        <v>2449</v>
      </c>
      <c r="C612" s="41">
        <v>2021</v>
      </c>
      <c r="D612" s="42">
        <f t="shared" si="9"/>
        <v>2024</v>
      </c>
      <c r="E612" s="31" t="s">
        <v>126</v>
      </c>
      <c r="F612" s="31" t="s">
        <v>2450</v>
      </c>
      <c r="G612" s="31" t="s">
        <v>2451</v>
      </c>
      <c r="H612" s="31" t="s">
        <v>129</v>
      </c>
      <c r="I612" s="31" t="s">
        <v>267</v>
      </c>
      <c r="J612" s="31" t="s">
        <v>267</v>
      </c>
      <c r="K612" s="31" t="s">
        <v>190</v>
      </c>
      <c r="L612" s="31" t="s">
        <v>159</v>
      </c>
      <c r="M612" s="34">
        <v>0</v>
      </c>
      <c r="N612" s="34">
        <v>3935742000</v>
      </c>
      <c r="O612" s="34">
        <v>3935742000</v>
      </c>
      <c r="P612" s="31" t="s">
        <v>122</v>
      </c>
      <c r="Q612" s="34">
        <v>6000000</v>
      </c>
      <c r="R612" s="31" t="s">
        <v>159</v>
      </c>
      <c r="S612" s="35">
        <v>44451</v>
      </c>
      <c r="T612" s="35">
        <v>44210</v>
      </c>
      <c r="U612" s="35">
        <v>45657</v>
      </c>
      <c r="V612" s="27" t="s">
        <v>9308</v>
      </c>
      <c r="W612" s="31" t="s">
        <v>557</v>
      </c>
      <c r="X612" s="31" t="s">
        <v>880</v>
      </c>
      <c r="Y612" s="31" t="s">
        <v>242</v>
      </c>
      <c r="Z612" s="31" t="s">
        <v>856</v>
      </c>
      <c r="AA612" s="31" t="s">
        <v>862</v>
      </c>
      <c r="AB612" s="31" t="s">
        <v>861</v>
      </c>
      <c r="AC612" s="31" t="s">
        <v>863</v>
      </c>
      <c r="AD612" s="34">
        <v>2.2999999999999998</v>
      </c>
      <c r="AE612" s="31" t="s">
        <v>864</v>
      </c>
      <c r="AF612" s="31" t="s">
        <v>860</v>
      </c>
    </row>
    <row r="613" spans="2:32" ht="60" customHeight="1" x14ac:dyDescent="0.25">
      <c r="B613" s="36" t="s">
        <v>2452</v>
      </c>
      <c r="C613" s="42">
        <v>2021</v>
      </c>
      <c r="D613" s="42">
        <f t="shared" si="9"/>
        <v>2025</v>
      </c>
      <c r="E613" s="36" t="s">
        <v>126</v>
      </c>
      <c r="F613" s="36" t="s">
        <v>1376</v>
      </c>
      <c r="G613" s="36" t="s">
        <v>2453</v>
      </c>
      <c r="H613" s="36" t="s">
        <v>172</v>
      </c>
      <c r="I613" s="36" t="s">
        <v>1020</v>
      </c>
      <c r="J613" s="36" t="s">
        <v>1021</v>
      </c>
      <c r="K613" s="36" t="s">
        <v>216</v>
      </c>
      <c r="L613" s="36" t="s">
        <v>159</v>
      </c>
      <c r="M613" s="37">
        <v>0</v>
      </c>
      <c r="N613" s="37">
        <v>1428038700</v>
      </c>
      <c r="O613" s="37">
        <v>1428038700</v>
      </c>
      <c r="P613" s="36" t="s">
        <v>624</v>
      </c>
      <c r="Q613" s="37">
        <v>2596434</v>
      </c>
      <c r="R613" s="36" t="s">
        <v>159</v>
      </c>
      <c r="S613" s="38">
        <v>44453</v>
      </c>
      <c r="T613" s="38">
        <v>44266</v>
      </c>
      <c r="U613" s="38">
        <v>45930</v>
      </c>
      <c r="V613" s="27" t="s">
        <v>9324</v>
      </c>
      <c r="W613" s="36" t="s">
        <v>557</v>
      </c>
      <c r="X613" s="36" t="s">
        <v>880</v>
      </c>
      <c r="Y613" s="36" t="s">
        <v>242</v>
      </c>
      <c r="Z613" s="36" t="s">
        <v>992</v>
      </c>
      <c r="AA613" s="36" t="s">
        <v>561</v>
      </c>
      <c r="AB613" s="36" t="s">
        <v>560</v>
      </c>
      <c r="AC613" s="36" t="s">
        <v>989</v>
      </c>
      <c r="AD613" s="37">
        <v>3.8</v>
      </c>
      <c r="AE613" s="36" t="s">
        <v>902</v>
      </c>
      <c r="AF613" s="36" t="s">
        <v>860</v>
      </c>
    </row>
    <row r="614" spans="2:32" ht="75" customHeight="1" x14ac:dyDescent="0.25">
      <c r="B614" s="31" t="s">
        <v>2454</v>
      </c>
      <c r="C614" s="41">
        <v>2021</v>
      </c>
      <c r="D614" s="42">
        <f t="shared" si="9"/>
        <v>2024</v>
      </c>
      <c r="E614" s="31" t="s">
        <v>126</v>
      </c>
      <c r="F614" s="31" t="s">
        <v>1032</v>
      </c>
      <c r="G614" s="31" t="s">
        <v>2455</v>
      </c>
      <c r="H614" s="31" t="s">
        <v>326</v>
      </c>
      <c r="I614" s="31" t="s">
        <v>267</v>
      </c>
      <c r="J614" s="31" t="s">
        <v>267</v>
      </c>
      <c r="K614" s="31" t="s">
        <v>163</v>
      </c>
      <c r="L614" s="31" t="s">
        <v>159</v>
      </c>
      <c r="M614" s="34">
        <v>0</v>
      </c>
      <c r="N614" s="34">
        <v>2623828000</v>
      </c>
      <c r="O614" s="34">
        <v>2623828000</v>
      </c>
      <c r="P614" s="31" t="s">
        <v>122</v>
      </c>
      <c r="Q614" s="34">
        <v>4000000</v>
      </c>
      <c r="R614" s="31" t="s">
        <v>159</v>
      </c>
      <c r="S614" s="35">
        <v>44511</v>
      </c>
      <c r="T614" s="35">
        <v>44210</v>
      </c>
      <c r="U614" s="35">
        <v>45657</v>
      </c>
      <c r="V614" s="27" t="s">
        <v>9307</v>
      </c>
      <c r="W614" s="31" t="s">
        <v>557</v>
      </c>
      <c r="X614" s="31" t="s">
        <v>880</v>
      </c>
      <c r="Y614" s="31" t="s">
        <v>242</v>
      </c>
      <c r="Z614" s="31" t="s">
        <v>1033</v>
      </c>
      <c r="AA614" s="31" t="s">
        <v>1035</v>
      </c>
      <c r="AB614" s="31" t="s">
        <v>964</v>
      </c>
      <c r="AC614" s="31" t="s">
        <v>1036</v>
      </c>
      <c r="AD614" s="34">
        <v>16.600000000000001</v>
      </c>
      <c r="AE614" s="31" t="s">
        <v>902</v>
      </c>
      <c r="AF614" s="31" t="s">
        <v>860</v>
      </c>
    </row>
    <row r="615" spans="2:32" ht="60" customHeight="1" x14ac:dyDescent="0.25">
      <c r="B615" s="36" t="s">
        <v>2456</v>
      </c>
      <c r="C615" s="42">
        <v>2021</v>
      </c>
      <c r="D615" s="42">
        <f t="shared" si="9"/>
        <v>2024</v>
      </c>
      <c r="E615" s="36" t="s">
        <v>126</v>
      </c>
      <c r="F615" s="36" t="s">
        <v>1709</v>
      </c>
      <c r="G615" s="36" t="s">
        <v>2457</v>
      </c>
      <c r="H615" s="36" t="s">
        <v>326</v>
      </c>
      <c r="I615" s="36" t="s">
        <v>267</v>
      </c>
      <c r="J615" s="36" t="s">
        <v>267</v>
      </c>
      <c r="K615" s="36" t="s">
        <v>190</v>
      </c>
      <c r="L615" s="36" t="s">
        <v>159</v>
      </c>
      <c r="M615" s="37">
        <v>0</v>
      </c>
      <c r="N615" s="37">
        <v>2230253800</v>
      </c>
      <c r="O615" s="37">
        <v>2230253800</v>
      </c>
      <c r="P615" s="36" t="s">
        <v>122</v>
      </c>
      <c r="Q615" s="37">
        <v>3400000</v>
      </c>
      <c r="R615" s="36" t="s">
        <v>159</v>
      </c>
      <c r="S615" s="38">
        <v>44211</v>
      </c>
      <c r="T615" s="38">
        <v>44210</v>
      </c>
      <c r="U615" s="38">
        <v>45657</v>
      </c>
      <c r="V615" s="27" t="s">
        <v>9422</v>
      </c>
      <c r="W615" s="36" t="s">
        <v>557</v>
      </c>
      <c r="X615" s="36" t="s">
        <v>880</v>
      </c>
      <c r="Y615" s="36" t="s">
        <v>242</v>
      </c>
      <c r="Z615" s="36" t="s">
        <v>1710</v>
      </c>
      <c r="AA615" s="36" t="s">
        <v>862</v>
      </c>
      <c r="AB615" s="36" t="s">
        <v>861</v>
      </c>
      <c r="AC615" s="36" t="s">
        <v>863</v>
      </c>
      <c r="AD615" s="37">
        <v>2.2999999999999998</v>
      </c>
      <c r="AE615" s="36" t="s">
        <v>864</v>
      </c>
      <c r="AF615" s="36" t="s">
        <v>860</v>
      </c>
    </row>
    <row r="616" spans="2:32" ht="60" customHeight="1" x14ac:dyDescent="0.25">
      <c r="B616" s="31" t="s">
        <v>2458</v>
      </c>
      <c r="C616" s="41">
        <v>2021</v>
      </c>
      <c r="D616" s="42">
        <f t="shared" si="9"/>
        <v>2024</v>
      </c>
      <c r="E616" s="31" t="s">
        <v>126</v>
      </c>
      <c r="F616" s="31" t="s">
        <v>2459</v>
      </c>
      <c r="G616" s="31" t="s">
        <v>2460</v>
      </c>
      <c r="H616" s="31" t="s">
        <v>326</v>
      </c>
      <c r="I616" s="31" t="s">
        <v>267</v>
      </c>
      <c r="J616" s="31" t="s">
        <v>267</v>
      </c>
      <c r="K616" s="31" t="s">
        <v>205</v>
      </c>
      <c r="L616" s="31" t="s">
        <v>159</v>
      </c>
      <c r="M616" s="34">
        <v>0</v>
      </c>
      <c r="N616" s="34">
        <v>2282730360</v>
      </c>
      <c r="O616" s="34">
        <v>2282730360</v>
      </c>
      <c r="P616" s="31" t="s">
        <v>122</v>
      </c>
      <c r="Q616" s="34">
        <v>3480000</v>
      </c>
      <c r="R616" s="31" t="s">
        <v>159</v>
      </c>
      <c r="S616" s="35">
        <v>44281</v>
      </c>
      <c r="T616" s="35">
        <v>44210</v>
      </c>
      <c r="U616" s="35">
        <v>45657</v>
      </c>
      <c r="V616" s="27" t="s">
        <v>9331</v>
      </c>
      <c r="W616" s="31" t="s">
        <v>557</v>
      </c>
      <c r="X616" s="31" t="s">
        <v>880</v>
      </c>
      <c r="Y616" s="31" t="s">
        <v>242</v>
      </c>
      <c r="Z616" s="31" t="s">
        <v>2185</v>
      </c>
      <c r="AA616" s="31" t="s">
        <v>1012</v>
      </c>
      <c r="AB616" s="31" t="s">
        <v>560</v>
      </c>
      <c r="AC616" s="31" t="s">
        <v>939</v>
      </c>
      <c r="AD616" s="34">
        <v>11.3</v>
      </c>
      <c r="AE616" s="31" t="s">
        <v>563</v>
      </c>
      <c r="AF616" s="31" t="s">
        <v>860</v>
      </c>
    </row>
    <row r="617" spans="2:32" ht="60" customHeight="1" x14ac:dyDescent="0.25">
      <c r="B617" s="36" t="s">
        <v>2461</v>
      </c>
      <c r="C617" s="42">
        <v>2021</v>
      </c>
      <c r="D617" s="42">
        <f t="shared" si="9"/>
        <v>2024</v>
      </c>
      <c r="E617" s="36" t="s">
        <v>126</v>
      </c>
      <c r="F617" s="36" t="s">
        <v>2462</v>
      </c>
      <c r="G617" s="36" t="s">
        <v>2464</v>
      </c>
      <c r="H617" s="36" t="s">
        <v>326</v>
      </c>
      <c r="I617" s="36" t="s">
        <v>267</v>
      </c>
      <c r="J617" s="36" t="s">
        <v>267</v>
      </c>
      <c r="K617" s="36" t="s">
        <v>163</v>
      </c>
      <c r="L617" s="36" t="s">
        <v>159</v>
      </c>
      <c r="M617" s="37">
        <v>0</v>
      </c>
      <c r="N617" s="37">
        <v>8199462500</v>
      </c>
      <c r="O617" s="37">
        <v>8199462500</v>
      </c>
      <c r="P617" s="36" t="s">
        <v>122</v>
      </c>
      <c r="Q617" s="37">
        <v>12500000</v>
      </c>
      <c r="R617" s="36" t="s">
        <v>159</v>
      </c>
      <c r="S617" s="38">
        <v>44295</v>
      </c>
      <c r="T617" s="38">
        <v>44210</v>
      </c>
      <c r="U617" s="38">
        <v>45657</v>
      </c>
      <c r="V617" s="27" t="s">
        <v>9307</v>
      </c>
      <c r="W617" s="36" t="s">
        <v>557</v>
      </c>
      <c r="X617" s="36" t="s">
        <v>880</v>
      </c>
      <c r="Y617" s="36" t="s">
        <v>242</v>
      </c>
      <c r="Z617" s="36" t="s">
        <v>2463</v>
      </c>
      <c r="AA617" s="36" t="s">
        <v>1046</v>
      </c>
      <c r="AB617" s="36" t="s">
        <v>861</v>
      </c>
      <c r="AC617" s="36" t="s">
        <v>1036</v>
      </c>
      <c r="AD617" s="37">
        <v>16.600000000000001</v>
      </c>
      <c r="AE617" s="36" t="s">
        <v>902</v>
      </c>
      <c r="AF617" s="36" t="s">
        <v>860</v>
      </c>
    </row>
    <row r="618" spans="2:32" ht="60" customHeight="1" x14ac:dyDescent="0.25">
      <c r="B618" s="31" t="s">
        <v>2465</v>
      </c>
      <c r="C618" s="41">
        <v>2021</v>
      </c>
      <c r="D618" s="42">
        <f t="shared" si="9"/>
        <v>2024</v>
      </c>
      <c r="E618" s="31" t="s">
        <v>126</v>
      </c>
      <c r="F618" s="31" t="s">
        <v>2466</v>
      </c>
      <c r="G618" s="31" t="s">
        <v>2467</v>
      </c>
      <c r="H618" s="31" t="s">
        <v>326</v>
      </c>
      <c r="I618" s="31" t="s">
        <v>267</v>
      </c>
      <c r="J618" s="31" t="s">
        <v>267</v>
      </c>
      <c r="K618" s="31" t="s">
        <v>118</v>
      </c>
      <c r="L618" s="31" t="s">
        <v>159</v>
      </c>
      <c r="M618" s="34">
        <v>0</v>
      </c>
      <c r="N618" s="34">
        <v>2623828000</v>
      </c>
      <c r="O618" s="34">
        <v>2623828000</v>
      </c>
      <c r="P618" s="31" t="s">
        <v>122</v>
      </c>
      <c r="Q618" s="34">
        <v>4000000</v>
      </c>
      <c r="R618" s="31" t="s">
        <v>159</v>
      </c>
      <c r="S618" s="35">
        <v>44383</v>
      </c>
      <c r="T618" s="35">
        <v>44210</v>
      </c>
      <c r="U618" s="35">
        <v>45657</v>
      </c>
      <c r="V618" s="27" t="s">
        <v>9308</v>
      </c>
      <c r="W618" s="31" t="s">
        <v>557</v>
      </c>
      <c r="X618" s="31" t="s">
        <v>880</v>
      </c>
      <c r="Y618" s="31" t="s">
        <v>242</v>
      </c>
      <c r="Z618" s="31" t="s">
        <v>1171</v>
      </c>
      <c r="AA618" s="31" t="s">
        <v>862</v>
      </c>
      <c r="AB618" s="31" t="s">
        <v>861</v>
      </c>
      <c r="AC618" s="31" t="s">
        <v>1173</v>
      </c>
      <c r="AD618" s="34">
        <v>7.1</v>
      </c>
      <c r="AE618" s="31" t="s">
        <v>864</v>
      </c>
      <c r="AF618" s="31" t="s">
        <v>860</v>
      </c>
    </row>
    <row r="619" spans="2:32" ht="60" customHeight="1" x14ac:dyDescent="0.25">
      <c r="B619" s="36" t="s">
        <v>2468</v>
      </c>
      <c r="C619" s="42">
        <v>2021</v>
      </c>
      <c r="D619" s="42">
        <f t="shared" si="9"/>
        <v>2024</v>
      </c>
      <c r="E619" s="36" t="s">
        <v>317</v>
      </c>
      <c r="F619" s="36" t="s">
        <v>1713</v>
      </c>
      <c r="G619" s="36" t="s">
        <v>2469</v>
      </c>
      <c r="H619" s="36" t="s">
        <v>326</v>
      </c>
      <c r="I619" s="36" t="s">
        <v>267</v>
      </c>
      <c r="J619" s="36" t="s">
        <v>267</v>
      </c>
      <c r="K619" s="36" t="s">
        <v>163</v>
      </c>
      <c r="L619" s="36" t="s">
        <v>159</v>
      </c>
      <c r="M619" s="37">
        <v>0</v>
      </c>
      <c r="N619" s="37">
        <v>6100400100</v>
      </c>
      <c r="O619" s="37">
        <v>6100400100</v>
      </c>
      <c r="P619" s="36" t="s">
        <v>122</v>
      </c>
      <c r="Q619" s="37">
        <v>9300000</v>
      </c>
      <c r="R619" s="36" t="s">
        <v>159</v>
      </c>
      <c r="S619" s="38">
        <v>44211</v>
      </c>
      <c r="T619" s="38">
        <v>44210</v>
      </c>
      <c r="U619" s="38">
        <v>45657</v>
      </c>
      <c r="V619" s="27" t="s">
        <v>9307</v>
      </c>
      <c r="W619" s="36" t="s">
        <v>557</v>
      </c>
      <c r="X619" s="36" t="s">
        <v>880</v>
      </c>
      <c r="Y619" s="36" t="s">
        <v>242</v>
      </c>
      <c r="Z619" s="36" t="s">
        <v>962</v>
      </c>
      <c r="AA619" s="36" t="s">
        <v>1035</v>
      </c>
      <c r="AB619" s="36" t="s">
        <v>964</v>
      </c>
      <c r="AC619" s="36" t="s">
        <v>1036</v>
      </c>
      <c r="AD619" s="37">
        <v>16.600000000000001</v>
      </c>
      <c r="AE619" s="36" t="s">
        <v>902</v>
      </c>
      <c r="AF619" s="36" t="s">
        <v>860</v>
      </c>
    </row>
    <row r="620" spans="2:32" ht="75" customHeight="1" x14ac:dyDescent="0.25">
      <c r="B620" s="31" t="s">
        <v>2470</v>
      </c>
      <c r="C620" s="41">
        <v>2021</v>
      </c>
      <c r="D620" s="42">
        <f t="shared" si="9"/>
        <v>2024</v>
      </c>
      <c r="E620" s="31" t="s">
        <v>170</v>
      </c>
      <c r="F620" s="31" t="s">
        <v>2471</v>
      </c>
      <c r="G620" s="31" t="s">
        <v>2472</v>
      </c>
      <c r="H620" s="31" t="s">
        <v>326</v>
      </c>
      <c r="I620" s="31" t="s">
        <v>1439</v>
      </c>
      <c r="J620" s="31" t="s">
        <v>1439</v>
      </c>
      <c r="K620" s="31" t="s">
        <v>163</v>
      </c>
      <c r="L620" s="31" t="s">
        <v>159</v>
      </c>
      <c r="M620" s="34">
        <v>0</v>
      </c>
      <c r="N620" s="34">
        <v>655957000</v>
      </c>
      <c r="O620" s="34">
        <v>655957000</v>
      </c>
      <c r="P620" s="31" t="s">
        <v>122</v>
      </c>
      <c r="Q620" s="34">
        <v>1000000</v>
      </c>
      <c r="R620" s="31" t="s">
        <v>159</v>
      </c>
      <c r="S620" s="35">
        <v>44409</v>
      </c>
      <c r="T620" s="35">
        <v>44210</v>
      </c>
      <c r="U620" s="35">
        <v>45657</v>
      </c>
      <c r="V620" s="27" t="s">
        <v>9308</v>
      </c>
      <c r="W620" s="31" t="s">
        <v>557</v>
      </c>
      <c r="X620" s="31" t="s">
        <v>880</v>
      </c>
      <c r="Y620" s="31" t="s">
        <v>242</v>
      </c>
      <c r="Z620" s="31" t="s">
        <v>1087</v>
      </c>
      <c r="AA620" s="31" t="s">
        <v>1035</v>
      </c>
      <c r="AB620" s="31" t="s">
        <v>964</v>
      </c>
      <c r="AC620" s="31" t="s">
        <v>1036</v>
      </c>
      <c r="AD620" s="34">
        <v>16.600000000000001</v>
      </c>
      <c r="AE620" s="31" t="s">
        <v>902</v>
      </c>
      <c r="AF620" s="31" t="s">
        <v>860</v>
      </c>
    </row>
    <row r="621" spans="2:32" ht="60" customHeight="1" x14ac:dyDescent="0.25">
      <c r="B621" s="36" t="s">
        <v>2473</v>
      </c>
      <c r="C621" s="42">
        <v>2021</v>
      </c>
      <c r="D621" s="42">
        <f t="shared" si="9"/>
        <v>2024</v>
      </c>
      <c r="E621" s="36" t="s">
        <v>126</v>
      </c>
      <c r="F621" s="36" t="s">
        <v>2474</v>
      </c>
      <c r="G621" s="36" t="s">
        <v>2476</v>
      </c>
      <c r="H621" s="36" t="s">
        <v>326</v>
      </c>
      <c r="I621" s="36" t="s">
        <v>1439</v>
      </c>
      <c r="J621" s="36" t="s">
        <v>1439</v>
      </c>
      <c r="K621" s="36" t="s">
        <v>216</v>
      </c>
      <c r="L621" s="36" t="s">
        <v>159</v>
      </c>
      <c r="M621" s="37">
        <v>0</v>
      </c>
      <c r="N621" s="37">
        <v>1113591961</v>
      </c>
      <c r="O621" s="37">
        <v>1113591961</v>
      </c>
      <c r="P621" s="36" t="s">
        <v>122</v>
      </c>
      <c r="Q621" s="37">
        <v>1697660</v>
      </c>
      <c r="R621" s="36" t="s">
        <v>159</v>
      </c>
      <c r="S621" s="38">
        <v>44453</v>
      </c>
      <c r="T621" s="38">
        <v>44210</v>
      </c>
      <c r="U621" s="38">
        <v>45657</v>
      </c>
      <c r="V621" s="27" t="s">
        <v>9308</v>
      </c>
      <c r="W621" s="36" t="s">
        <v>557</v>
      </c>
      <c r="X621" s="36" t="s">
        <v>880</v>
      </c>
      <c r="Y621" s="36" t="s">
        <v>242</v>
      </c>
      <c r="Z621" s="36" t="s">
        <v>2475</v>
      </c>
      <c r="AA621" s="36" t="s">
        <v>561</v>
      </c>
      <c r="AB621" s="36" t="s">
        <v>560</v>
      </c>
      <c r="AC621" s="36" t="s">
        <v>989</v>
      </c>
      <c r="AD621" s="37">
        <v>3.8</v>
      </c>
      <c r="AE621" s="36" t="s">
        <v>902</v>
      </c>
      <c r="AF621" s="36" t="s">
        <v>860</v>
      </c>
    </row>
    <row r="622" spans="2:32" ht="60" customHeight="1" x14ac:dyDescent="0.25">
      <c r="B622" s="31" t="s">
        <v>2477</v>
      </c>
      <c r="C622" s="41">
        <v>2021</v>
      </c>
      <c r="D622" s="42">
        <f t="shared" si="9"/>
        <v>2024</v>
      </c>
      <c r="E622" s="31" t="s">
        <v>126</v>
      </c>
      <c r="F622" s="31" t="s">
        <v>2478</v>
      </c>
      <c r="G622" s="31" t="s">
        <v>2479</v>
      </c>
      <c r="H622" s="31" t="s">
        <v>326</v>
      </c>
      <c r="I622" s="31" t="s">
        <v>1439</v>
      </c>
      <c r="J622" s="31" t="s">
        <v>1439</v>
      </c>
      <c r="K622" s="31" t="s">
        <v>190</v>
      </c>
      <c r="L622" s="31" t="s">
        <v>159</v>
      </c>
      <c r="M622" s="34">
        <v>0</v>
      </c>
      <c r="N622" s="34">
        <v>10495312000</v>
      </c>
      <c r="O622" s="34">
        <v>10495312000</v>
      </c>
      <c r="P622" s="31" t="s">
        <v>122</v>
      </c>
      <c r="Q622" s="34">
        <v>16000000</v>
      </c>
      <c r="R622" s="31" t="s">
        <v>159</v>
      </c>
      <c r="S622" s="35">
        <v>44211</v>
      </c>
      <c r="T622" s="35">
        <v>44210</v>
      </c>
      <c r="U622" s="35">
        <v>45657</v>
      </c>
      <c r="V622" s="27" t="s">
        <v>9450</v>
      </c>
      <c r="W622" s="31" t="s">
        <v>557</v>
      </c>
      <c r="X622" s="31" t="s">
        <v>880</v>
      </c>
      <c r="Y622" s="31" t="s">
        <v>242</v>
      </c>
      <c r="Z622" s="31" t="s">
        <v>974</v>
      </c>
      <c r="AA622" s="31" t="s">
        <v>862</v>
      </c>
      <c r="AB622" s="31" t="s">
        <v>861</v>
      </c>
      <c r="AC622" s="31" t="s">
        <v>863</v>
      </c>
      <c r="AD622" s="34">
        <v>2.2999999999999998</v>
      </c>
      <c r="AE622" s="31" t="s">
        <v>864</v>
      </c>
      <c r="AF622" s="31" t="s">
        <v>860</v>
      </c>
    </row>
    <row r="623" spans="2:32" ht="60" customHeight="1" x14ac:dyDescent="0.25">
      <c r="B623" s="36" t="s">
        <v>2480</v>
      </c>
      <c r="C623" s="42">
        <v>2021</v>
      </c>
      <c r="D623" s="42">
        <f t="shared" si="9"/>
        <v>2024</v>
      </c>
      <c r="E623" s="36" t="s">
        <v>126</v>
      </c>
      <c r="F623" s="36" t="s">
        <v>1716</v>
      </c>
      <c r="G623" s="36" t="s">
        <v>2481</v>
      </c>
      <c r="H623" s="36" t="s">
        <v>172</v>
      </c>
      <c r="I623" s="36" t="s">
        <v>1272</v>
      </c>
      <c r="J623" s="36" t="s">
        <v>1272</v>
      </c>
      <c r="K623" s="36" t="s">
        <v>190</v>
      </c>
      <c r="L623" s="36" t="s">
        <v>159</v>
      </c>
      <c r="M623" s="37">
        <v>0</v>
      </c>
      <c r="N623" s="37">
        <v>50000000</v>
      </c>
      <c r="O623" s="37">
        <v>50000000</v>
      </c>
      <c r="P623" s="36" t="s">
        <v>136</v>
      </c>
      <c r="Q623" s="37">
        <v>50000000</v>
      </c>
      <c r="R623" s="36" t="s">
        <v>159</v>
      </c>
      <c r="S623" s="38">
        <v>44211</v>
      </c>
      <c r="T623" s="38">
        <v>44210</v>
      </c>
      <c r="U623" s="38">
        <v>45657</v>
      </c>
      <c r="V623" s="27" t="s">
        <v>9437</v>
      </c>
      <c r="W623" s="36" t="s">
        <v>557</v>
      </c>
      <c r="X623" s="36" t="s">
        <v>880</v>
      </c>
      <c r="Y623" s="36" t="s">
        <v>242</v>
      </c>
      <c r="Z623" s="36" t="s">
        <v>1176</v>
      </c>
      <c r="AA623" s="36" t="s">
        <v>862</v>
      </c>
      <c r="AB623" s="36" t="s">
        <v>861</v>
      </c>
      <c r="AC623" s="36" t="s">
        <v>863</v>
      </c>
      <c r="AD623" s="37">
        <v>2.2999999999999998</v>
      </c>
      <c r="AE623" s="36" t="s">
        <v>864</v>
      </c>
      <c r="AF623" s="36" t="s">
        <v>860</v>
      </c>
    </row>
    <row r="624" spans="2:32" ht="75" customHeight="1" x14ac:dyDescent="0.25">
      <c r="B624" s="31" t="s">
        <v>2482</v>
      </c>
      <c r="C624" s="41">
        <v>2021</v>
      </c>
      <c r="D624" s="42">
        <f t="shared" si="9"/>
        <v>2024</v>
      </c>
      <c r="E624" s="31" t="s">
        <v>126</v>
      </c>
      <c r="F624" s="31" t="s">
        <v>2483</v>
      </c>
      <c r="G624" s="31" t="s">
        <v>2484</v>
      </c>
      <c r="H624" s="31" t="s">
        <v>326</v>
      </c>
      <c r="I624" s="31" t="s">
        <v>1128</v>
      </c>
      <c r="J624" s="31" t="s">
        <v>1128</v>
      </c>
      <c r="K624" s="31" t="s">
        <v>526</v>
      </c>
      <c r="L624" s="31" t="s">
        <v>159</v>
      </c>
      <c r="M624" s="34">
        <v>0</v>
      </c>
      <c r="N624" s="34">
        <v>560300000</v>
      </c>
      <c r="O624" s="34">
        <v>560300000</v>
      </c>
      <c r="P624" s="31" t="s">
        <v>1127</v>
      </c>
      <c r="Q624" s="34">
        <v>1300000</v>
      </c>
      <c r="R624" s="31" t="s">
        <v>159</v>
      </c>
      <c r="S624" s="35">
        <v>44250</v>
      </c>
      <c r="T624" s="35">
        <v>44210</v>
      </c>
      <c r="U624" s="35">
        <v>45657</v>
      </c>
      <c r="V624" s="27" t="s">
        <v>9308</v>
      </c>
      <c r="W624" s="31" t="s">
        <v>557</v>
      </c>
      <c r="X624" s="31" t="s">
        <v>880</v>
      </c>
      <c r="Y624" s="31" t="s">
        <v>242</v>
      </c>
      <c r="Z624" s="31" t="s">
        <v>1131</v>
      </c>
      <c r="AA624" s="31" t="s">
        <v>561</v>
      </c>
      <c r="AB624" s="31" t="s">
        <v>560</v>
      </c>
      <c r="AC624" s="31" t="s">
        <v>1022</v>
      </c>
      <c r="AD624" s="34">
        <v>1.3</v>
      </c>
      <c r="AE624" s="31" t="s">
        <v>902</v>
      </c>
      <c r="AF624" s="31" t="s">
        <v>860</v>
      </c>
    </row>
    <row r="625" spans="2:32" ht="120" customHeight="1" x14ac:dyDescent="0.25">
      <c r="B625" s="36" t="s">
        <v>2485</v>
      </c>
      <c r="C625" s="42">
        <v>2021</v>
      </c>
      <c r="D625" s="42">
        <f t="shared" si="9"/>
        <v>2024</v>
      </c>
      <c r="E625" s="36" t="s">
        <v>126</v>
      </c>
      <c r="F625" s="36" t="s">
        <v>2486</v>
      </c>
      <c r="G625" s="36" t="s">
        <v>2487</v>
      </c>
      <c r="H625" s="36" t="s">
        <v>2488</v>
      </c>
      <c r="I625" s="36" t="s">
        <v>1128</v>
      </c>
      <c r="J625" s="36" t="s">
        <v>1128</v>
      </c>
      <c r="K625" s="36" t="s">
        <v>216</v>
      </c>
      <c r="L625" s="36" t="s">
        <v>159</v>
      </c>
      <c r="M625" s="37">
        <v>0</v>
      </c>
      <c r="N625" s="37">
        <v>1254210000</v>
      </c>
      <c r="O625" s="37">
        <v>1254210000</v>
      </c>
      <c r="P625" s="36" t="s">
        <v>1127</v>
      </c>
      <c r="Q625" s="37">
        <v>2910000</v>
      </c>
      <c r="R625" s="36" t="s">
        <v>159</v>
      </c>
      <c r="S625" s="38">
        <v>44342</v>
      </c>
      <c r="T625" s="38">
        <v>44210</v>
      </c>
      <c r="U625" s="38">
        <v>45657</v>
      </c>
      <c r="V625" s="27" t="s">
        <v>9324</v>
      </c>
      <c r="W625" s="36" t="s">
        <v>557</v>
      </c>
      <c r="X625" s="36" t="s">
        <v>880</v>
      </c>
      <c r="Y625" s="36" t="s">
        <v>242</v>
      </c>
      <c r="Z625" s="36" t="s">
        <v>1091</v>
      </c>
      <c r="AA625" s="36" t="s">
        <v>561</v>
      </c>
      <c r="AB625" s="36" t="s">
        <v>560</v>
      </c>
      <c r="AC625" s="36" t="s">
        <v>989</v>
      </c>
      <c r="AD625" s="37">
        <v>3.8</v>
      </c>
      <c r="AE625" s="36" t="s">
        <v>902</v>
      </c>
      <c r="AF625" s="36" t="s">
        <v>860</v>
      </c>
    </row>
    <row r="626" spans="2:32" ht="60" customHeight="1" x14ac:dyDescent="0.25">
      <c r="B626" s="31" t="s">
        <v>2489</v>
      </c>
      <c r="C626" s="41">
        <v>2021</v>
      </c>
      <c r="D626" s="42">
        <f t="shared" si="9"/>
        <v>2021</v>
      </c>
      <c r="E626" s="31" t="s">
        <v>126</v>
      </c>
      <c r="F626" s="31" t="s">
        <v>1721</v>
      </c>
      <c r="G626" s="31" t="s">
        <v>2490</v>
      </c>
      <c r="H626" s="31" t="s">
        <v>326</v>
      </c>
      <c r="I626" s="31" t="s">
        <v>1128</v>
      </c>
      <c r="J626" s="31" t="s">
        <v>1128</v>
      </c>
      <c r="K626" s="31" t="s">
        <v>526</v>
      </c>
      <c r="L626" s="31" t="s">
        <v>159</v>
      </c>
      <c r="M626" s="34">
        <v>0</v>
      </c>
      <c r="N626" s="34">
        <v>32088700</v>
      </c>
      <c r="O626" s="34">
        <v>32088700</v>
      </c>
      <c r="P626" s="31" t="s">
        <v>1127</v>
      </c>
      <c r="Q626" s="34">
        <v>70000</v>
      </c>
      <c r="R626" s="31" t="s">
        <v>159</v>
      </c>
      <c r="S626" s="35">
        <v>44458</v>
      </c>
      <c r="T626" s="35">
        <v>44210</v>
      </c>
      <c r="U626" s="35">
        <v>44561</v>
      </c>
      <c r="V626" s="27" t="s">
        <v>9308</v>
      </c>
      <c r="W626" s="31" t="s">
        <v>557</v>
      </c>
      <c r="X626" s="31" t="s">
        <v>880</v>
      </c>
      <c r="Y626" s="31" t="s">
        <v>242</v>
      </c>
      <c r="Z626" s="31" t="s">
        <v>1095</v>
      </c>
      <c r="AA626" s="31" t="s">
        <v>561</v>
      </c>
      <c r="AB626" s="31" t="s">
        <v>560</v>
      </c>
      <c r="AC626" s="31" t="s">
        <v>1022</v>
      </c>
      <c r="AD626" s="34">
        <v>1.3</v>
      </c>
      <c r="AE626" s="31" t="s">
        <v>902</v>
      </c>
      <c r="AF626" s="31" t="s">
        <v>860</v>
      </c>
    </row>
    <row r="627" spans="2:32" ht="60" customHeight="1" x14ac:dyDescent="0.25">
      <c r="B627" s="36" t="s">
        <v>2491</v>
      </c>
      <c r="C627" s="42">
        <v>2021</v>
      </c>
      <c r="D627" s="42">
        <f t="shared" si="9"/>
        <v>2024</v>
      </c>
      <c r="E627" s="36" t="s">
        <v>126</v>
      </c>
      <c r="F627" s="36" t="s">
        <v>2492</v>
      </c>
      <c r="G627" s="36" t="s">
        <v>2494</v>
      </c>
      <c r="H627" s="36" t="s">
        <v>326</v>
      </c>
      <c r="I627" s="36" t="s">
        <v>822</v>
      </c>
      <c r="J627" s="36" t="s">
        <v>823</v>
      </c>
      <c r="K627" s="36" t="s">
        <v>526</v>
      </c>
      <c r="L627" s="36" t="s">
        <v>159</v>
      </c>
      <c r="M627" s="37">
        <v>0</v>
      </c>
      <c r="N627" s="37">
        <v>2228000000</v>
      </c>
      <c r="O627" s="37">
        <v>2228000000</v>
      </c>
      <c r="P627" s="36" t="s">
        <v>1110</v>
      </c>
      <c r="Q627" s="37">
        <v>4000000</v>
      </c>
      <c r="R627" s="36" t="s">
        <v>159</v>
      </c>
      <c r="S627" s="38">
        <v>44211</v>
      </c>
      <c r="T627" s="38">
        <v>44210</v>
      </c>
      <c r="U627" s="38">
        <v>45657</v>
      </c>
      <c r="V627" s="27" t="s">
        <v>9396</v>
      </c>
      <c r="W627" s="36" t="s">
        <v>557</v>
      </c>
      <c r="X627" s="36" t="s">
        <v>880</v>
      </c>
      <c r="Y627" s="36" t="s">
        <v>242</v>
      </c>
      <c r="Z627" s="36" t="s">
        <v>2493</v>
      </c>
      <c r="AA627" s="36" t="s">
        <v>561</v>
      </c>
      <c r="AB627" s="36" t="s">
        <v>560</v>
      </c>
      <c r="AC627" s="36" t="s">
        <v>1022</v>
      </c>
      <c r="AD627" s="37">
        <v>1.3</v>
      </c>
      <c r="AE627" s="36" t="s">
        <v>902</v>
      </c>
      <c r="AF627" s="36" t="s">
        <v>860</v>
      </c>
    </row>
    <row r="628" spans="2:32" ht="60" customHeight="1" x14ac:dyDescent="0.25">
      <c r="B628" s="31" t="s">
        <v>2495</v>
      </c>
      <c r="C628" s="41">
        <v>2021</v>
      </c>
      <c r="D628" s="42">
        <f t="shared" si="9"/>
        <v>2024</v>
      </c>
      <c r="E628" s="31" t="s">
        <v>126</v>
      </c>
      <c r="F628" s="31" t="s">
        <v>2496</v>
      </c>
      <c r="G628" s="31" t="s">
        <v>2497</v>
      </c>
      <c r="H628" s="31" t="s">
        <v>326</v>
      </c>
      <c r="I628" s="31" t="s">
        <v>822</v>
      </c>
      <c r="J628" s="31" t="s">
        <v>823</v>
      </c>
      <c r="K628" s="31" t="s">
        <v>315</v>
      </c>
      <c r="L628" s="31" t="s">
        <v>159</v>
      </c>
      <c r="M628" s="34">
        <v>0</v>
      </c>
      <c r="N628" s="34">
        <v>5370000000</v>
      </c>
      <c r="O628" s="34">
        <v>5370000000</v>
      </c>
      <c r="P628" s="31" t="s">
        <v>1110</v>
      </c>
      <c r="Q628" s="34">
        <v>8950000</v>
      </c>
      <c r="R628" s="31" t="s">
        <v>159</v>
      </c>
      <c r="S628" s="35">
        <v>44211</v>
      </c>
      <c r="T628" s="35">
        <v>44210</v>
      </c>
      <c r="U628" s="35">
        <v>45657</v>
      </c>
      <c r="V628" s="27" t="s">
        <v>9324</v>
      </c>
      <c r="W628" s="31" t="s">
        <v>557</v>
      </c>
      <c r="X628" s="31" t="s">
        <v>880</v>
      </c>
      <c r="Y628" s="31" t="s">
        <v>242</v>
      </c>
      <c r="Z628" s="31" t="s">
        <v>1108</v>
      </c>
      <c r="AA628" s="31" t="s">
        <v>900</v>
      </c>
      <c r="AB628" s="31" t="s">
        <v>861</v>
      </c>
      <c r="AC628" s="31" t="s">
        <v>901</v>
      </c>
      <c r="AD628" s="34">
        <v>4.0999999999999996</v>
      </c>
      <c r="AE628" s="31" t="s">
        <v>902</v>
      </c>
      <c r="AF628" s="31" t="s">
        <v>860</v>
      </c>
    </row>
    <row r="629" spans="2:32" ht="60" customHeight="1" x14ac:dyDescent="0.25">
      <c r="B629" s="36" t="s">
        <v>2498</v>
      </c>
      <c r="C629" s="42">
        <v>2021</v>
      </c>
      <c r="D629" s="42">
        <f t="shared" si="9"/>
        <v>2026</v>
      </c>
      <c r="E629" s="36" t="s">
        <v>317</v>
      </c>
      <c r="F629" s="36" t="s">
        <v>2499</v>
      </c>
      <c r="G629" s="36" t="s">
        <v>2500</v>
      </c>
      <c r="H629" s="36" t="s">
        <v>172</v>
      </c>
      <c r="I629" s="36" t="s">
        <v>2501</v>
      </c>
      <c r="J629" s="36" t="s">
        <v>2502</v>
      </c>
      <c r="K629" s="36" t="s">
        <v>315</v>
      </c>
      <c r="L629" s="36" t="s">
        <v>127</v>
      </c>
      <c r="M629" s="37">
        <v>14037479800</v>
      </c>
      <c r="N629" s="37">
        <v>0</v>
      </c>
      <c r="O629" s="37">
        <v>14037479800</v>
      </c>
      <c r="P629" s="36" t="s">
        <v>122</v>
      </c>
      <c r="Q629" s="37">
        <v>21400000</v>
      </c>
      <c r="R629" s="36" t="s">
        <v>1883</v>
      </c>
      <c r="S629" s="38">
        <v>44391</v>
      </c>
      <c r="T629" s="38">
        <v>44210</v>
      </c>
      <c r="U629" s="38">
        <v>46387</v>
      </c>
      <c r="V629" s="27" t="s">
        <v>9308</v>
      </c>
      <c r="W629" s="36" t="s">
        <v>1043</v>
      </c>
      <c r="X629" s="36" t="s">
        <v>558</v>
      </c>
      <c r="Y629" s="36" t="s">
        <v>125</v>
      </c>
      <c r="Z629" s="36" t="s">
        <v>1108</v>
      </c>
      <c r="AA629" s="36" t="s">
        <v>900</v>
      </c>
      <c r="AB629" s="36" t="s">
        <v>861</v>
      </c>
      <c r="AC629" s="36" t="s">
        <v>901</v>
      </c>
      <c r="AD629" s="37">
        <v>4.0999999999999996</v>
      </c>
      <c r="AE629" s="36" t="s">
        <v>902</v>
      </c>
      <c r="AF629" s="37"/>
    </row>
    <row r="630" spans="2:32" ht="60" customHeight="1" x14ac:dyDescent="0.25">
      <c r="B630" s="31" t="s">
        <v>2503</v>
      </c>
      <c r="C630" s="32">
        <v>2021</v>
      </c>
      <c r="D630" s="33">
        <f t="shared" si="9"/>
        <v>2021</v>
      </c>
      <c r="E630" s="31" t="s">
        <v>317</v>
      </c>
      <c r="F630" s="31" t="s">
        <v>2504</v>
      </c>
      <c r="G630" s="31" t="s">
        <v>2505</v>
      </c>
      <c r="H630" s="31" t="s">
        <v>172</v>
      </c>
      <c r="I630" s="31" t="s">
        <v>2501</v>
      </c>
      <c r="J630" s="31" t="s">
        <v>2502</v>
      </c>
      <c r="K630" s="31" t="s">
        <v>315</v>
      </c>
      <c r="L630" s="31" t="s">
        <v>127</v>
      </c>
      <c r="M630" s="34">
        <v>33453807000</v>
      </c>
      <c r="N630" s="34">
        <v>0</v>
      </c>
      <c r="O630" s="34">
        <v>33453807000</v>
      </c>
      <c r="P630" s="31" t="s">
        <v>122</v>
      </c>
      <c r="Q630" s="34">
        <v>51000000</v>
      </c>
      <c r="R630" s="31" t="s">
        <v>1883</v>
      </c>
      <c r="S630" s="35">
        <v>44547</v>
      </c>
      <c r="T630" s="35">
        <v>44210</v>
      </c>
      <c r="U630" s="35">
        <v>44561</v>
      </c>
      <c r="V630" s="27" t="s">
        <v>9308</v>
      </c>
      <c r="W630" s="31" t="s">
        <v>1043</v>
      </c>
      <c r="X630" s="31" t="s">
        <v>558</v>
      </c>
      <c r="Y630" s="31" t="s">
        <v>125</v>
      </c>
      <c r="Z630" s="31" t="s">
        <v>1108</v>
      </c>
      <c r="AA630" s="31" t="s">
        <v>900</v>
      </c>
      <c r="AB630" s="31" t="s">
        <v>861</v>
      </c>
      <c r="AC630" s="31" t="s">
        <v>901</v>
      </c>
      <c r="AD630" s="34">
        <v>4.0999999999999996</v>
      </c>
      <c r="AE630" s="31" t="s">
        <v>902</v>
      </c>
      <c r="AF630" s="34"/>
    </row>
    <row r="631" spans="2:32" ht="75" customHeight="1" x14ac:dyDescent="0.25">
      <c r="B631" s="36" t="s">
        <v>2506</v>
      </c>
      <c r="C631" s="42">
        <v>2021</v>
      </c>
      <c r="D631" s="42">
        <f t="shared" si="9"/>
        <v>2022</v>
      </c>
      <c r="E631" s="36" t="s">
        <v>126</v>
      </c>
      <c r="F631" s="36" t="s">
        <v>2507</v>
      </c>
      <c r="G631" s="36" t="s">
        <v>2508</v>
      </c>
      <c r="H631" s="36" t="s">
        <v>172</v>
      </c>
      <c r="I631" s="36" t="s">
        <v>1148</v>
      </c>
      <c r="J631" s="36" t="s">
        <v>1148</v>
      </c>
      <c r="K631" s="36" t="s">
        <v>190</v>
      </c>
      <c r="L631" s="36" t="s">
        <v>159</v>
      </c>
      <c r="M631" s="37">
        <v>0</v>
      </c>
      <c r="N631" s="37">
        <v>1500000000</v>
      </c>
      <c r="O631" s="37">
        <v>1500000000</v>
      </c>
      <c r="P631" s="36" t="s">
        <v>136</v>
      </c>
      <c r="Q631" s="37">
        <v>1500000000</v>
      </c>
      <c r="R631" s="36" t="s">
        <v>159</v>
      </c>
      <c r="S631" s="38">
        <v>44211</v>
      </c>
      <c r="T631" s="38">
        <v>44210</v>
      </c>
      <c r="U631" s="38">
        <v>44926</v>
      </c>
      <c r="V631" s="27" t="s">
        <v>9308</v>
      </c>
      <c r="W631" s="36" t="s">
        <v>557</v>
      </c>
      <c r="X631" s="36" t="s">
        <v>880</v>
      </c>
      <c r="Y631" s="36" t="s">
        <v>242</v>
      </c>
      <c r="Z631" s="36" t="s">
        <v>974</v>
      </c>
      <c r="AA631" s="36" t="s">
        <v>862</v>
      </c>
      <c r="AB631" s="36" t="s">
        <v>861</v>
      </c>
      <c r="AC631" s="36" t="s">
        <v>863</v>
      </c>
      <c r="AD631" s="37">
        <v>2.2999999999999998</v>
      </c>
      <c r="AE631" s="36" t="s">
        <v>864</v>
      </c>
      <c r="AF631" s="36" t="s">
        <v>860</v>
      </c>
    </row>
    <row r="632" spans="2:32" ht="75" customHeight="1" x14ac:dyDescent="0.25">
      <c r="B632" s="31" t="s">
        <v>2509</v>
      </c>
      <c r="C632" s="41">
        <v>2021</v>
      </c>
      <c r="D632" s="42">
        <f t="shared" si="9"/>
        <v>2022</v>
      </c>
      <c r="E632" s="31" t="s">
        <v>126</v>
      </c>
      <c r="F632" s="31" t="s">
        <v>2510</v>
      </c>
      <c r="G632" s="31" t="s">
        <v>2511</v>
      </c>
      <c r="H632" s="31" t="s">
        <v>172</v>
      </c>
      <c r="I632" s="31" t="s">
        <v>1148</v>
      </c>
      <c r="J632" s="31" t="s">
        <v>1148</v>
      </c>
      <c r="K632" s="31" t="s">
        <v>1344</v>
      </c>
      <c r="L632" s="31" t="s">
        <v>159</v>
      </c>
      <c r="M632" s="34">
        <v>0</v>
      </c>
      <c r="N632" s="34">
        <v>550000000</v>
      </c>
      <c r="O632" s="34">
        <v>550000000</v>
      </c>
      <c r="P632" s="31" t="s">
        <v>624</v>
      </c>
      <c r="Q632" s="34">
        <v>1000000</v>
      </c>
      <c r="R632" s="31" t="s">
        <v>159</v>
      </c>
      <c r="S632" s="35">
        <v>44211</v>
      </c>
      <c r="T632" s="35">
        <v>44210</v>
      </c>
      <c r="U632" s="35">
        <v>44926</v>
      </c>
      <c r="V632" s="27" t="s">
        <v>9307</v>
      </c>
      <c r="W632" s="31" t="s">
        <v>557</v>
      </c>
      <c r="X632" s="31" t="s">
        <v>880</v>
      </c>
      <c r="Y632" s="31" t="s">
        <v>242</v>
      </c>
      <c r="Z632" s="31" t="s">
        <v>1855</v>
      </c>
      <c r="AA632" s="31" t="s">
        <v>965</v>
      </c>
      <c r="AB632" s="31" t="s">
        <v>964</v>
      </c>
      <c r="AC632" s="31" t="s">
        <v>1036</v>
      </c>
      <c r="AD632" s="34">
        <v>16.600000000000001</v>
      </c>
      <c r="AE632" s="31" t="s">
        <v>902</v>
      </c>
      <c r="AF632" s="31" t="s">
        <v>860</v>
      </c>
    </row>
    <row r="633" spans="2:32" ht="60" customHeight="1" x14ac:dyDescent="0.25">
      <c r="B633" s="36" t="s">
        <v>2512</v>
      </c>
      <c r="C633" s="42">
        <v>2021</v>
      </c>
      <c r="D633" s="42">
        <f t="shared" si="9"/>
        <v>2022</v>
      </c>
      <c r="E633" s="36" t="s">
        <v>126</v>
      </c>
      <c r="F633" s="36" t="s">
        <v>2513</v>
      </c>
      <c r="G633" s="36" t="s">
        <v>2514</v>
      </c>
      <c r="H633" s="36" t="s">
        <v>172</v>
      </c>
      <c r="I633" s="36" t="s">
        <v>1148</v>
      </c>
      <c r="J633" s="36" t="s">
        <v>1148</v>
      </c>
      <c r="K633" s="36" t="s">
        <v>315</v>
      </c>
      <c r="L633" s="36" t="s">
        <v>159</v>
      </c>
      <c r="M633" s="37">
        <v>0</v>
      </c>
      <c r="N633" s="37">
        <v>92472226</v>
      </c>
      <c r="O633" s="37">
        <v>92472226</v>
      </c>
      <c r="P633" s="36" t="s">
        <v>136</v>
      </c>
      <c r="Q633" s="37">
        <v>92472226</v>
      </c>
      <c r="R633" s="36" t="s">
        <v>159</v>
      </c>
      <c r="S633" s="38">
        <v>44211</v>
      </c>
      <c r="T633" s="38">
        <v>44210</v>
      </c>
      <c r="U633" s="38">
        <v>44926</v>
      </c>
      <c r="V633" s="27" t="s">
        <v>9465</v>
      </c>
      <c r="W633" s="36" t="s">
        <v>557</v>
      </c>
      <c r="X633" s="36" t="s">
        <v>880</v>
      </c>
      <c r="Y633" s="36" t="s">
        <v>242</v>
      </c>
      <c r="Z633" s="36" t="s">
        <v>1146</v>
      </c>
      <c r="AA633" s="36" t="s">
        <v>900</v>
      </c>
      <c r="AB633" s="36" t="s">
        <v>861</v>
      </c>
      <c r="AC633" s="36" t="s">
        <v>901</v>
      </c>
      <c r="AD633" s="37">
        <v>4.0999999999999996</v>
      </c>
      <c r="AE633" s="36" t="s">
        <v>902</v>
      </c>
      <c r="AF633" s="36" t="s">
        <v>860</v>
      </c>
    </row>
    <row r="634" spans="2:32" ht="60" customHeight="1" x14ac:dyDescent="0.25">
      <c r="B634" s="31" t="s">
        <v>2516</v>
      </c>
      <c r="C634" s="41">
        <v>2021</v>
      </c>
      <c r="D634" s="42">
        <f t="shared" si="9"/>
        <v>2022</v>
      </c>
      <c r="E634" s="31" t="s">
        <v>126</v>
      </c>
      <c r="F634" s="31" t="s">
        <v>2517</v>
      </c>
      <c r="G634" s="31" t="s">
        <v>2518</v>
      </c>
      <c r="H634" s="31" t="s">
        <v>172</v>
      </c>
      <c r="I634" s="31" t="s">
        <v>1148</v>
      </c>
      <c r="J634" s="31" t="s">
        <v>1148</v>
      </c>
      <c r="K634" s="31" t="s">
        <v>315</v>
      </c>
      <c r="L634" s="31" t="s">
        <v>159</v>
      </c>
      <c r="M634" s="34">
        <v>0</v>
      </c>
      <c r="N634" s="34">
        <v>31572522</v>
      </c>
      <c r="O634" s="34">
        <v>31572522</v>
      </c>
      <c r="P634" s="31" t="s">
        <v>136</v>
      </c>
      <c r="Q634" s="34">
        <v>31572522</v>
      </c>
      <c r="R634" s="31" t="s">
        <v>159</v>
      </c>
      <c r="S634" s="35">
        <v>44211</v>
      </c>
      <c r="T634" s="35">
        <v>44210</v>
      </c>
      <c r="U634" s="35">
        <v>44926</v>
      </c>
      <c r="V634" s="27" t="s">
        <v>9308</v>
      </c>
      <c r="W634" s="31" t="s">
        <v>557</v>
      </c>
      <c r="X634" s="31" t="s">
        <v>880</v>
      </c>
      <c r="Y634" s="31" t="s">
        <v>242</v>
      </c>
      <c r="Z634" s="31" t="s">
        <v>1108</v>
      </c>
      <c r="AA634" s="31" t="s">
        <v>900</v>
      </c>
      <c r="AB634" s="31" t="s">
        <v>861</v>
      </c>
      <c r="AC634" s="31" t="s">
        <v>901</v>
      </c>
      <c r="AD634" s="34">
        <v>4.0999999999999996</v>
      </c>
      <c r="AE634" s="31" t="s">
        <v>902</v>
      </c>
      <c r="AF634" s="31" t="s">
        <v>860</v>
      </c>
    </row>
    <row r="635" spans="2:32" ht="60" customHeight="1" x14ac:dyDescent="0.25">
      <c r="B635" s="36" t="s">
        <v>2519</v>
      </c>
      <c r="C635" s="42">
        <v>2021</v>
      </c>
      <c r="D635" s="42">
        <f t="shared" si="9"/>
        <v>2022</v>
      </c>
      <c r="E635" s="36" t="s">
        <v>126</v>
      </c>
      <c r="F635" s="36" t="s">
        <v>2520</v>
      </c>
      <c r="G635" s="36" t="s">
        <v>2521</v>
      </c>
      <c r="H635" s="36" t="s">
        <v>172</v>
      </c>
      <c r="I635" s="36" t="s">
        <v>1148</v>
      </c>
      <c r="J635" s="36" t="s">
        <v>1148</v>
      </c>
      <c r="K635" s="36" t="s">
        <v>216</v>
      </c>
      <c r="L635" s="36" t="s">
        <v>159</v>
      </c>
      <c r="M635" s="37">
        <v>0</v>
      </c>
      <c r="N635" s="37">
        <v>40438437</v>
      </c>
      <c r="O635" s="37">
        <v>40438437</v>
      </c>
      <c r="P635" s="36" t="s">
        <v>136</v>
      </c>
      <c r="Q635" s="37">
        <v>40438437</v>
      </c>
      <c r="R635" s="36" t="s">
        <v>159</v>
      </c>
      <c r="S635" s="38">
        <v>44211</v>
      </c>
      <c r="T635" s="38">
        <v>44210</v>
      </c>
      <c r="U635" s="38">
        <v>44926</v>
      </c>
      <c r="V635" s="27" t="s">
        <v>9466</v>
      </c>
      <c r="W635" s="36" t="s">
        <v>557</v>
      </c>
      <c r="X635" s="36" t="s">
        <v>880</v>
      </c>
      <c r="Y635" s="36" t="s">
        <v>242</v>
      </c>
      <c r="Z635" s="36" t="s">
        <v>1688</v>
      </c>
      <c r="AA635" s="36" t="s">
        <v>561</v>
      </c>
      <c r="AB635" s="36" t="s">
        <v>560</v>
      </c>
      <c r="AC635" s="36" t="s">
        <v>989</v>
      </c>
      <c r="AD635" s="37">
        <v>3.8</v>
      </c>
      <c r="AE635" s="36" t="s">
        <v>902</v>
      </c>
      <c r="AF635" s="36" t="s">
        <v>860</v>
      </c>
    </row>
    <row r="636" spans="2:32" ht="60" customHeight="1" x14ac:dyDescent="0.25">
      <c r="B636" s="31" t="s">
        <v>2523</v>
      </c>
      <c r="C636" s="41">
        <v>2021</v>
      </c>
      <c r="D636" s="42">
        <f t="shared" si="9"/>
        <v>2022</v>
      </c>
      <c r="E636" s="31" t="s">
        <v>126</v>
      </c>
      <c r="F636" s="31" t="s">
        <v>2524</v>
      </c>
      <c r="G636" s="31" t="s">
        <v>2526</v>
      </c>
      <c r="H636" s="31" t="s">
        <v>172</v>
      </c>
      <c r="I636" s="31" t="s">
        <v>1148</v>
      </c>
      <c r="J636" s="31" t="s">
        <v>1148</v>
      </c>
      <c r="K636" s="31" t="s">
        <v>1344</v>
      </c>
      <c r="L636" s="31" t="s">
        <v>159</v>
      </c>
      <c r="M636" s="34">
        <v>0</v>
      </c>
      <c r="N636" s="34">
        <v>87452187</v>
      </c>
      <c r="O636" s="34">
        <v>87452187</v>
      </c>
      <c r="P636" s="31" t="s">
        <v>136</v>
      </c>
      <c r="Q636" s="34">
        <v>87452187</v>
      </c>
      <c r="R636" s="31" t="s">
        <v>159</v>
      </c>
      <c r="S636" s="35">
        <v>44211</v>
      </c>
      <c r="T636" s="35">
        <v>44210</v>
      </c>
      <c r="U636" s="35">
        <v>44926</v>
      </c>
      <c r="V636" s="27" t="s">
        <v>9308</v>
      </c>
      <c r="W636" s="31" t="s">
        <v>557</v>
      </c>
      <c r="X636" s="31" t="s">
        <v>880</v>
      </c>
      <c r="Y636" s="31" t="s">
        <v>242</v>
      </c>
      <c r="Z636" s="31" t="s">
        <v>2525</v>
      </c>
      <c r="AA636" s="31" t="s">
        <v>965</v>
      </c>
      <c r="AB636" s="31" t="s">
        <v>964</v>
      </c>
      <c r="AC636" s="31" t="s">
        <v>1036</v>
      </c>
      <c r="AD636" s="34">
        <v>16.600000000000001</v>
      </c>
      <c r="AE636" s="31" t="s">
        <v>902</v>
      </c>
      <c r="AF636" s="31" t="s">
        <v>860</v>
      </c>
    </row>
    <row r="637" spans="2:32" ht="60" customHeight="1" x14ac:dyDescent="0.25">
      <c r="B637" s="36" t="s">
        <v>2527</v>
      </c>
      <c r="C637" s="42">
        <v>2021</v>
      </c>
      <c r="D637" s="42">
        <f t="shared" si="9"/>
        <v>2023</v>
      </c>
      <c r="E637" s="36" t="s">
        <v>126</v>
      </c>
      <c r="F637" s="36" t="s">
        <v>2528</v>
      </c>
      <c r="G637" s="36" t="s">
        <v>2529</v>
      </c>
      <c r="H637" s="36" t="s">
        <v>172</v>
      </c>
      <c r="I637" s="36" t="s">
        <v>1148</v>
      </c>
      <c r="J637" s="36" t="s">
        <v>1148</v>
      </c>
      <c r="K637" s="36" t="s">
        <v>263</v>
      </c>
      <c r="L637" s="36" t="s">
        <v>159</v>
      </c>
      <c r="M637" s="37">
        <v>0</v>
      </c>
      <c r="N637" s="37">
        <v>14000000000</v>
      </c>
      <c r="O637" s="37">
        <v>14000000000</v>
      </c>
      <c r="P637" s="36" t="s">
        <v>2412</v>
      </c>
      <c r="Q637" s="37">
        <v>3180000000</v>
      </c>
      <c r="R637" s="36" t="s">
        <v>159</v>
      </c>
      <c r="S637" s="38">
        <v>44211</v>
      </c>
      <c r="T637" s="38">
        <v>44210</v>
      </c>
      <c r="U637" s="38">
        <v>45291</v>
      </c>
      <c r="V637" s="27" t="s">
        <v>9308</v>
      </c>
      <c r="W637" s="36" t="s">
        <v>557</v>
      </c>
      <c r="X637" s="36" t="s">
        <v>880</v>
      </c>
      <c r="Y637" s="36" t="s">
        <v>242</v>
      </c>
      <c r="Z637" s="36" t="s">
        <v>555</v>
      </c>
      <c r="AA637" s="36" t="s">
        <v>561</v>
      </c>
      <c r="AB637" s="36" t="s">
        <v>560</v>
      </c>
      <c r="AC637" s="36" t="s">
        <v>562</v>
      </c>
      <c r="AD637" s="37">
        <v>6.1</v>
      </c>
      <c r="AE637" s="36" t="s">
        <v>563</v>
      </c>
      <c r="AF637" s="36" t="s">
        <v>860</v>
      </c>
    </row>
    <row r="638" spans="2:32" ht="60" customHeight="1" x14ac:dyDescent="0.25">
      <c r="B638" s="31" t="s">
        <v>2530</v>
      </c>
      <c r="C638" s="41">
        <v>2021</v>
      </c>
      <c r="D638" s="42" t="e">
        <f t="shared" si="9"/>
        <v>#VALUE!</v>
      </c>
      <c r="E638" s="31" t="s">
        <v>1048</v>
      </c>
      <c r="F638" s="31" t="s">
        <v>1038</v>
      </c>
      <c r="G638" s="31" t="s">
        <v>2531</v>
      </c>
      <c r="H638" s="31" t="s">
        <v>172</v>
      </c>
      <c r="I638" s="31" t="s">
        <v>1044</v>
      </c>
      <c r="J638" s="31" t="s">
        <v>1045</v>
      </c>
      <c r="K638" s="31" t="s">
        <v>1039</v>
      </c>
      <c r="L638" s="31" t="s">
        <v>127</v>
      </c>
      <c r="M638" s="34">
        <v>442816910000</v>
      </c>
      <c r="N638" s="34">
        <v>0</v>
      </c>
      <c r="O638" s="34">
        <v>442816910000</v>
      </c>
      <c r="P638" s="31" t="s">
        <v>136</v>
      </c>
      <c r="Q638" s="34">
        <v>442816910000</v>
      </c>
      <c r="R638" s="31" t="s">
        <v>1049</v>
      </c>
      <c r="S638" s="35">
        <v>44211</v>
      </c>
      <c r="T638" s="35">
        <v>44210</v>
      </c>
      <c r="U638" s="35" t="s">
        <v>2532</v>
      </c>
      <c r="V638" s="27" t="s">
        <v>9308</v>
      </c>
      <c r="W638" s="31" t="s">
        <v>1043</v>
      </c>
      <c r="X638" s="31" t="s">
        <v>1038</v>
      </c>
      <c r="Y638" s="31" t="s">
        <v>1044</v>
      </c>
      <c r="Z638" s="31" t="s">
        <v>1040</v>
      </c>
      <c r="AA638" s="31" t="s">
        <v>1046</v>
      </c>
      <c r="AB638" s="31" t="s">
        <v>861</v>
      </c>
      <c r="AC638" s="31" t="s">
        <v>1047</v>
      </c>
      <c r="AD638" s="34">
        <v>17.170000000000002</v>
      </c>
      <c r="AE638" s="31" t="s">
        <v>864</v>
      </c>
      <c r="AF638" s="31" t="s">
        <v>860</v>
      </c>
    </row>
    <row r="639" spans="2:32" ht="60" customHeight="1" x14ac:dyDescent="0.25">
      <c r="B639" s="36" t="s">
        <v>2533</v>
      </c>
      <c r="C639" s="42">
        <v>2021</v>
      </c>
      <c r="D639" s="42">
        <f t="shared" si="9"/>
        <v>2023</v>
      </c>
      <c r="E639" s="36" t="s">
        <v>126</v>
      </c>
      <c r="F639" s="36" t="s">
        <v>2008</v>
      </c>
      <c r="G639" s="36" t="s">
        <v>2534</v>
      </c>
      <c r="H639" s="36" t="s">
        <v>172</v>
      </c>
      <c r="I639" s="36" t="s">
        <v>1010</v>
      </c>
      <c r="J639" s="36" t="s">
        <v>1011</v>
      </c>
      <c r="K639" s="36" t="s">
        <v>163</v>
      </c>
      <c r="L639" s="36" t="s">
        <v>159</v>
      </c>
      <c r="M639" s="37">
        <v>0</v>
      </c>
      <c r="N639" s="37">
        <v>1358118844</v>
      </c>
      <c r="O639" s="37">
        <v>1358118844</v>
      </c>
      <c r="P639" s="36" t="s">
        <v>624</v>
      </c>
      <c r="Q639" s="37">
        <v>2469306.9900000002</v>
      </c>
      <c r="R639" s="36" t="s">
        <v>159</v>
      </c>
      <c r="S639" s="38">
        <v>44390</v>
      </c>
      <c r="T639" s="38">
        <v>44210</v>
      </c>
      <c r="U639" s="38">
        <v>45291</v>
      </c>
      <c r="V639" s="27" t="s">
        <v>9307</v>
      </c>
      <c r="W639" s="36" t="s">
        <v>557</v>
      </c>
      <c r="X639" s="36" t="s">
        <v>880</v>
      </c>
      <c r="Y639" s="36" t="s">
        <v>125</v>
      </c>
      <c r="Z639" s="36" t="s">
        <v>962</v>
      </c>
      <c r="AA639" s="36" t="s">
        <v>1035</v>
      </c>
      <c r="AB639" s="36" t="s">
        <v>964</v>
      </c>
      <c r="AC639" s="36" t="s">
        <v>1036</v>
      </c>
      <c r="AD639" s="37">
        <v>16.600000000000001</v>
      </c>
      <c r="AE639" s="36" t="s">
        <v>902</v>
      </c>
      <c r="AF639" s="36" t="s">
        <v>860</v>
      </c>
    </row>
    <row r="640" spans="2:32" ht="105" customHeight="1" x14ac:dyDescent="0.25">
      <c r="B640" s="31" t="s">
        <v>2535</v>
      </c>
      <c r="C640" s="41">
        <v>2021</v>
      </c>
      <c r="D640" s="42">
        <f t="shared" si="9"/>
        <v>2024</v>
      </c>
      <c r="E640" s="31" t="s">
        <v>126</v>
      </c>
      <c r="F640" s="31" t="s">
        <v>2536</v>
      </c>
      <c r="G640" s="31" t="s">
        <v>2538</v>
      </c>
      <c r="H640" s="31" t="s">
        <v>172</v>
      </c>
      <c r="I640" s="31" t="s">
        <v>1010</v>
      </c>
      <c r="J640" s="31" t="s">
        <v>1011</v>
      </c>
      <c r="K640" s="31" t="s">
        <v>118</v>
      </c>
      <c r="L640" s="31" t="s">
        <v>159</v>
      </c>
      <c r="M640" s="34">
        <v>0</v>
      </c>
      <c r="N640" s="34">
        <v>6413796488</v>
      </c>
      <c r="O640" s="34">
        <v>6413796488</v>
      </c>
      <c r="P640" s="31" t="s">
        <v>624</v>
      </c>
      <c r="Q640" s="34">
        <v>11661448.16</v>
      </c>
      <c r="R640" s="31" t="s">
        <v>159</v>
      </c>
      <c r="S640" s="35">
        <v>44222</v>
      </c>
      <c r="T640" s="35">
        <v>44210</v>
      </c>
      <c r="U640" s="35">
        <v>45657</v>
      </c>
      <c r="V640" s="27" t="s">
        <v>9308</v>
      </c>
      <c r="W640" s="31" t="s">
        <v>557</v>
      </c>
      <c r="X640" s="31" t="s">
        <v>880</v>
      </c>
      <c r="Y640" s="31" t="s">
        <v>125</v>
      </c>
      <c r="Z640" s="31" t="s">
        <v>2537</v>
      </c>
      <c r="AA640" s="31" t="s">
        <v>862</v>
      </c>
      <c r="AB640" s="31" t="s">
        <v>861</v>
      </c>
      <c r="AC640" s="31" t="s">
        <v>1173</v>
      </c>
      <c r="AD640" s="34">
        <v>7.1</v>
      </c>
      <c r="AE640" s="31" t="s">
        <v>864</v>
      </c>
      <c r="AF640" s="31" t="s">
        <v>860</v>
      </c>
    </row>
    <row r="641" spans="2:32" ht="60" customHeight="1" x14ac:dyDescent="0.25">
      <c r="B641" s="36" t="s">
        <v>2539</v>
      </c>
      <c r="C641" s="42">
        <v>2021</v>
      </c>
      <c r="D641" s="42">
        <f t="shared" si="9"/>
        <v>2025</v>
      </c>
      <c r="E641" s="36" t="s">
        <v>126</v>
      </c>
      <c r="F641" s="36" t="s">
        <v>1389</v>
      </c>
      <c r="G641" s="36" t="s">
        <v>2540</v>
      </c>
      <c r="H641" s="36" t="s">
        <v>172</v>
      </c>
      <c r="I641" s="36" t="s">
        <v>1010</v>
      </c>
      <c r="J641" s="36" t="s">
        <v>1011</v>
      </c>
      <c r="K641" s="36" t="s">
        <v>205</v>
      </c>
      <c r="L641" s="36" t="s">
        <v>159</v>
      </c>
      <c r="M641" s="37">
        <v>0</v>
      </c>
      <c r="N641" s="37">
        <v>117843000</v>
      </c>
      <c r="O641" s="37">
        <v>117843000</v>
      </c>
      <c r="P641" s="36" t="s">
        <v>624</v>
      </c>
      <c r="Q641" s="37">
        <v>214260</v>
      </c>
      <c r="R641" s="36" t="s">
        <v>159</v>
      </c>
      <c r="S641" s="38">
        <v>44306</v>
      </c>
      <c r="T641" s="38">
        <v>44267</v>
      </c>
      <c r="U641" s="38">
        <v>46022</v>
      </c>
      <c r="V641" s="27" t="s">
        <v>9308</v>
      </c>
      <c r="W641" s="36" t="s">
        <v>557</v>
      </c>
      <c r="X641" s="36" t="s">
        <v>880</v>
      </c>
      <c r="Y641" s="36" t="s">
        <v>125</v>
      </c>
      <c r="Z641" s="36" t="s">
        <v>1006</v>
      </c>
      <c r="AA641" s="36" t="s">
        <v>1012</v>
      </c>
      <c r="AB641" s="36" t="s">
        <v>560</v>
      </c>
      <c r="AC641" s="36" t="s">
        <v>939</v>
      </c>
      <c r="AD641" s="37">
        <v>11.3</v>
      </c>
      <c r="AE641" s="36" t="s">
        <v>563</v>
      </c>
      <c r="AF641" s="36" t="s">
        <v>860</v>
      </c>
    </row>
    <row r="642" spans="2:32" ht="75" customHeight="1" x14ac:dyDescent="0.25">
      <c r="B642" s="31" t="s">
        <v>2541</v>
      </c>
      <c r="C642" s="41">
        <v>2021</v>
      </c>
      <c r="D642" s="42">
        <f t="shared" si="9"/>
        <v>2024</v>
      </c>
      <c r="E642" s="31" t="s">
        <v>170</v>
      </c>
      <c r="F642" s="31" t="s">
        <v>2542</v>
      </c>
      <c r="G642" s="31" t="s">
        <v>2543</v>
      </c>
      <c r="H642" s="31" t="s">
        <v>172</v>
      </c>
      <c r="I642" s="31" t="s">
        <v>1010</v>
      </c>
      <c r="J642" s="31" t="s">
        <v>1011</v>
      </c>
      <c r="K642" s="31" t="s">
        <v>369</v>
      </c>
      <c r="L642" s="31" t="s">
        <v>159</v>
      </c>
      <c r="M642" s="34">
        <v>0</v>
      </c>
      <c r="N642" s="34">
        <v>57088958</v>
      </c>
      <c r="O642" s="34">
        <v>57088958</v>
      </c>
      <c r="P642" s="31" t="s">
        <v>136</v>
      </c>
      <c r="Q642" s="34">
        <v>57088958</v>
      </c>
      <c r="R642" s="31" t="s">
        <v>171</v>
      </c>
      <c r="S642" s="35">
        <v>44306</v>
      </c>
      <c r="T642" s="35">
        <v>44267</v>
      </c>
      <c r="U642" s="35">
        <v>45657</v>
      </c>
      <c r="V642" s="27" t="s">
        <v>9308</v>
      </c>
      <c r="W642" s="31" t="s">
        <v>557</v>
      </c>
      <c r="X642" s="31" t="s">
        <v>880</v>
      </c>
      <c r="Y642" s="31" t="s">
        <v>125</v>
      </c>
      <c r="Z642" s="31" t="s">
        <v>1838</v>
      </c>
      <c r="AA642" s="31" t="s">
        <v>862</v>
      </c>
      <c r="AB642" s="31" t="s">
        <v>861</v>
      </c>
      <c r="AC642" s="31" t="s">
        <v>971</v>
      </c>
      <c r="AD642" s="34">
        <v>9.1</v>
      </c>
      <c r="AE642" s="31" t="s">
        <v>864</v>
      </c>
      <c r="AF642" s="31" t="s">
        <v>860</v>
      </c>
    </row>
    <row r="643" spans="2:32" ht="60" customHeight="1" x14ac:dyDescent="0.25">
      <c r="B643" s="36" t="s">
        <v>2544</v>
      </c>
      <c r="C643" s="42">
        <v>2021</v>
      </c>
      <c r="D643" s="42">
        <f t="shared" si="9"/>
        <v>2023</v>
      </c>
      <c r="E643" s="36" t="s">
        <v>126</v>
      </c>
      <c r="F643" s="36" t="s">
        <v>2545</v>
      </c>
      <c r="G643" s="36" t="s">
        <v>2546</v>
      </c>
      <c r="H643" s="36" t="s">
        <v>326</v>
      </c>
      <c r="I643" s="36" t="s">
        <v>1010</v>
      </c>
      <c r="J643" s="36" t="s">
        <v>1011</v>
      </c>
      <c r="K643" s="36" t="s">
        <v>282</v>
      </c>
      <c r="L643" s="36" t="s">
        <v>159</v>
      </c>
      <c r="M643" s="37">
        <v>0</v>
      </c>
      <c r="N643" s="37">
        <v>9124535</v>
      </c>
      <c r="O643" s="37">
        <v>9124535</v>
      </c>
      <c r="P643" s="36" t="s">
        <v>136</v>
      </c>
      <c r="Q643" s="37">
        <v>9124535</v>
      </c>
      <c r="R643" s="36" t="s">
        <v>159</v>
      </c>
      <c r="S643" s="38">
        <v>44211</v>
      </c>
      <c r="T643" s="38">
        <v>44210</v>
      </c>
      <c r="U643" s="38">
        <v>45291</v>
      </c>
      <c r="V643" s="27" t="s">
        <v>9308</v>
      </c>
      <c r="W643" s="36" t="s">
        <v>557</v>
      </c>
      <c r="X643" s="36" t="s">
        <v>880</v>
      </c>
      <c r="Y643" s="36" t="s">
        <v>125</v>
      </c>
      <c r="Z643" s="36" t="s">
        <v>1029</v>
      </c>
      <c r="AA643" s="36" t="s">
        <v>965</v>
      </c>
      <c r="AB643" s="36" t="s">
        <v>964</v>
      </c>
      <c r="AC643" s="36" t="s">
        <v>939</v>
      </c>
      <c r="AD643" s="37">
        <v>11.3</v>
      </c>
      <c r="AE643" s="36" t="s">
        <v>902</v>
      </c>
      <c r="AF643" s="36" t="s">
        <v>860</v>
      </c>
    </row>
    <row r="644" spans="2:32" ht="60" customHeight="1" x14ac:dyDescent="0.25">
      <c r="B644" s="31" t="s">
        <v>2547</v>
      </c>
      <c r="C644" s="41">
        <v>2021</v>
      </c>
      <c r="D644" s="42">
        <f t="shared" si="9"/>
        <v>2023</v>
      </c>
      <c r="E644" s="31" t="s">
        <v>126</v>
      </c>
      <c r="F644" s="31" t="s">
        <v>1392</v>
      </c>
      <c r="G644" s="31" t="s">
        <v>2548</v>
      </c>
      <c r="H644" s="31" t="s">
        <v>172</v>
      </c>
      <c r="I644" s="31" t="s">
        <v>1010</v>
      </c>
      <c r="J644" s="31" t="s">
        <v>1011</v>
      </c>
      <c r="K644" s="31" t="s">
        <v>1039</v>
      </c>
      <c r="L644" s="31" t="s">
        <v>159</v>
      </c>
      <c r="M644" s="34">
        <v>0</v>
      </c>
      <c r="N644" s="34">
        <v>428406000</v>
      </c>
      <c r="O644" s="34">
        <v>428406000</v>
      </c>
      <c r="P644" s="31" t="s">
        <v>624</v>
      </c>
      <c r="Q644" s="34">
        <v>778920</v>
      </c>
      <c r="R644" s="31" t="s">
        <v>159</v>
      </c>
      <c r="S644" s="35">
        <v>44211</v>
      </c>
      <c r="T644" s="35">
        <v>44210</v>
      </c>
      <c r="U644" s="35">
        <v>45291</v>
      </c>
      <c r="V644" s="27" t="s">
        <v>9308</v>
      </c>
      <c r="W644" s="31" t="s">
        <v>557</v>
      </c>
      <c r="X644" s="31" t="s">
        <v>880</v>
      </c>
      <c r="Y644" s="31" t="s">
        <v>125</v>
      </c>
      <c r="Z644" s="31" t="s">
        <v>1040</v>
      </c>
      <c r="AA644" s="31" t="s">
        <v>1046</v>
      </c>
      <c r="AB644" s="31" t="s">
        <v>861</v>
      </c>
      <c r="AC644" s="31" t="s">
        <v>1047</v>
      </c>
      <c r="AD644" s="34">
        <v>17.170000000000002</v>
      </c>
      <c r="AE644" s="31" t="s">
        <v>864</v>
      </c>
      <c r="AF644" s="31" t="s">
        <v>860</v>
      </c>
    </row>
    <row r="645" spans="2:32" ht="60" customHeight="1" x14ac:dyDescent="0.25">
      <c r="B645" s="36" t="s">
        <v>2549</v>
      </c>
      <c r="C645" s="42">
        <v>2021</v>
      </c>
      <c r="D645" s="42">
        <f t="shared" si="9"/>
        <v>2024</v>
      </c>
      <c r="E645" s="36" t="s">
        <v>170</v>
      </c>
      <c r="F645" s="36" t="s">
        <v>2550</v>
      </c>
      <c r="G645" s="36" t="s">
        <v>2551</v>
      </c>
      <c r="H645" s="36" t="s">
        <v>172</v>
      </c>
      <c r="I645" s="36" t="s">
        <v>1010</v>
      </c>
      <c r="J645" s="36" t="s">
        <v>1011</v>
      </c>
      <c r="K645" s="36" t="s">
        <v>245</v>
      </c>
      <c r="L645" s="36" t="s">
        <v>159</v>
      </c>
      <c r="M645" s="37">
        <v>0</v>
      </c>
      <c r="N645" s="37">
        <v>5429660</v>
      </c>
      <c r="O645" s="37">
        <v>5429660</v>
      </c>
      <c r="P645" s="36" t="s">
        <v>136</v>
      </c>
      <c r="Q645" s="37">
        <v>5429660</v>
      </c>
      <c r="R645" s="36" t="s">
        <v>171</v>
      </c>
      <c r="S645" s="38">
        <v>44211</v>
      </c>
      <c r="T645" s="38">
        <v>44210</v>
      </c>
      <c r="U645" s="38">
        <v>45657</v>
      </c>
      <c r="V645" s="27" t="s">
        <v>9308</v>
      </c>
      <c r="W645" s="36" t="s">
        <v>557</v>
      </c>
      <c r="X645" s="36" t="s">
        <v>880</v>
      </c>
      <c r="Y645" s="36" t="s">
        <v>125</v>
      </c>
      <c r="Z645" s="36" t="s">
        <v>1410</v>
      </c>
      <c r="AA645" s="36" t="s">
        <v>862</v>
      </c>
      <c r="AB645" s="36" t="s">
        <v>861</v>
      </c>
      <c r="AC645" s="36" t="s">
        <v>971</v>
      </c>
      <c r="AD645" s="37">
        <v>9.1</v>
      </c>
      <c r="AE645" s="36" t="s">
        <v>864</v>
      </c>
      <c r="AF645" s="36" t="s">
        <v>860</v>
      </c>
    </row>
    <row r="646" spans="2:32" ht="75" customHeight="1" x14ac:dyDescent="0.25">
      <c r="B646" s="31" t="s">
        <v>2552</v>
      </c>
      <c r="C646" s="41">
        <v>2021</v>
      </c>
      <c r="D646" s="42">
        <f t="shared" si="9"/>
        <v>2024</v>
      </c>
      <c r="E646" s="31" t="s">
        <v>126</v>
      </c>
      <c r="F646" s="31" t="s">
        <v>2553</v>
      </c>
      <c r="G646" s="31" t="s">
        <v>2554</v>
      </c>
      <c r="H646" s="31" t="s">
        <v>172</v>
      </c>
      <c r="I646" s="31" t="s">
        <v>1010</v>
      </c>
      <c r="J646" s="31" t="s">
        <v>1011</v>
      </c>
      <c r="K646" s="31" t="s">
        <v>245</v>
      </c>
      <c r="L646" s="31" t="s">
        <v>159</v>
      </c>
      <c r="M646" s="34">
        <v>0</v>
      </c>
      <c r="N646" s="34">
        <v>39759919.200000003</v>
      </c>
      <c r="O646" s="34">
        <v>39759919.200000003</v>
      </c>
      <c r="P646" s="31" t="s">
        <v>136</v>
      </c>
      <c r="Q646" s="34">
        <v>39759919.200000003</v>
      </c>
      <c r="R646" s="31" t="s">
        <v>159</v>
      </c>
      <c r="S646" s="35">
        <v>44211</v>
      </c>
      <c r="T646" s="35">
        <v>44210</v>
      </c>
      <c r="U646" s="35">
        <v>45657</v>
      </c>
      <c r="V646" s="27" t="s">
        <v>9308</v>
      </c>
      <c r="W646" s="31" t="s">
        <v>557</v>
      </c>
      <c r="X646" s="31" t="s">
        <v>880</v>
      </c>
      <c r="Y646" s="31" t="s">
        <v>125</v>
      </c>
      <c r="Z646" s="31" t="s">
        <v>1410</v>
      </c>
      <c r="AA646" s="31" t="s">
        <v>862</v>
      </c>
      <c r="AB646" s="31" t="s">
        <v>861</v>
      </c>
      <c r="AC646" s="31" t="s">
        <v>971</v>
      </c>
      <c r="AD646" s="34">
        <v>9.1</v>
      </c>
      <c r="AE646" s="31" t="s">
        <v>864</v>
      </c>
      <c r="AF646" s="31" t="s">
        <v>860</v>
      </c>
    </row>
    <row r="647" spans="2:32" ht="90" customHeight="1" x14ac:dyDescent="0.25">
      <c r="B647" s="36" t="s">
        <v>2555</v>
      </c>
      <c r="C647" s="42">
        <v>2021</v>
      </c>
      <c r="D647" s="42">
        <f t="shared" ref="D647:D710" si="10">YEAR(U647)</f>
        <v>2024</v>
      </c>
      <c r="E647" s="36" t="s">
        <v>317</v>
      </c>
      <c r="F647" s="36" t="s">
        <v>1051</v>
      </c>
      <c r="G647" s="36" t="s">
        <v>2556</v>
      </c>
      <c r="H647" s="36" t="s">
        <v>172</v>
      </c>
      <c r="I647" s="36" t="s">
        <v>1010</v>
      </c>
      <c r="J647" s="36" t="s">
        <v>1011</v>
      </c>
      <c r="K647" s="36" t="s">
        <v>205</v>
      </c>
      <c r="L647" s="36" t="s">
        <v>159</v>
      </c>
      <c r="M647" s="37">
        <v>0</v>
      </c>
      <c r="N647" s="37">
        <v>18766550</v>
      </c>
      <c r="O647" s="37">
        <v>18766550</v>
      </c>
      <c r="P647" s="36" t="s">
        <v>624</v>
      </c>
      <c r="Q647" s="37">
        <v>34121</v>
      </c>
      <c r="R647" s="36" t="s">
        <v>159</v>
      </c>
      <c r="S647" s="38">
        <v>44211</v>
      </c>
      <c r="T647" s="38">
        <v>44210</v>
      </c>
      <c r="U647" s="38">
        <v>45657</v>
      </c>
      <c r="V647" s="27" t="s">
        <v>9308</v>
      </c>
      <c r="W647" s="36" t="s">
        <v>557</v>
      </c>
      <c r="X647" s="36" t="s">
        <v>880</v>
      </c>
      <c r="Y647" s="36" t="s">
        <v>125</v>
      </c>
      <c r="Z647" s="36" t="s">
        <v>1052</v>
      </c>
      <c r="AA647" s="36" t="s">
        <v>1012</v>
      </c>
      <c r="AB647" s="36" t="s">
        <v>560</v>
      </c>
      <c r="AC647" s="36" t="s">
        <v>939</v>
      </c>
      <c r="AD647" s="37">
        <v>11.3</v>
      </c>
      <c r="AE647" s="36" t="s">
        <v>563</v>
      </c>
      <c r="AF647" s="36" t="s">
        <v>860</v>
      </c>
    </row>
    <row r="648" spans="2:32" ht="60" customHeight="1" x14ac:dyDescent="0.25">
      <c r="B648" s="31" t="s">
        <v>2557</v>
      </c>
      <c r="C648" s="41">
        <v>2021</v>
      </c>
      <c r="D648" s="42">
        <f t="shared" si="10"/>
        <v>2024</v>
      </c>
      <c r="E648" s="31" t="s">
        <v>126</v>
      </c>
      <c r="F648" s="31" t="s">
        <v>2558</v>
      </c>
      <c r="G648" s="31" t="s">
        <v>2559</v>
      </c>
      <c r="H648" s="31" t="s">
        <v>172</v>
      </c>
      <c r="I648" s="31" t="s">
        <v>1010</v>
      </c>
      <c r="J648" s="31" t="s">
        <v>1011</v>
      </c>
      <c r="K648" s="31" t="s">
        <v>526</v>
      </c>
      <c r="L648" s="31" t="s">
        <v>159</v>
      </c>
      <c r="M648" s="34">
        <v>0</v>
      </c>
      <c r="N648" s="34">
        <v>245176894</v>
      </c>
      <c r="O648" s="34">
        <v>245176894</v>
      </c>
      <c r="P648" s="31" t="s">
        <v>624</v>
      </c>
      <c r="Q648" s="34">
        <v>445776.17</v>
      </c>
      <c r="R648" s="31" t="s">
        <v>159</v>
      </c>
      <c r="S648" s="35">
        <v>44211</v>
      </c>
      <c r="T648" s="35">
        <v>44210</v>
      </c>
      <c r="U648" s="35">
        <v>45657</v>
      </c>
      <c r="V648" s="27" t="s">
        <v>9308</v>
      </c>
      <c r="W648" s="31" t="s">
        <v>557</v>
      </c>
      <c r="X648" s="31" t="s">
        <v>880</v>
      </c>
      <c r="Y648" s="31" t="s">
        <v>125</v>
      </c>
      <c r="Z648" s="31" t="s">
        <v>1131</v>
      </c>
      <c r="AA648" s="31" t="s">
        <v>561</v>
      </c>
      <c r="AB648" s="31" t="s">
        <v>560</v>
      </c>
      <c r="AC648" s="31" t="s">
        <v>1022</v>
      </c>
      <c r="AD648" s="34">
        <v>1.3</v>
      </c>
      <c r="AE648" s="31" t="s">
        <v>902</v>
      </c>
      <c r="AF648" s="31" t="s">
        <v>860</v>
      </c>
    </row>
    <row r="649" spans="2:32" ht="60" customHeight="1" x14ac:dyDescent="0.25">
      <c r="B649" s="36" t="s">
        <v>2560</v>
      </c>
      <c r="C649" s="42">
        <v>2021</v>
      </c>
      <c r="D649" s="42">
        <f t="shared" si="10"/>
        <v>2024</v>
      </c>
      <c r="E649" s="36" t="s">
        <v>126</v>
      </c>
      <c r="F649" s="36" t="s">
        <v>1397</v>
      </c>
      <c r="G649" s="36" t="s">
        <v>2561</v>
      </c>
      <c r="H649" s="36" t="s">
        <v>172</v>
      </c>
      <c r="I649" s="36" t="s">
        <v>1010</v>
      </c>
      <c r="J649" s="36" t="s">
        <v>1011</v>
      </c>
      <c r="K649" s="36" t="s">
        <v>205</v>
      </c>
      <c r="L649" s="36" t="s">
        <v>159</v>
      </c>
      <c r="M649" s="37">
        <v>0</v>
      </c>
      <c r="N649" s="37">
        <v>56214824.689999998</v>
      </c>
      <c r="O649" s="37">
        <v>56214824.689999998</v>
      </c>
      <c r="P649" s="36" t="s">
        <v>136</v>
      </c>
      <c r="Q649" s="37">
        <v>56214824.689999998</v>
      </c>
      <c r="R649" s="36" t="s">
        <v>159</v>
      </c>
      <c r="S649" s="38">
        <v>44211</v>
      </c>
      <c r="T649" s="38">
        <v>44210</v>
      </c>
      <c r="U649" s="38">
        <v>45657</v>
      </c>
      <c r="V649" s="27" t="s">
        <v>9420</v>
      </c>
      <c r="W649" s="36" t="s">
        <v>557</v>
      </c>
      <c r="X649" s="36" t="s">
        <v>880</v>
      </c>
      <c r="Y649" s="36" t="s">
        <v>125</v>
      </c>
      <c r="Z649" s="36" t="s">
        <v>1006</v>
      </c>
      <c r="AA649" s="36" t="s">
        <v>1012</v>
      </c>
      <c r="AB649" s="36" t="s">
        <v>560</v>
      </c>
      <c r="AC649" s="36" t="s">
        <v>939</v>
      </c>
      <c r="AD649" s="37">
        <v>11.3</v>
      </c>
      <c r="AE649" s="36" t="s">
        <v>563</v>
      </c>
      <c r="AF649" s="36" t="s">
        <v>860</v>
      </c>
    </row>
    <row r="650" spans="2:32" ht="60" customHeight="1" x14ac:dyDescent="0.25">
      <c r="B650" s="31" t="s">
        <v>2562</v>
      </c>
      <c r="C650" s="41">
        <v>2021</v>
      </c>
      <c r="D650" s="42">
        <f t="shared" si="10"/>
        <v>2023</v>
      </c>
      <c r="E650" s="31" t="s">
        <v>126</v>
      </c>
      <c r="F650" s="31" t="s">
        <v>2563</v>
      </c>
      <c r="G650" s="31" t="s">
        <v>2564</v>
      </c>
      <c r="H650" s="31" t="s">
        <v>172</v>
      </c>
      <c r="I650" s="31" t="s">
        <v>1184</v>
      </c>
      <c r="J650" s="31" t="s">
        <v>1184</v>
      </c>
      <c r="K650" s="31" t="s">
        <v>216</v>
      </c>
      <c r="L650" s="31" t="s">
        <v>159</v>
      </c>
      <c r="M650" s="34">
        <v>0</v>
      </c>
      <c r="N650" s="34">
        <v>810896900</v>
      </c>
      <c r="O650" s="34">
        <v>810896900</v>
      </c>
      <c r="P650" s="31" t="s">
        <v>624</v>
      </c>
      <c r="Q650" s="34">
        <v>1474358</v>
      </c>
      <c r="R650" s="31" t="s">
        <v>159</v>
      </c>
      <c r="S650" s="35">
        <v>44266</v>
      </c>
      <c r="T650" s="35">
        <v>44211</v>
      </c>
      <c r="U650" s="35">
        <v>45291</v>
      </c>
      <c r="V650" s="27" t="s">
        <v>9337</v>
      </c>
      <c r="W650" s="31" t="s">
        <v>557</v>
      </c>
      <c r="X650" s="31" t="s">
        <v>880</v>
      </c>
      <c r="Y650" s="31" t="s">
        <v>242</v>
      </c>
      <c r="Z650" s="31" t="s">
        <v>1688</v>
      </c>
      <c r="AA650" s="31" t="s">
        <v>561</v>
      </c>
      <c r="AB650" s="31" t="s">
        <v>560</v>
      </c>
      <c r="AC650" s="31" t="s">
        <v>989</v>
      </c>
      <c r="AD650" s="34">
        <v>3.8</v>
      </c>
      <c r="AE650" s="31" t="s">
        <v>902</v>
      </c>
      <c r="AF650" s="31" t="s">
        <v>860</v>
      </c>
    </row>
    <row r="651" spans="2:32" ht="60" customHeight="1" x14ac:dyDescent="0.25">
      <c r="B651" s="36" t="s">
        <v>2565</v>
      </c>
      <c r="C651" s="42">
        <v>2021</v>
      </c>
      <c r="D651" s="42">
        <f t="shared" si="10"/>
        <v>2023</v>
      </c>
      <c r="E651" s="36" t="s">
        <v>126</v>
      </c>
      <c r="F651" s="36" t="s">
        <v>2566</v>
      </c>
      <c r="G651" s="36" t="s">
        <v>2567</v>
      </c>
      <c r="H651" s="36" t="s">
        <v>172</v>
      </c>
      <c r="I651" s="36" t="s">
        <v>1184</v>
      </c>
      <c r="J651" s="36" t="s">
        <v>1184</v>
      </c>
      <c r="K651" s="36" t="s">
        <v>216</v>
      </c>
      <c r="L651" s="36" t="s">
        <v>159</v>
      </c>
      <c r="M651" s="37">
        <v>0</v>
      </c>
      <c r="N651" s="37">
        <v>259751250</v>
      </c>
      <c r="O651" s="37">
        <v>259751250</v>
      </c>
      <c r="P651" s="36" t="s">
        <v>624</v>
      </c>
      <c r="Q651" s="37">
        <v>472275</v>
      </c>
      <c r="R651" s="36" t="s">
        <v>159</v>
      </c>
      <c r="S651" s="38">
        <v>44266</v>
      </c>
      <c r="T651" s="38">
        <v>44211</v>
      </c>
      <c r="U651" s="38">
        <v>45291</v>
      </c>
      <c r="V651" s="27" t="s">
        <v>9337</v>
      </c>
      <c r="W651" s="36" t="s">
        <v>557</v>
      </c>
      <c r="X651" s="36" t="s">
        <v>880</v>
      </c>
      <c r="Y651" s="36" t="s">
        <v>242</v>
      </c>
      <c r="Z651" s="36" t="s">
        <v>1688</v>
      </c>
      <c r="AA651" s="36" t="s">
        <v>561</v>
      </c>
      <c r="AB651" s="36" t="s">
        <v>560</v>
      </c>
      <c r="AC651" s="36" t="s">
        <v>989</v>
      </c>
      <c r="AD651" s="37">
        <v>3.8</v>
      </c>
      <c r="AE651" s="36" t="s">
        <v>902</v>
      </c>
      <c r="AF651" s="36" t="s">
        <v>860</v>
      </c>
    </row>
    <row r="652" spans="2:32" ht="75" customHeight="1" x14ac:dyDescent="0.25">
      <c r="B652" s="31" t="s">
        <v>2568</v>
      </c>
      <c r="C652" s="41">
        <v>2021</v>
      </c>
      <c r="D652" s="42">
        <f t="shared" si="10"/>
        <v>2025</v>
      </c>
      <c r="E652" s="31" t="s">
        <v>126</v>
      </c>
      <c r="F652" s="31" t="s">
        <v>1728</v>
      </c>
      <c r="G652" s="31" t="s">
        <v>2569</v>
      </c>
      <c r="H652" s="31" t="s">
        <v>172</v>
      </c>
      <c r="I652" s="31" t="s">
        <v>1020</v>
      </c>
      <c r="J652" s="31" t="s">
        <v>1021</v>
      </c>
      <c r="K652" s="31" t="s">
        <v>216</v>
      </c>
      <c r="L652" s="31" t="s">
        <v>159</v>
      </c>
      <c r="M652" s="34">
        <v>0</v>
      </c>
      <c r="N652" s="34">
        <v>742431800</v>
      </c>
      <c r="O652" s="34">
        <v>742431800</v>
      </c>
      <c r="P652" s="31" t="s">
        <v>624</v>
      </c>
      <c r="Q652" s="34">
        <v>1349876</v>
      </c>
      <c r="R652" s="31" t="s">
        <v>159</v>
      </c>
      <c r="S652" s="35">
        <v>44266</v>
      </c>
      <c r="T652" s="35">
        <v>44211</v>
      </c>
      <c r="U652" s="35">
        <v>45930</v>
      </c>
      <c r="V652" s="27" t="s">
        <v>9308</v>
      </c>
      <c r="W652" s="31" t="s">
        <v>557</v>
      </c>
      <c r="X652" s="31" t="s">
        <v>880</v>
      </c>
      <c r="Y652" s="31" t="s">
        <v>242</v>
      </c>
      <c r="Z652" s="31" t="s">
        <v>1103</v>
      </c>
      <c r="AA652" s="31" t="s">
        <v>561</v>
      </c>
      <c r="AB652" s="31" t="s">
        <v>560</v>
      </c>
      <c r="AC652" s="31" t="s">
        <v>989</v>
      </c>
      <c r="AD652" s="34">
        <v>3.8</v>
      </c>
      <c r="AE652" s="31" t="s">
        <v>902</v>
      </c>
      <c r="AF652" s="31" t="s">
        <v>860</v>
      </c>
    </row>
    <row r="653" spans="2:32" ht="60" customHeight="1" x14ac:dyDescent="0.25">
      <c r="B653" s="36" t="s">
        <v>2570</v>
      </c>
      <c r="C653" s="42">
        <v>2021</v>
      </c>
      <c r="D653" s="42">
        <f t="shared" si="10"/>
        <v>2025</v>
      </c>
      <c r="E653" s="36" t="s">
        <v>126</v>
      </c>
      <c r="F653" s="36" t="s">
        <v>2571</v>
      </c>
      <c r="G653" s="36" t="s">
        <v>2572</v>
      </c>
      <c r="H653" s="36" t="s">
        <v>172</v>
      </c>
      <c r="I653" s="36" t="s">
        <v>1020</v>
      </c>
      <c r="J653" s="36" t="s">
        <v>1021</v>
      </c>
      <c r="K653" s="36" t="s">
        <v>216</v>
      </c>
      <c r="L653" s="36" t="s">
        <v>159</v>
      </c>
      <c r="M653" s="37">
        <v>0</v>
      </c>
      <c r="N653" s="37">
        <v>137500000</v>
      </c>
      <c r="O653" s="37">
        <v>137500000</v>
      </c>
      <c r="P653" s="36" t="s">
        <v>624</v>
      </c>
      <c r="Q653" s="37">
        <v>250000</v>
      </c>
      <c r="R653" s="36" t="s">
        <v>159</v>
      </c>
      <c r="S653" s="38">
        <v>44476</v>
      </c>
      <c r="T653" s="38">
        <v>44266</v>
      </c>
      <c r="U653" s="38">
        <v>45930</v>
      </c>
      <c r="V653" s="27" t="s">
        <v>9308</v>
      </c>
      <c r="W653" s="36" t="s">
        <v>557</v>
      </c>
      <c r="X653" s="36" t="s">
        <v>880</v>
      </c>
      <c r="Y653" s="36" t="s">
        <v>242</v>
      </c>
      <c r="Z653" s="36" t="s">
        <v>1025</v>
      </c>
      <c r="AA653" s="36" t="s">
        <v>561</v>
      </c>
      <c r="AB653" s="36" t="s">
        <v>560</v>
      </c>
      <c r="AC653" s="36" t="s">
        <v>989</v>
      </c>
      <c r="AD653" s="37">
        <v>3.8</v>
      </c>
      <c r="AE653" s="36" t="s">
        <v>902</v>
      </c>
      <c r="AF653" s="36" t="s">
        <v>860</v>
      </c>
    </row>
    <row r="654" spans="2:32" ht="60" customHeight="1" x14ac:dyDescent="0.25">
      <c r="B654" s="31" t="s">
        <v>2573</v>
      </c>
      <c r="C654" s="41">
        <v>2021</v>
      </c>
      <c r="D654" s="42">
        <f t="shared" si="10"/>
        <v>2025</v>
      </c>
      <c r="E654" s="31" t="s">
        <v>126</v>
      </c>
      <c r="F654" s="31" t="s">
        <v>1055</v>
      </c>
      <c r="G654" s="31" t="s">
        <v>2574</v>
      </c>
      <c r="H654" s="31" t="s">
        <v>172</v>
      </c>
      <c r="I654" s="31" t="s">
        <v>1020</v>
      </c>
      <c r="J654" s="31" t="s">
        <v>1021</v>
      </c>
      <c r="K654" s="31" t="s">
        <v>142</v>
      </c>
      <c r="L654" s="31" t="s">
        <v>159</v>
      </c>
      <c r="M654" s="34">
        <v>0</v>
      </c>
      <c r="N654" s="34">
        <v>373238800</v>
      </c>
      <c r="O654" s="34">
        <v>373238800</v>
      </c>
      <c r="P654" s="31" t="s">
        <v>624</v>
      </c>
      <c r="Q654" s="34">
        <v>678616</v>
      </c>
      <c r="R654" s="31" t="s">
        <v>159</v>
      </c>
      <c r="S654" s="35">
        <v>44266</v>
      </c>
      <c r="T654" s="35">
        <v>44211</v>
      </c>
      <c r="U654" s="35">
        <v>45930</v>
      </c>
      <c r="V654" s="27" t="s">
        <v>9393</v>
      </c>
      <c r="W654" s="31" t="s">
        <v>557</v>
      </c>
      <c r="X654" s="31" t="s">
        <v>880</v>
      </c>
      <c r="Y654" s="31" t="s">
        <v>242</v>
      </c>
      <c r="Z654" s="31" t="s">
        <v>968</v>
      </c>
      <c r="AA654" s="31" t="s">
        <v>862</v>
      </c>
      <c r="AB654" s="31" t="s">
        <v>861</v>
      </c>
      <c r="AC654" s="31" t="s">
        <v>971</v>
      </c>
      <c r="AD654" s="34">
        <v>9.1</v>
      </c>
      <c r="AE654" s="31" t="s">
        <v>864</v>
      </c>
      <c r="AF654" s="31" t="s">
        <v>860</v>
      </c>
    </row>
    <row r="655" spans="2:32" ht="60" customHeight="1" x14ac:dyDescent="0.25">
      <c r="B655" s="36" t="s">
        <v>2575</v>
      </c>
      <c r="C655" s="42">
        <v>2021</v>
      </c>
      <c r="D655" s="42">
        <f t="shared" si="10"/>
        <v>2025</v>
      </c>
      <c r="E655" s="36" t="s">
        <v>126</v>
      </c>
      <c r="F655" s="36" t="s">
        <v>1059</v>
      </c>
      <c r="G655" s="36" t="s">
        <v>2576</v>
      </c>
      <c r="H655" s="36" t="s">
        <v>172</v>
      </c>
      <c r="I655" s="36" t="s">
        <v>1020</v>
      </c>
      <c r="J655" s="36" t="s">
        <v>1021</v>
      </c>
      <c r="K655" s="36" t="s">
        <v>216</v>
      </c>
      <c r="L655" s="36" t="s">
        <v>159</v>
      </c>
      <c r="M655" s="37">
        <v>0</v>
      </c>
      <c r="N655" s="37">
        <v>71500000</v>
      </c>
      <c r="O655" s="37">
        <v>71500000</v>
      </c>
      <c r="P655" s="36" t="s">
        <v>624</v>
      </c>
      <c r="Q655" s="37">
        <v>130000</v>
      </c>
      <c r="R655" s="36" t="s">
        <v>159</v>
      </c>
      <c r="S655" s="38">
        <v>44266</v>
      </c>
      <c r="T655" s="38">
        <v>44211</v>
      </c>
      <c r="U655" s="38">
        <v>45930</v>
      </c>
      <c r="V655" s="27" t="s">
        <v>9308</v>
      </c>
      <c r="W655" s="36" t="s">
        <v>557</v>
      </c>
      <c r="X655" s="36" t="s">
        <v>880</v>
      </c>
      <c r="Y655" s="36" t="s">
        <v>242</v>
      </c>
      <c r="Z655" s="36" t="s">
        <v>1060</v>
      </c>
      <c r="AA655" s="36" t="s">
        <v>561</v>
      </c>
      <c r="AB655" s="36" t="s">
        <v>560</v>
      </c>
      <c r="AC655" s="36" t="s">
        <v>989</v>
      </c>
      <c r="AD655" s="37">
        <v>3.8</v>
      </c>
      <c r="AE655" s="36" t="s">
        <v>902</v>
      </c>
      <c r="AF655" s="36" t="s">
        <v>860</v>
      </c>
    </row>
    <row r="656" spans="2:32" ht="60" customHeight="1" x14ac:dyDescent="0.25">
      <c r="B656" s="31" t="s">
        <v>2577</v>
      </c>
      <c r="C656" s="41">
        <v>2021</v>
      </c>
      <c r="D656" s="42">
        <f t="shared" si="10"/>
        <v>2025</v>
      </c>
      <c r="E656" s="31" t="s">
        <v>126</v>
      </c>
      <c r="F656" s="31" t="s">
        <v>1063</v>
      </c>
      <c r="G656" s="31" t="s">
        <v>2578</v>
      </c>
      <c r="H656" s="31" t="s">
        <v>172</v>
      </c>
      <c r="I656" s="31" t="s">
        <v>1020</v>
      </c>
      <c r="J656" s="31" t="s">
        <v>1021</v>
      </c>
      <c r="K656" s="31" t="s">
        <v>216</v>
      </c>
      <c r="L656" s="31" t="s">
        <v>159</v>
      </c>
      <c r="M656" s="34">
        <v>0</v>
      </c>
      <c r="N656" s="34">
        <v>358349200</v>
      </c>
      <c r="O656" s="34">
        <v>358349200</v>
      </c>
      <c r="P656" s="31" t="s">
        <v>624</v>
      </c>
      <c r="Q656" s="34">
        <v>651544</v>
      </c>
      <c r="R656" s="31" t="s">
        <v>159</v>
      </c>
      <c r="S656" s="35">
        <v>44266</v>
      </c>
      <c r="T656" s="35">
        <v>44211</v>
      </c>
      <c r="U656" s="35">
        <v>45930</v>
      </c>
      <c r="V656" s="27" t="s">
        <v>9308</v>
      </c>
      <c r="W656" s="31" t="s">
        <v>557</v>
      </c>
      <c r="X656" s="31" t="s">
        <v>880</v>
      </c>
      <c r="Y656" s="31" t="s">
        <v>242</v>
      </c>
      <c r="Z656" s="31" t="s">
        <v>1064</v>
      </c>
      <c r="AA656" s="31" t="s">
        <v>561</v>
      </c>
      <c r="AB656" s="31" t="s">
        <v>560</v>
      </c>
      <c r="AC656" s="31" t="s">
        <v>989</v>
      </c>
      <c r="AD656" s="34">
        <v>3.8</v>
      </c>
      <c r="AE656" s="31" t="s">
        <v>902</v>
      </c>
      <c r="AF656" s="31" t="s">
        <v>860</v>
      </c>
    </row>
    <row r="657" spans="2:32" ht="60" customHeight="1" x14ac:dyDescent="0.25">
      <c r="B657" s="36" t="s">
        <v>2579</v>
      </c>
      <c r="C657" s="42">
        <v>2021</v>
      </c>
      <c r="D657" s="42">
        <f t="shared" si="10"/>
        <v>2025</v>
      </c>
      <c r="E657" s="36" t="s">
        <v>126</v>
      </c>
      <c r="F657" s="36" t="s">
        <v>2580</v>
      </c>
      <c r="G657" s="36" t="s">
        <v>2581</v>
      </c>
      <c r="H657" s="36" t="s">
        <v>172</v>
      </c>
      <c r="I657" s="36" t="s">
        <v>1020</v>
      </c>
      <c r="J657" s="36" t="s">
        <v>1021</v>
      </c>
      <c r="K657" s="36" t="s">
        <v>526</v>
      </c>
      <c r="L657" s="36" t="s">
        <v>159</v>
      </c>
      <c r="M657" s="37">
        <v>0</v>
      </c>
      <c r="N657" s="37">
        <v>226837050</v>
      </c>
      <c r="O657" s="37">
        <v>226837050</v>
      </c>
      <c r="P657" s="36" t="s">
        <v>624</v>
      </c>
      <c r="Q657" s="37">
        <v>412431</v>
      </c>
      <c r="R657" s="36" t="s">
        <v>159</v>
      </c>
      <c r="S657" s="38">
        <v>44266</v>
      </c>
      <c r="T657" s="38">
        <v>44211</v>
      </c>
      <c r="U657" s="38">
        <v>45930</v>
      </c>
      <c r="V657" s="27" t="s">
        <v>9324</v>
      </c>
      <c r="W657" s="36" t="s">
        <v>557</v>
      </c>
      <c r="X657" s="36" t="s">
        <v>880</v>
      </c>
      <c r="Y657" s="36" t="s">
        <v>242</v>
      </c>
      <c r="Z657" s="36" t="s">
        <v>1018</v>
      </c>
      <c r="AA657" s="36" t="s">
        <v>561</v>
      </c>
      <c r="AB657" s="36" t="s">
        <v>560</v>
      </c>
      <c r="AC657" s="36" t="s">
        <v>1022</v>
      </c>
      <c r="AD657" s="37">
        <v>1.3</v>
      </c>
      <c r="AE657" s="36" t="s">
        <v>902</v>
      </c>
      <c r="AF657" s="36" t="s">
        <v>860</v>
      </c>
    </row>
    <row r="658" spans="2:32" ht="60" customHeight="1" x14ac:dyDescent="0.25">
      <c r="B658" s="31" t="s">
        <v>2582</v>
      </c>
      <c r="C658" s="41">
        <v>2021</v>
      </c>
      <c r="D658" s="42">
        <f t="shared" si="10"/>
        <v>2025</v>
      </c>
      <c r="E658" s="31" t="s">
        <v>126</v>
      </c>
      <c r="F658" s="31" t="s">
        <v>2583</v>
      </c>
      <c r="G658" s="31" t="s">
        <v>2584</v>
      </c>
      <c r="H658" s="31" t="s">
        <v>172</v>
      </c>
      <c r="I658" s="31" t="s">
        <v>1020</v>
      </c>
      <c r="J658" s="31" t="s">
        <v>1021</v>
      </c>
      <c r="K658" s="31" t="s">
        <v>216</v>
      </c>
      <c r="L658" s="31" t="s">
        <v>159</v>
      </c>
      <c r="M658" s="34">
        <v>0</v>
      </c>
      <c r="N658" s="34">
        <v>51549850</v>
      </c>
      <c r="O658" s="34">
        <v>51549850</v>
      </c>
      <c r="P658" s="31" t="s">
        <v>624</v>
      </c>
      <c r="Q658" s="34">
        <v>93727</v>
      </c>
      <c r="R658" s="31" t="s">
        <v>159</v>
      </c>
      <c r="S658" s="35">
        <v>44266</v>
      </c>
      <c r="T658" s="35">
        <v>44211</v>
      </c>
      <c r="U658" s="35">
        <v>45930</v>
      </c>
      <c r="V658" s="27" t="s">
        <v>9308</v>
      </c>
      <c r="W658" s="31" t="s">
        <v>557</v>
      </c>
      <c r="X658" s="31" t="s">
        <v>880</v>
      </c>
      <c r="Y658" s="31" t="s">
        <v>242</v>
      </c>
      <c r="Z658" s="31" t="s">
        <v>1103</v>
      </c>
      <c r="AA658" s="31" t="s">
        <v>561</v>
      </c>
      <c r="AB658" s="31" t="s">
        <v>560</v>
      </c>
      <c r="AC658" s="31" t="s">
        <v>989</v>
      </c>
      <c r="AD658" s="34">
        <v>3.8</v>
      </c>
      <c r="AE658" s="31" t="s">
        <v>902</v>
      </c>
      <c r="AF658" s="31" t="s">
        <v>860</v>
      </c>
    </row>
    <row r="659" spans="2:32" ht="60" customHeight="1" x14ac:dyDescent="0.25">
      <c r="B659" s="36" t="s">
        <v>2585</v>
      </c>
      <c r="C659" s="42">
        <v>2021</v>
      </c>
      <c r="D659" s="42">
        <f t="shared" si="10"/>
        <v>2023</v>
      </c>
      <c r="E659" s="36" t="s">
        <v>126</v>
      </c>
      <c r="F659" s="36" t="s">
        <v>2586</v>
      </c>
      <c r="G659" s="36" t="s">
        <v>2587</v>
      </c>
      <c r="H659" s="36" t="s">
        <v>172</v>
      </c>
      <c r="I659" s="36" t="s">
        <v>1020</v>
      </c>
      <c r="J659" s="36" t="s">
        <v>1021</v>
      </c>
      <c r="K659" s="36" t="s">
        <v>118</v>
      </c>
      <c r="L659" s="36" t="s">
        <v>159</v>
      </c>
      <c r="M659" s="37">
        <v>0</v>
      </c>
      <c r="N659" s="37">
        <v>4166878650</v>
      </c>
      <c r="O659" s="37">
        <v>4166878650</v>
      </c>
      <c r="P659" s="36" t="s">
        <v>624</v>
      </c>
      <c r="Q659" s="37">
        <v>7576143</v>
      </c>
      <c r="R659" s="36" t="s">
        <v>159</v>
      </c>
      <c r="S659" s="38">
        <v>44266</v>
      </c>
      <c r="T659" s="38">
        <v>44259</v>
      </c>
      <c r="U659" s="38">
        <v>45099</v>
      </c>
      <c r="V659" s="27" t="s">
        <v>9308</v>
      </c>
      <c r="W659" s="36" t="s">
        <v>557</v>
      </c>
      <c r="X659" s="36" t="s">
        <v>880</v>
      </c>
      <c r="Y659" s="36" t="s">
        <v>242</v>
      </c>
      <c r="Z659" s="36" t="s">
        <v>1275</v>
      </c>
      <c r="AA659" s="36" t="s">
        <v>862</v>
      </c>
      <c r="AB659" s="36" t="s">
        <v>861</v>
      </c>
      <c r="AC659" s="36" t="s">
        <v>1173</v>
      </c>
      <c r="AD659" s="37">
        <v>7.1</v>
      </c>
      <c r="AE659" s="36" t="s">
        <v>864</v>
      </c>
      <c r="AF659" s="36" t="s">
        <v>860</v>
      </c>
    </row>
    <row r="660" spans="2:32" ht="60" customHeight="1" x14ac:dyDescent="0.25">
      <c r="B660" s="31" t="s">
        <v>2588</v>
      </c>
      <c r="C660" s="41">
        <v>2021</v>
      </c>
      <c r="D660" s="42" t="e">
        <f t="shared" si="10"/>
        <v>#VALUE!</v>
      </c>
      <c r="E660" s="31" t="s">
        <v>126</v>
      </c>
      <c r="F660" s="31" t="s">
        <v>2589</v>
      </c>
      <c r="G660" s="31" t="s">
        <v>2590</v>
      </c>
      <c r="H660" s="31" t="s">
        <v>172</v>
      </c>
      <c r="I660" s="31" t="s">
        <v>1020</v>
      </c>
      <c r="J660" s="31" t="s">
        <v>1021</v>
      </c>
      <c r="K660" s="31" t="s">
        <v>216</v>
      </c>
      <c r="L660" s="31" t="s">
        <v>159</v>
      </c>
      <c r="M660" s="34">
        <v>0</v>
      </c>
      <c r="N660" s="34">
        <v>1341633150</v>
      </c>
      <c r="O660" s="34">
        <v>1341633150</v>
      </c>
      <c r="P660" s="31" t="s">
        <v>624</v>
      </c>
      <c r="Q660" s="34">
        <v>2439333</v>
      </c>
      <c r="R660" s="31" t="s">
        <v>159</v>
      </c>
      <c r="S660" s="35">
        <v>44536</v>
      </c>
      <c r="T660" s="35">
        <v>44266</v>
      </c>
      <c r="U660" s="35" t="s">
        <v>2591</v>
      </c>
      <c r="V660" s="27" t="s">
        <v>9308</v>
      </c>
      <c r="W660" s="31" t="s">
        <v>557</v>
      </c>
      <c r="X660" s="31" t="s">
        <v>880</v>
      </c>
      <c r="Y660" s="31" t="s">
        <v>242</v>
      </c>
      <c r="Z660" s="31" t="s">
        <v>1064</v>
      </c>
      <c r="AA660" s="31" t="s">
        <v>561</v>
      </c>
      <c r="AB660" s="31" t="s">
        <v>560</v>
      </c>
      <c r="AC660" s="31" t="s">
        <v>989</v>
      </c>
      <c r="AD660" s="34">
        <v>3.8</v>
      </c>
      <c r="AE660" s="31" t="s">
        <v>902</v>
      </c>
      <c r="AF660" s="31" t="s">
        <v>860</v>
      </c>
    </row>
    <row r="661" spans="2:32" ht="75" customHeight="1" x14ac:dyDescent="0.25">
      <c r="B661" s="36" t="s">
        <v>2592</v>
      </c>
      <c r="C661" s="42">
        <v>2021</v>
      </c>
      <c r="D661" s="42">
        <f t="shared" si="10"/>
        <v>2025</v>
      </c>
      <c r="E661" s="36" t="s">
        <v>126</v>
      </c>
      <c r="F661" s="36" t="s">
        <v>2593</v>
      </c>
      <c r="G661" s="36" t="s">
        <v>2595</v>
      </c>
      <c r="H661" s="36" t="s">
        <v>172</v>
      </c>
      <c r="I661" s="36" t="s">
        <v>1020</v>
      </c>
      <c r="J661" s="36" t="s">
        <v>1021</v>
      </c>
      <c r="K661" s="36" t="s">
        <v>190</v>
      </c>
      <c r="L661" s="36" t="s">
        <v>159</v>
      </c>
      <c r="M661" s="37">
        <v>0</v>
      </c>
      <c r="N661" s="37">
        <v>9161353850</v>
      </c>
      <c r="O661" s="37">
        <v>9161353850</v>
      </c>
      <c r="P661" s="36" t="s">
        <v>624</v>
      </c>
      <c r="Q661" s="37">
        <v>16657007</v>
      </c>
      <c r="R661" s="36" t="s">
        <v>159</v>
      </c>
      <c r="S661" s="38">
        <v>44376</v>
      </c>
      <c r="T661" s="38">
        <v>44266</v>
      </c>
      <c r="U661" s="38">
        <v>45930</v>
      </c>
      <c r="V661" s="27" t="s">
        <v>9308</v>
      </c>
      <c r="W661" s="36" t="s">
        <v>557</v>
      </c>
      <c r="X661" s="36" t="s">
        <v>880</v>
      </c>
      <c r="Y661" s="36" t="s">
        <v>242</v>
      </c>
      <c r="Z661" s="36" t="s">
        <v>2594</v>
      </c>
      <c r="AA661" s="36" t="s">
        <v>862</v>
      </c>
      <c r="AB661" s="36" t="s">
        <v>861</v>
      </c>
      <c r="AC661" s="36" t="s">
        <v>863</v>
      </c>
      <c r="AD661" s="37">
        <v>2.2999999999999998</v>
      </c>
      <c r="AE661" s="36" t="s">
        <v>864</v>
      </c>
      <c r="AF661" s="36" t="s">
        <v>860</v>
      </c>
    </row>
    <row r="662" spans="2:32" ht="60" customHeight="1" x14ac:dyDescent="0.25">
      <c r="B662" s="31" t="s">
        <v>2596</v>
      </c>
      <c r="C662" s="41">
        <v>2021</v>
      </c>
      <c r="D662" s="42">
        <f t="shared" si="10"/>
        <v>2026</v>
      </c>
      <c r="E662" s="31" t="s">
        <v>126</v>
      </c>
      <c r="F662" s="31" t="s">
        <v>2597</v>
      </c>
      <c r="G662" s="31" t="s">
        <v>2599</v>
      </c>
      <c r="H662" s="31" t="s">
        <v>172</v>
      </c>
      <c r="I662" s="31" t="s">
        <v>2501</v>
      </c>
      <c r="J662" s="31" t="s">
        <v>2502</v>
      </c>
      <c r="K662" s="31" t="s">
        <v>263</v>
      </c>
      <c r="L662" s="31" t="s">
        <v>127</v>
      </c>
      <c r="M662" s="34">
        <v>15021415300</v>
      </c>
      <c r="N662" s="34">
        <v>0</v>
      </c>
      <c r="O662" s="34">
        <v>15021415300</v>
      </c>
      <c r="P662" s="31" t="s">
        <v>122</v>
      </c>
      <c r="Q662" s="34">
        <v>22900000</v>
      </c>
      <c r="R662" s="31" t="s">
        <v>1883</v>
      </c>
      <c r="S662" s="35">
        <v>44391</v>
      </c>
      <c r="T662" s="35">
        <v>44210</v>
      </c>
      <c r="U662" s="35">
        <v>46387</v>
      </c>
      <c r="V662" s="27" t="s">
        <v>9308</v>
      </c>
      <c r="W662" s="31" t="s">
        <v>1043</v>
      </c>
      <c r="X662" s="31" t="s">
        <v>558</v>
      </c>
      <c r="Y662" s="31" t="s">
        <v>125</v>
      </c>
      <c r="Z662" s="31" t="s">
        <v>2598</v>
      </c>
      <c r="AA662" s="31" t="s">
        <v>561</v>
      </c>
      <c r="AB662" s="31" t="s">
        <v>560</v>
      </c>
      <c r="AC662" s="31" t="s">
        <v>562</v>
      </c>
      <c r="AD662" s="34">
        <v>6.1</v>
      </c>
      <c r="AE662" s="31" t="s">
        <v>563</v>
      </c>
      <c r="AF662" s="34"/>
    </row>
    <row r="663" spans="2:32" ht="60" customHeight="1" x14ac:dyDescent="0.25">
      <c r="B663" s="36" t="s">
        <v>2600</v>
      </c>
      <c r="C663" s="42">
        <v>2021</v>
      </c>
      <c r="D663" s="42">
        <f t="shared" si="10"/>
        <v>2026</v>
      </c>
      <c r="E663" s="36" t="s">
        <v>317</v>
      </c>
      <c r="F663" s="36" t="s">
        <v>2601</v>
      </c>
      <c r="G663" s="36" t="s">
        <v>2603</v>
      </c>
      <c r="H663" s="36" t="s">
        <v>172</v>
      </c>
      <c r="I663" s="36" t="s">
        <v>2501</v>
      </c>
      <c r="J663" s="36" t="s">
        <v>2502</v>
      </c>
      <c r="K663" s="36" t="s">
        <v>190</v>
      </c>
      <c r="L663" s="36" t="s">
        <v>127</v>
      </c>
      <c r="M663" s="37">
        <v>4198124800</v>
      </c>
      <c r="N663" s="37">
        <v>0</v>
      </c>
      <c r="O663" s="37">
        <v>4198124800</v>
      </c>
      <c r="P663" s="36" t="s">
        <v>122</v>
      </c>
      <c r="Q663" s="37">
        <v>6400000</v>
      </c>
      <c r="R663" s="36" t="s">
        <v>1883</v>
      </c>
      <c r="S663" s="38">
        <v>44391</v>
      </c>
      <c r="T663" s="38">
        <v>44210</v>
      </c>
      <c r="U663" s="38">
        <v>46387</v>
      </c>
      <c r="V663" s="27" t="s">
        <v>9308</v>
      </c>
      <c r="W663" s="36" t="s">
        <v>1043</v>
      </c>
      <c r="X663" s="36" t="s">
        <v>558</v>
      </c>
      <c r="Y663" s="36" t="s">
        <v>125</v>
      </c>
      <c r="Z663" s="36" t="s">
        <v>2602</v>
      </c>
      <c r="AA663" s="36" t="s">
        <v>862</v>
      </c>
      <c r="AB663" s="36" t="s">
        <v>861</v>
      </c>
      <c r="AC663" s="36" t="s">
        <v>863</v>
      </c>
      <c r="AD663" s="37">
        <v>2.2999999999999998</v>
      </c>
      <c r="AE663" s="36" t="s">
        <v>864</v>
      </c>
      <c r="AF663" s="37"/>
    </row>
    <row r="664" spans="2:32" ht="60" customHeight="1" x14ac:dyDescent="0.25">
      <c r="B664" s="31" t="s">
        <v>2604</v>
      </c>
      <c r="C664" s="41">
        <v>2021</v>
      </c>
      <c r="D664" s="42">
        <f t="shared" si="10"/>
        <v>2026</v>
      </c>
      <c r="E664" s="31" t="s">
        <v>126</v>
      </c>
      <c r="F664" s="31" t="s">
        <v>2605</v>
      </c>
      <c r="G664" s="31" t="s">
        <v>2607</v>
      </c>
      <c r="H664" s="31" t="s">
        <v>172</v>
      </c>
      <c r="I664" s="31" t="s">
        <v>2501</v>
      </c>
      <c r="J664" s="31" t="s">
        <v>2502</v>
      </c>
      <c r="K664" s="31" t="s">
        <v>263</v>
      </c>
      <c r="L664" s="31" t="s">
        <v>127</v>
      </c>
      <c r="M664" s="34">
        <v>524765600</v>
      </c>
      <c r="N664" s="34">
        <v>0</v>
      </c>
      <c r="O664" s="34">
        <v>524765600</v>
      </c>
      <c r="P664" s="31" t="s">
        <v>122</v>
      </c>
      <c r="Q664" s="34">
        <v>800000</v>
      </c>
      <c r="R664" s="31" t="s">
        <v>1883</v>
      </c>
      <c r="S664" s="35">
        <v>44391</v>
      </c>
      <c r="T664" s="35">
        <v>44210</v>
      </c>
      <c r="U664" s="35">
        <v>46387</v>
      </c>
      <c r="V664" s="27" t="s">
        <v>9308</v>
      </c>
      <c r="W664" s="31" t="s">
        <v>1043</v>
      </c>
      <c r="X664" s="31" t="s">
        <v>558</v>
      </c>
      <c r="Y664" s="31" t="s">
        <v>125</v>
      </c>
      <c r="Z664" s="31" t="s">
        <v>2606</v>
      </c>
      <c r="AA664" s="31" t="s">
        <v>561</v>
      </c>
      <c r="AB664" s="31" t="s">
        <v>560</v>
      </c>
      <c r="AC664" s="31" t="s">
        <v>562</v>
      </c>
      <c r="AD664" s="34">
        <v>6.1</v>
      </c>
      <c r="AE664" s="31" t="s">
        <v>563</v>
      </c>
      <c r="AF664" s="34"/>
    </row>
    <row r="665" spans="2:32" ht="60" customHeight="1" x14ac:dyDescent="0.25">
      <c r="B665" s="36" t="s">
        <v>2608</v>
      </c>
      <c r="C665" s="42">
        <v>2021</v>
      </c>
      <c r="D665" s="42">
        <f t="shared" si="10"/>
        <v>2026</v>
      </c>
      <c r="E665" s="36" t="s">
        <v>317</v>
      </c>
      <c r="F665" s="36" t="s">
        <v>2609</v>
      </c>
      <c r="G665" s="36" t="s">
        <v>2610</v>
      </c>
      <c r="H665" s="36" t="s">
        <v>172</v>
      </c>
      <c r="I665" s="36" t="s">
        <v>2501</v>
      </c>
      <c r="J665" s="36" t="s">
        <v>2502</v>
      </c>
      <c r="K665" s="36" t="s">
        <v>216</v>
      </c>
      <c r="L665" s="36" t="s">
        <v>127</v>
      </c>
      <c r="M665" s="37">
        <v>3476572100</v>
      </c>
      <c r="N665" s="37">
        <v>0</v>
      </c>
      <c r="O665" s="37">
        <v>3476572100</v>
      </c>
      <c r="P665" s="36" t="s">
        <v>122</v>
      </c>
      <c r="Q665" s="37">
        <v>5300000</v>
      </c>
      <c r="R665" s="36" t="s">
        <v>1883</v>
      </c>
      <c r="S665" s="38">
        <v>44391</v>
      </c>
      <c r="T665" s="38">
        <v>44210</v>
      </c>
      <c r="U665" s="38">
        <v>46387</v>
      </c>
      <c r="V665" s="27" t="s">
        <v>9308</v>
      </c>
      <c r="W665" s="36" t="s">
        <v>1043</v>
      </c>
      <c r="X665" s="36" t="s">
        <v>558</v>
      </c>
      <c r="Y665" s="36" t="s">
        <v>125</v>
      </c>
      <c r="Z665" s="36" t="s">
        <v>992</v>
      </c>
      <c r="AA665" s="36" t="s">
        <v>561</v>
      </c>
      <c r="AB665" s="36" t="s">
        <v>560</v>
      </c>
      <c r="AC665" s="36" t="s">
        <v>989</v>
      </c>
      <c r="AD665" s="37">
        <v>3.8</v>
      </c>
      <c r="AE665" s="36" t="s">
        <v>902</v>
      </c>
      <c r="AF665" s="37"/>
    </row>
    <row r="666" spans="2:32" ht="60" customHeight="1" x14ac:dyDescent="0.25">
      <c r="B666" s="31" t="s">
        <v>2611</v>
      </c>
      <c r="C666" s="41">
        <v>2021</v>
      </c>
      <c r="D666" s="42">
        <f t="shared" si="10"/>
        <v>2026</v>
      </c>
      <c r="E666" s="31" t="s">
        <v>317</v>
      </c>
      <c r="F666" s="31" t="s">
        <v>2612</v>
      </c>
      <c r="G666" s="31" t="s">
        <v>2613</v>
      </c>
      <c r="H666" s="31" t="s">
        <v>172</v>
      </c>
      <c r="I666" s="31" t="s">
        <v>2501</v>
      </c>
      <c r="J666" s="31" t="s">
        <v>2502</v>
      </c>
      <c r="K666" s="31" t="s">
        <v>216</v>
      </c>
      <c r="L666" s="31" t="s">
        <v>127</v>
      </c>
      <c r="M666" s="34">
        <v>1115126900</v>
      </c>
      <c r="N666" s="34">
        <v>0</v>
      </c>
      <c r="O666" s="34">
        <v>1115126900</v>
      </c>
      <c r="P666" s="31" t="s">
        <v>122</v>
      </c>
      <c r="Q666" s="34">
        <v>1700000</v>
      </c>
      <c r="R666" s="31" t="s">
        <v>1883</v>
      </c>
      <c r="S666" s="35">
        <v>44391</v>
      </c>
      <c r="T666" s="35">
        <v>44210</v>
      </c>
      <c r="U666" s="35">
        <v>46387</v>
      </c>
      <c r="V666" s="27" t="s">
        <v>9308</v>
      </c>
      <c r="W666" s="31" t="s">
        <v>1043</v>
      </c>
      <c r="X666" s="31" t="s">
        <v>558</v>
      </c>
      <c r="Y666" s="31" t="s">
        <v>125</v>
      </c>
      <c r="Z666" s="31" t="s">
        <v>1025</v>
      </c>
      <c r="AA666" s="31" t="s">
        <v>561</v>
      </c>
      <c r="AB666" s="31" t="s">
        <v>560</v>
      </c>
      <c r="AC666" s="31" t="s">
        <v>989</v>
      </c>
      <c r="AD666" s="34">
        <v>3.8</v>
      </c>
      <c r="AE666" s="31" t="s">
        <v>902</v>
      </c>
      <c r="AF666" s="34"/>
    </row>
    <row r="667" spans="2:32" ht="60" customHeight="1" x14ac:dyDescent="0.25">
      <c r="B667" s="36" t="s">
        <v>2614</v>
      </c>
      <c r="C667" s="42">
        <v>2021</v>
      </c>
      <c r="D667" s="42">
        <f t="shared" si="10"/>
        <v>2026</v>
      </c>
      <c r="E667" s="36" t="s">
        <v>317</v>
      </c>
      <c r="F667" s="36" t="s">
        <v>2615</v>
      </c>
      <c r="G667" s="36" t="s">
        <v>2616</v>
      </c>
      <c r="H667" s="36" t="s">
        <v>172</v>
      </c>
      <c r="I667" s="36" t="s">
        <v>2501</v>
      </c>
      <c r="J667" s="36" t="s">
        <v>2502</v>
      </c>
      <c r="K667" s="36" t="s">
        <v>526</v>
      </c>
      <c r="L667" s="36" t="s">
        <v>127</v>
      </c>
      <c r="M667" s="37">
        <v>4788486100</v>
      </c>
      <c r="N667" s="37">
        <v>0</v>
      </c>
      <c r="O667" s="37">
        <v>4788486100</v>
      </c>
      <c r="P667" s="36" t="s">
        <v>122</v>
      </c>
      <c r="Q667" s="37">
        <v>7300000</v>
      </c>
      <c r="R667" s="36" t="s">
        <v>1883</v>
      </c>
      <c r="S667" s="38">
        <v>44391</v>
      </c>
      <c r="T667" s="38">
        <v>44210</v>
      </c>
      <c r="U667" s="38">
        <v>46387</v>
      </c>
      <c r="V667" s="27" t="s">
        <v>9308</v>
      </c>
      <c r="W667" s="36" t="s">
        <v>1043</v>
      </c>
      <c r="X667" s="36" t="s">
        <v>558</v>
      </c>
      <c r="Y667" s="36" t="s">
        <v>125</v>
      </c>
      <c r="Z667" s="36" t="s">
        <v>1131</v>
      </c>
      <c r="AA667" s="36" t="s">
        <v>561</v>
      </c>
      <c r="AB667" s="36" t="s">
        <v>560</v>
      </c>
      <c r="AC667" s="36" t="s">
        <v>1022</v>
      </c>
      <c r="AD667" s="37">
        <v>1.3</v>
      </c>
      <c r="AE667" s="36" t="s">
        <v>902</v>
      </c>
      <c r="AF667" s="37"/>
    </row>
    <row r="668" spans="2:32" ht="60" customHeight="1" x14ac:dyDescent="0.25">
      <c r="B668" s="31" t="s">
        <v>2617</v>
      </c>
      <c r="C668" s="41">
        <v>2021</v>
      </c>
      <c r="D668" s="42">
        <f t="shared" si="10"/>
        <v>2026</v>
      </c>
      <c r="E668" s="31" t="s">
        <v>170</v>
      </c>
      <c r="F668" s="31" t="s">
        <v>2618</v>
      </c>
      <c r="G668" s="31" t="s">
        <v>2619</v>
      </c>
      <c r="H668" s="31" t="s">
        <v>172</v>
      </c>
      <c r="I668" s="31" t="s">
        <v>2501</v>
      </c>
      <c r="J668" s="31" t="s">
        <v>2502</v>
      </c>
      <c r="K668" s="31" t="s">
        <v>315</v>
      </c>
      <c r="L668" s="31" t="s">
        <v>127</v>
      </c>
      <c r="M668" s="34">
        <v>4329316200</v>
      </c>
      <c r="N668" s="34">
        <v>0</v>
      </c>
      <c r="O668" s="34">
        <v>4329316200</v>
      </c>
      <c r="P668" s="31" t="s">
        <v>122</v>
      </c>
      <c r="Q668" s="34">
        <v>6600000</v>
      </c>
      <c r="R668" s="31" t="s">
        <v>1883</v>
      </c>
      <c r="S668" s="35">
        <v>44391</v>
      </c>
      <c r="T668" s="35">
        <v>44210</v>
      </c>
      <c r="U668" s="35">
        <v>46387</v>
      </c>
      <c r="V668" s="27" t="s">
        <v>9308</v>
      </c>
      <c r="W668" s="31" t="s">
        <v>1043</v>
      </c>
      <c r="X668" s="31" t="s">
        <v>558</v>
      </c>
      <c r="Y668" s="31" t="s">
        <v>125</v>
      </c>
      <c r="Z668" s="31" t="s">
        <v>1146</v>
      </c>
      <c r="AA668" s="31" t="s">
        <v>900</v>
      </c>
      <c r="AB668" s="31" t="s">
        <v>861</v>
      </c>
      <c r="AC668" s="31" t="s">
        <v>901</v>
      </c>
      <c r="AD668" s="34">
        <v>4.0999999999999996</v>
      </c>
      <c r="AE668" s="31" t="s">
        <v>902</v>
      </c>
      <c r="AF668" s="34"/>
    </row>
    <row r="669" spans="2:32" ht="60" customHeight="1" x14ac:dyDescent="0.25">
      <c r="B669" s="36" t="s">
        <v>2620</v>
      </c>
      <c r="C669" s="42">
        <v>2021</v>
      </c>
      <c r="D669" s="42">
        <f t="shared" si="10"/>
        <v>2026</v>
      </c>
      <c r="E669" s="36" t="s">
        <v>317</v>
      </c>
      <c r="F669" s="36" t="s">
        <v>2621</v>
      </c>
      <c r="G669" s="36" t="s">
        <v>2622</v>
      </c>
      <c r="H669" s="36" t="s">
        <v>172</v>
      </c>
      <c r="I669" s="36" t="s">
        <v>2501</v>
      </c>
      <c r="J669" s="36" t="s">
        <v>2502</v>
      </c>
      <c r="K669" s="36" t="s">
        <v>315</v>
      </c>
      <c r="L669" s="36" t="s">
        <v>127</v>
      </c>
      <c r="M669" s="37">
        <v>10823290500</v>
      </c>
      <c r="N669" s="37">
        <v>0</v>
      </c>
      <c r="O669" s="37">
        <v>10823290500</v>
      </c>
      <c r="P669" s="36" t="s">
        <v>122</v>
      </c>
      <c r="Q669" s="37">
        <v>16500000</v>
      </c>
      <c r="R669" s="36" t="s">
        <v>1883</v>
      </c>
      <c r="S669" s="38">
        <v>44391</v>
      </c>
      <c r="T669" s="38">
        <v>44210</v>
      </c>
      <c r="U669" s="38">
        <v>46387</v>
      </c>
      <c r="V669" s="27" t="s">
        <v>9308</v>
      </c>
      <c r="W669" s="36" t="s">
        <v>1043</v>
      </c>
      <c r="X669" s="36" t="s">
        <v>558</v>
      </c>
      <c r="Y669" s="36" t="s">
        <v>125</v>
      </c>
      <c r="Z669" s="36" t="s">
        <v>1108</v>
      </c>
      <c r="AA669" s="36" t="s">
        <v>900</v>
      </c>
      <c r="AB669" s="36" t="s">
        <v>861</v>
      </c>
      <c r="AC669" s="36" t="s">
        <v>901</v>
      </c>
      <c r="AD669" s="37">
        <v>4.0999999999999996</v>
      </c>
      <c r="AE669" s="36" t="s">
        <v>902</v>
      </c>
      <c r="AF669" s="37"/>
    </row>
    <row r="670" spans="2:32" ht="60" customHeight="1" x14ac:dyDescent="0.25">
      <c r="B670" s="31" t="s">
        <v>2623</v>
      </c>
      <c r="C670" s="41">
        <v>2021</v>
      </c>
      <c r="D670" s="42">
        <f t="shared" si="10"/>
        <v>2026</v>
      </c>
      <c r="E670" s="31" t="s">
        <v>170</v>
      </c>
      <c r="F670" s="31" t="s">
        <v>2624</v>
      </c>
      <c r="G670" s="31" t="s">
        <v>2625</v>
      </c>
      <c r="H670" s="31" t="s">
        <v>172</v>
      </c>
      <c r="I670" s="31" t="s">
        <v>2501</v>
      </c>
      <c r="J670" s="31" t="s">
        <v>2502</v>
      </c>
      <c r="K670" s="31" t="s">
        <v>315</v>
      </c>
      <c r="L670" s="31" t="s">
        <v>127</v>
      </c>
      <c r="M670" s="34">
        <v>721552700</v>
      </c>
      <c r="N670" s="34">
        <v>0</v>
      </c>
      <c r="O670" s="34">
        <v>721552700</v>
      </c>
      <c r="P670" s="31" t="s">
        <v>122</v>
      </c>
      <c r="Q670" s="34">
        <v>1100000</v>
      </c>
      <c r="R670" s="31" t="s">
        <v>1883</v>
      </c>
      <c r="S670" s="35">
        <v>44391</v>
      </c>
      <c r="T670" s="35">
        <v>44210</v>
      </c>
      <c r="U670" s="35">
        <v>46387</v>
      </c>
      <c r="V670" s="27" t="s">
        <v>9307</v>
      </c>
      <c r="W670" s="31" t="s">
        <v>1043</v>
      </c>
      <c r="X670" s="31" t="s">
        <v>558</v>
      </c>
      <c r="Y670" s="31" t="s">
        <v>125</v>
      </c>
      <c r="Z670" s="31" t="s">
        <v>1108</v>
      </c>
      <c r="AA670" s="31" t="s">
        <v>900</v>
      </c>
      <c r="AB670" s="31" t="s">
        <v>861</v>
      </c>
      <c r="AC670" s="31" t="s">
        <v>901</v>
      </c>
      <c r="AD670" s="34">
        <v>4.0999999999999996</v>
      </c>
      <c r="AE670" s="31" t="s">
        <v>902</v>
      </c>
      <c r="AF670" s="34"/>
    </row>
    <row r="671" spans="2:32" ht="60" customHeight="1" x14ac:dyDescent="0.25">
      <c r="B671" s="36" t="s">
        <v>2626</v>
      </c>
      <c r="C671" s="42">
        <v>2021</v>
      </c>
      <c r="D671" s="42">
        <f t="shared" si="10"/>
        <v>2026</v>
      </c>
      <c r="E671" s="36" t="s">
        <v>126</v>
      </c>
      <c r="F671" s="36" t="s">
        <v>2627</v>
      </c>
      <c r="G671" s="36" t="s">
        <v>2628</v>
      </c>
      <c r="H671" s="36" t="s">
        <v>172</v>
      </c>
      <c r="I671" s="36" t="s">
        <v>2501</v>
      </c>
      <c r="J671" s="36" t="s">
        <v>2502</v>
      </c>
      <c r="K671" s="36" t="s">
        <v>118</v>
      </c>
      <c r="L671" s="36" t="s">
        <v>127</v>
      </c>
      <c r="M671" s="37">
        <v>2558232300</v>
      </c>
      <c r="N671" s="37">
        <v>0</v>
      </c>
      <c r="O671" s="37">
        <v>2558232300</v>
      </c>
      <c r="P671" s="36" t="s">
        <v>122</v>
      </c>
      <c r="Q671" s="37">
        <v>3900000</v>
      </c>
      <c r="R671" s="36" t="s">
        <v>1883</v>
      </c>
      <c r="S671" s="38">
        <v>44391</v>
      </c>
      <c r="T671" s="38">
        <v>44210</v>
      </c>
      <c r="U671" s="38">
        <v>46387</v>
      </c>
      <c r="V671" s="27" t="s">
        <v>9439</v>
      </c>
      <c r="W671" s="36" t="s">
        <v>1043</v>
      </c>
      <c r="X671" s="36" t="s">
        <v>558</v>
      </c>
      <c r="Y671" s="36" t="s">
        <v>125</v>
      </c>
      <c r="Z671" s="36" t="s">
        <v>1171</v>
      </c>
      <c r="AA671" s="36" t="s">
        <v>862</v>
      </c>
      <c r="AB671" s="36" t="s">
        <v>861</v>
      </c>
      <c r="AC671" s="36" t="s">
        <v>1173</v>
      </c>
      <c r="AD671" s="37">
        <v>7.1</v>
      </c>
      <c r="AE671" s="36" t="s">
        <v>864</v>
      </c>
      <c r="AF671" s="37"/>
    </row>
    <row r="672" spans="2:32" ht="60" customHeight="1" x14ac:dyDescent="0.25">
      <c r="B672" s="31" t="s">
        <v>2629</v>
      </c>
      <c r="C672" s="41">
        <v>2021</v>
      </c>
      <c r="D672" s="42">
        <f t="shared" si="10"/>
        <v>2026</v>
      </c>
      <c r="E672" s="31" t="s">
        <v>126</v>
      </c>
      <c r="F672" s="31" t="s">
        <v>2630</v>
      </c>
      <c r="G672" s="31" t="s">
        <v>2631</v>
      </c>
      <c r="H672" s="31" t="s">
        <v>172</v>
      </c>
      <c r="I672" s="31" t="s">
        <v>2501</v>
      </c>
      <c r="J672" s="31" t="s">
        <v>2502</v>
      </c>
      <c r="K672" s="31" t="s">
        <v>190</v>
      </c>
      <c r="L672" s="31" t="s">
        <v>127</v>
      </c>
      <c r="M672" s="34">
        <v>1180722600</v>
      </c>
      <c r="N672" s="34">
        <v>0</v>
      </c>
      <c r="O672" s="34">
        <v>1180722600</v>
      </c>
      <c r="P672" s="31" t="s">
        <v>122</v>
      </c>
      <c r="Q672" s="34">
        <v>1800000</v>
      </c>
      <c r="R672" s="31" t="s">
        <v>1883</v>
      </c>
      <c r="S672" s="35">
        <v>44391</v>
      </c>
      <c r="T672" s="35">
        <v>44210</v>
      </c>
      <c r="U672" s="35">
        <v>46387</v>
      </c>
      <c r="V672" s="27" t="s">
        <v>9367</v>
      </c>
      <c r="W672" s="31" t="s">
        <v>1043</v>
      </c>
      <c r="X672" s="31" t="s">
        <v>558</v>
      </c>
      <c r="Y672" s="31" t="s">
        <v>125</v>
      </c>
      <c r="Z672" s="31" t="s">
        <v>974</v>
      </c>
      <c r="AA672" s="31" t="s">
        <v>862</v>
      </c>
      <c r="AB672" s="31" t="s">
        <v>861</v>
      </c>
      <c r="AC672" s="31" t="s">
        <v>863</v>
      </c>
      <c r="AD672" s="34">
        <v>2.2999999999999998</v>
      </c>
      <c r="AE672" s="31" t="s">
        <v>864</v>
      </c>
      <c r="AF672" s="34"/>
    </row>
    <row r="673" spans="2:32" ht="60" customHeight="1" x14ac:dyDescent="0.25">
      <c r="B673" s="36" t="s">
        <v>2632</v>
      </c>
      <c r="C673" s="42">
        <v>2021</v>
      </c>
      <c r="D673" s="42">
        <f t="shared" si="10"/>
        <v>2026</v>
      </c>
      <c r="E673" s="36" t="s">
        <v>317</v>
      </c>
      <c r="F673" s="36" t="s">
        <v>2633</v>
      </c>
      <c r="G673" s="36" t="s">
        <v>2634</v>
      </c>
      <c r="H673" s="36" t="s">
        <v>172</v>
      </c>
      <c r="I673" s="36" t="s">
        <v>2501</v>
      </c>
      <c r="J673" s="36" t="s">
        <v>2502</v>
      </c>
      <c r="K673" s="36" t="s">
        <v>142</v>
      </c>
      <c r="L673" s="36" t="s">
        <v>127</v>
      </c>
      <c r="M673" s="37">
        <v>3476572100</v>
      </c>
      <c r="N673" s="37">
        <v>0</v>
      </c>
      <c r="O673" s="37">
        <v>3476572100</v>
      </c>
      <c r="P673" s="36" t="s">
        <v>122</v>
      </c>
      <c r="Q673" s="37">
        <v>5300000</v>
      </c>
      <c r="R673" s="36" t="s">
        <v>1883</v>
      </c>
      <c r="S673" s="38">
        <v>44391</v>
      </c>
      <c r="T673" s="38">
        <v>44210</v>
      </c>
      <c r="U673" s="38">
        <v>46387</v>
      </c>
      <c r="V673" s="27" t="s">
        <v>9467</v>
      </c>
      <c r="W673" s="36" t="s">
        <v>1043</v>
      </c>
      <c r="X673" s="36" t="s">
        <v>558</v>
      </c>
      <c r="Y673" s="36" t="s">
        <v>125</v>
      </c>
      <c r="Z673" s="36" t="s">
        <v>1693</v>
      </c>
      <c r="AA673" s="36" t="s">
        <v>862</v>
      </c>
      <c r="AB673" s="36" t="s">
        <v>861</v>
      </c>
      <c r="AC673" s="36" t="s">
        <v>971</v>
      </c>
      <c r="AD673" s="37">
        <v>9.1</v>
      </c>
      <c r="AE673" s="36" t="s">
        <v>864</v>
      </c>
      <c r="AF673" s="37"/>
    </row>
    <row r="674" spans="2:32" ht="60" customHeight="1" x14ac:dyDescent="0.25">
      <c r="B674" s="31" t="s">
        <v>2637</v>
      </c>
      <c r="C674" s="41">
        <v>2021</v>
      </c>
      <c r="D674" s="42">
        <f t="shared" si="10"/>
        <v>2026</v>
      </c>
      <c r="E674" s="31" t="s">
        <v>317</v>
      </c>
      <c r="F674" s="31" t="s">
        <v>2638</v>
      </c>
      <c r="G674" s="31" t="s">
        <v>2639</v>
      </c>
      <c r="H674" s="31" t="s">
        <v>172</v>
      </c>
      <c r="I674" s="31" t="s">
        <v>2501</v>
      </c>
      <c r="J674" s="31" t="s">
        <v>2502</v>
      </c>
      <c r="K674" s="31" t="s">
        <v>142</v>
      </c>
      <c r="L674" s="31" t="s">
        <v>127</v>
      </c>
      <c r="M674" s="34">
        <v>7609101200</v>
      </c>
      <c r="N674" s="34">
        <v>0</v>
      </c>
      <c r="O674" s="34">
        <v>7609101200</v>
      </c>
      <c r="P674" s="31" t="s">
        <v>122</v>
      </c>
      <c r="Q674" s="34">
        <v>11600000</v>
      </c>
      <c r="R674" s="31" t="s">
        <v>1883</v>
      </c>
      <c r="S674" s="35">
        <v>44391</v>
      </c>
      <c r="T674" s="35">
        <v>44210</v>
      </c>
      <c r="U674" s="35">
        <v>46387</v>
      </c>
      <c r="V674" s="27" t="s">
        <v>9308</v>
      </c>
      <c r="W674" s="31" t="s">
        <v>1043</v>
      </c>
      <c r="X674" s="31" t="s">
        <v>558</v>
      </c>
      <c r="Y674" s="31" t="s">
        <v>125</v>
      </c>
      <c r="Z674" s="31" t="s">
        <v>968</v>
      </c>
      <c r="AA674" s="31" t="s">
        <v>862</v>
      </c>
      <c r="AB674" s="31" t="s">
        <v>861</v>
      </c>
      <c r="AC674" s="31" t="s">
        <v>971</v>
      </c>
      <c r="AD674" s="34">
        <v>9.1</v>
      </c>
      <c r="AE674" s="31" t="s">
        <v>864</v>
      </c>
      <c r="AF674" s="34"/>
    </row>
    <row r="675" spans="2:32" ht="60" customHeight="1" x14ac:dyDescent="0.25">
      <c r="B675" s="36" t="s">
        <v>2640</v>
      </c>
      <c r="C675" s="42">
        <v>2021</v>
      </c>
      <c r="D675" s="42">
        <f t="shared" si="10"/>
        <v>2026</v>
      </c>
      <c r="E675" s="36" t="s">
        <v>317</v>
      </c>
      <c r="F675" s="36" t="s">
        <v>2641</v>
      </c>
      <c r="G675" s="36" t="s">
        <v>2643</v>
      </c>
      <c r="H675" s="36" t="s">
        <v>172</v>
      </c>
      <c r="I675" s="36" t="s">
        <v>2501</v>
      </c>
      <c r="J675" s="36" t="s">
        <v>2502</v>
      </c>
      <c r="K675" s="36" t="s">
        <v>142</v>
      </c>
      <c r="L675" s="36" t="s">
        <v>127</v>
      </c>
      <c r="M675" s="37">
        <v>983935500</v>
      </c>
      <c r="N675" s="37">
        <v>0</v>
      </c>
      <c r="O675" s="37">
        <v>983935500</v>
      </c>
      <c r="P675" s="36" t="s">
        <v>122</v>
      </c>
      <c r="Q675" s="37">
        <v>1500000</v>
      </c>
      <c r="R675" s="36" t="s">
        <v>1883</v>
      </c>
      <c r="S675" s="38">
        <v>44391</v>
      </c>
      <c r="T675" s="38">
        <v>44210</v>
      </c>
      <c r="U675" s="38">
        <v>46387</v>
      </c>
      <c r="V675" s="27" t="s">
        <v>9308</v>
      </c>
      <c r="W675" s="36" t="s">
        <v>1043</v>
      </c>
      <c r="X675" s="36" t="s">
        <v>558</v>
      </c>
      <c r="Y675" s="36" t="s">
        <v>125</v>
      </c>
      <c r="Z675" s="36" t="s">
        <v>2642</v>
      </c>
      <c r="AA675" s="36" t="s">
        <v>862</v>
      </c>
      <c r="AB675" s="36" t="s">
        <v>861</v>
      </c>
      <c r="AC675" s="36" t="s">
        <v>971</v>
      </c>
      <c r="AD675" s="37">
        <v>9.1</v>
      </c>
      <c r="AE675" s="36" t="s">
        <v>864</v>
      </c>
      <c r="AF675" s="37"/>
    </row>
    <row r="676" spans="2:32" ht="60" customHeight="1" x14ac:dyDescent="0.25">
      <c r="B676" s="31" t="s">
        <v>2644</v>
      </c>
      <c r="C676" s="41">
        <v>2021</v>
      </c>
      <c r="D676" s="42">
        <f t="shared" si="10"/>
        <v>2026</v>
      </c>
      <c r="E676" s="31" t="s">
        <v>317</v>
      </c>
      <c r="F676" s="31" t="s">
        <v>2645</v>
      </c>
      <c r="G676" s="31" t="s">
        <v>2646</v>
      </c>
      <c r="H676" s="31" t="s">
        <v>172</v>
      </c>
      <c r="I676" s="31" t="s">
        <v>2501</v>
      </c>
      <c r="J676" s="31" t="s">
        <v>2502</v>
      </c>
      <c r="K676" s="31" t="s">
        <v>205</v>
      </c>
      <c r="L676" s="31" t="s">
        <v>127</v>
      </c>
      <c r="M676" s="34">
        <v>2623828000</v>
      </c>
      <c r="N676" s="34">
        <v>0</v>
      </c>
      <c r="O676" s="34">
        <v>2623828000</v>
      </c>
      <c r="P676" s="31" t="s">
        <v>122</v>
      </c>
      <c r="Q676" s="34">
        <v>4000000</v>
      </c>
      <c r="R676" s="31" t="s">
        <v>1883</v>
      </c>
      <c r="S676" s="35">
        <v>44391</v>
      </c>
      <c r="T676" s="35">
        <v>44210</v>
      </c>
      <c r="U676" s="35">
        <v>46387</v>
      </c>
      <c r="V676" s="27" t="s">
        <v>9410</v>
      </c>
      <c r="W676" s="31" t="s">
        <v>1043</v>
      </c>
      <c r="X676" s="31" t="s">
        <v>558</v>
      </c>
      <c r="Y676" s="31" t="s">
        <v>125</v>
      </c>
      <c r="Z676" s="31" t="s">
        <v>1258</v>
      </c>
      <c r="AA676" s="31" t="s">
        <v>1012</v>
      </c>
      <c r="AB676" s="31" t="s">
        <v>560</v>
      </c>
      <c r="AC676" s="31" t="s">
        <v>939</v>
      </c>
      <c r="AD676" s="34">
        <v>11.3</v>
      </c>
      <c r="AE676" s="31" t="s">
        <v>563</v>
      </c>
      <c r="AF676" s="34"/>
    </row>
    <row r="677" spans="2:32" ht="75" customHeight="1" x14ac:dyDescent="0.25">
      <c r="B677" s="36" t="s">
        <v>2647</v>
      </c>
      <c r="C677" s="42">
        <v>2021</v>
      </c>
      <c r="D677" s="42">
        <f t="shared" si="10"/>
        <v>2026</v>
      </c>
      <c r="E677" s="36" t="s">
        <v>126</v>
      </c>
      <c r="F677" s="36" t="s">
        <v>2648</v>
      </c>
      <c r="G677" s="36" t="s">
        <v>2650</v>
      </c>
      <c r="H677" s="36" t="s">
        <v>172</v>
      </c>
      <c r="I677" s="36" t="s">
        <v>2501</v>
      </c>
      <c r="J677" s="36" t="s">
        <v>2502</v>
      </c>
      <c r="K677" s="36" t="s">
        <v>205</v>
      </c>
      <c r="L677" s="36" t="s">
        <v>127</v>
      </c>
      <c r="M677" s="37">
        <v>983935500</v>
      </c>
      <c r="N677" s="37">
        <v>0</v>
      </c>
      <c r="O677" s="37">
        <v>983935500</v>
      </c>
      <c r="P677" s="36" t="s">
        <v>122</v>
      </c>
      <c r="Q677" s="37">
        <v>1500000</v>
      </c>
      <c r="R677" s="36" t="s">
        <v>1883</v>
      </c>
      <c r="S677" s="38">
        <v>44391</v>
      </c>
      <c r="T677" s="38">
        <v>44210</v>
      </c>
      <c r="U677" s="38">
        <v>46387</v>
      </c>
      <c r="V677" s="27" t="s">
        <v>9339</v>
      </c>
      <c r="W677" s="36" t="s">
        <v>1043</v>
      </c>
      <c r="X677" s="36" t="s">
        <v>558</v>
      </c>
      <c r="Y677" s="36" t="s">
        <v>125</v>
      </c>
      <c r="Z677" s="36" t="s">
        <v>2649</v>
      </c>
      <c r="AA677" s="36" t="s">
        <v>1012</v>
      </c>
      <c r="AB677" s="36" t="s">
        <v>560</v>
      </c>
      <c r="AC677" s="36" t="s">
        <v>939</v>
      </c>
      <c r="AD677" s="37">
        <v>11.3</v>
      </c>
      <c r="AE677" s="36" t="s">
        <v>563</v>
      </c>
      <c r="AF677" s="37"/>
    </row>
    <row r="678" spans="2:32" ht="60" customHeight="1" x14ac:dyDescent="0.25">
      <c r="B678" s="31" t="s">
        <v>2651</v>
      </c>
      <c r="C678" s="41">
        <v>2021</v>
      </c>
      <c r="D678" s="42">
        <f t="shared" si="10"/>
        <v>2026</v>
      </c>
      <c r="E678" s="31" t="s">
        <v>317</v>
      </c>
      <c r="F678" s="31" t="s">
        <v>2652</v>
      </c>
      <c r="G678" s="31" t="s">
        <v>2653</v>
      </c>
      <c r="H678" s="31" t="s">
        <v>172</v>
      </c>
      <c r="I678" s="31" t="s">
        <v>2501</v>
      </c>
      <c r="J678" s="31" t="s">
        <v>2502</v>
      </c>
      <c r="K678" s="31" t="s">
        <v>190</v>
      </c>
      <c r="L678" s="31" t="s">
        <v>127</v>
      </c>
      <c r="M678" s="34">
        <v>2558232300</v>
      </c>
      <c r="N678" s="34">
        <v>0</v>
      </c>
      <c r="O678" s="34">
        <v>2558232300</v>
      </c>
      <c r="P678" s="31" t="s">
        <v>122</v>
      </c>
      <c r="Q678" s="34">
        <v>3900000</v>
      </c>
      <c r="R678" s="31" t="s">
        <v>1883</v>
      </c>
      <c r="S678" s="35">
        <v>44391</v>
      </c>
      <c r="T678" s="35">
        <v>44210</v>
      </c>
      <c r="U678" s="35">
        <v>46387</v>
      </c>
      <c r="V678" s="27" t="s">
        <v>9308</v>
      </c>
      <c r="W678" s="31" t="s">
        <v>1043</v>
      </c>
      <c r="X678" s="31" t="s">
        <v>558</v>
      </c>
      <c r="Y678" s="31" t="s">
        <v>125</v>
      </c>
      <c r="Z678" s="31" t="s">
        <v>974</v>
      </c>
      <c r="AA678" s="31" t="s">
        <v>862</v>
      </c>
      <c r="AB678" s="31" t="s">
        <v>861</v>
      </c>
      <c r="AC678" s="31" t="s">
        <v>863</v>
      </c>
      <c r="AD678" s="34">
        <v>2.2999999999999998</v>
      </c>
      <c r="AE678" s="31" t="s">
        <v>864</v>
      </c>
      <c r="AF678" s="34"/>
    </row>
    <row r="679" spans="2:32" ht="60" customHeight="1" x14ac:dyDescent="0.25">
      <c r="B679" s="36" t="s">
        <v>2654</v>
      </c>
      <c r="C679" s="42">
        <v>2021</v>
      </c>
      <c r="D679" s="42">
        <f t="shared" si="10"/>
        <v>2026</v>
      </c>
      <c r="E679" s="36" t="s">
        <v>317</v>
      </c>
      <c r="F679" s="36" t="s">
        <v>2655</v>
      </c>
      <c r="G679" s="36" t="s">
        <v>2657</v>
      </c>
      <c r="H679" s="36" t="s">
        <v>172</v>
      </c>
      <c r="I679" s="36" t="s">
        <v>2501</v>
      </c>
      <c r="J679" s="36" t="s">
        <v>2502</v>
      </c>
      <c r="K679" s="36" t="s">
        <v>190</v>
      </c>
      <c r="L679" s="36" t="s">
        <v>127</v>
      </c>
      <c r="M679" s="37">
        <v>1705488200</v>
      </c>
      <c r="N679" s="37">
        <v>0</v>
      </c>
      <c r="O679" s="37">
        <v>1705488200</v>
      </c>
      <c r="P679" s="36" t="s">
        <v>122</v>
      </c>
      <c r="Q679" s="37">
        <v>2600000</v>
      </c>
      <c r="R679" s="36" t="s">
        <v>1883</v>
      </c>
      <c r="S679" s="38">
        <v>44391</v>
      </c>
      <c r="T679" s="38">
        <v>44210</v>
      </c>
      <c r="U679" s="38">
        <v>46387</v>
      </c>
      <c r="V679" s="27" t="s">
        <v>9308</v>
      </c>
      <c r="W679" s="36" t="s">
        <v>1043</v>
      </c>
      <c r="X679" s="36" t="s">
        <v>558</v>
      </c>
      <c r="Y679" s="36" t="s">
        <v>125</v>
      </c>
      <c r="Z679" s="36" t="s">
        <v>2656</v>
      </c>
      <c r="AA679" s="36" t="s">
        <v>862</v>
      </c>
      <c r="AB679" s="36" t="s">
        <v>861</v>
      </c>
      <c r="AC679" s="36" t="s">
        <v>863</v>
      </c>
      <c r="AD679" s="37">
        <v>2.2999999999999998</v>
      </c>
      <c r="AE679" s="36" t="s">
        <v>864</v>
      </c>
      <c r="AF679" s="37"/>
    </row>
    <row r="680" spans="2:32" ht="60" customHeight="1" x14ac:dyDescent="0.25">
      <c r="B680" s="31" t="s">
        <v>2658</v>
      </c>
      <c r="C680" s="41">
        <v>2021</v>
      </c>
      <c r="D680" s="42">
        <f t="shared" si="10"/>
        <v>2026</v>
      </c>
      <c r="E680" s="31" t="s">
        <v>126</v>
      </c>
      <c r="F680" s="31" t="s">
        <v>2659</v>
      </c>
      <c r="G680" s="31" t="s">
        <v>2660</v>
      </c>
      <c r="H680" s="31" t="s">
        <v>172</v>
      </c>
      <c r="I680" s="31" t="s">
        <v>2501</v>
      </c>
      <c r="J680" s="31" t="s">
        <v>2502</v>
      </c>
      <c r="K680" s="31" t="s">
        <v>263</v>
      </c>
      <c r="L680" s="31" t="s">
        <v>127</v>
      </c>
      <c r="M680" s="34">
        <v>10232929200</v>
      </c>
      <c r="N680" s="34">
        <v>0</v>
      </c>
      <c r="O680" s="34">
        <v>10232929200</v>
      </c>
      <c r="P680" s="31" t="s">
        <v>122</v>
      </c>
      <c r="Q680" s="34">
        <v>15600000</v>
      </c>
      <c r="R680" s="31" t="s">
        <v>1883</v>
      </c>
      <c r="S680" s="35">
        <v>44391</v>
      </c>
      <c r="T680" s="35">
        <v>44210</v>
      </c>
      <c r="U680" s="35">
        <v>46387</v>
      </c>
      <c r="V680" s="27" t="s">
        <v>9308</v>
      </c>
      <c r="W680" s="31" t="s">
        <v>1043</v>
      </c>
      <c r="X680" s="31" t="s">
        <v>558</v>
      </c>
      <c r="Y680" s="31" t="s">
        <v>125</v>
      </c>
      <c r="Z680" s="31" t="s">
        <v>2606</v>
      </c>
      <c r="AA680" s="31" t="s">
        <v>561</v>
      </c>
      <c r="AB680" s="31" t="s">
        <v>560</v>
      </c>
      <c r="AC680" s="31" t="s">
        <v>562</v>
      </c>
      <c r="AD680" s="34">
        <v>6.1</v>
      </c>
      <c r="AE680" s="31" t="s">
        <v>563</v>
      </c>
      <c r="AF680" s="34"/>
    </row>
    <row r="681" spans="2:32" ht="60" customHeight="1" x14ac:dyDescent="0.25">
      <c r="B681" s="36" t="s">
        <v>2661</v>
      </c>
      <c r="C681" s="42">
        <v>2021</v>
      </c>
      <c r="D681" s="42">
        <f t="shared" si="10"/>
        <v>2026</v>
      </c>
      <c r="E681" s="36" t="s">
        <v>126</v>
      </c>
      <c r="F681" s="36" t="s">
        <v>2662</v>
      </c>
      <c r="G681" s="36" t="s">
        <v>2663</v>
      </c>
      <c r="H681" s="36" t="s">
        <v>172</v>
      </c>
      <c r="I681" s="36" t="s">
        <v>2501</v>
      </c>
      <c r="J681" s="36" t="s">
        <v>2502</v>
      </c>
      <c r="K681" s="36" t="s">
        <v>216</v>
      </c>
      <c r="L681" s="36" t="s">
        <v>127</v>
      </c>
      <c r="M681" s="37">
        <v>196787100</v>
      </c>
      <c r="N681" s="37">
        <v>0</v>
      </c>
      <c r="O681" s="37">
        <v>196787100</v>
      </c>
      <c r="P681" s="36" t="s">
        <v>122</v>
      </c>
      <c r="Q681" s="37">
        <v>300000</v>
      </c>
      <c r="R681" s="36" t="s">
        <v>1883</v>
      </c>
      <c r="S681" s="38">
        <v>44391</v>
      </c>
      <c r="T681" s="38">
        <v>44210</v>
      </c>
      <c r="U681" s="38">
        <v>46387</v>
      </c>
      <c r="V681" s="27" t="s">
        <v>9308</v>
      </c>
      <c r="W681" s="36" t="s">
        <v>1043</v>
      </c>
      <c r="X681" s="36" t="s">
        <v>558</v>
      </c>
      <c r="Y681" s="36" t="s">
        <v>125</v>
      </c>
      <c r="Z681" s="36" t="s">
        <v>1688</v>
      </c>
      <c r="AA681" s="36" t="s">
        <v>561</v>
      </c>
      <c r="AB681" s="36" t="s">
        <v>560</v>
      </c>
      <c r="AC681" s="36" t="s">
        <v>989</v>
      </c>
      <c r="AD681" s="37">
        <v>3.8</v>
      </c>
      <c r="AE681" s="36" t="s">
        <v>902</v>
      </c>
      <c r="AF681" s="37"/>
    </row>
    <row r="682" spans="2:32" ht="60" customHeight="1" x14ac:dyDescent="0.25">
      <c r="B682" s="31" t="s">
        <v>2664</v>
      </c>
      <c r="C682" s="41">
        <v>2021</v>
      </c>
      <c r="D682" s="42">
        <f t="shared" si="10"/>
        <v>2026</v>
      </c>
      <c r="E682" s="31" t="s">
        <v>126</v>
      </c>
      <c r="F682" s="31" t="s">
        <v>2665</v>
      </c>
      <c r="G682" s="31" t="s">
        <v>2667</v>
      </c>
      <c r="H682" s="31" t="s">
        <v>172</v>
      </c>
      <c r="I682" s="31" t="s">
        <v>2501</v>
      </c>
      <c r="J682" s="31" t="s">
        <v>2502</v>
      </c>
      <c r="K682" s="31" t="s">
        <v>205</v>
      </c>
      <c r="L682" s="31" t="s">
        <v>127</v>
      </c>
      <c r="M682" s="34">
        <v>9970546400</v>
      </c>
      <c r="N682" s="34">
        <v>0</v>
      </c>
      <c r="O682" s="34">
        <v>9970546400</v>
      </c>
      <c r="P682" s="31" t="s">
        <v>122</v>
      </c>
      <c r="Q682" s="34">
        <v>15200000</v>
      </c>
      <c r="R682" s="31" t="s">
        <v>1883</v>
      </c>
      <c r="S682" s="35">
        <v>44391</v>
      </c>
      <c r="T682" s="35">
        <v>44210</v>
      </c>
      <c r="U682" s="35">
        <v>46387</v>
      </c>
      <c r="V682" s="27" t="s">
        <v>9468</v>
      </c>
      <c r="W682" s="31" t="s">
        <v>1043</v>
      </c>
      <c r="X682" s="31" t="s">
        <v>558</v>
      </c>
      <c r="Y682" s="31" t="s">
        <v>125</v>
      </c>
      <c r="Z682" s="31" t="s">
        <v>2666</v>
      </c>
      <c r="AA682" s="31" t="s">
        <v>1012</v>
      </c>
      <c r="AB682" s="31" t="s">
        <v>560</v>
      </c>
      <c r="AC682" s="31" t="s">
        <v>939</v>
      </c>
      <c r="AD682" s="34">
        <v>11.3</v>
      </c>
      <c r="AE682" s="31" t="s">
        <v>563</v>
      </c>
      <c r="AF682" s="34"/>
    </row>
    <row r="683" spans="2:32" ht="60" customHeight="1" x14ac:dyDescent="0.25">
      <c r="B683" s="36" t="s">
        <v>2669</v>
      </c>
      <c r="C683" s="33">
        <v>2021</v>
      </c>
      <c r="D683" s="33">
        <f t="shared" si="10"/>
        <v>2022</v>
      </c>
      <c r="E683" s="36" t="s">
        <v>1048</v>
      </c>
      <c r="F683" s="36" t="s">
        <v>2665</v>
      </c>
      <c r="G683" s="36" t="s">
        <v>2670</v>
      </c>
      <c r="H683" s="36" t="s">
        <v>172</v>
      </c>
      <c r="I683" s="36" t="s">
        <v>2501</v>
      </c>
      <c r="J683" s="36" t="s">
        <v>2502</v>
      </c>
      <c r="K683" s="36" t="s">
        <v>205</v>
      </c>
      <c r="L683" s="36" t="s">
        <v>127</v>
      </c>
      <c r="M683" s="37">
        <v>9970546400</v>
      </c>
      <c r="N683" s="37">
        <v>0</v>
      </c>
      <c r="O683" s="37">
        <v>9970546400</v>
      </c>
      <c r="P683" s="36" t="s">
        <v>122</v>
      </c>
      <c r="Q683" s="37">
        <v>15200000</v>
      </c>
      <c r="R683" s="36" t="s">
        <v>1883</v>
      </c>
      <c r="S683" s="38">
        <v>44392</v>
      </c>
      <c r="T683" s="38">
        <v>44210</v>
      </c>
      <c r="U683" s="38">
        <v>44926</v>
      </c>
      <c r="V683" s="27" t="s">
        <v>9468</v>
      </c>
      <c r="W683" s="36" t="s">
        <v>1043</v>
      </c>
      <c r="X683" s="36" t="s">
        <v>558</v>
      </c>
      <c r="Y683" s="36" t="s">
        <v>125</v>
      </c>
      <c r="Z683" s="36" t="s">
        <v>2666</v>
      </c>
      <c r="AA683" s="36" t="s">
        <v>1012</v>
      </c>
      <c r="AB683" s="36" t="s">
        <v>560</v>
      </c>
      <c r="AC683" s="36" t="s">
        <v>939</v>
      </c>
      <c r="AD683" s="37">
        <v>11.3</v>
      </c>
      <c r="AE683" s="36" t="s">
        <v>563</v>
      </c>
      <c r="AF683" s="37"/>
    </row>
    <row r="684" spans="2:32" ht="60" customHeight="1" x14ac:dyDescent="0.25">
      <c r="B684" s="31" t="s">
        <v>2671</v>
      </c>
      <c r="C684" s="41">
        <v>2021</v>
      </c>
      <c r="D684" s="42">
        <f t="shared" si="10"/>
        <v>2026</v>
      </c>
      <c r="E684" s="31" t="s">
        <v>317</v>
      </c>
      <c r="F684" s="31" t="s">
        <v>2672</v>
      </c>
      <c r="G684" s="31" t="s">
        <v>2674</v>
      </c>
      <c r="H684" s="31" t="s">
        <v>172</v>
      </c>
      <c r="I684" s="31" t="s">
        <v>2501</v>
      </c>
      <c r="J684" s="31" t="s">
        <v>2502</v>
      </c>
      <c r="K684" s="31" t="s">
        <v>315</v>
      </c>
      <c r="L684" s="31" t="s">
        <v>127</v>
      </c>
      <c r="M684" s="34">
        <v>33584998400</v>
      </c>
      <c r="N684" s="34">
        <v>0</v>
      </c>
      <c r="O684" s="34">
        <v>33584998400</v>
      </c>
      <c r="P684" s="31" t="s">
        <v>122</v>
      </c>
      <c r="Q684" s="34">
        <v>51200000</v>
      </c>
      <c r="R684" s="31" t="s">
        <v>1883</v>
      </c>
      <c r="S684" s="35">
        <v>44391</v>
      </c>
      <c r="T684" s="35">
        <v>44210</v>
      </c>
      <c r="U684" s="35">
        <v>46387</v>
      </c>
      <c r="V684" s="27" t="s">
        <v>9308</v>
      </c>
      <c r="W684" s="31" t="s">
        <v>1043</v>
      </c>
      <c r="X684" s="31" t="s">
        <v>558</v>
      </c>
      <c r="Y684" s="31" t="s">
        <v>125</v>
      </c>
      <c r="Z684" s="31" t="s">
        <v>2673</v>
      </c>
      <c r="AA684" s="31" t="s">
        <v>900</v>
      </c>
      <c r="AB684" s="31" t="s">
        <v>861</v>
      </c>
      <c r="AC684" s="31" t="s">
        <v>901</v>
      </c>
      <c r="AD684" s="34">
        <v>4.0999999999999996</v>
      </c>
      <c r="AE684" s="31" t="s">
        <v>902</v>
      </c>
      <c r="AF684" s="34"/>
    </row>
    <row r="685" spans="2:32" ht="60" customHeight="1" x14ac:dyDescent="0.25">
      <c r="B685" s="36" t="s">
        <v>2675</v>
      </c>
      <c r="C685" s="42">
        <v>2021</v>
      </c>
      <c r="D685" s="42">
        <f t="shared" si="10"/>
        <v>2026</v>
      </c>
      <c r="E685" s="36" t="s">
        <v>126</v>
      </c>
      <c r="F685" s="36" t="s">
        <v>2676</v>
      </c>
      <c r="G685" s="36" t="s">
        <v>2677</v>
      </c>
      <c r="H685" s="36" t="s">
        <v>172</v>
      </c>
      <c r="I685" s="36" t="s">
        <v>2501</v>
      </c>
      <c r="J685" s="36" t="s">
        <v>2502</v>
      </c>
      <c r="K685" s="36" t="s">
        <v>315</v>
      </c>
      <c r="L685" s="36" t="s">
        <v>127</v>
      </c>
      <c r="M685" s="37">
        <v>4198124800</v>
      </c>
      <c r="N685" s="37">
        <v>0</v>
      </c>
      <c r="O685" s="37">
        <v>4198124800</v>
      </c>
      <c r="P685" s="36" t="s">
        <v>122</v>
      </c>
      <c r="Q685" s="37">
        <v>6400000</v>
      </c>
      <c r="R685" s="36" t="s">
        <v>1883</v>
      </c>
      <c r="S685" s="38">
        <v>44391</v>
      </c>
      <c r="T685" s="38">
        <v>44210</v>
      </c>
      <c r="U685" s="38">
        <v>46387</v>
      </c>
      <c r="V685" s="27" t="s">
        <v>9308</v>
      </c>
      <c r="W685" s="36" t="s">
        <v>1043</v>
      </c>
      <c r="X685" s="36" t="s">
        <v>558</v>
      </c>
      <c r="Y685" s="36" t="s">
        <v>125</v>
      </c>
      <c r="Z685" s="36" t="s">
        <v>1146</v>
      </c>
      <c r="AA685" s="36" t="s">
        <v>900</v>
      </c>
      <c r="AB685" s="36" t="s">
        <v>861</v>
      </c>
      <c r="AC685" s="36" t="s">
        <v>901</v>
      </c>
      <c r="AD685" s="37">
        <v>4.0999999999999996</v>
      </c>
      <c r="AE685" s="36" t="s">
        <v>902</v>
      </c>
      <c r="AF685" s="37"/>
    </row>
    <row r="686" spans="2:32" ht="60" customHeight="1" x14ac:dyDescent="0.25">
      <c r="B686" s="31" t="s">
        <v>2678</v>
      </c>
      <c r="C686" s="41">
        <v>2021</v>
      </c>
      <c r="D686" s="42">
        <f t="shared" si="10"/>
        <v>2026</v>
      </c>
      <c r="E686" s="31" t="s">
        <v>126</v>
      </c>
      <c r="F686" s="31" t="s">
        <v>2679</v>
      </c>
      <c r="G686" s="31" t="s">
        <v>2680</v>
      </c>
      <c r="H686" s="31" t="s">
        <v>172</v>
      </c>
      <c r="I686" s="31" t="s">
        <v>2501</v>
      </c>
      <c r="J686" s="31" t="s">
        <v>2502</v>
      </c>
      <c r="K686" s="31" t="s">
        <v>118</v>
      </c>
      <c r="L686" s="31" t="s">
        <v>127</v>
      </c>
      <c r="M686" s="34">
        <v>3017402200</v>
      </c>
      <c r="N686" s="34">
        <v>0</v>
      </c>
      <c r="O686" s="34">
        <v>3017402200</v>
      </c>
      <c r="P686" s="31" t="s">
        <v>122</v>
      </c>
      <c r="Q686" s="34">
        <v>4600000</v>
      </c>
      <c r="R686" s="31" t="s">
        <v>1883</v>
      </c>
      <c r="S686" s="35">
        <v>44391</v>
      </c>
      <c r="T686" s="35">
        <v>44210</v>
      </c>
      <c r="U686" s="35">
        <v>46387</v>
      </c>
      <c r="V686" s="27" t="s">
        <v>9308</v>
      </c>
      <c r="W686" s="31" t="s">
        <v>1043</v>
      </c>
      <c r="X686" s="31" t="s">
        <v>558</v>
      </c>
      <c r="Y686" s="31" t="s">
        <v>125</v>
      </c>
      <c r="Z686" s="31" t="s">
        <v>1275</v>
      </c>
      <c r="AA686" s="31" t="s">
        <v>862</v>
      </c>
      <c r="AB686" s="31" t="s">
        <v>861</v>
      </c>
      <c r="AC686" s="31" t="s">
        <v>1173</v>
      </c>
      <c r="AD686" s="34">
        <v>7.1</v>
      </c>
      <c r="AE686" s="31" t="s">
        <v>864</v>
      </c>
      <c r="AF686" s="34"/>
    </row>
    <row r="687" spans="2:32" ht="60" customHeight="1" x14ac:dyDescent="0.25">
      <c r="B687" s="36" t="s">
        <v>2681</v>
      </c>
      <c r="C687" s="42">
        <v>2021</v>
      </c>
      <c r="D687" s="42">
        <f t="shared" si="10"/>
        <v>2026</v>
      </c>
      <c r="E687" s="36" t="s">
        <v>126</v>
      </c>
      <c r="F687" s="36" t="s">
        <v>2682</v>
      </c>
      <c r="G687" s="36" t="s">
        <v>2684</v>
      </c>
      <c r="H687" s="36" t="s">
        <v>172</v>
      </c>
      <c r="I687" s="36" t="s">
        <v>2501</v>
      </c>
      <c r="J687" s="36" t="s">
        <v>2502</v>
      </c>
      <c r="K687" s="36" t="s">
        <v>369</v>
      </c>
      <c r="L687" s="36" t="s">
        <v>127</v>
      </c>
      <c r="M687" s="37">
        <v>327978500</v>
      </c>
      <c r="N687" s="37">
        <v>0</v>
      </c>
      <c r="O687" s="37">
        <v>327978500</v>
      </c>
      <c r="P687" s="36" t="s">
        <v>122</v>
      </c>
      <c r="Q687" s="37">
        <v>500000</v>
      </c>
      <c r="R687" s="36" t="s">
        <v>1883</v>
      </c>
      <c r="S687" s="38">
        <v>44391</v>
      </c>
      <c r="T687" s="38">
        <v>44210</v>
      </c>
      <c r="U687" s="38">
        <v>46387</v>
      </c>
      <c r="V687" s="27" t="s">
        <v>9308</v>
      </c>
      <c r="W687" s="36" t="s">
        <v>1043</v>
      </c>
      <c r="X687" s="36" t="s">
        <v>558</v>
      </c>
      <c r="Y687" s="36" t="s">
        <v>125</v>
      </c>
      <c r="Z687" s="36" t="s">
        <v>2683</v>
      </c>
      <c r="AA687" s="36" t="s">
        <v>862</v>
      </c>
      <c r="AB687" s="36" t="s">
        <v>861</v>
      </c>
      <c r="AC687" s="36" t="s">
        <v>971</v>
      </c>
      <c r="AD687" s="37">
        <v>9.1</v>
      </c>
      <c r="AE687" s="36" t="s">
        <v>864</v>
      </c>
      <c r="AF687" s="37"/>
    </row>
    <row r="688" spans="2:32" ht="60" customHeight="1" x14ac:dyDescent="0.25">
      <c r="B688" s="31" t="s">
        <v>2685</v>
      </c>
      <c r="C688" s="41">
        <v>2021</v>
      </c>
      <c r="D688" s="42">
        <f t="shared" si="10"/>
        <v>2026</v>
      </c>
      <c r="E688" s="31" t="s">
        <v>317</v>
      </c>
      <c r="F688" s="31" t="s">
        <v>2686</v>
      </c>
      <c r="G688" s="31" t="s">
        <v>2687</v>
      </c>
      <c r="H688" s="31" t="s">
        <v>172</v>
      </c>
      <c r="I688" s="31" t="s">
        <v>2501</v>
      </c>
      <c r="J688" s="31" t="s">
        <v>2502</v>
      </c>
      <c r="K688" s="31" t="s">
        <v>190</v>
      </c>
      <c r="L688" s="31" t="s">
        <v>127</v>
      </c>
      <c r="M688" s="34">
        <v>3673359200</v>
      </c>
      <c r="N688" s="34">
        <v>0</v>
      </c>
      <c r="O688" s="34">
        <v>3673359200</v>
      </c>
      <c r="P688" s="31" t="s">
        <v>122</v>
      </c>
      <c r="Q688" s="34">
        <v>5600000</v>
      </c>
      <c r="R688" s="31" t="s">
        <v>1883</v>
      </c>
      <c r="S688" s="35">
        <v>44391</v>
      </c>
      <c r="T688" s="35">
        <v>44210</v>
      </c>
      <c r="U688" s="35">
        <v>46387</v>
      </c>
      <c r="V688" s="27" t="s">
        <v>9308</v>
      </c>
      <c r="W688" s="31" t="s">
        <v>1043</v>
      </c>
      <c r="X688" s="31" t="s">
        <v>558</v>
      </c>
      <c r="Y688" s="31" t="s">
        <v>125</v>
      </c>
      <c r="Z688" s="31" t="s">
        <v>856</v>
      </c>
      <c r="AA688" s="31" t="s">
        <v>862</v>
      </c>
      <c r="AB688" s="31" t="s">
        <v>861</v>
      </c>
      <c r="AC688" s="31" t="s">
        <v>863</v>
      </c>
      <c r="AD688" s="34">
        <v>2.2999999999999998</v>
      </c>
      <c r="AE688" s="31" t="s">
        <v>864</v>
      </c>
      <c r="AF688" s="34"/>
    </row>
    <row r="689" spans="2:32" ht="45" customHeight="1" x14ac:dyDescent="0.25">
      <c r="B689" s="36" t="s">
        <v>2688</v>
      </c>
      <c r="C689" s="42">
        <v>2021</v>
      </c>
      <c r="D689" s="42">
        <f t="shared" si="10"/>
        <v>2026</v>
      </c>
      <c r="E689" s="36" t="s">
        <v>126</v>
      </c>
      <c r="F689" s="36" t="s">
        <v>2689</v>
      </c>
      <c r="G689" s="36" t="s">
        <v>2690</v>
      </c>
      <c r="H689" s="36" t="s">
        <v>172</v>
      </c>
      <c r="I689" s="36" t="s">
        <v>2501</v>
      </c>
      <c r="J689" s="36" t="s">
        <v>2502</v>
      </c>
      <c r="K689" s="36" t="s">
        <v>263</v>
      </c>
      <c r="L689" s="36" t="s">
        <v>127</v>
      </c>
      <c r="M689" s="37">
        <v>15414989500</v>
      </c>
      <c r="N689" s="37">
        <v>0</v>
      </c>
      <c r="O689" s="37">
        <v>15414989500</v>
      </c>
      <c r="P689" s="36" t="s">
        <v>122</v>
      </c>
      <c r="Q689" s="37">
        <v>23500000</v>
      </c>
      <c r="R689" s="36" t="s">
        <v>1883</v>
      </c>
      <c r="S689" s="38">
        <v>44391</v>
      </c>
      <c r="T689" s="38">
        <v>44210</v>
      </c>
      <c r="U689" s="38">
        <v>46387</v>
      </c>
      <c r="V689" s="27" t="s">
        <v>9308</v>
      </c>
      <c r="W689" s="36" t="s">
        <v>1043</v>
      </c>
      <c r="X689" s="36" t="s">
        <v>558</v>
      </c>
      <c r="Y689" s="36" t="s">
        <v>125</v>
      </c>
      <c r="Z689" s="36" t="s">
        <v>2598</v>
      </c>
      <c r="AA689" s="36" t="s">
        <v>561</v>
      </c>
      <c r="AB689" s="36" t="s">
        <v>560</v>
      </c>
      <c r="AC689" s="36" t="s">
        <v>562</v>
      </c>
      <c r="AD689" s="37">
        <v>6.1</v>
      </c>
      <c r="AE689" s="36" t="s">
        <v>563</v>
      </c>
      <c r="AF689" s="37"/>
    </row>
    <row r="690" spans="2:32" ht="45" customHeight="1" x14ac:dyDescent="0.25">
      <c r="B690" s="31" t="s">
        <v>2691</v>
      </c>
      <c r="C690" s="41">
        <v>2021</v>
      </c>
      <c r="D690" s="42">
        <f t="shared" si="10"/>
        <v>2026</v>
      </c>
      <c r="E690" s="31" t="s">
        <v>126</v>
      </c>
      <c r="F690" s="31" t="s">
        <v>2692</v>
      </c>
      <c r="G690" s="31" t="s">
        <v>2693</v>
      </c>
      <c r="H690" s="31" t="s">
        <v>172</v>
      </c>
      <c r="I690" s="31" t="s">
        <v>2501</v>
      </c>
      <c r="J690" s="31" t="s">
        <v>2502</v>
      </c>
      <c r="K690" s="31" t="s">
        <v>263</v>
      </c>
      <c r="L690" s="31" t="s">
        <v>127</v>
      </c>
      <c r="M690" s="34">
        <v>10626503400</v>
      </c>
      <c r="N690" s="34">
        <v>0</v>
      </c>
      <c r="O690" s="34">
        <v>10626503400</v>
      </c>
      <c r="P690" s="31" t="s">
        <v>122</v>
      </c>
      <c r="Q690" s="34">
        <v>16200000</v>
      </c>
      <c r="R690" s="31" t="s">
        <v>1883</v>
      </c>
      <c r="S690" s="35">
        <v>44391</v>
      </c>
      <c r="T690" s="35">
        <v>44210</v>
      </c>
      <c r="U690" s="35">
        <v>46387</v>
      </c>
      <c r="V690" s="27" t="s">
        <v>9308</v>
      </c>
      <c r="W690" s="31" t="s">
        <v>1043</v>
      </c>
      <c r="X690" s="31" t="s">
        <v>558</v>
      </c>
      <c r="Y690" s="31" t="s">
        <v>125</v>
      </c>
      <c r="Z690" s="31" t="s">
        <v>2606</v>
      </c>
      <c r="AA690" s="31" t="s">
        <v>561</v>
      </c>
      <c r="AB690" s="31" t="s">
        <v>560</v>
      </c>
      <c r="AC690" s="31" t="s">
        <v>562</v>
      </c>
      <c r="AD690" s="34">
        <v>6.1</v>
      </c>
      <c r="AE690" s="31" t="s">
        <v>563</v>
      </c>
      <c r="AF690" s="34"/>
    </row>
    <row r="691" spans="2:32" ht="60" customHeight="1" x14ac:dyDescent="0.25">
      <c r="B691" s="36" t="s">
        <v>2694</v>
      </c>
      <c r="C691" s="42">
        <v>2021</v>
      </c>
      <c r="D691" s="42">
        <f t="shared" si="10"/>
        <v>2026</v>
      </c>
      <c r="E691" s="36" t="s">
        <v>317</v>
      </c>
      <c r="F691" s="36" t="s">
        <v>2695</v>
      </c>
      <c r="G691" s="36" t="s">
        <v>2696</v>
      </c>
      <c r="H691" s="36" t="s">
        <v>172</v>
      </c>
      <c r="I691" s="36" t="s">
        <v>2501</v>
      </c>
      <c r="J691" s="36" t="s">
        <v>2502</v>
      </c>
      <c r="K691" s="36" t="s">
        <v>216</v>
      </c>
      <c r="L691" s="36" t="s">
        <v>127</v>
      </c>
      <c r="M691" s="37">
        <v>4591699000</v>
      </c>
      <c r="N691" s="37">
        <v>0</v>
      </c>
      <c r="O691" s="37">
        <v>4591699000</v>
      </c>
      <c r="P691" s="36" t="s">
        <v>122</v>
      </c>
      <c r="Q691" s="37">
        <v>7000000</v>
      </c>
      <c r="R691" s="36" t="s">
        <v>1883</v>
      </c>
      <c r="S691" s="38">
        <v>44391</v>
      </c>
      <c r="T691" s="38">
        <v>44210</v>
      </c>
      <c r="U691" s="38">
        <v>46387</v>
      </c>
      <c r="V691" s="27" t="s">
        <v>9308</v>
      </c>
      <c r="W691" s="36" t="s">
        <v>1043</v>
      </c>
      <c r="X691" s="36" t="s">
        <v>558</v>
      </c>
      <c r="Y691" s="36" t="s">
        <v>125</v>
      </c>
      <c r="Z691" s="36" t="s">
        <v>1064</v>
      </c>
      <c r="AA691" s="36" t="s">
        <v>561</v>
      </c>
      <c r="AB691" s="36" t="s">
        <v>560</v>
      </c>
      <c r="AC691" s="36" t="s">
        <v>989</v>
      </c>
      <c r="AD691" s="37">
        <v>3.8</v>
      </c>
      <c r="AE691" s="36" t="s">
        <v>902</v>
      </c>
      <c r="AF691" s="37"/>
    </row>
    <row r="692" spans="2:32" ht="60" customHeight="1" x14ac:dyDescent="0.25">
      <c r="B692" s="31" t="s">
        <v>2697</v>
      </c>
      <c r="C692" s="41">
        <v>2021</v>
      </c>
      <c r="D692" s="42">
        <f t="shared" si="10"/>
        <v>2026</v>
      </c>
      <c r="E692" s="31" t="s">
        <v>317</v>
      </c>
      <c r="F692" s="31" t="s">
        <v>2698</v>
      </c>
      <c r="G692" s="31" t="s">
        <v>2699</v>
      </c>
      <c r="H692" s="31" t="s">
        <v>172</v>
      </c>
      <c r="I692" s="31" t="s">
        <v>2501</v>
      </c>
      <c r="J692" s="31" t="s">
        <v>2502</v>
      </c>
      <c r="K692" s="31" t="s">
        <v>216</v>
      </c>
      <c r="L692" s="31" t="s">
        <v>127</v>
      </c>
      <c r="M692" s="34">
        <v>6034804400</v>
      </c>
      <c r="N692" s="34">
        <v>0</v>
      </c>
      <c r="O692" s="34">
        <v>6034804400</v>
      </c>
      <c r="P692" s="31" t="s">
        <v>122</v>
      </c>
      <c r="Q692" s="34">
        <v>9200000</v>
      </c>
      <c r="R692" s="31" t="s">
        <v>1883</v>
      </c>
      <c r="S692" s="35">
        <v>44391</v>
      </c>
      <c r="T692" s="35">
        <v>44210</v>
      </c>
      <c r="U692" s="35">
        <v>46387</v>
      </c>
      <c r="V692" s="27" t="s">
        <v>9469</v>
      </c>
      <c r="W692" s="31" t="s">
        <v>1043</v>
      </c>
      <c r="X692" s="31" t="s">
        <v>558</v>
      </c>
      <c r="Y692" s="31" t="s">
        <v>125</v>
      </c>
      <c r="Z692" s="31" t="s">
        <v>1064</v>
      </c>
      <c r="AA692" s="31" t="s">
        <v>561</v>
      </c>
      <c r="AB692" s="31" t="s">
        <v>560</v>
      </c>
      <c r="AC692" s="31" t="s">
        <v>989</v>
      </c>
      <c r="AD692" s="34">
        <v>3.8</v>
      </c>
      <c r="AE692" s="31" t="s">
        <v>902</v>
      </c>
      <c r="AF692" s="34"/>
    </row>
    <row r="693" spans="2:32" ht="45" customHeight="1" x14ac:dyDescent="0.25">
      <c r="B693" s="36" t="s">
        <v>2703</v>
      </c>
      <c r="C693" s="42">
        <v>2021</v>
      </c>
      <c r="D693" s="42">
        <f t="shared" si="10"/>
        <v>2026</v>
      </c>
      <c r="E693" s="36" t="s">
        <v>317</v>
      </c>
      <c r="F693" s="36" t="s">
        <v>2704</v>
      </c>
      <c r="G693" s="36" t="s">
        <v>2705</v>
      </c>
      <c r="H693" s="36" t="s">
        <v>172</v>
      </c>
      <c r="I693" s="36" t="s">
        <v>2501</v>
      </c>
      <c r="J693" s="36" t="s">
        <v>2502</v>
      </c>
      <c r="K693" s="36" t="s">
        <v>216</v>
      </c>
      <c r="L693" s="36" t="s">
        <v>127</v>
      </c>
      <c r="M693" s="37">
        <v>524765600</v>
      </c>
      <c r="N693" s="37">
        <v>0</v>
      </c>
      <c r="O693" s="37">
        <v>524765600</v>
      </c>
      <c r="P693" s="36" t="s">
        <v>122</v>
      </c>
      <c r="Q693" s="37">
        <v>800000</v>
      </c>
      <c r="R693" s="36" t="s">
        <v>1883</v>
      </c>
      <c r="S693" s="38">
        <v>44391</v>
      </c>
      <c r="T693" s="38">
        <v>44210</v>
      </c>
      <c r="U693" s="38">
        <v>46387</v>
      </c>
      <c r="V693" s="27" t="s">
        <v>9308</v>
      </c>
      <c r="W693" s="36" t="s">
        <v>1043</v>
      </c>
      <c r="X693" s="36" t="s">
        <v>558</v>
      </c>
      <c r="Y693" s="36" t="s">
        <v>125</v>
      </c>
      <c r="Z693" s="36" t="s">
        <v>1103</v>
      </c>
      <c r="AA693" s="36" t="s">
        <v>561</v>
      </c>
      <c r="AB693" s="36" t="s">
        <v>560</v>
      </c>
      <c r="AC693" s="36" t="s">
        <v>989</v>
      </c>
      <c r="AD693" s="37">
        <v>3.8</v>
      </c>
      <c r="AE693" s="36" t="s">
        <v>902</v>
      </c>
      <c r="AF693" s="37"/>
    </row>
    <row r="694" spans="2:32" ht="60" customHeight="1" x14ac:dyDescent="0.25">
      <c r="B694" s="31" t="s">
        <v>2706</v>
      </c>
      <c r="C694" s="41">
        <v>2021</v>
      </c>
      <c r="D694" s="42">
        <f t="shared" si="10"/>
        <v>2026</v>
      </c>
      <c r="E694" s="31" t="s">
        <v>317</v>
      </c>
      <c r="F694" s="31" t="s">
        <v>2707</v>
      </c>
      <c r="G694" s="31" t="s">
        <v>2708</v>
      </c>
      <c r="H694" s="31" t="s">
        <v>172</v>
      </c>
      <c r="I694" s="31" t="s">
        <v>2501</v>
      </c>
      <c r="J694" s="31" t="s">
        <v>2502</v>
      </c>
      <c r="K694" s="31" t="s">
        <v>216</v>
      </c>
      <c r="L694" s="31" t="s">
        <v>127</v>
      </c>
      <c r="M694" s="34">
        <v>4066933400</v>
      </c>
      <c r="N694" s="34">
        <v>0</v>
      </c>
      <c r="O694" s="34">
        <v>4066933400</v>
      </c>
      <c r="P694" s="31" t="s">
        <v>122</v>
      </c>
      <c r="Q694" s="34">
        <v>6200000</v>
      </c>
      <c r="R694" s="31" t="s">
        <v>1883</v>
      </c>
      <c r="S694" s="35">
        <v>44391</v>
      </c>
      <c r="T694" s="35">
        <v>44210</v>
      </c>
      <c r="U694" s="35">
        <v>46387</v>
      </c>
      <c r="V694" s="27" t="s">
        <v>9470</v>
      </c>
      <c r="W694" s="31" t="s">
        <v>1043</v>
      </c>
      <c r="X694" s="31" t="s">
        <v>558</v>
      </c>
      <c r="Y694" s="31" t="s">
        <v>125</v>
      </c>
      <c r="Z694" s="31" t="s">
        <v>1060</v>
      </c>
      <c r="AA694" s="31" t="s">
        <v>561</v>
      </c>
      <c r="AB694" s="31" t="s">
        <v>560</v>
      </c>
      <c r="AC694" s="31" t="s">
        <v>989</v>
      </c>
      <c r="AD694" s="34">
        <v>3.8</v>
      </c>
      <c r="AE694" s="31" t="s">
        <v>902</v>
      </c>
      <c r="AF694" s="34"/>
    </row>
    <row r="695" spans="2:32" ht="60" customHeight="1" x14ac:dyDescent="0.25">
      <c r="B695" s="36" t="s">
        <v>2711</v>
      </c>
      <c r="C695" s="42">
        <v>2021</v>
      </c>
      <c r="D695" s="42">
        <f t="shared" si="10"/>
        <v>2026</v>
      </c>
      <c r="E695" s="36" t="s">
        <v>126</v>
      </c>
      <c r="F695" s="36" t="s">
        <v>2712</v>
      </c>
      <c r="G695" s="36" t="s">
        <v>2714</v>
      </c>
      <c r="H695" s="36" t="s">
        <v>172</v>
      </c>
      <c r="I695" s="36" t="s">
        <v>2501</v>
      </c>
      <c r="J695" s="36" t="s">
        <v>2502</v>
      </c>
      <c r="K695" s="36" t="s">
        <v>205</v>
      </c>
      <c r="L695" s="36" t="s">
        <v>127</v>
      </c>
      <c r="M695" s="37">
        <v>7543505500</v>
      </c>
      <c r="N695" s="37">
        <v>0</v>
      </c>
      <c r="O695" s="37">
        <v>7543505500</v>
      </c>
      <c r="P695" s="36" t="s">
        <v>122</v>
      </c>
      <c r="Q695" s="37">
        <v>11500000</v>
      </c>
      <c r="R695" s="36" t="s">
        <v>1883</v>
      </c>
      <c r="S695" s="38">
        <v>44391</v>
      </c>
      <c r="T695" s="38">
        <v>44210</v>
      </c>
      <c r="U695" s="38">
        <v>46387</v>
      </c>
      <c r="V695" s="27" t="s">
        <v>9411</v>
      </c>
      <c r="W695" s="36" t="s">
        <v>1043</v>
      </c>
      <c r="X695" s="36" t="s">
        <v>558</v>
      </c>
      <c r="Y695" s="36" t="s">
        <v>125</v>
      </c>
      <c r="Z695" s="36" t="s">
        <v>2713</v>
      </c>
      <c r="AA695" s="36" t="s">
        <v>1012</v>
      </c>
      <c r="AB695" s="36" t="s">
        <v>560</v>
      </c>
      <c r="AC695" s="36" t="s">
        <v>939</v>
      </c>
      <c r="AD695" s="37">
        <v>11.3</v>
      </c>
      <c r="AE695" s="36" t="s">
        <v>563</v>
      </c>
      <c r="AF695" s="37"/>
    </row>
    <row r="696" spans="2:32" ht="60" customHeight="1" x14ac:dyDescent="0.25">
      <c r="B696" s="31" t="s">
        <v>2715</v>
      </c>
      <c r="C696" s="41">
        <v>2021</v>
      </c>
      <c r="D696" s="42">
        <f t="shared" si="10"/>
        <v>2026</v>
      </c>
      <c r="E696" s="31" t="s">
        <v>317</v>
      </c>
      <c r="F696" s="31" t="s">
        <v>2716</v>
      </c>
      <c r="G696" s="31" t="s">
        <v>2717</v>
      </c>
      <c r="H696" s="31" t="s">
        <v>172</v>
      </c>
      <c r="I696" s="31" t="s">
        <v>2501</v>
      </c>
      <c r="J696" s="31" t="s">
        <v>2502</v>
      </c>
      <c r="K696" s="31" t="s">
        <v>315</v>
      </c>
      <c r="L696" s="31" t="s">
        <v>127</v>
      </c>
      <c r="M696" s="34">
        <v>10495312000</v>
      </c>
      <c r="N696" s="34">
        <v>0</v>
      </c>
      <c r="O696" s="34">
        <v>10495312000</v>
      </c>
      <c r="P696" s="31" t="s">
        <v>122</v>
      </c>
      <c r="Q696" s="34">
        <v>16000000</v>
      </c>
      <c r="R696" s="31" t="s">
        <v>1883</v>
      </c>
      <c r="S696" s="35">
        <v>44391</v>
      </c>
      <c r="T696" s="35">
        <v>44210</v>
      </c>
      <c r="U696" s="35">
        <v>46387</v>
      </c>
      <c r="V696" s="27" t="s">
        <v>9308</v>
      </c>
      <c r="W696" s="31" t="s">
        <v>1043</v>
      </c>
      <c r="X696" s="31" t="s">
        <v>558</v>
      </c>
      <c r="Y696" s="31" t="s">
        <v>125</v>
      </c>
      <c r="Z696" s="31" t="s">
        <v>998</v>
      </c>
      <c r="AA696" s="31" t="s">
        <v>900</v>
      </c>
      <c r="AB696" s="31" t="s">
        <v>861</v>
      </c>
      <c r="AC696" s="31" t="s">
        <v>901</v>
      </c>
      <c r="AD696" s="34">
        <v>4.0999999999999996</v>
      </c>
      <c r="AE696" s="31" t="s">
        <v>902</v>
      </c>
      <c r="AF696" s="34"/>
    </row>
    <row r="697" spans="2:32" ht="60" customHeight="1" x14ac:dyDescent="0.25">
      <c r="B697" s="36" t="s">
        <v>2718</v>
      </c>
      <c r="C697" s="42">
        <v>2021</v>
      </c>
      <c r="D697" s="42">
        <f t="shared" si="10"/>
        <v>2026</v>
      </c>
      <c r="E697" s="36" t="s">
        <v>126</v>
      </c>
      <c r="F697" s="36" t="s">
        <v>2719</v>
      </c>
      <c r="G697" s="36" t="s">
        <v>2721</v>
      </c>
      <c r="H697" s="36" t="s">
        <v>172</v>
      </c>
      <c r="I697" s="36" t="s">
        <v>2501</v>
      </c>
      <c r="J697" s="36" t="s">
        <v>2502</v>
      </c>
      <c r="K697" s="36" t="s">
        <v>118</v>
      </c>
      <c r="L697" s="36" t="s">
        <v>127</v>
      </c>
      <c r="M697" s="37">
        <v>3148593600</v>
      </c>
      <c r="N697" s="37">
        <v>0</v>
      </c>
      <c r="O697" s="37">
        <v>3148593600</v>
      </c>
      <c r="P697" s="36" t="s">
        <v>122</v>
      </c>
      <c r="Q697" s="37">
        <v>4800000</v>
      </c>
      <c r="R697" s="36" t="s">
        <v>1883</v>
      </c>
      <c r="S697" s="38">
        <v>44391</v>
      </c>
      <c r="T697" s="38">
        <v>44210</v>
      </c>
      <c r="U697" s="38">
        <v>46387</v>
      </c>
      <c r="V697" s="27" t="s">
        <v>9308</v>
      </c>
      <c r="W697" s="36" t="s">
        <v>1043</v>
      </c>
      <c r="X697" s="36" t="s">
        <v>558</v>
      </c>
      <c r="Y697" s="36" t="s">
        <v>125</v>
      </c>
      <c r="Z697" s="36" t="s">
        <v>2720</v>
      </c>
      <c r="AA697" s="36" t="s">
        <v>862</v>
      </c>
      <c r="AB697" s="36" t="s">
        <v>861</v>
      </c>
      <c r="AC697" s="36" t="s">
        <v>1173</v>
      </c>
      <c r="AD697" s="37">
        <v>7.1</v>
      </c>
      <c r="AE697" s="36" t="s">
        <v>864</v>
      </c>
      <c r="AF697" s="37"/>
    </row>
    <row r="698" spans="2:32" ht="60" customHeight="1" x14ac:dyDescent="0.25">
      <c r="B698" s="31" t="s">
        <v>2722</v>
      </c>
      <c r="C698" s="41">
        <v>2021</v>
      </c>
      <c r="D698" s="42">
        <f t="shared" si="10"/>
        <v>2026</v>
      </c>
      <c r="E698" s="31" t="s">
        <v>126</v>
      </c>
      <c r="F698" s="31" t="s">
        <v>2723</v>
      </c>
      <c r="G698" s="31" t="s">
        <v>2724</v>
      </c>
      <c r="H698" s="31" t="s">
        <v>172</v>
      </c>
      <c r="I698" s="31" t="s">
        <v>2501</v>
      </c>
      <c r="J698" s="31" t="s">
        <v>2502</v>
      </c>
      <c r="K698" s="31" t="s">
        <v>369</v>
      </c>
      <c r="L698" s="31" t="s">
        <v>127</v>
      </c>
      <c r="M698" s="34">
        <v>1836679600</v>
      </c>
      <c r="N698" s="34">
        <v>0</v>
      </c>
      <c r="O698" s="34">
        <v>1836679600</v>
      </c>
      <c r="P698" s="31" t="s">
        <v>122</v>
      </c>
      <c r="Q698" s="34">
        <v>2800000</v>
      </c>
      <c r="R698" s="31" t="s">
        <v>1883</v>
      </c>
      <c r="S698" s="35">
        <v>44391</v>
      </c>
      <c r="T698" s="35">
        <v>44210</v>
      </c>
      <c r="U698" s="35">
        <v>46387</v>
      </c>
      <c r="V698" s="27" t="s">
        <v>9308</v>
      </c>
      <c r="W698" s="31" t="s">
        <v>1043</v>
      </c>
      <c r="X698" s="31" t="s">
        <v>558</v>
      </c>
      <c r="Y698" s="31" t="s">
        <v>125</v>
      </c>
      <c r="Z698" s="31" t="s">
        <v>2435</v>
      </c>
      <c r="AA698" s="31" t="s">
        <v>862</v>
      </c>
      <c r="AB698" s="31" t="s">
        <v>861</v>
      </c>
      <c r="AC698" s="31" t="s">
        <v>971</v>
      </c>
      <c r="AD698" s="34">
        <v>9.1</v>
      </c>
      <c r="AE698" s="31" t="s">
        <v>864</v>
      </c>
      <c r="AF698" s="34"/>
    </row>
    <row r="699" spans="2:32" ht="45" customHeight="1" x14ac:dyDescent="0.25">
      <c r="B699" s="36" t="s">
        <v>2725</v>
      </c>
      <c r="C699" s="42">
        <v>2021</v>
      </c>
      <c r="D699" s="42">
        <f t="shared" si="10"/>
        <v>2026</v>
      </c>
      <c r="E699" s="36" t="s">
        <v>126</v>
      </c>
      <c r="F699" s="36" t="s">
        <v>2726</v>
      </c>
      <c r="G699" s="36" t="s">
        <v>2728</v>
      </c>
      <c r="H699" s="36" t="s">
        <v>172</v>
      </c>
      <c r="I699" s="36" t="s">
        <v>2501</v>
      </c>
      <c r="J699" s="36" t="s">
        <v>2502</v>
      </c>
      <c r="K699" s="36" t="s">
        <v>369</v>
      </c>
      <c r="L699" s="36" t="s">
        <v>127</v>
      </c>
      <c r="M699" s="37">
        <v>983935500</v>
      </c>
      <c r="N699" s="37">
        <v>0</v>
      </c>
      <c r="O699" s="37">
        <v>983935500</v>
      </c>
      <c r="P699" s="36" t="s">
        <v>122</v>
      </c>
      <c r="Q699" s="37">
        <v>1500000</v>
      </c>
      <c r="R699" s="36" t="s">
        <v>1883</v>
      </c>
      <c r="S699" s="38">
        <v>44391</v>
      </c>
      <c r="T699" s="38">
        <v>44210</v>
      </c>
      <c r="U699" s="38">
        <v>46387</v>
      </c>
      <c r="V699" s="27" t="s">
        <v>9307</v>
      </c>
      <c r="W699" s="36" t="s">
        <v>1043</v>
      </c>
      <c r="X699" s="36" t="s">
        <v>558</v>
      </c>
      <c r="Y699" s="36" t="s">
        <v>125</v>
      </c>
      <c r="Z699" s="36" t="s">
        <v>2727</v>
      </c>
      <c r="AA699" s="36" t="s">
        <v>862</v>
      </c>
      <c r="AB699" s="36" t="s">
        <v>861</v>
      </c>
      <c r="AC699" s="36" t="s">
        <v>971</v>
      </c>
      <c r="AD699" s="37">
        <v>9.1</v>
      </c>
      <c r="AE699" s="36" t="s">
        <v>864</v>
      </c>
      <c r="AF699" s="37"/>
    </row>
    <row r="700" spans="2:32" ht="60" customHeight="1" x14ac:dyDescent="0.25">
      <c r="B700" s="31" t="s">
        <v>2729</v>
      </c>
      <c r="C700" s="41">
        <v>2021</v>
      </c>
      <c r="D700" s="42">
        <f t="shared" si="10"/>
        <v>2026</v>
      </c>
      <c r="E700" s="31" t="s">
        <v>126</v>
      </c>
      <c r="F700" s="31" t="s">
        <v>2730</v>
      </c>
      <c r="G700" s="31" t="s">
        <v>2731</v>
      </c>
      <c r="H700" s="31" t="s">
        <v>172</v>
      </c>
      <c r="I700" s="31" t="s">
        <v>2501</v>
      </c>
      <c r="J700" s="31" t="s">
        <v>2502</v>
      </c>
      <c r="K700" s="31" t="s">
        <v>369</v>
      </c>
      <c r="L700" s="31" t="s">
        <v>127</v>
      </c>
      <c r="M700" s="34">
        <v>852744100</v>
      </c>
      <c r="N700" s="34">
        <v>0</v>
      </c>
      <c r="O700" s="34">
        <v>852744100</v>
      </c>
      <c r="P700" s="31" t="s">
        <v>122</v>
      </c>
      <c r="Q700" s="34">
        <v>1300000</v>
      </c>
      <c r="R700" s="31" t="s">
        <v>1883</v>
      </c>
      <c r="S700" s="35">
        <v>44391</v>
      </c>
      <c r="T700" s="35">
        <v>44210</v>
      </c>
      <c r="U700" s="35">
        <v>46387</v>
      </c>
      <c r="V700" s="27" t="s">
        <v>9308</v>
      </c>
      <c r="W700" s="31" t="s">
        <v>1043</v>
      </c>
      <c r="X700" s="31" t="s">
        <v>558</v>
      </c>
      <c r="Y700" s="31" t="s">
        <v>125</v>
      </c>
      <c r="Z700" s="31" t="s">
        <v>2435</v>
      </c>
      <c r="AA700" s="31" t="s">
        <v>862</v>
      </c>
      <c r="AB700" s="31" t="s">
        <v>861</v>
      </c>
      <c r="AC700" s="31" t="s">
        <v>971</v>
      </c>
      <c r="AD700" s="34">
        <v>9.1</v>
      </c>
      <c r="AE700" s="31" t="s">
        <v>864</v>
      </c>
      <c r="AF700" s="34"/>
    </row>
    <row r="701" spans="2:32" ht="60" customHeight="1" x14ac:dyDescent="0.25">
      <c r="B701" s="36" t="s">
        <v>2732</v>
      </c>
      <c r="C701" s="42">
        <v>2021</v>
      </c>
      <c r="D701" s="42">
        <f t="shared" si="10"/>
        <v>2026</v>
      </c>
      <c r="E701" s="36" t="s">
        <v>317</v>
      </c>
      <c r="F701" s="36" t="s">
        <v>2733</v>
      </c>
      <c r="G701" s="36" t="s">
        <v>2735</v>
      </c>
      <c r="H701" s="36" t="s">
        <v>172</v>
      </c>
      <c r="I701" s="36" t="s">
        <v>2501</v>
      </c>
      <c r="J701" s="36" t="s">
        <v>2502</v>
      </c>
      <c r="K701" s="36" t="s">
        <v>526</v>
      </c>
      <c r="L701" s="36" t="s">
        <v>127</v>
      </c>
      <c r="M701" s="37">
        <v>2361445200</v>
      </c>
      <c r="N701" s="37">
        <v>0</v>
      </c>
      <c r="O701" s="37">
        <v>2361445200</v>
      </c>
      <c r="P701" s="36" t="s">
        <v>122</v>
      </c>
      <c r="Q701" s="37">
        <v>3600000</v>
      </c>
      <c r="R701" s="36" t="s">
        <v>1883</v>
      </c>
      <c r="S701" s="38">
        <v>44391</v>
      </c>
      <c r="T701" s="38">
        <v>44210</v>
      </c>
      <c r="U701" s="38">
        <v>46387</v>
      </c>
      <c r="V701" s="27" t="s">
        <v>9308</v>
      </c>
      <c r="W701" s="36" t="s">
        <v>1043</v>
      </c>
      <c r="X701" s="36" t="s">
        <v>558</v>
      </c>
      <c r="Y701" s="36" t="s">
        <v>125</v>
      </c>
      <c r="Z701" s="36" t="s">
        <v>2734</v>
      </c>
      <c r="AA701" s="36" t="s">
        <v>561</v>
      </c>
      <c r="AB701" s="36" t="s">
        <v>560</v>
      </c>
      <c r="AC701" s="36" t="s">
        <v>1022</v>
      </c>
      <c r="AD701" s="37">
        <v>1.3</v>
      </c>
      <c r="AE701" s="36" t="s">
        <v>902</v>
      </c>
      <c r="AF701" s="37"/>
    </row>
    <row r="702" spans="2:32" ht="45" customHeight="1" x14ac:dyDescent="0.25">
      <c r="B702" s="31" t="s">
        <v>2736</v>
      </c>
      <c r="C702" s="41">
        <v>2021</v>
      </c>
      <c r="D702" s="42">
        <f t="shared" si="10"/>
        <v>2026</v>
      </c>
      <c r="E702" s="31" t="s">
        <v>126</v>
      </c>
      <c r="F702" s="31" t="s">
        <v>2737</v>
      </c>
      <c r="G702" s="31" t="s">
        <v>2738</v>
      </c>
      <c r="H702" s="31" t="s">
        <v>172</v>
      </c>
      <c r="I702" s="31" t="s">
        <v>2501</v>
      </c>
      <c r="J702" s="31" t="s">
        <v>2502</v>
      </c>
      <c r="K702" s="31" t="s">
        <v>263</v>
      </c>
      <c r="L702" s="31" t="s">
        <v>127</v>
      </c>
      <c r="M702" s="34">
        <v>3607763500</v>
      </c>
      <c r="N702" s="34">
        <v>0</v>
      </c>
      <c r="O702" s="34">
        <v>3607763500</v>
      </c>
      <c r="P702" s="31" t="s">
        <v>122</v>
      </c>
      <c r="Q702" s="34">
        <v>5500000</v>
      </c>
      <c r="R702" s="31" t="s">
        <v>1883</v>
      </c>
      <c r="S702" s="35">
        <v>44391</v>
      </c>
      <c r="T702" s="35">
        <v>44210</v>
      </c>
      <c r="U702" s="35">
        <v>46387</v>
      </c>
      <c r="V702" s="27" t="s">
        <v>9308</v>
      </c>
      <c r="W702" s="31" t="s">
        <v>1043</v>
      </c>
      <c r="X702" s="31" t="s">
        <v>558</v>
      </c>
      <c r="Y702" s="31" t="s">
        <v>125</v>
      </c>
      <c r="Z702" s="31" t="s">
        <v>2602</v>
      </c>
      <c r="AA702" s="31" t="s">
        <v>561</v>
      </c>
      <c r="AB702" s="31" t="s">
        <v>560</v>
      </c>
      <c r="AC702" s="31" t="s">
        <v>562</v>
      </c>
      <c r="AD702" s="34">
        <v>6.1</v>
      </c>
      <c r="AE702" s="31" t="s">
        <v>563</v>
      </c>
      <c r="AF702" s="34"/>
    </row>
    <row r="703" spans="2:32" ht="60" customHeight="1" x14ac:dyDescent="0.25">
      <c r="B703" s="36" t="s">
        <v>2739</v>
      </c>
      <c r="C703" s="42">
        <v>2021</v>
      </c>
      <c r="D703" s="42">
        <f t="shared" si="10"/>
        <v>2026</v>
      </c>
      <c r="E703" s="36" t="s">
        <v>126</v>
      </c>
      <c r="F703" s="36" t="s">
        <v>2740</v>
      </c>
      <c r="G703" s="36" t="s">
        <v>2741</v>
      </c>
      <c r="H703" s="36" t="s">
        <v>172</v>
      </c>
      <c r="I703" s="36" t="s">
        <v>2501</v>
      </c>
      <c r="J703" s="36" t="s">
        <v>2502</v>
      </c>
      <c r="K703" s="36" t="s">
        <v>263</v>
      </c>
      <c r="L703" s="36" t="s">
        <v>127</v>
      </c>
      <c r="M703" s="37">
        <v>393574200</v>
      </c>
      <c r="N703" s="37">
        <v>0</v>
      </c>
      <c r="O703" s="37">
        <v>393574200</v>
      </c>
      <c r="P703" s="36" t="s">
        <v>122</v>
      </c>
      <c r="Q703" s="37">
        <v>600000</v>
      </c>
      <c r="R703" s="36" t="s">
        <v>1883</v>
      </c>
      <c r="S703" s="38">
        <v>44391</v>
      </c>
      <c r="T703" s="38">
        <v>44210</v>
      </c>
      <c r="U703" s="38">
        <v>46387</v>
      </c>
      <c r="V703" s="27" t="s">
        <v>9308</v>
      </c>
      <c r="W703" s="36" t="s">
        <v>1043</v>
      </c>
      <c r="X703" s="36" t="s">
        <v>558</v>
      </c>
      <c r="Y703" s="36" t="s">
        <v>125</v>
      </c>
      <c r="Z703" s="36" t="s">
        <v>2606</v>
      </c>
      <c r="AA703" s="36" t="s">
        <v>561</v>
      </c>
      <c r="AB703" s="36" t="s">
        <v>560</v>
      </c>
      <c r="AC703" s="36" t="s">
        <v>562</v>
      </c>
      <c r="AD703" s="37">
        <v>6.1</v>
      </c>
      <c r="AE703" s="36" t="s">
        <v>563</v>
      </c>
      <c r="AF703" s="37"/>
    </row>
    <row r="704" spans="2:32" ht="60" customHeight="1" x14ac:dyDescent="0.25">
      <c r="B704" s="31" t="s">
        <v>2742</v>
      </c>
      <c r="C704" s="41">
        <v>2021</v>
      </c>
      <c r="D704" s="42">
        <f t="shared" si="10"/>
        <v>2026</v>
      </c>
      <c r="E704" s="31" t="s">
        <v>317</v>
      </c>
      <c r="F704" s="31" t="s">
        <v>2743</v>
      </c>
      <c r="G704" s="31" t="s">
        <v>2744</v>
      </c>
      <c r="H704" s="31" t="s">
        <v>172</v>
      </c>
      <c r="I704" s="31" t="s">
        <v>2501</v>
      </c>
      <c r="J704" s="31" t="s">
        <v>2502</v>
      </c>
      <c r="K704" s="31" t="s">
        <v>216</v>
      </c>
      <c r="L704" s="31" t="s">
        <v>127</v>
      </c>
      <c r="M704" s="34">
        <v>4329316200</v>
      </c>
      <c r="N704" s="34">
        <v>0</v>
      </c>
      <c r="O704" s="34">
        <v>4329316200</v>
      </c>
      <c r="P704" s="31" t="s">
        <v>122</v>
      </c>
      <c r="Q704" s="34">
        <v>6600000</v>
      </c>
      <c r="R704" s="31" t="s">
        <v>1883</v>
      </c>
      <c r="S704" s="35">
        <v>44391</v>
      </c>
      <c r="T704" s="35">
        <v>44210</v>
      </c>
      <c r="U704" s="35">
        <v>46387</v>
      </c>
      <c r="V704" s="27" t="s">
        <v>9308</v>
      </c>
      <c r="W704" s="31" t="s">
        <v>1043</v>
      </c>
      <c r="X704" s="31" t="s">
        <v>558</v>
      </c>
      <c r="Y704" s="31" t="s">
        <v>125</v>
      </c>
      <c r="Z704" s="31" t="s">
        <v>1064</v>
      </c>
      <c r="AA704" s="31" t="s">
        <v>561</v>
      </c>
      <c r="AB704" s="31" t="s">
        <v>560</v>
      </c>
      <c r="AC704" s="31" t="s">
        <v>989</v>
      </c>
      <c r="AD704" s="34">
        <v>3.8</v>
      </c>
      <c r="AE704" s="31" t="s">
        <v>902</v>
      </c>
      <c r="AF704" s="34"/>
    </row>
    <row r="705" spans="2:32" ht="45" customHeight="1" x14ac:dyDescent="0.25">
      <c r="B705" s="36" t="s">
        <v>2745</v>
      </c>
      <c r="C705" s="42">
        <v>2021</v>
      </c>
      <c r="D705" s="42">
        <f t="shared" si="10"/>
        <v>2026</v>
      </c>
      <c r="E705" s="36" t="s">
        <v>317</v>
      </c>
      <c r="F705" s="36" t="s">
        <v>2746</v>
      </c>
      <c r="G705" s="36" t="s">
        <v>2747</v>
      </c>
      <c r="H705" s="36" t="s">
        <v>172</v>
      </c>
      <c r="I705" s="36" t="s">
        <v>2501</v>
      </c>
      <c r="J705" s="36" t="s">
        <v>2502</v>
      </c>
      <c r="K705" s="36" t="s">
        <v>118</v>
      </c>
      <c r="L705" s="36" t="s">
        <v>127</v>
      </c>
      <c r="M705" s="37">
        <v>8789823800</v>
      </c>
      <c r="N705" s="37">
        <v>0</v>
      </c>
      <c r="O705" s="37">
        <v>8789823800</v>
      </c>
      <c r="P705" s="36" t="s">
        <v>122</v>
      </c>
      <c r="Q705" s="37">
        <v>13400000</v>
      </c>
      <c r="R705" s="36" t="s">
        <v>1883</v>
      </c>
      <c r="S705" s="38">
        <v>44391</v>
      </c>
      <c r="T705" s="38">
        <v>44210</v>
      </c>
      <c r="U705" s="38">
        <v>46387</v>
      </c>
      <c r="V705" s="27" t="s">
        <v>9308</v>
      </c>
      <c r="W705" s="36" t="s">
        <v>1043</v>
      </c>
      <c r="X705" s="36" t="s">
        <v>558</v>
      </c>
      <c r="Y705" s="36" t="s">
        <v>125</v>
      </c>
      <c r="Z705" s="36" t="s">
        <v>1674</v>
      </c>
      <c r="AA705" s="36" t="s">
        <v>862</v>
      </c>
      <c r="AB705" s="36" t="s">
        <v>861</v>
      </c>
      <c r="AC705" s="36" t="s">
        <v>1173</v>
      </c>
      <c r="AD705" s="37">
        <v>7.1</v>
      </c>
      <c r="AE705" s="36" t="s">
        <v>864</v>
      </c>
      <c r="AF705" s="37"/>
    </row>
    <row r="706" spans="2:32" ht="60" customHeight="1" x14ac:dyDescent="0.25">
      <c r="B706" s="31" t="s">
        <v>2748</v>
      </c>
      <c r="C706" s="41">
        <v>2021</v>
      </c>
      <c r="D706" s="42">
        <f t="shared" si="10"/>
        <v>2026</v>
      </c>
      <c r="E706" s="31" t="s">
        <v>317</v>
      </c>
      <c r="F706" s="31" t="s">
        <v>2749</v>
      </c>
      <c r="G706" s="31" t="s">
        <v>2750</v>
      </c>
      <c r="H706" s="31" t="s">
        <v>172</v>
      </c>
      <c r="I706" s="31" t="s">
        <v>2501</v>
      </c>
      <c r="J706" s="31" t="s">
        <v>2502</v>
      </c>
      <c r="K706" s="31" t="s">
        <v>118</v>
      </c>
      <c r="L706" s="31" t="s">
        <v>127</v>
      </c>
      <c r="M706" s="34">
        <v>1705488200</v>
      </c>
      <c r="N706" s="34">
        <v>0</v>
      </c>
      <c r="O706" s="34">
        <v>1705488200</v>
      </c>
      <c r="P706" s="31" t="s">
        <v>122</v>
      </c>
      <c r="Q706" s="34">
        <v>2600000</v>
      </c>
      <c r="R706" s="31" t="s">
        <v>1883</v>
      </c>
      <c r="S706" s="35">
        <v>44391</v>
      </c>
      <c r="T706" s="35">
        <v>44210</v>
      </c>
      <c r="U706" s="35">
        <v>46387</v>
      </c>
      <c r="V706" s="27" t="s">
        <v>9308</v>
      </c>
      <c r="W706" s="31" t="s">
        <v>1043</v>
      </c>
      <c r="X706" s="31" t="s">
        <v>558</v>
      </c>
      <c r="Y706" s="31" t="s">
        <v>125</v>
      </c>
      <c r="Z706" s="31" t="s">
        <v>2720</v>
      </c>
      <c r="AA706" s="31" t="s">
        <v>862</v>
      </c>
      <c r="AB706" s="31" t="s">
        <v>861</v>
      </c>
      <c r="AC706" s="31" t="s">
        <v>1173</v>
      </c>
      <c r="AD706" s="34">
        <v>7.1</v>
      </c>
      <c r="AE706" s="31" t="s">
        <v>864</v>
      </c>
      <c r="AF706" s="34"/>
    </row>
    <row r="707" spans="2:32" ht="60" customHeight="1" x14ac:dyDescent="0.25">
      <c r="B707" s="36" t="s">
        <v>2751</v>
      </c>
      <c r="C707" s="42">
        <v>2021</v>
      </c>
      <c r="D707" s="42">
        <f t="shared" si="10"/>
        <v>2026</v>
      </c>
      <c r="E707" s="36" t="s">
        <v>317</v>
      </c>
      <c r="F707" s="36" t="s">
        <v>2752</v>
      </c>
      <c r="G707" s="36" t="s">
        <v>2753</v>
      </c>
      <c r="H707" s="36" t="s">
        <v>172</v>
      </c>
      <c r="I707" s="36" t="s">
        <v>2501</v>
      </c>
      <c r="J707" s="36" t="s">
        <v>2502</v>
      </c>
      <c r="K707" s="36" t="s">
        <v>369</v>
      </c>
      <c r="L707" s="36" t="s">
        <v>127</v>
      </c>
      <c r="M707" s="37">
        <v>983935500</v>
      </c>
      <c r="N707" s="37">
        <v>0</v>
      </c>
      <c r="O707" s="37">
        <v>983935500</v>
      </c>
      <c r="P707" s="36" t="s">
        <v>122</v>
      </c>
      <c r="Q707" s="37">
        <v>1500000</v>
      </c>
      <c r="R707" s="36" t="s">
        <v>1883</v>
      </c>
      <c r="S707" s="38">
        <v>44391</v>
      </c>
      <c r="T707" s="38">
        <v>44210</v>
      </c>
      <c r="U707" s="38">
        <v>46387</v>
      </c>
      <c r="V707" s="27" t="s">
        <v>9308</v>
      </c>
      <c r="W707" s="36" t="s">
        <v>1043</v>
      </c>
      <c r="X707" s="36" t="s">
        <v>558</v>
      </c>
      <c r="Y707" s="36" t="s">
        <v>125</v>
      </c>
      <c r="Z707" s="36" t="s">
        <v>1838</v>
      </c>
      <c r="AA707" s="36" t="s">
        <v>862</v>
      </c>
      <c r="AB707" s="36" t="s">
        <v>861</v>
      </c>
      <c r="AC707" s="36" t="s">
        <v>971</v>
      </c>
      <c r="AD707" s="37">
        <v>9.1</v>
      </c>
      <c r="AE707" s="36" t="s">
        <v>864</v>
      </c>
      <c r="AF707" s="37"/>
    </row>
    <row r="708" spans="2:32" ht="60" customHeight="1" x14ac:dyDescent="0.25">
      <c r="B708" s="31" t="s">
        <v>2754</v>
      </c>
      <c r="C708" s="41">
        <v>2021</v>
      </c>
      <c r="D708" s="42">
        <f t="shared" si="10"/>
        <v>2026</v>
      </c>
      <c r="E708" s="31" t="s">
        <v>126</v>
      </c>
      <c r="F708" s="31" t="s">
        <v>2755</v>
      </c>
      <c r="G708" s="31" t="s">
        <v>2757</v>
      </c>
      <c r="H708" s="31" t="s">
        <v>172</v>
      </c>
      <c r="I708" s="31" t="s">
        <v>2501</v>
      </c>
      <c r="J708" s="31" t="s">
        <v>2502</v>
      </c>
      <c r="K708" s="31" t="s">
        <v>369</v>
      </c>
      <c r="L708" s="31" t="s">
        <v>127</v>
      </c>
      <c r="M708" s="34">
        <v>2230253800</v>
      </c>
      <c r="N708" s="34">
        <v>0</v>
      </c>
      <c r="O708" s="34">
        <v>2230253800</v>
      </c>
      <c r="P708" s="31" t="s">
        <v>122</v>
      </c>
      <c r="Q708" s="34">
        <v>3400000</v>
      </c>
      <c r="R708" s="31" t="s">
        <v>1883</v>
      </c>
      <c r="S708" s="35">
        <v>44391</v>
      </c>
      <c r="T708" s="35">
        <v>44210</v>
      </c>
      <c r="U708" s="35">
        <v>46387</v>
      </c>
      <c r="V708" s="27" t="s">
        <v>9308</v>
      </c>
      <c r="W708" s="31" t="s">
        <v>1043</v>
      </c>
      <c r="X708" s="31" t="s">
        <v>558</v>
      </c>
      <c r="Y708" s="31" t="s">
        <v>125</v>
      </c>
      <c r="Z708" s="31" t="s">
        <v>2756</v>
      </c>
      <c r="AA708" s="31" t="s">
        <v>862</v>
      </c>
      <c r="AB708" s="31" t="s">
        <v>861</v>
      </c>
      <c r="AC708" s="31" t="s">
        <v>971</v>
      </c>
      <c r="AD708" s="34">
        <v>9.1</v>
      </c>
      <c r="AE708" s="31" t="s">
        <v>864</v>
      </c>
      <c r="AF708" s="34"/>
    </row>
    <row r="709" spans="2:32" ht="45" customHeight="1" x14ac:dyDescent="0.25">
      <c r="B709" s="36" t="s">
        <v>2758</v>
      </c>
      <c r="C709" s="42">
        <v>2021</v>
      </c>
      <c r="D709" s="42">
        <f t="shared" si="10"/>
        <v>2026</v>
      </c>
      <c r="E709" s="36" t="s">
        <v>317</v>
      </c>
      <c r="F709" s="36" t="s">
        <v>2759</v>
      </c>
      <c r="G709" s="36" t="s">
        <v>2761</v>
      </c>
      <c r="H709" s="36" t="s">
        <v>172</v>
      </c>
      <c r="I709" s="36" t="s">
        <v>2501</v>
      </c>
      <c r="J709" s="36" t="s">
        <v>2502</v>
      </c>
      <c r="K709" s="36" t="s">
        <v>526</v>
      </c>
      <c r="L709" s="36" t="s">
        <v>127</v>
      </c>
      <c r="M709" s="37">
        <v>1836679600</v>
      </c>
      <c r="N709" s="37">
        <v>0</v>
      </c>
      <c r="O709" s="37">
        <v>1836679600</v>
      </c>
      <c r="P709" s="36" t="s">
        <v>122</v>
      </c>
      <c r="Q709" s="37">
        <v>2800000</v>
      </c>
      <c r="R709" s="36" t="s">
        <v>1883</v>
      </c>
      <c r="S709" s="38">
        <v>44391</v>
      </c>
      <c r="T709" s="38">
        <v>44210</v>
      </c>
      <c r="U709" s="38">
        <v>46387</v>
      </c>
      <c r="V709" s="27" t="s">
        <v>9308</v>
      </c>
      <c r="W709" s="36" t="s">
        <v>1043</v>
      </c>
      <c r="X709" s="36" t="s">
        <v>558</v>
      </c>
      <c r="Y709" s="36" t="s">
        <v>125</v>
      </c>
      <c r="Z709" s="36" t="s">
        <v>2760</v>
      </c>
      <c r="AA709" s="36" t="s">
        <v>561</v>
      </c>
      <c r="AB709" s="36" t="s">
        <v>560</v>
      </c>
      <c r="AC709" s="36" t="s">
        <v>1022</v>
      </c>
      <c r="AD709" s="37">
        <v>1.3</v>
      </c>
      <c r="AE709" s="36" t="s">
        <v>902</v>
      </c>
      <c r="AF709" s="37"/>
    </row>
    <row r="710" spans="2:32" ht="60" customHeight="1" x14ac:dyDescent="0.25">
      <c r="B710" s="31" t="s">
        <v>2762</v>
      </c>
      <c r="C710" s="41">
        <v>2021</v>
      </c>
      <c r="D710" s="42">
        <f t="shared" si="10"/>
        <v>2026</v>
      </c>
      <c r="E710" s="31" t="s">
        <v>126</v>
      </c>
      <c r="F710" s="31" t="s">
        <v>2763</v>
      </c>
      <c r="G710" s="31" t="s">
        <v>2765</v>
      </c>
      <c r="H710" s="31" t="s">
        <v>172</v>
      </c>
      <c r="I710" s="31" t="s">
        <v>2501</v>
      </c>
      <c r="J710" s="31" t="s">
        <v>2502</v>
      </c>
      <c r="K710" s="31" t="s">
        <v>205</v>
      </c>
      <c r="L710" s="31" t="s">
        <v>127</v>
      </c>
      <c r="M710" s="34">
        <v>28206151000</v>
      </c>
      <c r="N710" s="34">
        <v>0</v>
      </c>
      <c r="O710" s="34">
        <v>28206151000</v>
      </c>
      <c r="P710" s="31" t="s">
        <v>122</v>
      </c>
      <c r="Q710" s="34">
        <v>43000000</v>
      </c>
      <c r="R710" s="31" t="s">
        <v>1883</v>
      </c>
      <c r="S710" s="35">
        <v>44391</v>
      </c>
      <c r="T710" s="35">
        <v>44210</v>
      </c>
      <c r="U710" s="35">
        <v>46387</v>
      </c>
      <c r="V710" s="27" t="s">
        <v>9340</v>
      </c>
      <c r="W710" s="31" t="s">
        <v>1043</v>
      </c>
      <c r="X710" s="31" t="s">
        <v>558</v>
      </c>
      <c r="Y710" s="31" t="s">
        <v>125</v>
      </c>
      <c r="Z710" s="31" t="s">
        <v>2764</v>
      </c>
      <c r="AA710" s="31" t="s">
        <v>1012</v>
      </c>
      <c r="AB710" s="31" t="s">
        <v>560</v>
      </c>
      <c r="AC710" s="31" t="s">
        <v>939</v>
      </c>
      <c r="AD710" s="34">
        <v>11.3</v>
      </c>
      <c r="AE710" s="31" t="s">
        <v>563</v>
      </c>
      <c r="AF710" s="34"/>
    </row>
    <row r="711" spans="2:32" ht="90" customHeight="1" x14ac:dyDescent="0.25">
      <c r="B711" s="36" t="s">
        <v>2766</v>
      </c>
      <c r="C711" s="42">
        <v>2021</v>
      </c>
      <c r="D711" s="42">
        <f t="shared" ref="D711:D774" si="11">YEAR(U711)</f>
        <v>2026</v>
      </c>
      <c r="E711" s="36" t="s">
        <v>317</v>
      </c>
      <c r="F711" s="36" t="s">
        <v>2767</v>
      </c>
      <c r="G711" s="36" t="s">
        <v>2769</v>
      </c>
      <c r="H711" s="36" t="s">
        <v>172</v>
      </c>
      <c r="I711" s="36" t="s">
        <v>2501</v>
      </c>
      <c r="J711" s="36" t="s">
        <v>2502</v>
      </c>
      <c r="K711" s="36" t="s">
        <v>205</v>
      </c>
      <c r="L711" s="36" t="s">
        <v>127</v>
      </c>
      <c r="M711" s="37">
        <v>983935500</v>
      </c>
      <c r="N711" s="37">
        <v>0</v>
      </c>
      <c r="O711" s="37">
        <v>983935500</v>
      </c>
      <c r="P711" s="36" t="s">
        <v>122</v>
      </c>
      <c r="Q711" s="37">
        <v>1500000</v>
      </c>
      <c r="R711" s="36" t="s">
        <v>1883</v>
      </c>
      <c r="S711" s="38">
        <v>44391</v>
      </c>
      <c r="T711" s="38">
        <v>44210</v>
      </c>
      <c r="U711" s="38">
        <v>46387</v>
      </c>
      <c r="V711" s="27" t="s">
        <v>9308</v>
      </c>
      <c r="W711" s="36" t="s">
        <v>1043</v>
      </c>
      <c r="X711" s="36" t="s">
        <v>558</v>
      </c>
      <c r="Y711" s="36" t="s">
        <v>125</v>
      </c>
      <c r="Z711" s="36" t="s">
        <v>2768</v>
      </c>
      <c r="AA711" s="36" t="s">
        <v>1012</v>
      </c>
      <c r="AB711" s="36" t="s">
        <v>560</v>
      </c>
      <c r="AC711" s="36" t="s">
        <v>939</v>
      </c>
      <c r="AD711" s="37">
        <v>11.3</v>
      </c>
      <c r="AE711" s="36" t="s">
        <v>563</v>
      </c>
      <c r="AF711" s="37"/>
    </row>
    <row r="712" spans="2:32" ht="60" customHeight="1" x14ac:dyDescent="0.25">
      <c r="B712" s="31" t="s">
        <v>2770</v>
      </c>
      <c r="C712" s="41">
        <v>2021</v>
      </c>
      <c r="D712" s="42">
        <f t="shared" si="11"/>
        <v>2026</v>
      </c>
      <c r="E712" s="31" t="s">
        <v>317</v>
      </c>
      <c r="F712" s="31" t="s">
        <v>2771</v>
      </c>
      <c r="G712" s="31" t="s">
        <v>2772</v>
      </c>
      <c r="H712" s="31" t="s">
        <v>172</v>
      </c>
      <c r="I712" s="31" t="s">
        <v>2501</v>
      </c>
      <c r="J712" s="31" t="s">
        <v>2502</v>
      </c>
      <c r="K712" s="31" t="s">
        <v>205</v>
      </c>
      <c r="L712" s="31" t="s">
        <v>127</v>
      </c>
      <c r="M712" s="34">
        <v>1443105400</v>
      </c>
      <c r="N712" s="34">
        <v>0</v>
      </c>
      <c r="O712" s="34">
        <v>1443105400</v>
      </c>
      <c r="P712" s="31" t="s">
        <v>122</v>
      </c>
      <c r="Q712" s="34">
        <v>2200000</v>
      </c>
      <c r="R712" s="31" t="s">
        <v>1883</v>
      </c>
      <c r="S712" s="35">
        <v>44391</v>
      </c>
      <c r="T712" s="35">
        <v>44210</v>
      </c>
      <c r="U712" s="35">
        <v>46387</v>
      </c>
      <c r="V712" s="27" t="s">
        <v>9308</v>
      </c>
      <c r="W712" s="31" t="s">
        <v>1043</v>
      </c>
      <c r="X712" s="31" t="s">
        <v>558</v>
      </c>
      <c r="Y712" s="31" t="s">
        <v>125</v>
      </c>
      <c r="Z712" s="31" t="s">
        <v>1006</v>
      </c>
      <c r="AA712" s="31" t="s">
        <v>1012</v>
      </c>
      <c r="AB712" s="31" t="s">
        <v>560</v>
      </c>
      <c r="AC712" s="31" t="s">
        <v>939</v>
      </c>
      <c r="AD712" s="34">
        <v>11.3</v>
      </c>
      <c r="AE712" s="31" t="s">
        <v>563</v>
      </c>
      <c r="AF712" s="34"/>
    </row>
    <row r="713" spans="2:32" ht="120" customHeight="1" x14ac:dyDescent="0.25">
      <c r="B713" s="36" t="s">
        <v>2773</v>
      </c>
      <c r="C713" s="42">
        <v>2022</v>
      </c>
      <c r="D713" s="42">
        <f t="shared" si="11"/>
        <v>2028</v>
      </c>
      <c r="E713" s="36" t="s">
        <v>126</v>
      </c>
      <c r="F713" s="36" t="s">
        <v>2774</v>
      </c>
      <c r="G713" s="36" t="s">
        <v>2775</v>
      </c>
      <c r="H713" s="36" t="s">
        <v>151</v>
      </c>
      <c r="I713" s="36" t="s">
        <v>277</v>
      </c>
      <c r="J713" s="36" t="s">
        <v>278</v>
      </c>
      <c r="K713" s="36" t="s">
        <v>190</v>
      </c>
      <c r="L713" s="36" t="s">
        <v>201</v>
      </c>
      <c r="M713" s="37">
        <v>8690834520</v>
      </c>
      <c r="N713" s="37">
        <v>7676085480</v>
      </c>
      <c r="O713" s="37">
        <v>16366920000</v>
      </c>
      <c r="P713" s="36" t="s">
        <v>177</v>
      </c>
      <c r="Q713" s="37">
        <v>20000000</v>
      </c>
      <c r="R713" s="36" t="s">
        <v>279</v>
      </c>
      <c r="S713" s="38">
        <v>44909</v>
      </c>
      <c r="T713" s="38">
        <v>44615</v>
      </c>
      <c r="U713" s="38">
        <v>47118</v>
      </c>
      <c r="V713" s="27" t="s">
        <v>9471</v>
      </c>
      <c r="W713" s="36" t="s">
        <v>557</v>
      </c>
      <c r="X713" s="36" t="s">
        <v>859</v>
      </c>
      <c r="Y713" s="36" t="s">
        <v>125</v>
      </c>
      <c r="Z713" s="36" t="s">
        <v>1311</v>
      </c>
      <c r="AA713" s="36" t="s">
        <v>862</v>
      </c>
      <c r="AB713" s="36" t="s">
        <v>861</v>
      </c>
      <c r="AC713" s="36" t="s">
        <v>863</v>
      </c>
      <c r="AD713" s="37">
        <v>2.2999999999999998</v>
      </c>
      <c r="AE713" s="36" t="s">
        <v>864</v>
      </c>
      <c r="AF713" s="36" t="s">
        <v>860</v>
      </c>
    </row>
    <row r="714" spans="2:32" ht="60" customHeight="1" x14ac:dyDescent="0.25">
      <c r="B714" s="31" t="s">
        <v>2777</v>
      </c>
      <c r="C714" s="41">
        <v>2022</v>
      </c>
      <c r="D714" s="42">
        <f t="shared" si="11"/>
        <v>2027</v>
      </c>
      <c r="E714" s="31" t="s">
        <v>126</v>
      </c>
      <c r="F714" s="31" t="s">
        <v>2778</v>
      </c>
      <c r="G714" s="31" t="s">
        <v>2779</v>
      </c>
      <c r="H714" s="31" t="s">
        <v>151</v>
      </c>
      <c r="I714" s="31" t="s">
        <v>471</v>
      </c>
      <c r="J714" s="31" t="s">
        <v>472</v>
      </c>
      <c r="K714" s="31" t="s">
        <v>369</v>
      </c>
      <c r="L714" s="31" t="s">
        <v>127</v>
      </c>
      <c r="M714" s="34">
        <v>23330800000</v>
      </c>
      <c r="N714" s="34">
        <v>0</v>
      </c>
      <c r="O714" s="34">
        <v>23330800000</v>
      </c>
      <c r="P714" s="31" t="s">
        <v>357</v>
      </c>
      <c r="Q714" s="34">
        <v>265000000</v>
      </c>
      <c r="R714" s="31" t="s">
        <v>150</v>
      </c>
      <c r="S714" s="35">
        <v>44666</v>
      </c>
      <c r="T714" s="35">
        <v>44589</v>
      </c>
      <c r="U714" s="35">
        <v>46752</v>
      </c>
      <c r="V714" s="27" t="s">
        <v>9308</v>
      </c>
      <c r="W714" s="31" t="s">
        <v>557</v>
      </c>
      <c r="X714" s="31" t="s">
        <v>558</v>
      </c>
      <c r="Y714" s="31" t="s">
        <v>242</v>
      </c>
      <c r="Z714" s="31" t="s">
        <v>2435</v>
      </c>
      <c r="AA714" s="31" t="s">
        <v>862</v>
      </c>
      <c r="AB714" s="31" t="s">
        <v>861</v>
      </c>
      <c r="AC714" s="31" t="s">
        <v>971</v>
      </c>
      <c r="AD714" s="34">
        <v>9.1</v>
      </c>
      <c r="AE714" s="31" t="s">
        <v>864</v>
      </c>
      <c r="AF714" s="31" t="s">
        <v>860</v>
      </c>
    </row>
    <row r="715" spans="2:32" ht="75" customHeight="1" x14ac:dyDescent="0.25">
      <c r="B715" s="36" t="s">
        <v>2780</v>
      </c>
      <c r="C715" s="42">
        <v>2022</v>
      </c>
      <c r="D715" s="42">
        <f t="shared" si="11"/>
        <v>2027</v>
      </c>
      <c r="E715" s="36" t="s">
        <v>126</v>
      </c>
      <c r="F715" s="36" t="s">
        <v>2781</v>
      </c>
      <c r="G715" s="36" t="s">
        <v>2782</v>
      </c>
      <c r="H715" s="36" t="s">
        <v>181</v>
      </c>
      <c r="I715" s="36" t="s">
        <v>178</v>
      </c>
      <c r="J715" s="36" t="s">
        <v>179</v>
      </c>
      <c r="K715" s="36" t="s">
        <v>526</v>
      </c>
      <c r="L715" s="36" t="s">
        <v>201</v>
      </c>
      <c r="M715" s="37">
        <v>26500662800</v>
      </c>
      <c r="N715" s="37">
        <v>27461250000</v>
      </c>
      <c r="O715" s="37">
        <v>53961912800</v>
      </c>
      <c r="P715" s="36" t="s">
        <v>200</v>
      </c>
      <c r="Q715" s="37">
        <v>72800000</v>
      </c>
      <c r="R715" s="36" t="s">
        <v>279</v>
      </c>
      <c r="S715" s="38">
        <v>44680</v>
      </c>
      <c r="T715" s="38">
        <v>44677</v>
      </c>
      <c r="U715" s="38">
        <v>46752</v>
      </c>
      <c r="V715" s="27" t="s">
        <v>9324</v>
      </c>
      <c r="W715" s="36" t="s">
        <v>557</v>
      </c>
      <c r="X715" s="36" t="s">
        <v>859</v>
      </c>
      <c r="Y715" s="36" t="s">
        <v>125</v>
      </c>
      <c r="Z715" s="36" t="s">
        <v>1095</v>
      </c>
      <c r="AA715" s="36" t="s">
        <v>561</v>
      </c>
      <c r="AB715" s="36" t="s">
        <v>560</v>
      </c>
      <c r="AC715" s="36" t="s">
        <v>1022</v>
      </c>
      <c r="AD715" s="37">
        <v>1.3</v>
      </c>
      <c r="AE715" s="36" t="s">
        <v>902</v>
      </c>
      <c r="AF715" s="36" t="s">
        <v>860</v>
      </c>
    </row>
    <row r="716" spans="2:32" ht="60" customHeight="1" x14ac:dyDescent="0.25">
      <c r="B716" s="31" t="s">
        <v>2783</v>
      </c>
      <c r="C716" s="41">
        <v>2022</v>
      </c>
      <c r="D716" s="42">
        <f t="shared" si="11"/>
        <v>2027</v>
      </c>
      <c r="E716" s="31" t="s">
        <v>317</v>
      </c>
      <c r="F716" s="31" t="s">
        <v>2784</v>
      </c>
      <c r="G716" s="31" t="s">
        <v>2785</v>
      </c>
      <c r="H716" s="31" t="s">
        <v>181</v>
      </c>
      <c r="I716" s="31" t="s">
        <v>178</v>
      </c>
      <c r="J716" s="31" t="s">
        <v>179</v>
      </c>
      <c r="K716" s="31" t="s">
        <v>216</v>
      </c>
      <c r="L716" s="31" t="s">
        <v>201</v>
      </c>
      <c r="M716" s="34">
        <v>54772409500</v>
      </c>
      <c r="N716" s="34">
        <v>57736250000</v>
      </c>
      <c r="O716" s="34">
        <v>112508659500</v>
      </c>
      <c r="P716" s="31" t="s">
        <v>200</v>
      </c>
      <c r="Q716" s="34">
        <v>150600000</v>
      </c>
      <c r="R716" s="31" t="s">
        <v>279</v>
      </c>
      <c r="S716" s="35">
        <v>44728</v>
      </c>
      <c r="T716" s="35">
        <v>44691</v>
      </c>
      <c r="U716" s="35">
        <v>46752</v>
      </c>
      <c r="V716" s="27" t="s">
        <v>9308</v>
      </c>
      <c r="W716" s="34"/>
      <c r="X716" s="34"/>
      <c r="Y716" s="34" t="s">
        <v>125</v>
      </c>
      <c r="Z716" s="34"/>
      <c r="AA716" s="34"/>
      <c r="AB716" s="34"/>
      <c r="AC716" s="34"/>
      <c r="AD716" s="34"/>
      <c r="AE716" s="34"/>
      <c r="AF716" s="34"/>
    </row>
    <row r="717" spans="2:32" ht="60" customHeight="1" x14ac:dyDescent="0.25">
      <c r="B717" s="36" t="s">
        <v>2786</v>
      </c>
      <c r="C717" s="42">
        <v>2022</v>
      </c>
      <c r="D717" s="42">
        <f t="shared" si="11"/>
        <v>2024</v>
      </c>
      <c r="E717" s="36" t="s">
        <v>625</v>
      </c>
      <c r="F717" s="36" t="s">
        <v>2787</v>
      </c>
      <c r="G717" s="36" t="s">
        <v>2788</v>
      </c>
      <c r="H717" s="36" t="s">
        <v>181</v>
      </c>
      <c r="I717" s="36" t="s">
        <v>178</v>
      </c>
      <c r="J717" s="36" t="s">
        <v>179</v>
      </c>
      <c r="K717" s="36" t="s">
        <v>216</v>
      </c>
      <c r="L717" s="36" t="s">
        <v>201</v>
      </c>
      <c r="M717" s="37">
        <v>3214189300</v>
      </c>
      <c r="N717" s="37">
        <v>3303625000</v>
      </c>
      <c r="O717" s="37">
        <v>6517814300</v>
      </c>
      <c r="P717" s="36" t="s">
        <v>200</v>
      </c>
      <c r="Q717" s="37">
        <v>8800000</v>
      </c>
      <c r="R717" s="36" t="s">
        <v>279</v>
      </c>
      <c r="S717" s="38">
        <v>44704</v>
      </c>
      <c r="T717" s="38">
        <v>44691</v>
      </c>
      <c r="U717" s="38">
        <v>45473</v>
      </c>
      <c r="V717" s="27" t="s">
        <v>9308</v>
      </c>
      <c r="W717" s="37"/>
      <c r="X717" s="37"/>
      <c r="Y717" s="37" t="s">
        <v>125</v>
      </c>
      <c r="Z717" s="37"/>
      <c r="AA717" s="37"/>
      <c r="AB717" s="37"/>
      <c r="AC717" s="37"/>
      <c r="AD717" s="37"/>
      <c r="AE717" s="37"/>
      <c r="AF717" s="37"/>
    </row>
    <row r="718" spans="2:32" ht="60" customHeight="1" x14ac:dyDescent="0.25">
      <c r="B718" s="31" t="s">
        <v>2789</v>
      </c>
      <c r="C718" s="41">
        <v>2022</v>
      </c>
      <c r="D718" s="42">
        <f t="shared" si="11"/>
        <v>2026</v>
      </c>
      <c r="E718" s="31" t="s">
        <v>126</v>
      </c>
      <c r="F718" s="31" t="s">
        <v>2790</v>
      </c>
      <c r="G718" s="31" t="s">
        <v>2791</v>
      </c>
      <c r="H718" s="31" t="s">
        <v>172</v>
      </c>
      <c r="I718" s="31" t="s">
        <v>2793</v>
      </c>
      <c r="J718" s="31" t="s">
        <v>2793</v>
      </c>
      <c r="K718" s="31" t="s">
        <v>205</v>
      </c>
      <c r="L718" s="31" t="s">
        <v>127</v>
      </c>
      <c r="M718" s="34">
        <v>43030779200</v>
      </c>
      <c r="N718" s="34">
        <v>0</v>
      </c>
      <c r="O718" s="34">
        <v>43030779200</v>
      </c>
      <c r="P718" s="31" t="s">
        <v>122</v>
      </c>
      <c r="Q718" s="34">
        <v>65600000</v>
      </c>
      <c r="R718" s="31" t="s">
        <v>443</v>
      </c>
      <c r="S718" s="35">
        <v>44719</v>
      </c>
      <c r="T718" s="35">
        <v>44631</v>
      </c>
      <c r="U718" s="35">
        <v>46387</v>
      </c>
      <c r="V718" s="27" t="s">
        <v>9472</v>
      </c>
      <c r="W718" s="31" t="s">
        <v>1043</v>
      </c>
      <c r="X718" s="31" t="s">
        <v>558</v>
      </c>
      <c r="Y718" s="31" t="s">
        <v>442</v>
      </c>
      <c r="Z718" s="31" t="s">
        <v>1693</v>
      </c>
      <c r="AA718" s="31" t="s">
        <v>862</v>
      </c>
      <c r="AB718" s="31" t="s">
        <v>861</v>
      </c>
      <c r="AC718" s="31" t="s">
        <v>971</v>
      </c>
      <c r="AD718" s="34">
        <v>9.1</v>
      </c>
      <c r="AE718" s="31" t="s">
        <v>864</v>
      </c>
      <c r="AF718" s="31" t="s">
        <v>860</v>
      </c>
    </row>
    <row r="719" spans="2:32" ht="60" customHeight="1" x14ac:dyDescent="0.25">
      <c r="B719" s="36" t="s">
        <v>2794</v>
      </c>
      <c r="C719" s="42">
        <v>2022</v>
      </c>
      <c r="D719" s="42">
        <f t="shared" si="11"/>
        <v>2027</v>
      </c>
      <c r="E719" s="36" t="s">
        <v>126</v>
      </c>
      <c r="F719" s="36" t="s">
        <v>2795</v>
      </c>
      <c r="G719" s="36" t="s">
        <v>2796</v>
      </c>
      <c r="H719" s="36" t="s">
        <v>172</v>
      </c>
      <c r="I719" s="36" t="s">
        <v>2799</v>
      </c>
      <c r="J719" s="36" t="s">
        <v>2799</v>
      </c>
      <c r="K719" s="36" t="s">
        <v>142</v>
      </c>
      <c r="L719" s="36" t="s">
        <v>127</v>
      </c>
      <c r="M719" s="37">
        <v>94494888910</v>
      </c>
      <c r="N719" s="37">
        <v>0</v>
      </c>
      <c r="O719" s="37">
        <v>94494888910</v>
      </c>
      <c r="P719" s="36" t="s">
        <v>122</v>
      </c>
      <c r="Q719" s="37">
        <v>148630000</v>
      </c>
      <c r="R719" s="36" t="s">
        <v>443</v>
      </c>
      <c r="S719" s="38">
        <v>44726</v>
      </c>
      <c r="T719" s="38">
        <v>44631</v>
      </c>
      <c r="U719" s="38">
        <v>46752</v>
      </c>
      <c r="V719" s="27" t="s">
        <v>9473</v>
      </c>
      <c r="W719" s="36" t="s">
        <v>1043</v>
      </c>
      <c r="X719" s="36" t="s">
        <v>558</v>
      </c>
      <c r="Y719" s="36" t="s">
        <v>442</v>
      </c>
      <c r="Z719" s="36" t="s">
        <v>968</v>
      </c>
      <c r="AA719" s="36" t="s">
        <v>862</v>
      </c>
      <c r="AB719" s="36" t="s">
        <v>861</v>
      </c>
      <c r="AC719" s="36" t="s">
        <v>971</v>
      </c>
      <c r="AD719" s="37">
        <v>9.1</v>
      </c>
      <c r="AE719" s="36" t="s">
        <v>864</v>
      </c>
      <c r="AF719" s="36" t="s">
        <v>860</v>
      </c>
    </row>
    <row r="720" spans="2:32" ht="60" customHeight="1" x14ac:dyDescent="0.25">
      <c r="B720" s="31" t="s">
        <v>2800</v>
      </c>
      <c r="C720" s="41">
        <v>2022</v>
      </c>
      <c r="D720" s="42">
        <f t="shared" si="11"/>
        <v>2026</v>
      </c>
      <c r="E720" s="31" t="s">
        <v>126</v>
      </c>
      <c r="F720" s="31" t="s">
        <v>2801</v>
      </c>
      <c r="G720" s="31" t="s">
        <v>2802</v>
      </c>
      <c r="H720" s="31" t="s">
        <v>181</v>
      </c>
      <c r="I720" s="31" t="s">
        <v>178</v>
      </c>
      <c r="J720" s="31" t="s">
        <v>179</v>
      </c>
      <c r="K720" s="31" t="s">
        <v>263</v>
      </c>
      <c r="L720" s="31" t="s">
        <v>127</v>
      </c>
      <c r="M720" s="34">
        <v>153362746600</v>
      </c>
      <c r="N720" s="34">
        <v>0</v>
      </c>
      <c r="O720" s="34">
        <v>153362746600</v>
      </c>
      <c r="P720" s="31" t="s">
        <v>122</v>
      </c>
      <c r="Q720" s="34">
        <v>233800000</v>
      </c>
      <c r="R720" s="31" t="s">
        <v>150</v>
      </c>
      <c r="S720" s="35">
        <v>44909</v>
      </c>
      <c r="T720" s="35">
        <v>44726</v>
      </c>
      <c r="U720" s="35">
        <v>46387</v>
      </c>
      <c r="V720" s="27" t="s">
        <v>9308</v>
      </c>
      <c r="W720" s="34"/>
      <c r="X720" s="34"/>
      <c r="Y720" s="34" t="s">
        <v>125</v>
      </c>
      <c r="Z720" s="34"/>
      <c r="AA720" s="34"/>
      <c r="AB720" s="34"/>
      <c r="AC720" s="34"/>
      <c r="AD720" s="34"/>
      <c r="AE720" s="34"/>
      <c r="AF720" s="34"/>
    </row>
    <row r="721" spans="2:32" ht="60" customHeight="1" x14ac:dyDescent="0.25">
      <c r="B721" s="36" t="s">
        <v>2803</v>
      </c>
      <c r="C721" s="42">
        <v>2022</v>
      </c>
      <c r="D721" s="42">
        <f t="shared" si="11"/>
        <v>2023</v>
      </c>
      <c r="E721" s="36" t="s">
        <v>1335</v>
      </c>
      <c r="F721" s="36" t="s">
        <v>1252</v>
      </c>
      <c r="G721" s="36" t="s">
        <v>2804</v>
      </c>
      <c r="H721" s="36" t="s">
        <v>181</v>
      </c>
      <c r="I721" s="36" t="s">
        <v>178</v>
      </c>
      <c r="J721" s="36" t="s">
        <v>179</v>
      </c>
      <c r="K721" s="36" t="s">
        <v>205</v>
      </c>
      <c r="L721" s="36" t="s">
        <v>127</v>
      </c>
      <c r="M721" s="37">
        <v>96097700500</v>
      </c>
      <c r="N721" s="37">
        <v>0</v>
      </c>
      <c r="O721" s="37">
        <v>96097700500</v>
      </c>
      <c r="P721" s="36" t="s">
        <v>624</v>
      </c>
      <c r="Q721" s="37">
        <v>150000000</v>
      </c>
      <c r="R721" s="36" t="s">
        <v>1252</v>
      </c>
      <c r="S721" s="38">
        <v>44902</v>
      </c>
      <c r="T721" s="38">
        <v>44831</v>
      </c>
      <c r="U721" s="38">
        <v>45291</v>
      </c>
      <c r="V721" s="27" t="s">
        <v>9308</v>
      </c>
      <c r="W721" s="36" t="s">
        <v>557</v>
      </c>
      <c r="X721" s="36" t="s">
        <v>558</v>
      </c>
      <c r="Y721" s="36" t="s">
        <v>125</v>
      </c>
      <c r="Z721" s="36" t="s">
        <v>1033</v>
      </c>
      <c r="AA721" s="36" t="s">
        <v>1046</v>
      </c>
      <c r="AB721" s="36" t="s">
        <v>861</v>
      </c>
      <c r="AC721" s="36" t="s">
        <v>1036</v>
      </c>
      <c r="AD721" s="37">
        <v>16.600000000000001</v>
      </c>
      <c r="AE721" s="36" t="s">
        <v>902</v>
      </c>
      <c r="AF721" s="36" t="s">
        <v>860</v>
      </c>
    </row>
    <row r="722" spans="2:32" ht="60" customHeight="1" x14ac:dyDescent="0.25">
      <c r="B722" s="31" t="s">
        <v>2805</v>
      </c>
      <c r="C722" s="41">
        <v>2022</v>
      </c>
      <c r="D722" s="42">
        <f t="shared" si="11"/>
        <v>2028</v>
      </c>
      <c r="E722" s="31" t="s">
        <v>126</v>
      </c>
      <c r="F722" s="31" t="s">
        <v>2806</v>
      </c>
      <c r="G722" s="31" t="s">
        <v>2807</v>
      </c>
      <c r="H722" s="31" t="s">
        <v>181</v>
      </c>
      <c r="I722" s="31" t="s">
        <v>178</v>
      </c>
      <c r="J722" s="31" t="s">
        <v>179</v>
      </c>
      <c r="K722" s="31" t="s">
        <v>205</v>
      </c>
      <c r="L722" s="31" t="s">
        <v>127</v>
      </c>
      <c r="M722" s="34">
        <v>130000000000</v>
      </c>
      <c r="N722" s="34">
        <v>0</v>
      </c>
      <c r="O722" s="34">
        <v>130000000000</v>
      </c>
      <c r="P722" s="31" t="s">
        <v>624</v>
      </c>
      <c r="Q722" s="34">
        <v>200000000</v>
      </c>
      <c r="R722" s="31" t="s">
        <v>150</v>
      </c>
      <c r="S722" s="35">
        <v>44849</v>
      </c>
      <c r="T722" s="35">
        <v>44728</v>
      </c>
      <c r="U722" s="35">
        <v>46934</v>
      </c>
      <c r="V722" s="27" t="s">
        <v>9467</v>
      </c>
      <c r="W722" s="34"/>
      <c r="X722" s="34"/>
      <c r="Y722" s="34" t="s">
        <v>125</v>
      </c>
      <c r="Z722" s="34"/>
      <c r="AA722" s="34"/>
      <c r="AB722" s="34"/>
      <c r="AC722" s="34"/>
      <c r="AD722" s="34"/>
      <c r="AE722" s="34"/>
      <c r="AF722" s="34"/>
    </row>
    <row r="723" spans="2:32" ht="105" customHeight="1" x14ac:dyDescent="0.25">
      <c r="B723" s="36" t="s">
        <v>2808</v>
      </c>
      <c r="C723" s="42">
        <v>2022</v>
      </c>
      <c r="D723" s="42">
        <f t="shared" si="11"/>
        <v>2028</v>
      </c>
      <c r="E723" s="36" t="s">
        <v>126</v>
      </c>
      <c r="F723" s="36" t="s">
        <v>2809</v>
      </c>
      <c r="G723" s="36" t="s">
        <v>2810</v>
      </c>
      <c r="H723" s="36" t="s">
        <v>151</v>
      </c>
      <c r="I723" s="36" t="s">
        <v>168</v>
      </c>
      <c r="J723" s="36" t="s">
        <v>169</v>
      </c>
      <c r="K723" s="36" t="s">
        <v>190</v>
      </c>
      <c r="L723" s="36" t="s">
        <v>201</v>
      </c>
      <c r="M723" s="37">
        <v>7800000000</v>
      </c>
      <c r="N723" s="37">
        <v>3520000000</v>
      </c>
      <c r="O723" s="37">
        <v>11320000000</v>
      </c>
      <c r="P723" s="36" t="s">
        <v>624</v>
      </c>
      <c r="Q723" s="37">
        <v>18400000</v>
      </c>
      <c r="R723" s="36" t="s">
        <v>279</v>
      </c>
      <c r="S723" s="38">
        <v>44849</v>
      </c>
      <c r="T723" s="38">
        <v>44715</v>
      </c>
      <c r="U723" s="38">
        <v>47118</v>
      </c>
      <c r="V723" s="27" t="s">
        <v>9308</v>
      </c>
      <c r="W723" s="36" t="s">
        <v>557</v>
      </c>
      <c r="X723" s="36" t="s">
        <v>859</v>
      </c>
      <c r="Y723" s="36" t="s">
        <v>125</v>
      </c>
      <c r="Z723" s="36" t="s">
        <v>856</v>
      </c>
      <c r="AA723" s="36" t="s">
        <v>862</v>
      </c>
      <c r="AB723" s="36" t="s">
        <v>861</v>
      </c>
      <c r="AC723" s="36" t="s">
        <v>863</v>
      </c>
      <c r="AD723" s="37">
        <v>2.2999999999999998</v>
      </c>
      <c r="AE723" s="36" t="s">
        <v>864</v>
      </c>
      <c r="AF723" s="36" t="s">
        <v>860</v>
      </c>
    </row>
    <row r="724" spans="2:32" ht="60" customHeight="1" x14ac:dyDescent="0.25">
      <c r="B724" s="31" t="s">
        <v>2811</v>
      </c>
      <c r="C724" s="41">
        <v>2022</v>
      </c>
      <c r="D724" s="42">
        <f t="shared" si="11"/>
        <v>2027</v>
      </c>
      <c r="E724" s="31" t="s">
        <v>126</v>
      </c>
      <c r="F724" s="31" t="s">
        <v>2812</v>
      </c>
      <c r="G724" s="31" t="s">
        <v>2813</v>
      </c>
      <c r="H724" s="31" t="s">
        <v>129</v>
      </c>
      <c r="I724" s="31" t="s">
        <v>240</v>
      </c>
      <c r="J724" s="31" t="s">
        <v>241</v>
      </c>
      <c r="K724" s="31" t="s">
        <v>263</v>
      </c>
      <c r="L724" s="31" t="s">
        <v>127</v>
      </c>
      <c r="M724" s="34">
        <v>8617455000</v>
      </c>
      <c r="N724" s="34">
        <v>0</v>
      </c>
      <c r="O724" s="34">
        <v>8617455000</v>
      </c>
      <c r="P724" s="31" t="s">
        <v>624</v>
      </c>
      <c r="Q724" s="34">
        <v>14850000</v>
      </c>
      <c r="R724" s="31" t="s">
        <v>150</v>
      </c>
      <c r="S724" s="35">
        <v>44849</v>
      </c>
      <c r="T724" s="35">
        <v>44631</v>
      </c>
      <c r="U724" s="35">
        <v>46752</v>
      </c>
      <c r="V724" s="27" t="s">
        <v>9474</v>
      </c>
      <c r="W724" s="31" t="s">
        <v>557</v>
      </c>
      <c r="X724" s="31" t="s">
        <v>558</v>
      </c>
      <c r="Y724" s="31" t="s">
        <v>242</v>
      </c>
      <c r="Z724" s="31" t="s">
        <v>555</v>
      </c>
      <c r="AA724" s="31" t="s">
        <v>561</v>
      </c>
      <c r="AB724" s="31" t="s">
        <v>560</v>
      </c>
      <c r="AC724" s="31" t="s">
        <v>562</v>
      </c>
      <c r="AD724" s="34">
        <v>6.1</v>
      </c>
      <c r="AE724" s="31" t="s">
        <v>563</v>
      </c>
      <c r="AF724" s="31" t="s">
        <v>860</v>
      </c>
    </row>
    <row r="725" spans="2:32" ht="105" customHeight="1" x14ac:dyDescent="0.25">
      <c r="B725" s="36" t="s">
        <v>2816</v>
      </c>
      <c r="C725" s="42">
        <v>2022</v>
      </c>
      <c r="D725" s="42">
        <f t="shared" si="11"/>
        <v>2027</v>
      </c>
      <c r="E725" s="36" t="s">
        <v>126</v>
      </c>
      <c r="F725" s="36" t="s">
        <v>2817</v>
      </c>
      <c r="G725" s="36" t="s">
        <v>2818</v>
      </c>
      <c r="H725" s="36" t="s">
        <v>129</v>
      </c>
      <c r="I725" s="36" t="s">
        <v>337</v>
      </c>
      <c r="J725" s="36" t="s">
        <v>338</v>
      </c>
      <c r="K725" s="36" t="s">
        <v>526</v>
      </c>
      <c r="L725" s="36" t="s">
        <v>201</v>
      </c>
      <c r="M725" s="37">
        <v>9839400000</v>
      </c>
      <c r="N725" s="37">
        <v>5247656000</v>
      </c>
      <c r="O725" s="37">
        <v>15087056000</v>
      </c>
      <c r="P725" s="36" t="s">
        <v>122</v>
      </c>
      <c r="Q725" s="37">
        <v>23000000</v>
      </c>
      <c r="R725" s="36" t="s">
        <v>279</v>
      </c>
      <c r="S725" s="38">
        <v>44861</v>
      </c>
      <c r="T725" s="38">
        <v>44749</v>
      </c>
      <c r="U725" s="38">
        <v>46752</v>
      </c>
      <c r="V725" s="27" t="s">
        <v>9308</v>
      </c>
      <c r="W725" s="36" t="s">
        <v>557</v>
      </c>
      <c r="X725" s="36" t="s">
        <v>859</v>
      </c>
      <c r="Y725" s="36" t="s">
        <v>242</v>
      </c>
      <c r="Z725" s="36" t="s">
        <v>2734</v>
      </c>
      <c r="AA725" s="36" t="s">
        <v>561</v>
      </c>
      <c r="AB725" s="36" t="s">
        <v>560</v>
      </c>
      <c r="AC725" s="36" t="s">
        <v>1022</v>
      </c>
      <c r="AD725" s="37">
        <v>1.3</v>
      </c>
      <c r="AE725" s="36" t="s">
        <v>902</v>
      </c>
      <c r="AF725" s="36" t="s">
        <v>860</v>
      </c>
    </row>
    <row r="726" spans="2:32" ht="75" customHeight="1" x14ac:dyDescent="0.25">
      <c r="B726" s="31" t="s">
        <v>2819</v>
      </c>
      <c r="C726" s="41">
        <v>2022</v>
      </c>
      <c r="D726" s="42">
        <f t="shared" si="11"/>
        <v>2024</v>
      </c>
      <c r="E726" s="31" t="s">
        <v>126</v>
      </c>
      <c r="F726" s="31" t="s">
        <v>2820</v>
      </c>
      <c r="G726" s="31" t="s">
        <v>2821</v>
      </c>
      <c r="H726" s="31" t="s">
        <v>181</v>
      </c>
      <c r="I726" s="31" t="s">
        <v>178</v>
      </c>
      <c r="J726" s="31" t="s">
        <v>179</v>
      </c>
      <c r="K726" s="31" t="s">
        <v>216</v>
      </c>
      <c r="L726" s="31" t="s">
        <v>127</v>
      </c>
      <c r="M726" s="34">
        <v>4066952000</v>
      </c>
      <c r="N726" s="34">
        <v>0</v>
      </c>
      <c r="O726" s="34">
        <v>4066952000</v>
      </c>
      <c r="P726" s="31" t="s">
        <v>122</v>
      </c>
      <c r="Q726" s="34">
        <v>6200000</v>
      </c>
      <c r="R726" s="31" t="s">
        <v>150</v>
      </c>
      <c r="S726" s="35">
        <v>44922</v>
      </c>
      <c r="T726" s="35">
        <v>44704</v>
      </c>
      <c r="U726" s="35">
        <v>45322</v>
      </c>
      <c r="V726" s="27" t="s">
        <v>9308</v>
      </c>
      <c r="W726" s="31" t="s">
        <v>557</v>
      </c>
      <c r="X726" s="31" t="s">
        <v>558</v>
      </c>
      <c r="Y726" s="31" t="s">
        <v>125</v>
      </c>
      <c r="Z726" s="31" t="s">
        <v>1103</v>
      </c>
      <c r="AA726" s="31" t="s">
        <v>561</v>
      </c>
      <c r="AB726" s="31" t="s">
        <v>560</v>
      </c>
      <c r="AC726" s="31" t="s">
        <v>989</v>
      </c>
      <c r="AD726" s="34">
        <v>3.8</v>
      </c>
      <c r="AE726" s="31" t="s">
        <v>902</v>
      </c>
      <c r="AF726" s="31" t="s">
        <v>860</v>
      </c>
    </row>
    <row r="727" spans="2:32" ht="60" customHeight="1" x14ac:dyDescent="0.25">
      <c r="B727" s="36" t="s">
        <v>2822</v>
      </c>
      <c r="C727" s="42">
        <v>2022</v>
      </c>
      <c r="D727" s="42">
        <f t="shared" si="11"/>
        <v>2027</v>
      </c>
      <c r="E727" s="36" t="s">
        <v>126</v>
      </c>
      <c r="F727" s="36" t="s">
        <v>2823</v>
      </c>
      <c r="G727" s="36" t="s">
        <v>2824</v>
      </c>
      <c r="H727" s="36" t="s">
        <v>129</v>
      </c>
      <c r="I727" s="36" t="s">
        <v>240</v>
      </c>
      <c r="J727" s="36" t="s">
        <v>241</v>
      </c>
      <c r="K727" s="36" t="s">
        <v>205</v>
      </c>
      <c r="L727" s="36" t="s">
        <v>159</v>
      </c>
      <c r="M727" s="37">
        <v>0</v>
      </c>
      <c r="N727" s="37">
        <v>6559570000</v>
      </c>
      <c r="O727" s="37">
        <v>6559570000</v>
      </c>
      <c r="P727" s="36" t="s">
        <v>122</v>
      </c>
      <c r="Q727" s="37">
        <v>10000000</v>
      </c>
      <c r="R727" s="36" t="s">
        <v>159</v>
      </c>
      <c r="S727" s="38">
        <v>44917</v>
      </c>
      <c r="T727" s="38">
        <v>44631</v>
      </c>
      <c r="U727" s="38">
        <v>46752</v>
      </c>
      <c r="V727" s="27" t="s">
        <v>9358</v>
      </c>
      <c r="W727" s="36" t="s">
        <v>557</v>
      </c>
      <c r="X727" s="36" t="s">
        <v>880</v>
      </c>
      <c r="Y727" s="36" t="s">
        <v>242</v>
      </c>
      <c r="Z727" s="36" t="s">
        <v>1006</v>
      </c>
      <c r="AA727" s="36" t="s">
        <v>1012</v>
      </c>
      <c r="AB727" s="36" t="s">
        <v>560</v>
      </c>
      <c r="AC727" s="36" t="s">
        <v>939</v>
      </c>
      <c r="AD727" s="37">
        <v>11.3</v>
      </c>
      <c r="AE727" s="36" t="s">
        <v>563</v>
      </c>
      <c r="AF727" s="36" t="s">
        <v>860</v>
      </c>
    </row>
    <row r="728" spans="2:32" ht="60" customHeight="1" x14ac:dyDescent="0.25">
      <c r="B728" s="31" t="s">
        <v>2825</v>
      </c>
      <c r="C728" s="41">
        <v>2022</v>
      </c>
      <c r="D728" s="42">
        <f t="shared" si="11"/>
        <v>2027</v>
      </c>
      <c r="E728" s="31" t="s">
        <v>126</v>
      </c>
      <c r="F728" s="31" t="s">
        <v>2826</v>
      </c>
      <c r="G728" s="31" t="s">
        <v>2827</v>
      </c>
      <c r="H728" s="31" t="s">
        <v>129</v>
      </c>
      <c r="I728" s="31" t="s">
        <v>240</v>
      </c>
      <c r="J728" s="31" t="s">
        <v>241</v>
      </c>
      <c r="K728" s="31" t="s">
        <v>526</v>
      </c>
      <c r="L728" s="31" t="s">
        <v>159</v>
      </c>
      <c r="M728" s="34">
        <v>0</v>
      </c>
      <c r="N728" s="34">
        <v>9839355000</v>
      </c>
      <c r="O728" s="34">
        <v>9839355000</v>
      </c>
      <c r="P728" s="31" t="s">
        <v>122</v>
      </c>
      <c r="Q728" s="34">
        <v>15000000</v>
      </c>
      <c r="R728" s="31" t="s">
        <v>159</v>
      </c>
      <c r="S728" s="35">
        <v>44918</v>
      </c>
      <c r="T728" s="35">
        <v>44631</v>
      </c>
      <c r="U728" s="35">
        <v>46752</v>
      </c>
      <c r="V728" s="27" t="s">
        <v>9308</v>
      </c>
      <c r="W728" s="31" t="s">
        <v>557</v>
      </c>
      <c r="X728" s="31" t="s">
        <v>880</v>
      </c>
      <c r="Y728" s="31" t="s">
        <v>242</v>
      </c>
      <c r="Z728" s="31" t="s">
        <v>1567</v>
      </c>
      <c r="AA728" s="31" t="s">
        <v>862</v>
      </c>
      <c r="AB728" s="31" t="s">
        <v>861</v>
      </c>
      <c r="AC728" s="31" t="s">
        <v>971</v>
      </c>
      <c r="AD728" s="34">
        <v>9.1</v>
      </c>
      <c r="AE728" s="31" t="s">
        <v>864</v>
      </c>
      <c r="AF728" s="31" t="s">
        <v>860</v>
      </c>
    </row>
    <row r="729" spans="2:32" ht="60" customHeight="1" x14ac:dyDescent="0.25">
      <c r="B729" s="36" t="s">
        <v>2828</v>
      </c>
      <c r="C729" s="42">
        <v>2022</v>
      </c>
      <c r="D729" s="42">
        <f t="shared" si="11"/>
        <v>2023</v>
      </c>
      <c r="E729" s="36" t="s">
        <v>126</v>
      </c>
      <c r="F729" s="36" t="s">
        <v>2829</v>
      </c>
      <c r="G729" s="36" t="s">
        <v>2830</v>
      </c>
      <c r="H729" s="36" t="s">
        <v>172</v>
      </c>
      <c r="I729" s="36" t="s">
        <v>358</v>
      </c>
      <c r="J729" s="36" t="s">
        <v>358</v>
      </c>
      <c r="K729" s="36" t="s">
        <v>163</v>
      </c>
      <c r="L729" s="36" t="s">
        <v>159</v>
      </c>
      <c r="M729" s="37">
        <v>0</v>
      </c>
      <c r="N729" s="37">
        <v>1394588000</v>
      </c>
      <c r="O729" s="37">
        <v>1394588000</v>
      </c>
      <c r="P729" s="36" t="s">
        <v>357</v>
      </c>
      <c r="Q729" s="37">
        <v>16900000</v>
      </c>
      <c r="R729" s="36" t="s">
        <v>159</v>
      </c>
      <c r="S729" s="38">
        <v>44650</v>
      </c>
      <c r="T729" s="38">
        <v>44589</v>
      </c>
      <c r="U729" s="38">
        <v>45291</v>
      </c>
      <c r="V729" s="27" t="s">
        <v>9307</v>
      </c>
      <c r="W729" s="36" t="s">
        <v>557</v>
      </c>
      <c r="X729" s="36" t="s">
        <v>880</v>
      </c>
      <c r="Y729" s="36" t="s">
        <v>242</v>
      </c>
      <c r="Z729" s="36" t="s">
        <v>1087</v>
      </c>
      <c r="AA729" s="36" t="s">
        <v>1035</v>
      </c>
      <c r="AB729" s="36" t="s">
        <v>964</v>
      </c>
      <c r="AC729" s="36" t="s">
        <v>1036</v>
      </c>
      <c r="AD729" s="37">
        <v>16.600000000000001</v>
      </c>
      <c r="AE729" s="36" t="s">
        <v>902</v>
      </c>
      <c r="AF729" s="36" t="s">
        <v>860</v>
      </c>
    </row>
    <row r="730" spans="2:32" ht="60" customHeight="1" x14ac:dyDescent="0.25">
      <c r="B730" s="31" t="s">
        <v>2831</v>
      </c>
      <c r="C730" s="41">
        <v>2022</v>
      </c>
      <c r="D730" s="42">
        <f t="shared" si="11"/>
        <v>2024</v>
      </c>
      <c r="E730" s="31" t="s">
        <v>126</v>
      </c>
      <c r="F730" s="31" t="s">
        <v>2832</v>
      </c>
      <c r="G730" s="31" t="s">
        <v>2833</v>
      </c>
      <c r="H730" s="31" t="s">
        <v>172</v>
      </c>
      <c r="I730" s="31" t="s">
        <v>358</v>
      </c>
      <c r="J730" s="31" t="s">
        <v>358</v>
      </c>
      <c r="K730" s="31" t="s">
        <v>190</v>
      </c>
      <c r="L730" s="31" t="s">
        <v>159</v>
      </c>
      <c r="M730" s="34">
        <v>0</v>
      </c>
      <c r="N730" s="34">
        <v>1695786000</v>
      </c>
      <c r="O730" s="34">
        <v>1695786000</v>
      </c>
      <c r="P730" s="31" t="s">
        <v>357</v>
      </c>
      <c r="Q730" s="34">
        <v>20550000</v>
      </c>
      <c r="R730" s="31" t="s">
        <v>159</v>
      </c>
      <c r="S730" s="35">
        <v>44896</v>
      </c>
      <c r="T730" s="35">
        <v>44589</v>
      </c>
      <c r="U730" s="35">
        <v>45657</v>
      </c>
      <c r="V730" s="27" t="s">
        <v>9475</v>
      </c>
      <c r="W730" s="31" t="s">
        <v>557</v>
      </c>
      <c r="X730" s="31" t="s">
        <v>880</v>
      </c>
      <c r="Y730" s="31" t="s">
        <v>242</v>
      </c>
      <c r="Z730" s="31" t="s">
        <v>1176</v>
      </c>
      <c r="AA730" s="31" t="s">
        <v>862</v>
      </c>
      <c r="AB730" s="31" t="s">
        <v>861</v>
      </c>
      <c r="AC730" s="31" t="s">
        <v>863</v>
      </c>
      <c r="AD730" s="34">
        <v>2.2999999999999998</v>
      </c>
      <c r="AE730" s="31" t="s">
        <v>864</v>
      </c>
      <c r="AF730" s="31" t="s">
        <v>860</v>
      </c>
    </row>
    <row r="731" spans="2:32" ht="60" customHeight="1" x14ac:dyDescent="0.25">
      <c r="B731" s="36" t="s">
        <v>2835</v>
      </c>
      <c r="C731" s="42">
        <v>2022</v>
      </c>
      <c r="D731" s="42">
        <f t="shared" si="11"/>
        <v>2026</v>
      </c>
      <c r="E731" s="36" t="s">
        <v>126</v>
      </c>
      <c r="F731" s="36" t="s">
        <v>2836</v>
      </c>
      <c r="G731" s="36" t="s">
        <v>2837</v>
      </c>
      <c r="H731" s="36" t="s">
        <v>139</v>
      </c>
      <c r="I731" s="36" t="s">
        <v>137</v>
      </c>
      <c r="J731" s="36" t="s">
        <v>138</v>
      </c>
      <c r="K731" s="36" t="s">
        <v>142</v>
      </c>
      <c r="L731" s="36" t="s">
        <v>127</v>
      </c>
      <c r="M731" s="37">
        <v>20000000000</v>
      </c>
      <c r="N731" s="37">
        <v>0</v>
      </c>
      <c r="O731" s="37">
        <v>20000000000</v>
      </c>
      <c r="P731" s="36" t="s">
        <v>136</v>
      </c>
      <c r="Q731" s="37">
        <v>20000000000</v>
      </c>
      <c r="R731" s="36" t="s">
        <v>128</v>
      </c>
      <c r="S731" s="38">
        <v>44849</v>
      </c>
      <c r="T731" s="38">
        <v>44589</v>
      </c>
      <c r="U731" s="38">
        <v>46387</v>
      </c>
      <c r="V731" s="27" t="s">
        <v>9476</v>
      </c>
      <c r="W731" s="36" t="s">
        <v>1043</v>
      </c>
      <c r="X731" s="36" t="s">
        <v>558</v>
      </c>
      <c r="Y731" s="36" t="s">
        <v>125</v>
      </c>
      <c r="Z731" s="36" t="s">
        <v>1693</v>
      </c>
      <c r="AA731" s="36" t="s">
        <v>862</v>
      </c>
      <c r="AB731" s="36" t="s">
        <v>861</v>
      </c>
      <c r="AC731" s="36" t="s">
        <v>971</v>
      </c>
      <c r="AD731" s="37">
        <v>9.1</v>
      </c>
      <c r="AE731" s="36" t="s">
        <v>864</v>
      </c>
      <c r="AF731" s="36" t="s">
        <v>860</v>
      </c>
    </row>
    <row r="732" spans="2:32" ht="60" customHeight="1" x14ac:dyDescent="0.25">
      <c r="B732" s="31" t="s">
        <v>2840</v>
      </c>
      <c r="C732" s="41">
        <v>2022</v>
      </c>
      <c r="D732" s="42">
        <f t="shared" si="11"/>
        <v>2027</v>
      </c>
      <c r="E732" s="31" t="s">
        <v>126</v>
      </c>
      <c r="F732" s="31" t="s">
        <v>2841</v>
      </c>
      <c r="G732" s="31" t="s">
        <v>2843</v>
      </c>
      <c r="H732" s="31" t="s">
        <v>129</v>
      </c>
      <c r="I732" s="31" t="s">
        <v>337</v>
      </c>
      <c r="J732" s="31" t="s">
        <v>338</v>
      </c>
      <c r="K732" s="31" t="s">
        <v>873</v>
      </c>
      <c r="L732" s="31" t="s">
        <v>127</v>
      </c>
      <c r="M732" s="34">
        <v>36077635000</v>
      </c>
      <c r="N732" s="34">
        <v>0</v>
      </c>
      <c r="O732" s="34">
        <v>36077635000</v>
      </c>
      <c r="P732" s="31" t="s">
        <v>122</v>
      </c>
      <c r="Q732" s="34">
        <v>55000000</v>
      </c>
      <c r="R732" s="31" t="s">
        <v>150</v>
      </c>
      <c r="S732" s="35">
        <v>44824</v>
      </c>
      <c r="T732" s="35">
        <v>44749</v>
      </c>
      <c r="U732" s="35">
        <v>46752</v>
      </c>
      <c r="V732" s="27" t="s">
        <v>9307</v>
      </c>
      <c r="W732" s="31" t="s">
        <v>557</v>
      </c>
      <c r="X732" s="31" t="s">
        <v>558</v>
      </c>
      <c r="Y732" s="31" t="s">
        <v>242</v>
      </c>
      <c r="Z732" s="31" t="s">
        <v>2842</v>
      </c>
      <c r="AA732" s="31" t="s">
        <v>862</v>
      </c>
      <c r="AB732" s="31" t="s">
        <v>861</v>
      </c>
      <c r="AC732" s="31" t="s">
        <v>939</v>
      </c>
      <c r="AD732" s="34">
        <v>11.3</v>
      </c>
      <c r="AE732" s="31" t="s">
        <v>902</v>
      </c>
      <c r="AF732" s="31" t="s">
        <v>860</v>
      </c>
    </row>
    <row r="733" spans="2:32" ht="60" customHeight="1" x14ac:dyDescent="0.25">
      <c r="B733" s="36" t="s">
        <v>2844</v>
      </c>
      <c r="C733" s="42">
        <v>2022</v>
      </c>
      <c r="D733" s="42">
        <f t="shared" si="11"/>
        <v>2025</v>
      </c>
      <c r="E733" s="36" t="s">
        <v>317</v>
      </c>
      <c r="F733" s="36" t="s">
        <v>1028</v>
      </c>
      <c r="G733" s="36" t="s">
        <v>2845</v>
      </c>
      <c r="H733" s="36" t="s">
        <v>326</v>
      </c>
      <c r="I733" s="36" t="s">
        <v>267</v>
      </c>
      <c r="J733" s="36" t="s">
        <v>267</v>
      </c>
      <c r="K733" s="36" t="s">
        <v>282</v>
      </c>
      <c r="L733" s="36" t="s">
        <v>159</v>
      </c>
      <c r="M733" s="37">
        <v>0</v>
      </c>
      <c r="N733" s="37">
        <v>3082997900</v>
      </c>
      <c r="O733" s="37">
        <v>3082997900</v>
      </c>
      <c r="P733" s="36" t="s">
        <v>122</v>
      </c>
      <c r="Q733" s="37">
        <v>4700000</v>
      </c>
      <c r="R733" s="36" t="s">
        <v>159</v>
      </c>
      <c r="S733" s="38">
        <v>44909</v>
      </c>
      <c r="T733" s="38">
        <v>44849</v>
      </c>
      <c r="U733" s="38">
        <v>46022</v>
      </c>
      <c r="V733" s="27" t="s">
        <v>9308</v>
      </c>
      <c r="W733" s="36" t="s">
        <v>557</v>
      </c>
      <c r="X733" s="36" t="s">
        <v>880</v>
      </c>
      <c r="Y733" s="36" t="s">
        <v>242</v>
      </c>
      <c r="Z733" s="36" t="s">
        <v>1029</v>
      </c>
      <c r="AA733" s="36" t="s">
        <v>965</v>
      </c>
      <c r="AB733" s="36" t="s">
        <v>964</v>
      </c>
      <c r="AC733" s="36" t="s">
        <v>939</v>
      </c>
      <c r="AD733" s="37">
        <v>11.3</v>
      </c>
      <c r="AE733" s="36" t="s">
        <v>902</v>
      </c>
      <c r="AF733" s="36" t="s">
        <v>860</v>
      </c>
    </row>
    <row r="734" spans="2:32" ht="60" customHeight="1" x14ac:dyDescent="0.25">
      <c r="B734" s="31" t="s">
        <v>2846</v>
      </c>
      <c r="C734" s="41">
        <v>2022</v>
      </c>
      <c r="D734" s="42">
        <f t="shared" si="11"/>
        <v>2026</v>
      </c>
      <c r="E734" s="31" t="s">
        <v>126</v>
      </c>
      <c r="F734" s="31" t="s">
        <v>1989</v>
      </c>
      <c r="G734" s="31" t="s">
        <v>2847</v>
      </c>
      <c r="H734" s="31" t="s">
        <v>326</v>
      </c>
      <c r="I734" s="31" t="s">
        <v>1128</v>
      </c>
      <c r="J734" s="31" t="s">
        <v>1128</v>
      </c>
      <c r="K734" s="31" t="s">
        <v>216</v>
      </c>
      <c r="L734" s="31" t="s">
        <v>159</v>
      </c>
      <c r="M734" s="34">
        <v>0</v>
      </c>
      <c r="N734" s="34">
        <v>818900000</v>
      </c>
      <c r="O734" s="34">
        <v>818900000</v>
      </c>
      <c r="P734" s="31" t="s">
        <v>1127</v>
      </c>
      <c r="Q734" s="34">
        <v>1900000</v>
      </c>
      <c r="R734" s="31" t="s">
        <v>159</v>
      </c>
      <c r="S734" s="35">
        <v>44704</v>
      </c>
      <c r="T734" s="35">
        <v>44677</v>
      </c>
      <c r="U734" s="35">
        <v>46387</v>
      </c>
      <c r="V734" s="27" t="s">
        <v>9308</v>
      </c>
      <c r="W734" s="31" t="s">
        <v>557</v>
      </c>
      <c r="X734" s="31" t="s">
        <v>880</v>
      </c>
      <c r="Y734" s="31" t="s">
        <v>242</v>
      </c>
      <c r="Z734" s="31" t="s">
        <v>1025</v>
      </c>
      <c r="AA734" s="31" t="s">
        <v>561</v>
      </c>
      <c r="AB734" s="31" t="s">
        <v>560</v>
      </c>
      <c r="AC734" s="31" t="s">
        <v>989</v>
      </c>
      <c r="AD734" s="34">
        <v>3.8</v>
      </c>
      <c r="AE734" s="31" t="s">
        <v>902</v>
      </c>
      <c r="AF734" s="31" t="s">
        <v>860</v>
      </c>
    </row>
    <row r="735" spans="2:32" ht="60" customHeight="1" x14ac:dyDescent="0.25">
      <c r="B735" s="36" t="s">
        <v>2848</v>
      </c>
      <c r="C735" s="33">
        <v>2022</v>
      </c>
      <c r="D735" s="33">
        <f t="shared" si="11"/>
        <v>2022</v>
      </c>
      <c r="E735" s="36" t="s">
        <v>317</v>
      </c>
      <c r="F735" s="36" t="s">
        <v>2849</v>
      </c>
      <c r="G735" s="36" t="s">
        <v>2850</v>
      </c>
      <c r="H735" s="36" t="s">
        <v>172</v>
      </c>
      <c r="I735" s="36" t="s">
        <v>2501</v>
      </c>
      <c r="J735" s="36" t="s">
        <v>2502</v>
      </c>
      <c r="K735" s="36" t="s">
        <v>873</v>
      </c>
      <c r="L735" s="36" t="s">
        <v>127</v>
      </c>
      <c r="M735" s="37">
        <v>4526103300</v>
      </c>
      <c r="N735" s="37">
        <v>0</v>
      </c>
      <c r="O735" s="37">
        <v>4526103300</v>
      </c>
      <c r="P735" s="36" t="s">
        <v>122</v>
      </c>
      <c r="Q735" s="37">
        <v>6900000</v>
      </c>
      <c r="R735" s="36" t="s">
        <v>1883</v>
      </c>
      <c r="S735" s="38">
        <v>44849</v>
      </c>
      <c r="T735" s="38">
        <v>44210</v>
      </c>
      <c r="U735" s="38">
        <v>44926</v>
      </c>
      <c r="V735" s="27" t="s">
        <v>9459</v>
      </c>
      <c r="W735" s="36" t="s">
        <v>1043</v>
      </c>
      <c r="X735" s="36" t="s">
        <v>558</v>
      </c>
      <c r="Y735" s="36" t="s">
        <v>125</v>
      </c>
      <c r="Z735" s="36" t="s">
        <v>982</v>
      </c>
      <c r="AA735" s="36" t="s">
        <v>862</v>
      </c>
      <c r="AB735" s="36" t="s">
        <v>861</v>
      </c>
      <c r="AC735" s="36" t="s">
        <v>939</v>
      </c>
      <c r="AD735" s="37">
        <v>11.3</v>
      </c>
      <c r="AE735" s="36" t="s">
        <v>902</v>
      </c>
      <c r="AF735" s="37"/>
    </row>
    <row r="736" spans="2:32" ht="60" customHeight="1" x14ac:dyDescent="0.25">
      <c r="B736" s="31" t="s">
        <v>2851</v>
      </c>
      <c r="C736" s="32">
        <v>2022</v>
      </c>
      <c r="D736" s="33">
        <f t="shared" si="11"/>
        <v>2022</v>
      </c>
      <c r="E736" s="31" t="s">
        <v>317</v>
      </c>
      <c r="F736" s="31" t="s">
        <v>2852</v>
      </c>
      <c r="G736" s="31" t="s">
        <v>2854</v>
      </c>
      <c r="H736" s="31" t="s">
        <v>172</v>
      </c>
      <c r="I736" s="31" t="s">
        <v>2501</v>
      </c>
      <c r="J736" s="31" t="s">
        <v>2502</v>
      </c>
      <c r="K736" s="31" t="s">
        <v>873</v>
      </c>
      <c r="L736" s="31" t="s">
        <v>127</v>
      </c>
      <c r="M736" s="34">
        <v>1115126900</v>
      </c>
      <c r="N736" s="34">
        <v>0</v>
      </c>
      <c r="O736" s="34">
        <v>1115126900</v>
      </c>
      <c r="P736" s="31" t="s">
        <v>122</v>
      </c>
      <c r="Q736" s="34">
        <v>1700000</v>
      </c>
      <c r="R736" s="31" t="s">
        <v>1883</v>
      </c>
      <c r="S736" s="35">
        <v>44879</v>
      </c>
      <c r="T736" s="35">
        <v>44210</v>
      </c>
      <c r="U736" s="35">
        <v>44926</v>
      </c>
      <c r="V736" s="27" t="s">
        <v>9477</v>
      </c>
      <c r="W736" s="31" t="s">
        <v>1043</v>
      </c>
      <c r="X736" s="31" t="s">
        <v>558</v>
      </c>
      <c r="Y736" s="31" t="s">
        <v>125</v>
      </c>
      <c r="Z736" s="31" t="s">
        <v>2853</v>
      </c>
      <c r="AA736" s="31" t="s">
        <v>862</v>
      </c>
      <c r="AB736" s="31" t="s">
        <v>861</v>
      </c>
      <c r="AC736" s="31" t="s">
        <v>939</v>
      </c>
      <c r="AD736" s="34">
        <v>11.3</v>
      </c>
      <c r="AE736" s="31" t="s">
        <v>902</v>
      </c>
      <c r="AF736" s="34"/>
    </row>
    <row r="737" spans="2:32" ht="60" customHeight="1" x14ac:dyDescent="0.25">
      <c r="B737" s="36" t="s">
        <v>2857</v>
      </c>
      <c r="C737" s="42">
        <v>2022</v>
      </c>
      <c r="D737" s="42">
        <f t="shared" si="11"/>
        <v>2023</v>
      </c>
      <c r="E737" s="36" t="s">
        <v>235</v>
      </c>
      <c r="F737" s="36" t="s">
        <v>2858</v>
      </c>
      <c r="G737" s="36" t="s">
        <v>2859</v>
      </c>
      <c r="H737" s="36" t="s">
        <v>172</v>
      </c>
      <c r="I737" s="36" t="s">
        <v>1148</v>
      </c>
      <c r="J737" s="36" t="s">
        <v>1148</v>
      </c>
      <c r="K737" s="36" t="s">
        <v>263</v>
      </c>
      <c r="L737" s="36" t="s">
        <v>159</v>
      </c>
      <c r="M737" s="37">
        <v>0</v>
      </c>
      <c r="N737" s="37">
        <v>668731000</v>
      </c>
      <c r="O737" s="37">
        <v>668731000</v>
      </c>
      <c r="P737" s="36" t="s">
        <v>2412</v>
      </c>
      <c r="Q737" s="37">
        <v>167182750</v>
      </c>
      <c r="R737" s="36" t="s">
        <v>159</v>
      </c>
      <c r="S737" s="38">
        <v>44909</v>
      </c>
      <c r="T737" s="38">
        <v>44883</v>
      </c>
      <c r="U737" s="38">
        <v>45291</v>
      </c>
      <c r="V737" s="27" t="s">
        <v>9478</v>
      </c>
      <c r="W737" s="36" t="s">
        <v>557</v>
      </c>
      <c r="X737" s="36" t="s">
        <v>880</v>
      </c>
      <c r="Y737" s="36" t="s">
        <v>242</v>
      </c>
      <c r="Z737" s="36" t="s">
        <v>555</v>
      </c>
      <c r="AA737" s="36" t="s">
        <v>561</v>
      </c>
      <c r="AB737" s="36" t="s">
        <v>560</v>
      </c>
      <c r="AC737" s="36" t="s">
        <v>562</v>
      </c>
      <c r="AD737" s="37">
        <v>6.1</v>
      </c>
      <c r="AE737" s="36" t="s">
        <v>563</v>
      </c>
      <c r="AF737" s="36" t="s">
        <v>860</v>
      </c>
    </row>
    <row r="738" spans="2:32" ht="60" customHeight="1" x14ac:dyDescent="0.25">
      <c r="B738" s="31" t="s">
        <v>2860</v>
      </c>
      <c r="C738" s="41">
        <v>2022</v>
      </c>
      <c r="D738" s="42">
        <f t="shared" si="11"/>
        <v>2025</v>
      </c>
      <c r="E738" s="31" t="s">
        <v>126</v>
      </c>
      <c r="F738" s="31" t="s">
        <v>2861</v>
      </c>
      <c r="G738" s="31" t="s">
        <v>2862</v>
      </c>
      <c r="H738" s="31" t="s">
        <v>172</v>
      </c>
      <c r="I738" s="31" t="s">
        <v>1010</v>
      </c>
      <c r="J738" s="31" t="s">
        <v>1011</v>
      </c>
      <c r="K738" s="31" t="s">
        <v>526</v>
      </c>
      <c r="L738" s="31" t="s">
        <v>159</v>
      </c>
      <c r="M738" s="34">
        <v>0</v>
      </c>
      <c r="N738" s="34">
        <v>149075476</v>
      </c>
      <c r="O738" s="34">
        <v>149075476</v>
      </c>
      <c r="P738" s="31" t="s">
        <v>624</v>
      </c>
      <c r="Q738" s="34">
        <v>271046.32</v>
      </c>
      <c r="R738" s="31" t="s">
        <v>159</v>
      </c>
      <c r="S738" s="35">
        <v>44909</v>
      </c>
      <c r="T738" s="35">
        <v>44896</v>
      </c>
      <c r="U738" s="35">
        <v>46022</v>
      </c>
      <c r="V738" s="27" t="s">
        <v>9308</v>
      </c>
      <c r="W738" s="31" t="s">
        <v>557</v>
      </c>
      <c r="X738" s="31" t="s">
        <v>880</v>
      </c>
      <c r="Y738" s="31" t="s">
        <v>125</v>
      </c>
      <c r="Z738" s="31" t="s">
        <v>1131</v>
      </c>
      <c r="AA738" s="31" t="s">
        <v>561</v>
      </c>
      <c r="AB738" s="31" t="s">
        <v>560</v>
      </c>
      <c r="AC738" s="31" t="s">
        <v>1022</v>
      </c>
      <c r="AD738" s="34">
        <v>1.3</v>
      </c>
      <c r="AE738" s="31" t="s">
        <v>902</v>
      </c>
      <c r="AF738" s="31" t="s">
        <v>860</v>
      </c>
    </row>
    <row r="739" spans="2:32" ht="60" customHeight="1" x14ac:dyDescent="0.25">
      <c r="B739" s="36" t="s">
        <v>2863</v>
      </c>
      <c r="C739" s="42">
        <v>2022</v>
      </c>
      <c r="D739" s="42">
        <f t="shared" si="11"/>
        <v>2025</v>
      </c>
      <c r="E739" s="36" t="s">
        <v>126</v>
      </c>
      <c r="F739" s="48" t="s">
        <v>1992</v>
      </c>
      <c r="G739" s="36" t="s">
        <v>2864</v>
      </c>
      <c r="H739" s="36" t="s">
        <v>172</v>
      </c>
      <c r="I739" s="36" t="s">
        <v>1010</v>
      </c>
      <c r="J739" s="36" t="s">
        <v>1011</v>
      </c>
      <c r="K739" s="36" t="s">
        <v>190</v>
      </c>
      <c r="L739" s="36" t="s">
        <v>159</v>
      </c>
      <c r="M739" s="37">
        <v>0</v>
      </c>
      <c r="N739" s="37">
        <v>714999450</v>
      </c>
      <c r="O739" s="37">
        <v>714999450</v>
      </c>
      <c r="P739" s="36" t="s">
        <v>624</v>
      </c>
      <c r="Q739" s="37">
        <v>1299999</v>
      </c>
      <c r="R739" s="36" t="s">
        <v>159</v>
      </c>
      <c r="S739" s="38">
        <v>44914</v>
      </c>
      <c r="T739" s="38">
        <v>44719</v>
      </c>
      <c r="U739" s="38">
        <v>46022</v>
      </c>
      <c r="V739" s="27" t="s">
        <v>9308</v>
      </c>
      <c r="W739" s="36" t="s">
        <v>557</v>
      </c>
      <c r="X739" s="36" t="s">
        <v>880</v>
      </c>
      <c r="Y739" s="36" t="s">
        <v>125</v>
      </c>
      <c r="Z739" s="36" t="s">
        <v>856</v>
      </c>
      <c r="AA739" s="36" t="s">
        <v>862</v>
      </c>
      <c r="AB739" s="36" t="s">
        <v>861</v>
      </c>
      <c r="AC739" s="36" t="s">
        <v>863</v>
      </c>
      <c r="AD739" s="37">
        <v>2.2999999999999998</v>
      </c>
      <c r="AE739" s="36" t="s">
        <v>864</v>
      </c>
      <c r="AF739" s="36" t="s">
        <v>860</v>
      </c>
    </row>
    <row r="740" spans="2:32" ht="60" customHeight="1" x14ac:dyDescent="0.25">
      <c r="B740" s="31" t="s">
        <v>2865</v>
      </c>
      <c r="C740" s="41">
        <v>2022</v>
      </c>
      <c r="D740" s="42">
        <f t="shared" si="11"/>
        <v>2026</v>
      </c>
      <c r="E740" s="31" t="s">
        <v>126</v>
      </c>
      <c r="F740" s="31" t="s">
        <v>2866</v>
      </c>
      <c r="G740" s="31" t="s">
        <v>2867</v>
      </c>
      <c r="H740" s="31" t="s">
        <v>172</v>
      </c>
      <c r="I740" s="31" t="s">
        <v>1020</v>
      </c>
      <c r="J740" s="31" t="s">
        <v>1021</v>
      </c>
      <c r="K740" s="31" t="s">
        <v>216</v>
      </c>
      <c r="L740" s="31" t="s">
        <v>159</v>
      </c>
      <c r="M740" s="34">
        <v>0</v>
      </c>
      <c r="N740" s="34">
        <v>110000000</v>
      </c>
      <c r="O740" s="34">
        <v>110000000</v>
      </c>
      <c r="P740" s="31" t="s">
        <v>624</v>
      </c>
      <c r="Q740" s="34">
        <v>200000</v>
      </c>
      <c r="R740" s="31" t="s">
        <v>159</v>
      </c>
      <c r="S740" s="35">
        <v>44680</v>
      </c>
      <c r="T740" s="35">
        <v>44677</v>
      </c>
      <c r="U740" s="35">
        <v>46295</v>
      </c>
      <c r="V740" s="27" t="s">
        <v>9308</v>
      </c>
      <c r="W740" s="31" t="s">
        <v>557</v>
      </c>
      <c r="X740" s="31" t="s">
        <v>880</v>
      </c>
      <c r="Y740" s="31" t="s">
        <v>242</v>
      </c>
      <c r="Z740" s="31" t="s">
        <v>1060</v>
      </c>
      <c r="AA740" s="31" t="s">
        <v>561</v>
      </c>
      <c r="AB740" s="31" t="s">
        <v>560</v>
      </c>
      <c r="AC740" s="31" t="s">
        <v>989</v>
      </c>
      <c r="AD740" s="34">
        <v>3.8</v>
      </c>
      <c r="AE740" s="31" t="s">
        <v>902</v>
      </c>
      <c r="AF740" s="31" t="s">
        <v>860</v>
      </c>
    </row>
    <row r="741" spans="2:32" ht="90" customHeight="1" x14ac:dyDescent="0.25">
      <c r="B741" s="36" t="s">
        <v>2868</v>
      </c>
      <c r="C741" s="42">
        <v>2022</v>
      </c>
      <c r="D741" s="42">
        <f t="shared" si="11"/>
        <v>2026</v>
      </c>
      <c r="E741" s="36" t="s">
        <v>126</v>
      </c>
      <c r="F741" s="36" t="s">
        <v>1996</v>
      </c>
      <c r="G741" s="36" t="s">
        <v>2869</v>
      </c>
      <c r="H741" s="36" t="s">
        <v>172</v>
      </c>
      <c r="I741" s="36" t="s">
        <v>1020</v>
      </c>
      <c r="J741" s="36" t="s">
        <v>1021</v>
      </c>
      <c r="K741" s="36" t="s">
        <v>216</v>
      </c>
      <c r="L741" s="36" t="s">
        <v>159</v>
      </c>
      <c r="M741" s="37">
        <v>0</v>
      </c>
      <c r="N741" s="37">
        <v>330000000</v>
      </c>
      <c r="O741" s="37">
        <v>330000000</v>
      </c>
      <c r="P741" s="36" t="s">
        <v>624</v>
      </c>
      <c r="Q741" s="37">
        <v>600000</v>
      </c>
      <c r="R741" s="36" t="s">
        <v>159</v>
      </c>
      <c r="S741" s="38">
        <v>44915</v>
      </c>
      <c r="T741" s="38">
        <v>44726</v>
      </c>
      <c r="U741" s="38">
        <v>46295</v>
      </c>
      <c r="V741" s="27" t="s">
        <v>9308</v>
      </c>
      <c r="W741" s="36" t="s">
        <v>557</v>
      </c>
      <c r="X741" s="36" t="s">
        <v>880</v>
      </c>
      <c r="Y741" s="36" t="s">
        <v>242</v>
      </c>
      <c r="Z741" s="36" t="s">
        <v>1559</v>
      </c>
      <c r="AA741" s="36" t="s">
        <v>561</v>
      </c>
      <c r="AB741" s="36" t="s">
        <v>560</v>
      </c>
      <c r="AC741" s="36" t="s">
        <v>989</v>
      </c>
      <c r="AD741" s="37">
        <v>3.8</v>
      </c>
      <c r="AE741" s="36" t="s">
        <v>902</v>
      </c>
      <c r="AF741" s="36" t="s">
        <v>860</v>
      </c>
    </row>
    <row r="742" spans="2:32" ht="60" customHeight="1" x14ac:dyDescent="0.25">
      <c r="B742" s="31" t="s">
        <v>2870</v>
      </c>
      <c r="C742" s="41">
        <v>2022</v>
      </c>
      <c r="D742" s="42">
        <f t="shared" si="11"/>
        <v>2026</v>
      </c>
      <c r="E742" s="31" t="s">
        <v>126</v>
      </c>
      <c r="F742" s="31" t="s">
        <v>1383</v>
      </c>
      <c r="G742" s="31" t="s">
        <v>2871</v>
      </c>
      <c r="H742" s="31" t="s">
        <v>172</v>
      </c>
      <c r="I742" s="31" t="s">
        <v>1020</v>
      </c>
      <c r="J742" s="31" t="s">
        <v>1021</v>
      </c>
      <c r="K742" s="31" t="s">
        <v>163</v>
      </c>
      <c r="L742" s="31" t="s">
        <v>159</v>
      </c>
      <c r="M742" s="34">
        <v>0</v>
      </c>
      <c r="N742" s="34">
        <v>230741500</v>
      </c>
      <c r="O742" s="34">
        <v>230741500</v>
      </c>
      <c r="P742" s="31" t="s">
        <v>624</v>
      </c>
      <c r="Q742" s="34">
        <v>419530</v>
      </c>
      <c r="R742" s="31" t="s">
        <v>159</v>
      </c>
      <c r="S742" s="35">
        <v>44915</v>
      </c>
      <c r="T742" s="35">
        <v>44909</v>
      </c>
      <c r="U742" s="35">
        <v>46295</v>
      </c>
      <c r="V742" s="27" t="s">
        <v>9308</v>
      </c>
      <c r="W742" s="31" t="s">
        <v>557</v>
      </c>
      <c r="X742" s="31" t="s">
        <v>880</v>
      </c>
      <c r="Y742" s="31" t="s">
        <v>242</v>
      </c>
      <c r="Z742" s="31" t="s">
        <v>962</v>
      </c>
      <c r="AA742" s="31" t="s">
        <v>1046</v>
      </c>
      <c r="AB742" s="31" t="s">
        <v>861</v>
      </c>
      <c r="AC742" s="31" t="s">
        <v>1036</v>
      </c>
      <c r="AD742" s="34">
        <v>16.600000000000001</v>
      </c>
      <c r="AE742" s="31" t="s">
        <v>902</v>
      </c>
      <c r="AF742" s="31" t="s">
        <v>860</v>
      </c>
    </row>
    <row r="743" spans="2:32" ht="60" customHeight="1" x14ac:dyDescent="0.25">
      <c r="B743" s="36" t="s">
        <v>2872</v>
      </c>
      <c r="C743" s="42">
        <v>2022</v>
      </c>
      <c r="D743" s="42">
        <f t="shared" si="11"/>
        <v>2026</v>
      </c>
      <c r="E743" s="36" t="s">
        <v>170</v>
      </c>
      <c r="F743" s="36" t="s">
        <v>1386</v>
      </c>
      <c r="G743" s="36" t="s">
        <v>2873</v>
      </c>
      <c r="H743" s="36" t="s">
        <v>172</v>
      </c>
      <c r="I743" s="36" t="s">
        <v>1020</v>
      </c>
      <c r="J743" s="36" t="s">
        <v>1021</v>
      </c>
      <c r="K743" s="36" t="s">
        <v>216</v>
      </c>
      <c r="L743" s="36" t="s">
        <v>159</v>
      </c>
      <c r="M743" s="37">
        <v>0</v>
      </c>
      <c r="N743" s="37">
        <v>467500000</v>
      </c>
      <c r="O743" s="37">
        <v>467500000</v>
      </c>
      <c r="P743" s="36" t="s">
        <v>624</v>
      </c>
      <c r="Q743" s="37">
        <v>850000</v>
      </c>
      <c r="R743" s="36" t="s">
        <v>171</v>
      </c>
      <c r="S743" s="38">
        <v>44917</v>
      </c>
      <c r="T743" s="38">
        <v>44909</v>
      </c>
      <c r="U743" s="38">
        <v>46295</v>
      </c>
      <c r="V743" s="27" t="s">
        <v>9308</v>
      </c>
      <c r="W743" s="36" t="s">
        <v>557</v>
      </c>
      <c r="X743" s="36" t="s">
        <v>880</v>
      </c>
      <c r="Y743" s="36" t="s">
        <v>242</v>
      </c>
      <c r="Z743" s="36" t="s">
        <v>1060</v>
      </c>
      <c r="AA743" s="36" t="s">
        <v>561</v>
      </c>
      <c r="AB743" s="36" t="s">
        <v>560</v>
      </c>
      <c r="AC743" s="36" t="s">
        <v>989</v>
      </c>
      <c r="AD743" s="37">
        <v>3.8</v>
      </c>
      <c r="AE743" s="36" t="s">
        <v>902</v>
      </c>
      <c r="AF743" s="36" t="s">
        <v>860</v>
      </c>
    </row>
    <row r="744" spans="2:32" ht="60" customHeight="1" x14ac:dyDescent="0.25">
      <c r="B744" s="31" t="s">
        <v>2874</v>
      </c>
      <c r="C744" s="41">
        <v>2022</v>
      </c>
      <c r="D744" s="42">
        <f t="shared" si="11"/>
        <v>2027</v>
      </c>
      <c r="E744" s="31" t="s">
        <v>126</v>
      </c>
      <c r="F744" s="31" t="s">
        <v>2875</v>
      </c>
      <c r="G744" s="31" t="s">
        <v>2877</v>
      </c>
      <c r="H744" s="31" t="s">
        <v>172</v>
      </c>
      <c r="I744" s="31" t="s">
        <v>1020</v>
      </c>
      <c r="J744" s="31" t="s">
        <v>1021</v>
      </c>
      <c r="K744" s="31" t="s">
        <v>315</v>
      </c>
      <c r="L744" s="31" t="s">
        <v>159</v>
      </c>
      <c r="M744" s="34">
        <v>0</v>
      </c>
      <c r="N744" s="34">
        <v>10608375800</v>
      </c>
      <c r="O744" s="34">
        <v>10608375800</v>
      </c>
      <c r="P744" s="31" t="s">
        <v>624</v>
      </c>
      <c r="Q744" s="34">
        <v>19287956</v>
      </c>
      <c r="R744" s="31" t="s">
        <v>159</v>
      </c>
      <c r="S744" s="35">
        <v>44914</v>
      </c>
      <c r="T744" s="35">
        <v>44909</v>
      </c>
      <c r="U744" s="35">
        <v>46660</v>
      </c>
      <c r="V744" s="27" t="s">
        <v>9308</v>
      </c>
      <c r="W744" s="31" t="s">
        <v>557</v>
      </c>
      <c r="X744" s="31" t="s">
        <v>880</v>
      </c>
      <c r="Y744" s="31" t="s">
        <v>242</v>
      </c>
      <c r="Z744" s="31" t="s">
        <v>2876</v>
      </c>
      <c r="AA744" s="31" t="s">
        <v>1035</v>
      </c>
      <c r="AB744" s="31" t="s">
        <v>964</v>
      </c>
      <c r="AC744" s="31" t="s">
        <v>1047</v>
      </c>
      <c r="AD744" s="34">
        <v>17.170000000000002</v>
      </c>
      <c r="AE744" s="31" t="s">
        <v>864</v>
      </c>
      <c r="AF744" s="31" t="s">
        <v>860</v>
      </c>
    </row>
    <row r="745" spans="2:32" ht="60" customHeight="1" x14ac:dyDescent="0.25">
      <c r="B745" s="36" t="s">
        <v>2878</v>
      </c>
      <c r="C745" s="42">
        <v>2023</v>
      </c>
      <c r="D745" s="42">
        <f t="shared" si="11"/>
        <v>2026</v>
      </c>
      <c r="E745" s="36" t="s">
        <v>126</v>
      </c>
      <c r="F745" s="36" t="s">
        <v>2879</v>
      </c>
      <c r="G745" s="36" t="s">
        <v>2880</v>
      </c>
      <c r="H745" s="36" t="s">
        <v>139</v>
      </c>
      <c r="I745" s="36" t="s">
        <v>137</v>
      </c>
      <c r="J745" s="36" t="s">
        <v>138</v>
      </c>
      <c r="K745" s="36" t="s">
        <v>205</v>
      </c>
      <c r="L745" s="36" t="s">
        <v>127</v>
      </c>
      <c r="M745" s="37">
        <v>25000000000</v>
      </c>
      <c r="N745" s="37">
        <v>0</v>
      </c>
      <c r="O745" s="37">
        <v>25000000000</v>
      </c>
      <c r="P745" s="36" t="s">
        <v>136</v>
      </c>
      <c r="Q745" s="37">
        <v>25000000000</v>
      </c>
      <c r="R745" s="36" t="s">
        <v>128</v>
      </c>
      <c r="S745" s="38">
        <v>45010</v>
      </c>
      <c r="T745" s="38">
        <v>44970</v>
      </c>
      <c r="U745" s="38">
        <v>46387</v>
      </c>
      <c r="V745" s="27" t="s">
        <v>9308</v>
      </c>
      <c r="W745" s="37"/>
      <c r="X745" s="37"/>
      <c r="Y745" s="37" t="s">
        <v>125</v>
      </c>
      <c r="Z745" s="37"/>
      <c r="AA745" s="37"/>
      <c r="AB745" s="37"/>
      <c r="AC745" s="37"/>
      <c r="AD745" s="37"/>
      <c r="AE745" s="37"/>
      <c r="AF745" s="37"/>
    </row>
    <row r="746" spans="2:32" ht="60" customHeight="1" x14ac:dyDescent="0.25">
      <c r="B746" s="31" t="s">
        <v>2881</v>
      </c>
      <c r="C746" s="41">
        <v>2023</v>
      </c>
      <c r="D746" s="42">
        <f t="shared" si="11"/>
        <v>2028</v>
      </c>
      <c r="E746" s="31" t="s">
        <v>126</v>
      </c>
      <c r="F746" s="31" t="s">
        <v>2882</v>
      </c>
      <c r="G746" s="31" t="s">
        <v>2883</v>
      </c>
      <c r="H746" s="31" t="s">
        <v>172</v>
      </c>
      <c r="I746" s="31" t="s">
        <v>2200</v>
      </c>
      <c r="J746" s="31" t="s">
        <v>2200</v>
      </c>
      <c r="K746" s="31" t="s">
        <v>142</v>
      </c>
      <c r="L746" s="31" t="s">
        <v>127</v>
      </c>
      <c r="M746" s="34">
        <v>82435019582</v>
      </c>
      <c r="N746" s="34">
        <v>0</v>
      </c>
      <c r="O746" s="34">
        <v>82435019582</v>
      </c>
      <c r="P746" s="31" t="s">
        <v>122</v>
      </c>
      <c r="Q746" s="34">
        <v>125670802</v>
      </c>
      <c r="R746" s="31" t="s">
        <v>443</v>
      </c>
      <c r="S746" s="35">
        <v>45057</v>
      </c>
      <c r="T746" s="35">
        <v>44985</v>
      </c>
      <c r="U746" s="35">
        <v>47118</v>
      </c>
      <c r="V746" s="27" t="s">
        <v>9307</v>
      </c>
      <c r="W746" s="34"/>
      <c r="X746" s="34"/>
      <c r="Y746" s="34" t="s">
        <v>442</v>
      </c>
      <c r="Z746" s="34"/>
      <c r="AA746" s="34"/>
      <c r="AB746" s="34"/>
      <c r="AC746" s="34"/>
      <c r="AD746" s="34"/>
      <c r="AE746" s="34"/>
      <c r="AF746" s="34"/>
    </row>
    <row r="747" spans="2:32" ht="60" customHeight="1" x14ac:dyDescent="0.25">
      <c r="B747" s="36" t="s">
        <v>2884</v>
      </c>
      <c r="C747" s="42">
        <v>2023</v>
      </c>
      <c r="D747" s="42">
        <f t="shared" si="11"/>
        <v>2028</v>
      </c>
      <c r="E747" s="36" t="s">
        <v>126</v>
      </c>
      <c r="F747" s="36" t="s">
        <v>2885</v>
      </c>
      <c r="G747" s="36" t="s">
        <v>2886</v>
      </c>
      <c r="H747" s="36" t="s">
        <v>172</v>
      </c>
      <c r="I747" s="36" t="s">
        <v>2200</v>
      </c>
      <c r="J747" s="36" t="s">
        <v>2200</v>
      </c>
      <c r="K747" s="36" t="s">
        <v>142</v>
      </c>
      <c r="L747" s="36" t="s">
        <v>127</v>
      </c>
      <c r="M747" s="37">
        <v>12212321190</v>
      </c>
      <c r="N747" s="37">
        <v>0</v>
      </c>
      <c r="O747" s="37">
        <v>12212321190</v>
      </c>
      <c r="P747" s="36" t="s">
        <v>122</v>
      </c>
      <c r="Q747" s="37">
        <v>18617478</v>
      </c>
      <c r="R747" s="36" t="s">
        <v>443</v>
      </c>
      <c r="S747" s="38">
        <v>45114</v>
      </c>
      <c r="T747" s="38">
        <v>45057</v>
      </c>
      <c r="U747" s="38">
        <v>47118</v>
      </c>
      <c r="V747" s="27" t="s">
        <v>9307</v>
      </c>
      <c r="W747" s="37"/>
      <c r="X747" s="37"/>
      <c r="Y747" s="37" t="s">
        <v>442</v>
      </c>
      <c r="Z747" s="37"/>
      <c r="AA747" s="37"/>
      <c r="AB747" s="37"/>
      <c r="AC747" s="37"/>
      <c r="AD747" s="37"/>
      <c r="AE747" s="37"/>
      <c r="AF747" s="37"/>
    </row>
    <row r="748" spans="2:32" ht="60" customHeight="1" x14ac:dyDescent="0.25">
      <c r="B748" s="31" t="s">
        <v>2887</v>
      </c>
      <c r="C748" s="41">
        <v>2023</v>
      </c>
      <c r="D748" s="42">
        <f t="shared" si="11"/>
        <v>2024</v>
      </c>
      <c r="E748" s="31" t="s">
        <v>1335</v>
      </c>
      <c r="F748" s="31" t="s">
        <v>2888</v>
      </c>
      <c r="G748" s="31" t="s">
        <v>2889</v>
      </c>
      <c r="H748" s="31" t="s">
        <v>151</v>
      </c>
      <c r="I748" s="31" t="s">
        <v>277</v>
      </c>
      <c r="J748" s="31" t="s">
        <v>278</v>
      </c>
      <c r="K748" s="31" t="s">
        <v>163</v>
      </c>
      <c r="L748" s="31" t="s">
        <v>127</v>
      </c>
      <c r="M748" s="34">
        <v>25396820000</v>
      </c>
      <c r="N748" s="34">
        <v>0</v>
      </c>
      <c r="O748" s="34">
        <v>25396820000</v>
      </c>
      <c r="P748" s="31" t="s">
        <v>276</v>
      </c>
      <c r="Q748" s="34">
        <v>31300000</v>
      </c>
      <c r="R748" s="31" t="s">
        <v>1252</v>
      </c>
      <c r="S748" s="35">
        <v>45274</v>
      </c>
      <c r="T748" s="35">
        <v>45274</v>
      </c>
      <c r="U748" s="35">
        <v>45657</v>
      </c>
      <c r="V748" s="27" t="s">
        <v>9308</v>
      </c>
      <c r="W748" s="34"/>
      <c r="X748" s="34"/>
      <c r="Y748" s="34" t="s">
        <v>125</v>
      </c>
      <c r="Z748" s="34"/>
      <c r="AA748" s="34"/>
      <c r="AB748" s="34"/>
      <c r="AC748" s="34"/>
      <c r="AD748" s="34"/>
      <c r="AE748" s="34"/>
      <c r="AF748" s="34"/>
    </row>
    <row r="749" spans="2:32" ht="105" customHeight="1" x14ac:dyDescent="0.25">
      <c r="B749" s="36" t="s">
        <v>2890</v>
      </c>
      <c r="C749" s="42">
        <v>2023</v>
      </c>
      <c r="D749" s="42">
        <f t="shared" si="11"/>
        <v>2026</v>
      </c>
      <c r="E749" s="36" t="s">
        <v>180</v>
      </c>
      <c r="F749" s="36" t="s">
        <v>2891</v>
      </c>
      <c r="G749" s="36" t="s">
        <v>2892</v>
      </c>
      <c r="H749" s="36" t="s">
        <v>129</v>
      </c>
      <c r="I749" s="36" t="s">
        <v>337</v>
      </c>
      <c r="J749" s="36" t="s">
        <v>338</v>
      </c>
      <c r="K749" s="36" t="s">
        <v>163</v>
      </c>
      <c r="L749" s="36" t="s">
        <v>201</v>
      </c>
      <c r="M749" s="37">
        <v>11807280000</v>
      </c>
      <c r="N749" s="37">
        <v>1805386515</v>
      </c>
      <c r="O749" s="37">
        <v>13612666515</v>
      </c>
      <c r="P749" s="36" t="s">
        <v>122</v>
      </c>
      <c r="Q749" s="37">
        <v>20752294</v>
      </c>
      <c r="R749" s="36" t="s">
        <v>1252</v>
      </c>
      <c r="S749" s="38">
        <v>45257</v>
      </c>
      <c r="T749" s="38">
        <v>44982</v>
      </c>
      <c r="U749" s="38">
        <v>46387</v>
      </c>
      <c r="V749" s="27" t="s">
        <v>9308</v>
      </c>
      <c r="W749" s="37"/>
      <c r="X749" s="37"/>
      <c r="Y749" s="37" t="s">
        <v>242</v>
      </c>
      <c r="Z749" s="37"/>
      <c r="AA749" s="37"/>
      <c r="AB749" s="37"/>
      <c r="AC749" s="37"/>
      <c r="AD749" s="37"/>
      <c r="AE749" s="37"/>
      <c r="AF749" s="37"/>
    </row>
    <row r="750" spans="2:32" ht="60" customHeight="1" x14ac:dyDescent="0.25">
      <c r="B750" s="31" t="s">
        <v>2893</v>
      </c>
      <c r="C750" s="41">
        <v>2023</v>
      </c>
      <c r="D750" s="42">
        <f t="shared" si="11"/>
        <v>2024</v>
      </c>
      <c r="E750" s="31" t="s">
        <v>1335</v>
      </c>
      <c r="F750" s="31" t="s">
        <v>2894</v>
      </c>
      <c r="G750" s="31" t="s">
        <v>2895</v>
      </c>
      <c r="H750" s="31" t="s">
        <v>181</v>
      </c>
      <c r="I750" s="31" t="s">
        <v>178</v>
      </c>
      <c r="J750" s="31" t="s">
        <v>179</v>
      </c>
      <c r="K750" s="31" t="s">
        <v>163</v>
      </c>
      <c r="L750" s="31" t="s">
        <v>127</v>
      </c>
      <c r="M750" s="34">
        <v>89210560000</v>
      </c>
      <c r="N750" s="34">
        <v>0</v>
      </c>
      <c r="O750" s="34">
        <v>89210560000</v>
      </c>
      <c r="P750" s="31" t="s">
        <v>122</v>
      </c>
      <c r="Q750" s="34">
        <v>136000000</v>
      </c>
      <c r="R750" s="31" t="s">
        <v>1252</v>
      </c>
      <c r="S750" s="35">
        <v>45273</v>
      </c>
      <c r="T750" s="35">
        <v>45190</v>
      </c>
      <c r="U750" s="35">
        <v>45657</v>
      </c>
      <c r="V750" s="27" t="s">
        <v>9308</v>
      </c>
      <c r="W750" s="34"/>
      <c r="X750" s="34"/>
      <c r="Y750" s="34" t="s">
        <v>125</v>
      </c>
      <c r="Z750" s="34"/>
      <c r="AA750" s="34"/>
      <c r="AB750" s="34"/>
      <c r="AC750" s="34"/>
      <c r="AD750" s="34"/>
      <c r="AE750" s="34"/>
      <c r="AF750" s="34"/>
    </row>
    <row r="751" spans="2:32" ht="60" customHeight="1" x14ac:dyDescent="0.25">
      <c r="B751" s="36" t="s">
        <v>2896</v>
      </c>
      <c r="C751" s="42">
        <v>2023</v>
      </c>
      <c r="D751" s="42">
        <f t="shared" si="11"/>
        <v>2029</v>
      </c>
      <c r="E751" s="36" t="s">
        <v>317</v>
      </c>
      <c r="F751" s="36" t="s">
        <v>2897</v>
      </c>
      <c r="G751" s="36" t="s">
        <v>2898</v>
      </c>
      <c r="H751" s="36" t="s">
        <v>366</v>
      </c>
      <c r="I751" s="36" t="s">
        <v>277</v>
      </c>
      <c r="J751" s="36" t="s">
        <v>278</v>
      </c>
      <c r="K751" s="36" t="s">
        <v>205</v>
      </c>
      <c r="L751" s="36" t="s">
        <v>127</v>
      </c>
      <c r="M751" s="37">
        <v>77895250000</v>
      </c>
      <c r="N751" s="37">
        <v>0</v>
      </c>
      <c r="O751" s="37">
        <v>77895250000</v>
      </c>
      <c r="P751" s="36" t="s">
        <v>122</v>
      </c>
      <c r="Q751" s="37">
        <v>118750000</v>
      </c>
      <c r="R751" s="36" t="s">
        <v>128</v>
      </c>
      <c r="S751" s="38">
        <v>45274</v>
      </c>
      <c r="T751" s="38">
        <v>45124</v>
      </c>
      <c r="U751" s="38">
        <v>47483</v>
      </c>
      <c r="V751" s="27" t="s">
        <v>9461</v>
      </c>
      <c r="W751" s="36" t="s">
        <v>1043</v>
      </c>
      <c r="X751" s="36" t="s">
        <v>558</v>
      </c>
      <c r="Y751" s="36" t="s">
        <v>125</v>
      </c>
      <c r="Z751" s="36" t="s">
        <v>1258</v>
      </c>
      <c r="AA751" s="36" t="s">
        <v>1012</v>
      </c>
      <c r="AB751" s="36" t="s">
        <v>560</v>
      </c>
      <c r="AC751" s="36" t="s">
        <v>939</v>
      </c>
      <c r="AD751" s="37">
        <v>11.3</v>
      </c>
      <c r="AE751" s="36" t="s">
        <v>563</v>
      </c>
      <c r="AF751" s="36" t="s">
        <v>860</v>
      </c>
    </row>
    <row r="752" spans="2:32" ht="60" customHeight="1" x14ac:dyDescent="0.25">
      <c r="B752" s="31" t="s">
        <v>2899</v>
      </c>
      <c r="C752" s="41">
        <v>2023</v>
      </c>
      <c r="D752" s="42">
        <f t="shared" si="11"/>
        <v>2028</v>
      </c>
      <c r="E752" s="31" t="s">
        <v>317</v>
      </c>
      <c r="F752" s="31" t="s">
        <v>2900</v>
      </c>
      <c r="G752" s="31" t="s">
        <v>2901</v>
      </c>
      <c r="H752" s="31" t="s">
        <v>372</v>
      </c>
      <c r="I752" s="31" t="s">
        <v>178</v>
      </c>
      <c r="J752" s="31" t="s">
        <v>179</v>
      </c>
      <c r="K752" s="31" t="s">
        <v>163</v>
      </c>
      <c r="L752" s="31" t="s">
        <v>127</v>
      </c>
      <c r="M752" s="34">
        <v>85274800000</v>
      </c>
      <c r="N752" s="34">
        <v>0</v>
      </c>
      <c r="O752" s="34">
        <v>85274800000</v>
      </c>
      <c r="P752" s="31" t="s">
        <v>122</v>
      </c>
      <c r="Q752" s="34">
        <v>130000000</v>
      </c>
      <c r="R752" s="31" t="s">
        <v>150</v>
      </c>
      <c r="S752" s="35">
        <v>45114</v>
      </c>
      <c r="T752" s="35">
        <v>45092</v>
      </c>
      <c r="U752" s="35">
        <v>46934</v>
      </c>
      <c r="V752" s="27" t="s">
        <v>9307</v>
      </c>
      <c r="W752" s="34"/>
      <c r="X752" s="34"/>
      <c r="Y752" s="34" t="s">
        <v>125</v>
      </c>
      <c r="Z752" s="34"/>
      <c r="AA752" s="34"/>
      <c r="AB752" s="34"/>
      <c r="AC752" s="34"/>
      <c r="AD752" s="34"/>
      <c r="AE752" s="34"/>
      <c r="AF752" s="34"/>
    </row>
    <row r="753" spans="2:32" ht="105" customHeight="1" x14ac:dyDescent="0.25">
      <c r="B753" s="36" t="s">
        <v>2902</v>
      </c>
      <c r="C753" s="42">
        <v>2023</v>
      </c>
      <c r="D753" s="33">
        <f t="shared" si="11"/>
        <v>2029</v>
      </c>
      <c r="E753" s="36" t="s">
        <v>126</v>
      </c>
      <c r="F753" s="36" t="s">
        <v>2903</v>
      </c>
      <c r="G753" s="36" t="s">
        <v>2904</v>
      </c>
      <c r="H753" s="36" t="s">
        <v>326</v>
      </c>
      <c r="I753" s="36" t="s">
        <v>337</v>
      </c>
      <c r="J753" s="36" t="s">
        <v>338</v>
      </c>
      <c r="K753" s="36" t="s">
        <v>190</v>
      </c>
      <c r="L753" s="36" t="s">
        <v>201</v>
      </c>
      <c r="M753" s="37">
        <v>16398925000</v>
      </c>
      <c r="N753" s="37">
        <v>2820615100</v>
      </c>
      <c r="O753" s="37">
        <v>19219540100</v>
      </c>
      <c r="P753" s="36" t="s">
        <v>122</v>
      </c>
      <c r="Q753" s="37">
        <v>29300000</v>
      </c>
      <c r="R753" s="36" t="s">
        <v>279</v>
      </c>
      <c r="S753" s="38">
        <v>45267</v>
      </c>
      <c r="T753" s="38">
        <v>45112</v>
      </c>
      <c r="U753" s="38">
        <v>47483</v>
      </c>
      <c r="V753" s="27" t="s">
        <v>9479</v>
      </c>
      <c r="W753" s="37"/>
      <c r="X753" s="37"/>
      <c r="Y753" s="37" t="s">
        <v>242</v>
      </c>
      <c r="Z753" s="37"/>
      <c r="AA753" s="37"/>
      <c r="AB753" s="37"/>
      <c r="AC753" s="37"/>
      <c r="AD753" s="37"/>
      <c r="AE753" s="37"/>
      <c r="AF753" s="37"/>
    </row>
    <row r="754" spans="2:32" ht="60" customHeight="1" x14ac:dyDescent="0.25">
      <c r="B754" s="31" t="s">
        <v>2906</v>
      </c>
      <c r="C754" s="41">
        <v>2023</v>
      </c>
      <c r="D754" s="42">
        <f t="shared" si="11"/>
        <v>2028</v>
      </c>
      <c r="E754" s="31" t="s">
        <v>126</v>
      </c>
      <c r="F754" s="31" t="s">
        <v>2907</v>
      </c>
      <c r="G754" s="31" t="s">
        <v>2908</v>
      </c>
      <c r="H754" s="31" t="s">
        <v>372</v>
      </c>
      <c r="I754" s="31" t="s">
        <v>178</v>
      </c>
      <c r="J754" s="31" t="s">
        <v>179</v>
      </c>
      <c r="K754" s="31" t="s">
        <v>163</v>
      </c>
      <c r="L754" s="31" t="s">
        <v>127</v>
      </c>
      <c r="M754" s="34">
        <v>18563668000</v>
      </c>
      <c r="N754" s="34">
        <v>0</v>
      </c>
      <c r="O754" s="34">
        <v>18563668000</v>
      </c>
      <c r="P754" s="31" t="s">
        <v>122</v>
      </c>
      <c r="Q754" s="34">
        <v>28300000</v>
      </c>
      <c r="R754" s="31" t="s">
        <v>150</v>
      </c>
      <c r="S754" s="35">
        <v>45078</v>
      </c>
      <c r="T754" s="35">
        <v>45068</v>
      </c>
      <c r="U754" s="35">
        <v>47118</v>
      </c>
      <c r="V754" s="27" t="s">
        <v>9308</v>
      </c>
      <c r="W754" s="34"/>
      <c r="X754" s="34"/>
      <c r="Y754" s="34" t="s">
        <v>125</v>
      </c>
      <c r="Z754" s="34"/>
      <c r="AA754" s="34"/>
      <c r="AB754" s="34"/>
      <c r="AC754" s="34"/>
      <c r="AD754" s="34"/>
      <c r="AE754" s="34"/>
      <c r="AF754" s="34"/>
    </row>
    <row r="755" spans="2:32" ht="60" customHeight="1" x14ac:dyDescent="0.25">
      <c r="B755" s="36" t="s">
        <v>2909</v>
      </c>
      <c r="C755" s="42">
        <v>2023</v>
      </c>
      <c r="D755" s="42">
        <f t="shared" si="11"/>
        <v>2028</v>
      </c>
      <c r="E755" s="36" t="s">
        <v>126</v>
      </c>
      <c r="F755" s="36" t="s">
        <v>2910</v>
      </c>
      <c r="G755" s="36" t="s">
        <v>2911</v>
      </c>
      <c r="H755" s="36" t="s">
        <v>326</v>
      </c>
      <c r="I755" s="36" t="s">
        <v>267</v>
      </c>
      <c r="J755" s="36" t="s">
        <v>267</v>
      </c>
      <c r="K755" s="36" t="s">
        <v>163</v>
      </c>
      <c r="L755" s="36" t="s">
        <v>127</v>
      </c>
      <c r="M755" s="37">
        <v>229586000000</v>
      </c>
      <c r="N755" s="37">
        <v>0</v>
      </c>
      <c r="O755" s="37">
        <v>229586000000</v>
      </c>
      <c r="P755" s="36" t="s">
        <v>122</v>
      </c>
      <c r="Q755" s="37">
        <v>350000000</v>
      </c>
      <c r="R755" s="36" t="s">
        <v>443</v>
      </c>
      <c r="S755" s="38">
        <v>45274</v>
      </c>
      <c r="T755" s="38">
        <v>45056</v>
      </c>
      <c r="U755" s="38">
        <v>47118</v>
      </c>
      <c r="V755" s="27" t="s">
        <v>9308</v>
      </c>
      <c r="W755" s="37"/>
      <c r="X755" s="37"/>
      <c r="Y755" s="37" t="s">
        <v>242</v>
      </c>
      <c r="Z755" s="37"/>
      <c r="AA755" s="37"/>
      <c r="AB755" s="37"/>
      <c r="AC755" s="37"/>
      <c r="AD755" s="37"/>
      <c r="AE755" s="37"/>
      <c r="AF755" s="37"/>
    </row>
    <row r="756" spans="2:32" ht="60" customHeight="1" x14ac:dyDescent="0.25">
      <c r="B756" s="31" t="s">
        <v>2912</v>
      </c>
      <c r="C756" s="41">
        <v>2023</v>
      </c>
      <c r="D756" s="42">
        <f t="shared" si="11"/>
        <v>2028</v>
      </c>
      <c r="E756" s="31" t="s">
        <v>317</v>
      </c>
      <c r="F756" s="31" t="s">
        <v>2913</v>
      </c>
      <c r="G756" s="31" t="s">
        <v>2914</v>
      </c>
      <c r="H756" s="31" t="s">
        <v>372</v>
      </c>
      <c r="I756" s="31" t="s">
        <v>178</v>
      </c>
      <c r="J756" s="31" t="s">
        <v>179</v>
      </c>
      <c r="K756" s="31" t="s">
        <v>526</v>
      </c>
      <c r="L756" s="31" t="s">
        <v>127</v>
      </c>
      <c r="M756" s="34">
        <v>60545108000</v>
      </c>
      <c r="N756" s="34">
        <v>0</v>
      </c>
      <c r="O756" s="34">
        <v>60545108000</v>
      </c>
      <c r="P756" s="31" t="s">
        <v>122</v>
      </c>
      <c r="Q756" s="34">
        <v>92300000</v>
      </c>
      <c r="R756" s="31" t="s">
        <v>150</v>
      </c>
      <c r="S756" s="35">
        <v>45092</v>
      </c>
      <c r="T756" s="35">
        <v>45027</v>
      </c>
      <c r="U756" s="35">
        <v>47118</v>
      </c>
      <c r="V756" s="27" t="s">
        <v>9308</v>
      </c>
      <c r="W756" s="34"/>
      <c r="X756" s="34"/>
      <c r="Y756" s="34" t="s">
        <v>125</v>
      </c>
      <c r="Z756" s="34"/>
      <c r="AA756" s="34"/>
      <c r="AB756" s="34"/>
      <c r="AC756" s="34"/>
      <c r="AD756" s="34"/>
      <c r="AE756" s="34"/>
      <c r="AF756" s="34"/>
    </row>
    <row r="757" spans="2:32" ht="60" customHeight="1" x14ac:dyDescent="0.25">
      <c r="B757" s="36" t="s">
        <v>2915</v>
      </c>
      <c r="C757" s="42">
        <v>2023</v>
      </c>
      <c r="D757" s="42">
        <f t="shared" si="11"/>
        <v>2026</v>
      </c>
      <c r="E757" s="36" t="s">
        <v>126</v>
      </c>
      <c r="F757" s="36" t="s">
        <v>2916</v>
      </c>
      <c r="G757" s="36" t="s">
        <v>2917</v>
      </c>
      <c r="H757" s="36" t="s">
        <v>372</v>
      </c>
      <c r="I757" s="36" t="s">
        <v>178</v>
      </c>
      <c r="J757" s="36" t="s">
        <v>179</v>
      </c>
      <c r="K757" s="36" t="s">
        <v>205</v>
      </c>
      <c r="L757" s="36" t="s">
        <v>127</v>
      </c>
      <c r="M757" s="37">
        <v>19678800000</v>
      </c>
      <c r="N757" s="37">
        <v>0</v>
      </c>
      <c r="O757" s="37">
        <v>19678800000</v>
      </c>
      <c r="P757" s="36" t="s">
        <v>122</v>
      </c>
      <c r="Q757" s="37">
        <v>30000000</v>
      </c>
      <c r="R757" s="36" t="s">
        <v>150</v>
      </c>
      <c r="S757" s="38">
        <v>45068</v>
      </c>
      <c r="T757" s="38">
        <v>45022</v>
      </c>
      <c r="U757" s="38">
        <v>46387</v>
      </c>
      <c r="V757" s="27" t="s">
        <v>9480</v>
      </c>
      <c r="W757" s="37"/>
      <c r="X757" s="37"/>
      <c r="Y757" s="37" t="s">
        <v>125</v>
      </c>
      <c r="Z757" s="37"/>
      <c r="AA757" s="37"/>
      <c r="AB757" s="37"/>
      <c r="AC757" s="37"/>
      <c r="AD757" s="37"/>
      <c r="AE757" s="37"/>
      <c r="AF757" s="37"/>
    </row>
    <row r="758" spans="2:32" ht="45" customHeight="1" x14ac:dyDescent="0.25">
      <c r="B758" s="31" t="s">
        <v>2919</v>
      </c>
      <c r="C758" s="41">
        <v>2023</v>
      </c>
      <c r="D758" s="42">
        <f t="shared" si="11"/>
        <v>2027</v>
      </c>
      <c r="E758" s="31" t="s">
        <v>126</v>
      </c>
      <c r="F758" s="31" t="s">
        <v>2920</v>
      </c>
      <c r="G758" s="31" t="s">
        <v>2921</v>
      </c>
      <c r="H758" s="31" t="s">
        <v>2925</v>
      </c>
      <c r="I758" s="31" t="s">
        <v>2923</v>
      </c>
      <c r="J758" s="31" t="s">
        <v>2924</v>
      </c>
      <c r="K758" s="31" t="s">
        <v>118</v>
      </c>
      <c r="L758" s="31" t="s">
        <v>127</v>
      </c>
      <c r="M758" s="34">
        <v>19678800000</v>
      </c>
      <c r="N758" s="34">
        <v>0</v>
      </c>
      <c r="O758" s="34">
        <v>19678800000</v>
      </c>
      <c r="P758" s="31" t="s">
        <v>122</v>
      </c>
      <c r="Q758" s="34">
        <v>30000000</v>
      </c>
      <c r="R758" s="31" t="s">
        <v>127</v>
      </c>
      <c r="S758" s="35">
        <v>45106</v>
      </c>
      <c r="T758" s="35">
        <v>45057</v>
      </c>
      <c r="U758" s="35">
        <v>46752</v>
      </c>
      <c r="V758" s="27" t="s">
        <v>9481</v>
      </c>
      <c r="W758" s="34"/>
      <c r="X758" s="34"/>
      <c r="Y758" s="34" t="s">
        <v>242</v>
      </c>
      <c r="Z758" s="34"/>
      <c r="AA758" s="34"/>
      <c r="AB758" s="34"/>
      <c r="AC758" s="34"/>
      <c r="AD758" s="34"/>
      <c r="AE758" s="34"/>
      <c r="AF758" s="34"/>
    </row>
    <row r="759" spans="2:32" ht="45" customHeight="1" x14ac:dyDescent="0.25">
      <c r="B759" s="36" t="s">
        <v>2926</v>
      </c>
      <c r="C759" s="42">
        <v>2023</v>
      </c>
      <c r="D759" s="42">
        <f t="shared" si="11"/>
        <v>2025</v>
      </c>
      <c r="E759" s="36" t="s">
        <v>126</v>
      </c>
      <c r="F759" s="36" t="s">
        <v>2927</v>
      </c>
      <c r="G759" s="36" t="s">
        <v>2928</v>
      </c>
      <c r="H759" s="36" t="s">
        <v>2929</v>
      </c>
      <c r="I759" s="36" t="s">
        <v>2923</v>
      </c>
      <c r="J759" s="36" t="s">
        <v>2924</v>
      </c>
      <c r="K759" s="36" t="s">
        <v>118</v>
      </c>
      <c r="L759" s="36" t="s">
        <v>127</v>
      </c>
      <c r="M759" s="37">
        <v>655960000</v>
      </c>
      <c r="N759" s="37">
        <v>0</v>
      </c>
      <c r="O759" s="37">
        <v>655960000</v>
      </c>
      <c r="P759" s="36" t="s">
        <v>122</v>
      </c>
      <c r="Q759" s="37">
        <v>1000000</v>
      </c>
      <c r="R759" s="36" t="s">
        <v>127</v>
      </c>
      <c r="S759" s="38">
        <v>45079</v>
      </c>
      <c r="T759" s="38">
        <v>45057</v>
      </c>
      <c r="U759" s="38">
        <v>46022</v>
      </c>
      <c r="V759" s="27" t="s">
        <v>9308</v>
      </c>
      <c r="W759" s="37"/>
      <c r="X759" s="37"/>
      <c r="Y759" s="37" t="s">
        <v>242</v>
      </c>
      <c r="Z759" s="37"/>
      <c r="AA759" s="37"/>
      <c r="AB759" s="37"/>
      <c r="AC759" s="37"/>
      <c r="AD759" s="37"/>
      <c r="AE759" s="37"/>
      <c r="AF759" s="37"/>
    </row>
    <row r="760" spans="2:32" ht="60" customHeight="1" x14ac:dyDescent="0.25">
      <c r="B760" s="31" t="s">
        <v>2930</v>
      </c>
      <c r="C760" s="41">
        <v>2023</v>
      </c>
      <c r="D760" s="42">
        <f t="shared" si="11"/>
        <v>2025</v>
      </c>
      <c r="E760" s="31" t="s">
        <v>126</v>
      </c>
      <c r="F760" s="31" t="s">
        <v>2931</v>
      </c>
      <c r="G760" s="31" t="s">
        <v>2932</v>
      </c>
      <c r="H760" s="31" t="s">
        <v>2933</v>
      </c>
      <c r="I760" s="31" t="s">
        <v>178</v>
      </c>
      <c r="J760" s="31" t="s">
        <v>179</v>
      </c>
      <c r="K760" s="31" t="s">
        <v>216</v>
      </c>
      <c r="L760" s="31" t="s">
        <v>127</v>
      </c>
      <c r="M760" s="34">
        <v>4066952000</v>
      </c>
      <c r="N760" s="34">
        <v>0</v>
      </c>
      <c r="O760" s="34">
        <v>4066952000</v>
      </c>
      <c r="P760" s="31" t="s">
        <v>122</v>
      </c>
      <c r="Q760" s="34">
        <v>6200000</v>
      </c>
      <c r="R760" s="31" t="s">
        <v>150</v>
      </c>
      <c r="S760" s="35">
        <v>45068</v>
      </c>
      <c r="T760" s="35">
        <v>44929</v>
      </c>
      <c r="U760" s="35">
        <v>46022</v>
      </c>
      <c r="V760" s="27" t="s">
        <v>9308</v>
      </c>
      <c r="W760" s="34"/>
      <c r="X760" s="34"/>
      <c r="Y760" s="34" t="s">
        <v>125</v>
      </c>
      <c r="Z760" s="34"/>
      <c r="AA760" s="34"/>
      <c r="AB760" s="34"/>
      <c r="AC760" s="34"/>
      <c r="AD760" s="34"/>
      <c r="AE760" s="34"/>
      <c r="AF760" s="34"/>
    </row>
    <row r="761" spans="2:32" ht="60" customHeight="1" x14ac:dyDescent="0.25">
      <c r="B761" s="36" t="s">
        <v>2934</v>
      </c>
      <c r="C761" s="42">
        <v>2023</v>
      </c>
      <c r="D761" s="42">
        <f t="shared" si="11"/>
        <v>2026</v>
      </c>
      <c r="E761" s="36" t="s">
        <v>126</v>
      </c>
      <c r="F761" s="36" t="s">
        <v>2935</v>
      </c>
      <c r="G761" s="36" t="s">
        <v>2936</v>
      </c>
      <c r="H761" s="36" t="s">
        <v>139</v>
      </c>
      <c r="I761" s="36" t="s">
        <v>137</v>
      </c>
      <c r="J761" s="36" t="s">
        <v>138</v>
      </c>
      <c r="K761" s="36" t="s">
        <v>142</v>
      </c>
      <c r="L761" s="36" t="s">
        <v>127</v>
      </c>
      <c r="M761" s="37">
        <v>106999705840</v>
      </c>
      <c r="N761" s="37">
        <v>0</v>
      </c>
      <c r="O761" s="37">
        <v>106999705840</v>
      </c>
      <c r="P761" s="36" t="s">
        <v>624</v>
      </c>
      <c r="Q761" s="37">
        <v>194544919.71000001</v>
      </c>
      <c r="R761" s="36" t="s">
        <v>128</v>
      </c>
      <c r="S761" s="38">
        <v>45078</v>
      </c>
      <c r="T761" s="38">
        <v>45010</v>
      </c>
      <c r="U761" s="38">
        <v>46387</v>
      </c>
      <c r="V761" s="27" t="s">
        <v>9444</v>
      </c>
      <c r="W761" s="36" t="s">
        <v>1043</v>
      </c>
      <c r="X761" s="36" t="s">
        <v>558</v>
      </c>
      <c r="Y761" s="36" t="s">
        <v>125</v>
      </c>
      <c r="Z761" s="36" t="s">
        <v>968</v>
      </c>
      <c r="AA761" s="36" t="s">
        <v>862</v>
      </c>
      <c r="AB761" s="36" t="s">
        <v>861</v>
      </c>
      <c r="AC761" s="36" t="s">
        <v>971</v>
      </c>
      <c r="AD761" s="37">
        <v>9.1</v>
      </c>
      <c r="AE761" s="36" t="s">
        <v>864</v>
      </c>
      <c r="AF761" s="36" t="s">
        <v>860</v>
      </c>
    </row>
    <row r="762" spans="2:32" ht="75" customHeight="1" x14ac:dyDescent="0.25">
      <c r="B762" s="31" t="s">
        <v>2937</v>
      </c>
      <c r="C762" s="41">
        <v>2023</v>
      </c>
      <c r="D762" s="42">
        <f t="shared" si="11"/>
        <v>2024</v>
      </c>
      <c r="E762" s="31" t="s">
        <v>126</v>
      </c>
      <c r="F762" s="31" t="s">
        <v>2938</v>
      </c>
      <c r="G762" s="31" t="s">
        <v>2940</v>
      </c>
      <c r="H762" s="31" t="s">
        <v>172</v>
      </c>
      <c r="I762" s="31" t="s">
        <v>358</v>
      </c>
      <c r="J762" s="31" t="s">
        <v>358</v>
      </c>
      <c r="K762" s="31" t="s">
        <v>216</v>
      </c>
      <c r="L762" s="31" t="s">
        <v>159</v>
      </c>
      <c r="M762" s="34">
        <v>0</v>
      </c>
      <c r="N762" s="34">
        <v>41260000</v>
      </c>
      <c r="O762" s="34">
        <v>41260000</v>
      </c>
      <c r="P762" s="31" t="s">
        <v>357</v>
      </c>
      <c r="Q762" s="34">
        <v>500000</v>
      </c>
      <c r="R762" s="31" t="s">
        <v>159</v>
      </c>
      <c r="S762" s="35">
        <v>45057</v>
      </c>
      <c r="T762" s="35">
        <v>45024</v>
      </c>
      <c r="U762" s="35">
        <v>45443</v>
      </c>
      <c r="V762" s="27" t="s">
        <v>9482</v>
      </c>
      <c r="W762" s="31" t="s">
        <v>557</v>
      </c>
      <c r="X762" s="31" t="s">
        <v>880</v>
      </c>
      <c r="Y762" s="31" t="s">
        <v>242</v>
      </c>
      <c r="Z762" s="31" t="s">
        <v>2939</v>
      </c>
      <c r="AA762" s="31" t="s">
        <v>561</v>
      </c>
      <c r="AB762" s="31" t="s">
        <v>560</v>
      </c>
      <c r="AC762" s="31" t="s">
        <v>989</v>
      </c>
      <c r="AD762" s="34">
        <v>3.8</v>
      </c>
      <c r="AE762" s="31" t="s">
        <v>902</v>
      </c>
      <c r="AF762" s="31" t="s">
        <v>860</v>
      </c>
    </row>
    <row r="763" spans="2:32" ht="60" customHeight="1" x14ac:dyDescent="0.25">
      <c r="B763" s="36" t="s">
        <v>2944</v>
      </c>
      <c r="C763" s="42">
        <v>2023</v>
      </c>
      <c r="D763" s="42">
        <f t="shared" si="11"/>
        <v>2020</v>
      </c>
      <c r="E763" s="36" t="s">
        <v>126</v>
      </c>
      <c r="F763" s="36" t="s">
        <v>2945</v>
      </c>
      <c r="G763" s="36" t="s">
        <v>2946</v>
      </c>
      <c r="H763" s="36" t="s">
        <v>172</v>
      </c>
      <c r="I763" s="36" t="s">
        <v>358</v>
      </c>
      <c r="J763" s="36" t="s">
        <v>358</v>
      </c>
      <c r="K763" s="36" t="s">
        <v>190</v>
      </c>
      <c r="L763" s="36" t="s">
        <v>159</v>
      </c>
      <c r="M763" s="37">
        <v>0</v>
      </c>
      <c r="N763" s="37">
        <v>2475600000</v>
      </c>
      <c r="O763" s="37">
        <v>2475600000</v>
      </c>
      <c r="P763" s="36" t="s">
        <v>357</v>
      </c>
      <c r="Q763" s="37">
        <v>30000000</v>
      </c>
      <c r="R763" s="36" t="s">
        <v>159</v>
      </c>
      <c r="S763" s="38">
        <v>45015</v>
      </c>
      <c r="T763" s="38">
        <v>43726</v>
      </c>
      <c r="U763" s="38">
        <v>44196</v>
      </c>
      <c r="V763" s="27" t="s">
        <v>9308</v>
      </c>
      <c r="W763" s="36" t="s">
        <v>557</v>
      </c>
      <c r="X763" s="36" t="s">
        <v>880</v>
      </c>
      <c r="Y763" s="36" t="s">
        <v>242</v>
      </c>
      <c r="Z763" s="36" t="s">
        <v>974</v>
      </c>
      <c r="AA763" s="36" t="s">
        <v>862</v>
      </c>
      <c r="AB763" s="36" t="s">
        <v>861</v>
      </c>
      <c r="AC763" s="36" t="s">
        <v>863</v>
      </c>
      <c r="AD763" s="37">
        <v>2.2999999999999998</v>
      </c>
      <c r="AE763" s="36" t="s">
        <v>864</v>
      </c>
      <c r="AF763" s="36" t="s">
        <v>860</v>
      </c>
    </row>
    <row r="764" spans="2:32" ht="60" customHeight="1" x14ac:dyDescent="0.25">
      <c r="B764" s="31" t="s">
        <v>2947</v>
      </c>
      <c r="C764" s="41">
        <v>2023</v>
      </c>
      <c r="D764" s="42">
        <f t="shared" si="11"/>
        <v>2024</v>
      </c>
      <c r="E764" s="31" t="s">
        <v>126</v>
      </c>
      <c r="F764" s="31" t="s">
        <v>2945</v>
      </c>
      <c r="G764" s="31" t="s">
        <v>2948</v>
      </c>
      <c r="H764" s="31" t="s">
        <v>172</v>
      </c>
      <c r="I764" s="31" t="s">
        <v>358</v>
      </c>
      <c r="J764" s="31" t="s">
        <v>358</v>
      </c>
      <c r="K764" s="31" t="s">
        <v>190</v>
      </c>
      <c r="L764" s="31" t="s">
        <v>159</v>
      </c>
      <c r="M764" s="34">
        <v>0</v>
      </c>
      <c r="N764" s="34">
        <v>2475600000</v>
      </c>
      <c r="O764" s="34">
        <v>2475600000</v>
      </c>
      <c r="P764" s="31" t="s">
        <v>357</v>
      </c>
      <c r="Q764" s="34">
        <v>30000000</v>
      </c>
      <c r="R764" s="31" t="s">
        <v>159</v>
      </c>
      <c r="S764" s="35">
        <v>45057</v>
      </c>
      <c r="T764" s="35">
        <v>45015</v>
      </c>
      <c r="U764" s="35">
        <v>45657</v>
      </c>
      <c r="V764" s="27" t="s">
        <v>9308</v>
      </c>
      <c r="W764" s="31" t="s">
        <v>557</v>
      </c>
      <c r="X764" s="31" t="s">
        <v>880</v>
      </c>
      <c r="Y764" s="31" t="s">
        <v>242</v>
      </c>
      <c r="Z764" s="31" t="s">
        <v>974</v>
      </c>
      <c r="AA764" s="31" t="s">
        <v>862</v>
      </c>
      <c r="AB764" s="31" t="s">
        <v>861</v>
      </c>
      <c r="AC764" s="31" t="s">
        <v>863</v>
      </c>
      <c r="AD764" s="34">
        <v>2.2999999999999998</v>
      </c>
      <c r="AE764" s="31" t="s">
        <v>864</v>
      </c>
      <c r="AF764" s="31" t="s">
        <v>860</v>
      </c>
    </row>
    <row r="765" spans="2:32" ht="60" customHeight="1" x14ac:dyDescent="0.25">
      <c r="B765" s="36" t="s">
        <v>2949</v>
      </c>
      <c r="C765" s="42">
        <v>2023</v>
      </c>
      <c r="D765" s="42">
        <f t="shared" si="11"/>
        <v>2027</v>
      </c>
      <c r="E765" s="36" t="s">
        <v>126</v>
      </c>
      <c r="F765" s="36" t="s">
        <v>2950</v>
      </c>
      <c r="G765" s="36" t="s">
        <v>2951</v>
      </c>
      <c r="H765" s="36" t="s">
        <v>129</v>
      </c>
      <c r="I765" s="36" t="s">
        <v>484</v>
      </c>
      <c r="J765" s="36" t="s">
        <v>484</v>
      </c>
      <c r="K765" s="36" t="s">
        <v>263</v>
      </c>
      <c r="L765" s="36" t="s">
        <v>127</v>
      </c>
      <c r="M765" s="37">
        <v>39357420000</v>
      </c>
      <c r="N765" s="37">
        <v>0</v>
      </c>
      <c r="O765" s="37">
        <v>39357420000</v>
      </c>
      <c r="P765" s="36" t="s">
        <v>122</v>
      </c>
      <c r="Q765" s="37">
        <v>60000000</v>
      </c>
      <c r="R765" s="36" t="s">
        <v>127</v>
      </c>
      <c r="S765" s="38">
        <v>45222</v>
      </c>
      <c r="T765" s="38">
        <v>45057</v>
      </c>
      <c r="U765" s="38">
        <v>46752</v>
      </c>
      <c r="V765" s="27" t="s">
        <v>9483</v>
      </c>
      <c r="W765" s="36" t="s">
        <v>557</v>
      </c>
      <c r="X765" s="36" t="s">
        <v>558</v>
      </c>
      <c r="Y765" s="36" t="s">
        <v>242</v>
      </c>
      <c r="Z765" s="36" t="s">
        <v>555</v>
      </c>
      <c r="AA765" s="36" t="s">
        <v>561</v>
      </c>
      <c r="AB765" s="36" t="s">
        <v>560</v>
      </c>
      <c r="AC765" s="36" t="s">
        <v>562</v>
      </c>
      <c r="AD765" s="37">
        <v>6.1</v>
      </c>
      <c r="AE765" s="36" t="s">
        <v>563</v>
      </c>
      <c r="AF765" s="36" t="s">
        <v>860</v>
      </c>
    </row>
    <row r="766" spans="2:32" ht="60" customHeight="1" x14ac:dyDescent="0.25">
      <c r="B766" s="31" t="s">
        <v>2953</v>
      </c>
      <c r="C766" s="41">
        <v>2023</v>
      </c>
      <c r="D766" s="42">
        <f t="shared" si="11"/>
        <v>2026</v>
      </c>
      <c r="E766" s="31" t="s">
        <v>126</v>
      </c>
      <c r="F766" s="31" t="s">
        <v>2954</v>
      </c>
      <c r="G766" s="31" t="s">
        <v>2955</v>
      </c>
      <c r="H766" s="31" t="s">
        <v>326</v>
      </c>
      <c r="I766" s="31" t="s">
        <v>267</v>
      </c>
      <c r="J766" s="31" t="s">
        <v>267</v>
      </c>
      <c r="K766" s="31" t="s">
        <v>190</v>
      </c>
      <c r="L766" s="31" t="s">
        <v>159</v>
      </c>
      <c r="M766" s="34">
        <v>0</v>
      </c>
      <c r="N766" s="34">
        <v>6559570000</v>
      </c>
      <c r="O766" s="34">
        <v>6559570000</v>
      </c>
      <c r="P766" s="31" t="s">
        <v>122</v>
      </c>
      <c r="Q766" s="34">
        <v>10000000</v>
      </c>
      <c r="R766" s="31" t="s">
        <v>159</v>
      </c>
      <c r="S766" s="35">
        <v>45279</v>
      </c>
      <c r="T766" s="35">
        <v>45274</v>
      </c>
      <c r="U766" s="35">
        <v>46387</v>
      </c>
      <c r="V766" s="27" t="s">
        <v>9308</v>
      </c>
      <c r="W766" s="31" t="s">
        <v>557</v>
      </c>
      <c r="X766" s="31" t="s">
        <v>880</v>
      </c>
      <c r="Y766" s="31" t="s">
        <v>242</v>
      </c>
      <c r="Z766" s="31" t="s">
        <v>856</v>
      </c>
      <c r="AA766" s="31" t="s">
        <v>862</v>
      </c>
      <c r="AB766" s="31" t="s">
        <v>861</v>
      </c>
      <c r="AC766" s="31" t="s">
        <v>863</v>
      </c>
      <c r="AD766" s="34">
        <v>2.2999999999999998</v>
      </c>
      <c r="AE766" s="31" t="s">
        <v>864</v>
      </c>
      <c r="AF766" s="31" t="s">
        <v>860</v>
      </c>
    </row>
    <row r="767" spans="2:32" ht="60" customHeight="1" x14ac:dyDescent="0.25">
      <c r="B767" s="36" t="s">
        <v>2956</v>
      </c>
      <c r="C767" s="42">
        <v>2023</v>
      </c>
      <c r="D767" s="42">
        <f t="shared" si="11"/>
        <v>2026</v>
      </c>
      <c r="E767" s="36" t="s">
        <v>126</v>
      </c>
      <c r="F767" s="36" t="s">
        <v>1370</v>
      </c>
      <c r="G767" s="36" t="s">
        <v>2957</v>
      </c>
      <c r="H767" s="36" t="s">
        <v>326</v>
      </c>
      <c r="I767" s="36" t="s">
        <v>267</v>
      </c>
      <c r="J767" s="36" t="s">
        <v>267</v>
      </c>
      <c r="K767" s="36" t="s">
        <v>190</v>
      </c>
      <c r="L767" s="36" t="s">
        <v>159</v>
      </c>
      <c r="M767" s="37">
        <v>0</v>
      </c>
      <c r="N767" s="37">
        <v>1311914000</v>
      </c>
      <c r="O767" s="37">
        <v>1311914000</v>
      </c>
      <c r="P767" s="36" t="s">
        <v>122</v>
      </c>
      <c r="Q767" s="37">
        <v>2000000</v>
      </c>
      <c r="R767" s="36" t="s">
        <v>159</v>
      </c>
      <c r="S767" s="38">
        <v>45279</v>
      </c>
      <c r="T767" s="38">
        <v>45114</v>
      </c>
      <c r="U767" s="38">
        <v>46387</v>
      </c>
      <c r="V767" s="27" t="s">
        <v>9308</v>
      </c>
      <c r="W767" s="36" t="s">
        <v>557</v>
      </c>
      <c r="X767" s="36" t="s">
        <v>880</v>
      </c>
      <c r="Y767" s="36" t="s">
        <v>242</v>
      </c>
      <c r="Z767" s="36" t="s">
        <v>856</v>
      </c>
      <c r="AA767" s="36" t="s">
        <v>862</v>
      </c>
      <c r="AB767" s="36" t="s">
        <v>861</v>
      </c>
      <c r="AC767" s="36" t="s">
        <v>863</v>
      </c>
      <c r="AD767" s="37">
        <v>2.2999999999999998</v>
      </c>
      <c r="AE767" s="36" t="s">
        <v>864</v>
      </c>
      <c r="AF767" s="36" t="s">
        <v>860</v>
      </c>
    </row>
    <row r="768" spans="2:32" ht="60" customHeight="1" x14ac:dyDescent="0.25">
      <c r="B768" s="31" t="s">
        <v>2958</v>
      </c>
      <c r="C768" s="41">
        <v>2023</v>
      </c>
      <c r="D768" s="42">
        <f t="shared" si="11"/>
        <v>2024</v>
      </c>
      <c r="E768" s="31" t="s">
        <v>126</v>
      </c>
      <c r="F768" s="31" t="s">
        <v>2959</v>
      </c>
      <c r="G768" s="31" t="s">
        <v>2960</v>
      </c>
      <c r="H768" s="31" t="s">
        <v>326</v>
      </c>
      <c r="I768" s="31" t="s">
        <v>267</v>
      </c>
      <c r="J768" s="31" t="s">
        <v>267</v>
      </c>
      <c r="K768" s="31" t="s">
        <v>216</v>
      </c>
      <c r="L768" s="31" t="s">
        <v>159</v>
      </c>
      <c r="M768" s="34">
        <v>0</v>
      </c>
      <c r="N768" s="34">
        <v>590322605</v>
      </c>
      <c r="O768" s="34">
        <v>590322605</v>
      </c>
      <c r="P768" s="31" t="s">
        <v>122</v>
      </c>
      <c r="Q768" s="34">
        <v>899941.01</v>
      </c>
      <c r="R768" s="31" t="s">
        <v>159</v>
      </c>
      <c r="S768" s="35">
        <v>45279</v>
      </c>
      <c r="T768" s="35">
        <v>45106</v>
      </c>
      <c r="U768" s="35">
        <v>45657</v>
      </c>
      <c r="V768" s="27" t="s">
        <v>9308</v>
      </c>
      <c r="W768" s="31" t="s">
        <v>557</v>
      </c>
      <c r="X768" s="31" t="s">
        <v>880</v>
      </c>
      <c r="Y768" s="31" t="s">
        <v>242</v>
      </c>
      <c r="Z768" s="31" t="s">
        <v>1103</v>
      </c>
      <c r="AA768" s="31" t="s">
        <v>561</v>
      </c>
      <c r="AB768" s="31" t="s">
        <v>560</v>
      </c>
      <c r="AC768" s="31" t="s">
        <v>989</v>
      </c>
      <c r="AD768" s="34">
        <v>3.8</v>
      </c>
      <c r="AE768" s="31" t="s">
        <v>902</v>
      </c>
      <c r="AF768" s="31" t="s">
        <v>860</v>
      </c>
    </row>
    <row r="769" spans="2:32" ht="60" customHeight="1" x14ac:dyDescent="0.25">
      <c r="B769" s="36" t="s">
        <v>2961</v>
      </c>
      <c r="C769" s="42">
        <v>2023</v>
      </c>
      <c r="D769" s="42">
        <f t="shared" si="11"/>
        <v>2028</v>
      </c>
      <c r="E769" s="36" t="s">
        <v>126</v>
      </c>
      <c r="F769" s="36" t="s">
        <v>2450</v>
      </c>
      <c r="G769" s="36" t="s">
        <v>2962</v>
      </c>
      <c r="H769" s="36" t="s">
        <v>326</v>
      </c>
      <c r="I769" s="36" t="s">
        <v>267</v>
      </c>
      <c r="J769" s="36" t="s">
        <v>267</v>
      </c>
      <c r="K769" s="36" t="s">
        <v>190</v>
      </c>
      <c r="L769" s="36" t="s">
        <v>127</v>
      </c>
      <c r="M769" s="37">
        <v>6559570000</v>
      </c>
      <c r="N769" s="37">
        <v>0</v>
      </c>
      <c r="O769" s="37">
        <v>6559570000</v>
      </c>
      <c r="P769" s="36" t="s">
        <v>122</v>
      </c>
      <c r="Q769" s="37">
        <v>10000000</v>
      </c>
      <c r="R769" s="36" t="s">
        <v>150</v>
      </c>
      <c r="S769" s="38">
        <v>45274</v>
      </c>
      <c r="T769" s="38">
        <v>45222</v>
      </c>
      <c r="U769" s="38">
        <v>47118</v>
      </c>
      <c r="V769" s="27" t="s">
        <v>9308</v>
      </c>
      <c r="W769" s="36" t="s">
        <v>557</v>
      </c>
      <c r="X769" s="36" t="s">
        <v>880</v>
      </c>
      <c r="Y769" s="36" t="s">
        <v>242</v>
      </c>
      <c r="Z769" s="36" t="s">
        <v>856</v>
      </c>
      <c r="AA769" s="36" t="s">
        <v>862</v>
      </c>
      <c r="AB769" s="36" t="s">
        <v>861</v>
      </c>
      <c r="AC769" s="36" t="s">
        <v>863</v>
      </c>
      <c r="AD769" s="37">
        <v>2.2999999999999998</v>
      </c>
      <c r="AE769" s="36" t="s">
        <v>864</v>
      </c>
      <c r="AF769" s="36" t="s">
        <v>860</v>
      </c>
    </row>
    <row r="770" spans="2:32" ht="60" customHeight="1" x14ac:dyDescent="0.25">
      <c r="B770" s="31" t="s">
        <v>2963</v>
      </c>
      <c r="C770" s="41">
        <v>2023</v>
      </c>
      <c r="D770" s="42">
        <f t="shared" si="11"/>
        <v>2026</v>
      </c>
      <c r="E770" s="31" t="s">
        <v>126</v>
      </c>
      <c r="F770" s="31" t="s">
        <v>2964</v>
      </c>
      <c r="G770" s="31" t="s">
        <v>2965</v>
      </c>
      <c r="H770" s="31" t="s">
        <v>326</v>
      </c>
      <c r="I770" s="31" t="s">
        <v>267</v>
      </c>
      <c r="J770" s="31" t="s">
        <v>267</v>
      </c>
      <c r="K770" s="31" t="s">
        <v>263</v>
      </c>
      <c r="L770" s="31" t="s">
        <v>127</v>
      </c>
      <c r="M770" s="34">
        <v>10495312000</v>
      </c>
      <c r="N770" s="34">
        <v>0</v>
      </c>
      <c r="O770" s="34">
        <v>10495312000</v>
      </c>
      <c r="P770" s="31" t="s">
        <v>122</v>
      </c>
      <c r="Q770" s="34">
        <v>16000000</v>
      </c>
      <c r="R770" s="31" t="s">
        <v>150</v>
      </c>
      <c r="S770" s="35">
        <v>45274</v>
      </c>
      <c r="T770" s="35">
        <v>45274</v>
      </c>
      <c r="U770" s="35">
        <v>46387</v>
      </c>
      <c r="V770" s="27" t="s">
        <v>9308</v>
      </c>
      <c r="W770" s="31" t="s">
        <v>557</v>
      </c>
      <c r="X770" s="31" t="s">
        <v>558</v>
      </c>
      <c r="Y770" s="31" t="s">
        <v>242</v>
      </c>
      <c r="Z770" s="31" t="s">
        <v>1215</v>
      </c>
      <c r="AA770" s="31" t="s">
        <v>561</v>
      </c>
      <c r="AB770" s="31" t="s">
        <v>560</v>
      </c>
      <c r="AC770" s="31" t="s">
        <v>562</v>
      </c>
      <c r="AD770" s="34">
        <v>6.1</v>
      </c>
      <c r="AE770" s="31" t="s">
        <v>563</v>
      </c>
      <c r="AF770" s="31" t="s">
        <v>860</v>
      </c>
    </row>
    <row r="771" spans="2:32" ht="60" customHeight="1" x14ac:dyDescent="0.25">
      <c r="B771" s="36" t="s">
        <v>2966</v>
      </c>
      <c r="C771" s="42">
        <v>2023</v>
      </c>
      <c r="D771" s="42">
        <f t="shared" si="11"/>
        <v>2026</v>
      </c>
      <c r="E771" s="36" t="s">
        <v>317</v>
      </c>
      <c r="F771" s="36" t="s">
        <v>2967</v>
      </c>
      <c r="G771" s="36" t="s">
        <v>2968</v>
      </c>
      <c r="H771" s="36" t="s">
        <v>326</v>
      </c>
      <c r="I771" s="36" t="s">
        <v>1128</v>
      </c>
      <c r="J771" s="36" t="s">
        <v>1128</v>
      </c>
      <c r="K771" s="36" t="s">
        <v>190</v>
      </c>
      <c r="L771" s="36" t="s">
        <v>159</v>
      </c>
      <c r="M771" s="37">
        <v>0</v>
      </c>
      <c r="N771" s="37">
        <v>4240292500</v>
      </c>
      <c r="O771" s="37">
        <v>4240292500</v>
      </c>
      <c r="P771" s="36" t="s">
        <v>1127</v>
      </c>
      <c r="Q771" s="37">
        <v>9250000</v>
      </c>
      <c r="R771" s="36" t="s">
        <v>159</v>
      </c>
      <c r="S771" s="38">
        <v>45170</v>
      </c>
      <c r="T771" s="38">
        <v>45057</v>
      </c>
      <c r="U771" s="38">
        <v>46387</v>
      </c>
      <c r="V771" s="27" t="s">
        <v>9397</v>
      </c>
      <c r="W771" s="36" t="s">
        <v>557</v>
      </c>
      <c r="X771" s="36" t="s">
        <v>880</v>
      </c>
      <c r="Y771" s="36" t="s">
        <v>242</v>
      </c>
      <c r="Z771" s="36" t="s">
        <v>856</v>
      </c>
      <c r="AA771" s="36" t="s">
        <v>862</v>
      </c>
      <c r="AB771" s="36" t="s">
        <v>861</v>
      </c>
      <c r="AC771" s="36" t="s">
        <v>863</v>
      </c>
      <c r="AD771" s="37">
        <v>2.2999999999999998</v>
      </c>
      <c r="AE771" s="36" t="s">
        <v>864</v>
      </c>
      <c r="AF771" s="36" t="s">
        <v>860</v>
      </c>
    </row>
    <row r="772" spans="2:32" ht="60" customHeight="1" x14ac:dyDescent="0.25">
      <c r="B772" s="31" t="s">
        <v>2969</v>
      </c>
      <c r="C772" s="41">
        <v>2023</v>
      </c>
      <c r="D772" s="42">
        <f t="shared" si="11"/>
        <v>2026</v>
      </c>
      <c r="E772" s="31" t="s">
        <v>317</v>
      </c>
      <c r="F772" s="31" t="s">
        <v>1373</v>
      </c>
      <c r="G772" s="31" t="s">
        <v>2970</v>
      </c>
      <c r="H772" s="31" t="s">
        <v>326</v>
      </c>
      <c r="I772" s="31" t="s">
        <v>822</v>
      </c>
      <c r="J772" s="31" t="s">
        <v>823</v>
      </c>
      <c r="K772" s="31" t="s">
        <v>190</v>
      </c>
      <c r="L772" s="31" t="s">
        <v>159</v>
      </c>
      <c r="M772" s="34">
        <v>0</v>
      </c>
      <c r="N772" s="34">
        <v>1392500000</v>
      </c>
      <c r="O772" s="34">
        <v>1392500000</v>
      </c>
      <c r="P772" s="31" t="s">
        <v>1110</v>
      </c>
      <c r="Q772" s="34">
        <v>2500000</v>
      </c>
      <c r="R772" s="31" t="s">
        <v>159</v>
      </c>
      <c r="S772" s="35">
        <v>45057</v>
      </c>
      <c r="T772" s="35">
        <v>45027</v>
      </c>
      <c r="U772" s="35">
        <v>46387</v>
      </c>
      <c r="V772" s="27" t="s">
        <v>9308</v>
      </c>
      <c r="W772" s="31" t="s">
        <v>557</v>
      </c>
      <c r="X772" s="31" t="s">
        <v>880</v>
      </c>
      <c r="Y772" s="31" t="s">
        <v>242</v>
      </c>
      <c r="Z772" s="31" t="s">
        <v>1095</v>
      </c>
      <c r="AA772" s="31" t="s">
        <v>862</v>
      </c>
      <c r="AB772" s="31" t="s">
        <v>861</v>
      </c>
      <c r="AC772" s="31" t="s">
        <v>863</v>
      </c>
      <c r="AD772" s="34">
        <v>2.2999999999999998</v>
      </c>
      <c r="AE772" s="31" t="s">
        <v>864</v>
      </c>
      <c r="AF772" s="31" t="s">
        <v>860</v>
      </c>
    </row>
    <row r="773" spans="2:32" ht="60" customHeight="1" x14ac:dyDescent="0.25">
      <c r="B773" s="36" t="s">
        <v>2971</v>
      </c>
      <c r="C773" s="42">
        <v>2023</v>
      </c>
      <c r="D773" s="42">
        <f t="shared" si="11"/>
        <v>2027</v>
      </c>
      <c r="E773" s="36" t="s">
        <v>317</v>
      </c>
      <c r="F773" s="36" t="s">
        <v>2972</v>
      </c>
      <c r="G773" s="36" t="s">
        <v>2973</v>
      </c>
      <c r="H773" s="36" t="s">
        <v>326</v>
      </c>
      <c r="I773" s="36" t="s">
        <v>822</v>
      </c>
      <c r="J773" s="36" t="s">
        <v>823</v>
      </c>
      <c r="K773" s="36" t="s">
        <v>142</v>
      </c>
      <c r="L773" s="36" t="s">
        <v>159</v>
      </c>
      <c r="M773" s="37">
        <v>0</v>
      </c>
      <c r="N773" s="37">
        <v>5570000000</v>
      </c>
      <c r="O773" s="37">
        <v>5570000000</v>
      </c>
      <c r="P773" s="36" t="s">
        <v>1110</v>
      </c>
      <c r="Q773" s="37">
        <v>10000000</v>
      </c>
      <c r="R773" s="36" t="s">
        <v>159</v>
      </c>
      <c r="S773" s="38">
        <v>45190</v>
      </c>
      <c r="T773" s="38">
        <v>45057</v>
      </c>
      <c r="U773" s="38">
        <v>46752</v>
      </c>
      <c r="V773" s="27" t="s">
        <v>9396</v>
      </c>
      <c r="W773" s="36" t="s">
        <v>557</v>
      </c>
      <c r="X773" s="36" t="s">
        <v>880</v>
      </c>
      <c r="Y773" s="36" t="s">
        <v>242</v>
      </c>
      <c r="Z773" s="36" t="s">
        <v>1693</v>
      </c>
      <c r="AA773" s="36" t="s">
        <v>862</v>
      </c>
      <c r="AB773" s="36" t="s">
        <v>861</v>
      </c>
      <c r="AC773" s="36" t="s">
        <v>971</v>
      </c>
      <c r="AD773" s="37">
        <v>9.1</v>
      </c>
      <c r="AE773" s="36" t="s">
        <v>864</v>
      </c>
      <c r="AF773" s="36" t="s">
        <v>860</v>
      </c>
    </row>
    <row r="774" spans="2:32" ht="60" customHeight="1" x14ac:dyDescent="0.25">
      <c r="B774" s="31" t="s">
        <v>2974</v>
      </c>
      <c r="C774" s="41">
        <v>2023</v>
      </c>
      <c r="D774" s="42">
        <f t="shared" si="11"/>
        <v>2026</v>
      </c>
      <c r="E774" s="31" t="s">
        <v>317</v>
      </c>
      <c r="F774" s="31" t="s">
        <v>1706</v>
      </c>
      <c r="G774" s="31" t="s">
        <v>2975</v>
      </c>
      <c r="H774" s="31" t="s">
        <v>326</v>
      </c>
      <c r="I774" s="31" t="s">
        <v>822</v>
      </c>
      <c r="J774" s="31" t="s">
        <v>823</v>
      </c>
      <c r="K774" s="31" t="s">
        <v>190</v>
      </c>
      <c r="L774" s="31" t="s">
        <v>159</v>
      </c>
      <c r="M774" s="34">
        <v>0</v>
      </c>
      <c r="N774" s="34">
        <v>6993852600</v>
      </c>
      <c r="O774" s="34">
        <v>6993852600</v>
      </c>
      <c r="P774" s="31" t="s">
        <v>1110</v>
      </c>
      <c r="Q774" s="34">
        <v>11656421</v>
      </c>
      <c r="R774" s="31" t="s">
        <v>159</v>
      </c>
      <c r="S774" s="35">
        <v>45261</v>
      </c>
      <c r="T774" s="35">
        <v>45057</v>
      </c>
      <c r="U774" s="35">
        <v>46387</v>
      </c>
      <c r="V774" s="27" t="s">
        <v>9308</v>
      </c>
      <c r="W774" s="31" t="s">
        <v>557</v>
      </c>
      <c r="X774" s="31" t="s">
        <v>880</v>
      </c>
      <c r="Y774" s="31" t="s">
        <v>242</v>
      </c>
      <c r="Z774" s="31" t="s">
        <v>856</v>
      </c>
      <c r="AA774" s="31" t="s">
        <v>862</v>
      </c>
      <c r="AB774" s="31" t="s">
        <v>861</v>
      </c>
      <c r="AC774" s="31" t="s">
        <v>863</v>
      </c>
      <c r="AD774" s="34">
        <v>2.2999999999999998</v>
      </c>
      <c r="AE774" s="31" t="s">
        <v>864</v>
      </c>
      <c r="AF774" s="31" t="s">
        <v>860</v>
      </c>
    </row>
    <row r="775" spans="2:32" ht="60" customHeight="1" x14ac:dyDescent="0.25">
      <c r="B775" s="36" t="s">
        <v>2976</v>
      </c>
      <c r="C775" s="42">
        <v>2023</v>
      </c>
      <c r="D775" s="42">
        <f t="shared" ref="D775:D838" si="12">YEAR(U775)</f>
        <v>2027</v>
      </c>
      <c r="E775" s="36" t="s">
        <v>317</v>
      </c>
      <c r="F775" s="36" t="s">
        <v>2977</v>
      </c>
      <c r="G775" s="36" t="s">
        <v>2978</v>
      </c>
      <c r="H775" s="36" t="s">
        <v>326</v>
      </c>
      <c r="I775" s="36" t="s">
        <v>822</v>
      </c>
      <c r="J775" s="36" t="s">
        <v>823</v>
      </c>
      <c r="K775" s="36" t="s">
        <v>163</v>
      </c>
      <c r="L775" s="36" t="s">
        <v>159</v>
      </c>
      <c r="M775" s="37">
        <v>0</v>
      </c>
      <c r="N775" s="37">
        <v>103003200</v>
      </c>
      <c r="O775" s="37">
        <v>103003200</v>
      </c>
      <c r="P775" s="36" t="s">
        <v>1110</v>
      </c>
      <c r="Q775" s="37">
        <v>171672</v>
      </c>
      <c r="R775" s="36" t="s">
        <v>159</v>
      </c>
      <c r="S775" s="38">
        <v>45057</v>
      </c>
      <c r="T775" s="38">
        <v>44977</v>
      </c>
      <c r="U775" s="38">
        <v>46568</v>
      </c>
      <c r="V775" s="27" t="s">
        <v>9308</v>
      </c>
      <c r="W775" s="36" t="s">
        <v>557</v>
      </c>
      <c r="X775" s="36" t="s">
        <v>880</v>
      </c>
      <c r="Y775" s="36" t="s">
        <v>242</v>
      </c>
      <c r="Z775" s="36" t="s">
        <v>1476</v>
      </c>
      <c r="AA775" s="36" t="s">
        <v>1046</v>
      </c>
      <c r="AB775" s="36" t="s">
        <v>861</v>
      </c>
      <c r="AC775" s="36" t="s">
        <v>1036</v>
      </c>
      <c r="AD775" s="37">
        <v>16.600000000000001</v>
      </c>
      <c r="AE775" s="36" t="s">
        <v>902</v>
      </c>
      <c r="AF775" s="36" t="s">
        <v>860</v>
      </c>
    </row>
    <row r="776" spans="2:32" ht="60" customHeight="1" x14ac:dyDescent="0.25">
      <c r="B776" s="31" t="s">
        <v>2979</v>
      </c>
      <c r="C776" s="41">
        <v>2023</v>
      </c>
      <c r="D776" s="42">
        <f t="shared" si="12"/>
        <v>2026</v>
      </c>
      <c r="E776" s="31" t="s">
        <v>317</v>
      </c>
      <c r="F776" s="31" t="s">
        <v>2980</v>
      </c>
      <c r="G776" s="31" t="s">
        <v>2981</v>
      </c>
      <c r="H776" s="31" t="s">
        <v>326</v>
      </c>
      <c r="I776" s="31" t="s">
        <v>822</v>
      </c>
      <c r="J776" s="31" t="s">
        <v>823</v>
      </c>
      <c r="K776" s="31" t="s">
        <v>190</v>
      </c>
      <c r="L776" s="31" t="s">
        <v>127</v>
      </c>
      <c r="M776" s="34">
        <v>7185000001</v>
      </c>
      <c r="N776" s="34">
        <v>0</v>
      </c>
      <c r="O776" s="34">
        <v>7185000001</v>
      </c>
      <c r="P776" s="31" t="s">
        <v>122</v>
      </c>
      <c r="Q776" s="34">
        <v>10953461.890000001</v>
      </c>
      <c r="R776" s="31" t="s">
        <v>127</v>
      </c>
      <c r="S776" s="35">
        <v>45239</v>
      </c>
      <c r="T776" s="35">
        <v>45057</v>
      </c>
      <c r="U776" s="35">
        <v>46387</v>
      </c>
      <c r="V776" s="27" t="s">
        <v>9396</v>
      </c>
      <c r="W776" s="31" t="s">
        <v>557</v>
      </c>
      <c r="X776" s="31" t="s">
        <v>558</v>
      </c>
      <c r="Y776" s="31" t="s">
        <v>242</v>
      </c>
      <c r="Z776" s="31" t="s">
        <v>856</v>
      </c>
      <c r="AA776" s="31" t="s">
        <v>862</v>
      </c>
      <c r="AB776" s="31" t="s">
        <v>861</v>
      </c>
      <c r="AC776" s="31" t="s">
        <v>863</v>
      </c>
      <c r="AD776" s="34">
        <v>2.2999999999999998</v>
      </c>
      <c r="AE776" s="31" t="s">
        <v>864</v>
      </c>
      <c r="AF776" s="31" t="s">
        <v>860</v>
      </c>
    </row>
    <row r="777" spans="2:32" ht="60" customHeight="1" x14ac:dyDescent="0.25">
      <c r="B777" s="36" t="s">
        <v>2982</v>
      </c>
      <c r="C777" s="33">
        <v>2023</v>
      </c>
      <c r="D777" s="33">
        <f t="shared" si="12"/>
        <v>2023</v>
      </c>
      <c r="E777" s="36" t="s">
        <v>126</v>
      </c>
      <c r="F777" s="36" t="s">
        <v>2983</v>
      </c>
      <c r="G777" s="36" t="s">
        <v>2984</v>
      </c>
      <c r="H777" s="36" t="s">
        <v>172</v>
      </c>
      <c r="I777" s="36" t="s">
        <v>2501</v>
      </c>
      <c r="J777" s="36" t="s">
        <v>2502</v>
      </c>
      <c r="K777" s="36" t="s">
        <v>369</v>
      </c>
      <c r="L777" s="36" t="s">
        <v>127</v>
      </c>
      <c r="M777" s="37">
        <v>393574200</v>
      </c>
      <c r="N777" s="37">
        <v>0</v>
      </c>
      <c r="O777" s="37">
        <v>393574200</v>
      </c>
      <c r="P777" s="36" t="s">
        <v>122</v>
      </c>
      <c r="Q777" s="37">
        <v>600000</v>
      </c>
      <c r="R777" s="36" t="s">
        <v>1883</v>
      </c>
      <c r="S777" s="38">
        <v>45229</v>
      </c>
      <c r="T777" s="38">
        <v>44210</v>
      </c>
      <c r="U777" s="38">
        <v>45291</v>
      </c>
      <c r="V777" s="27" t="s">
        <v>9308</v>
      </c>
      <c r="W777" s="36" t="s">
        <v>1043</v>
      </c>
      <c r="X777" s="36" t="s">
        <v>558</v>
      </c>
      <c r="Y777" s="36" t="s">
        <v>125</v>
      </c>
      <c r="Z777" s="36" t="s">
        <v>2435</v>
      </c>
      <c r="AA777" s="36" t="s">
        <v>862</v>
      </c>
      <c r="AB777" s="36" t="s">
        <v>861</v>
      </c>
      <c r="AC777" s="36" t="s">
        <v>971</v>
      </c>
      <c r="AD777" s="37">
        <v>9.1</v>
      </c>
      <c r="AE777" s="36" t="s">
        <v>864</v>
      </c>
      <c r="AF777" s="37"/>
    </row>
    <row r="778" spans="2:32" ht="60" customHeight="1" x14ac:dyDescent="0.25">
      <c r="B778" s="31" t="s">
        <v>2985</v>
      </c>
      <c r="C778" s="41">
        <v>2023</v>
      </c>
      <c r="D778" s="42">
        <f t="shared" si="12"/>
        <v>2024</v>
      </c>
      <c r="E778" s="31" t="s">
        <v>126</v>
      </c>
      <c r="F778" s="31" t="s">
        <v>2986</v>
      </c>
      <c r="G778" s="31" t="s">
        <v>2987</v>
      </c>
      <c r="H778" s="31" t="s">
        <v>172</v>
      </c>
      <c r="I778" s="31" t="s">
        <v>1148</v>
      </c>
      <c r="J778" s="31" t="s">
        <v>1148</v>
      </c>
      <c r="K778" s="31" t="s">
        <v>315</v>
      </c>
      <c r="L778" s="31" t="s">
        <v>159</v>
      </c>
      <c r="M778" s="34">
        <v>0</v>
      </c>
      <c r="N778" s="34">
        <v>52841928</v>
      </c>
      <c r="O778" s="34">
        <v>52841928</v>
      </c>
      <c r="P778" s="31" t="s">
        <v>136</v>
      </c>
      <c r="Q778" s="34">
        <v>52841928</v>
      </c>
      <c r="R778" s="31" t="s">
        <v>159</v>
      </c>
      <c r="S778" s="35">
        <v>45257</v>
      </c>
      <c r="T778" s="35">
        <v>45057</v>
      </c>
      <c r="U778" s="35">
        <v>45657</v>
      </c>
      <c r="V778" s="27" t="s">
        <v>9484</v>
      </c>
      <c r="W778" s="31" t="s">
        <v>557</v>
      </c>
      <c r="X778" s="31" t="s">
        <v>880</v>
      </c>
      <c r="Y778" s="31" t="s">
        <v>242</v>
      </c>
      <c r="Z778" s="31" t="s">
        <v>1108</v>
      </c>
      <c r="AA778" s="31" t="s">
        <v>900</v>
      </c>
      <c r="AB778" s="31" t="s">
        <v>861</v>
      </c>
      <c r="AC778" s="31" t="s">
        <v>901</v>
      </c>
      <c r="AD778" s="34">
        <v>4.0999999999999996</v>
      </c>
      <c r="AE778" s="31" t="s">
        <v>902</v>
      </c>
      <c r="AF778" s="31" t="s">
        <v>860</v>
      </c>
    </row>
    <row r="779" spans="2:32" ht="75" customHeight="1" x14ac:dyDescent="0.25">
      <c r="B779" s="36" t="s">
        <v>2988</v>
      </c>
      <c r="C779" s="42">
        <v>2023</v>
      </c>
      <c r="D779" s="42">
        <f t="shared" si="12"/>
        <v>2024</v>
      </c>
      <c r="E779" s="36" t="s">
        <v>126</v>
      </c>
      <c r="F779" s="36" t="s">
        <v>2989</v>
      </c>
      <c r="G779" s="36" t="s">
        <v>2990</v>
      </c>
      <c r="H779" s="36" t="s">
        <v>172</v>
      </c>
      <c r="I779" s="36" t="s">
        <v>1148</v>
      </c>
      <c r="J779" s="36" t="s">
        <v>1148</v>
      </c>
      <c r="K779" s="36" t="s">
        <v>315</v>
      </c>
      <c r="L779" s="36" t="s">
        <v>159</v>
      </c>
      <c r="M779" s="37">
        <v>0</v>
      </c>
      <c r="N779" s="37">
        <v>41729360</v>
      </c>
      <c r="O779" s="37">
        <v>41729360</v>
      </c>
      <c r="P779" s="36" t="s">
        <v>136</v>
      </c>
      <c r="Q779" s="37">
        <v>41729360</v>
      </c>
      <c r="R779" s="36" t="s">
        <v>159</v>
      </c>
      <c r="S779" s="38">
        <v>45112</v>
      </c>
      <c r="T779" s="38">
        <v>45057</v>
      </c>
      <c r="U779" s="38">
        <v>45657</v>
      </c>
      <c r="V779" s="27" t="s">
        <v>9485</v>
      </c>
      <c r="W779" s="36" t="s">
        <v>557</v>
      </c>
      <c r="X779" s="36" t="s">
        <v>880</v>
      </c>
      <c r="Y779" s="36" t="s">
        <v>242</v>
      </c>
      <c r="Z779" s="36" t="s">
        <v>998</v>
      </c>
      <c r="AA779" s="36" t="s">
        <v>900</v>
      </c>
      <c r="AB779" s="36" t="s">
        <v>861</v>
      </c>
      <c r="AC779" s="36" t="s">
        <v>901</v>
      </c>
      <c r="AD779" s="37">
        <v>4.0999999999999996</v>
      </c>
      <c r="AE779" s="36" t="s">
        <v>902</v>
      </c>
      <c r="AF779" s="36" t="s">
        <v>860</v>
      </c>
    </row>
    <row r="780" spans="2:32" ht="60" customHeight="1" x14ac:dyDescent="0.25">
      <c r="B780" s="31" t="s">
        <v>2992</v>
      </c>
      <c r="C780" s="41">
        <v>2023</v>
      </c>
      <c r="D780" s="42">
        <f t="shared" si="12"/>
        <v>2027</v>
      </c>
      <c r="E780" s="31" t="s">
        <v>126</v>
      </c>
      <c r="F780" s="31" t="s">
        <v>2993</v>
      </c>
      <c r="G780" s="31" t="s">
        <v>2994</v>
      </c>
      <c r="H780" s="31" t="s">
        <v>172</v>
      </c>
      <c r="I780" s="31" t="s">
        <v>1148</v>
      </c>
      <c r="J780" s="31" t="s">
        <v>1148</v>
      </c>
      <c r="K780" s="31" t="s">
        <v>142</v>
      </c>
      <c r="L780" s="31" t="s">
        <v>159</v>
      </c>
      <c r="M780" s="34">
        <v>0</v>
      </c>
      <c r="N780" s="34">
        <v>18413400000</v>
      </c>
      <c r="O780" s="34">
        <v>18413400000</v>
      </c>
      <c r="P780" s="31" t="s">
        <v>136</v>
      </c>
      <c r="Q780" s="34">
        <v>18413400000</v>
      </c>
      <c r="R780" s="31" t="s">
        <v>159</v>
      </c>
      <c r="S780" s="35">
        <v>45079</v>
      </c>
      <c r="T780" s="35">
        <v>45057</v>
      </c>
      <c r="U780" s="35">
        <v>46752</v>
      </c>
      <c r="V780" s="27" t="s">
        <v>9441</v>
      </c>
      <c r="W780" s="31" t="s">
        <v>557</v>
      </c>
      <c r="X780" s="31" t="s">
        <v>880</v>
      </c>
      <c r="Y780" s="31" t="s">
        <v>242</v>
      </c>
      <c r="Z780" s="31" t="s">
        <v>968</v>
      </c>
      <c r="AA780" s="31" t="s">
        <v>862</v>
      </c>
      <c r="AB780" s="31" t="s">
        <v>861</v>
      </c>
      <c r="AC780" s="31" t="s">
        <v>971</v>
      </c>
      <c r="AD780" s="34">
        <v>9.1</v>
      </c>
      <c r="AE780" s="31" t="s">
        <v>864</v>
      </c>
      <c r="AF780" s="31" t="s">
        <v>860</v>
      </c>
    </row>
    <row r="781" spans="2:32" ht="75" customHeight="1" x14ac:dyDescent="0.25">
      <c r="B781" s="36" t="s">
        <v>2995</v>
      </c>
      <c r="C781" s="42">
        <v>2023</v>
      </c>
      <c r="D781" s="42">
        <f t="shared" si="12"/>
        <v>2025</v>
      </c>
      <c r="E781" s="36" t="s">
        <v>126</v>
      </c>
      <c r="F781" s="36" t="s">
        <v>2996</v>
      </c>
      <c r="G781" s="36" t="s">
        <v>2997</v>
      </c>
      <c r="H781" s="36" t="s">
        <v>172</v>
      </c>
      <c r="I781" s="36" t="s">
        <v>1010</v>
      </c>
      <c r="J781" s="36" t="s">
        <v>1011</v>
      </c>
      <c r="K781" s="36" t="s">
        <v>282</v>
      </c>
      <c r="L781" s="36" t="s">
        <v>159</v>
      </c>
      <c r="M781" s="37">
        <v>0</v>
      </c>
      <c r="N781" s="37">
        <v>4180000000</v>
      </c>
      <c r="O781" s="37">
        <v>4180000000</v>
      </c>
      <c r="P781" s="36" t="s">
        <v>624</v>
      </c>
      <c r="Q781" s="37">
        <v>7600000</v>
      </c>
      <c r="R781" s="36" t="s">
        <v>159</v>
      </c>
      <c r="S781" s="38">
        <v>45261</v>
      </c>
      <c r="T781" s="38">
        <v>45057</v>
      </c>
      <c r="U781" s="38">
        <v>46022</v>
      </c>
      <c r="V781" s="27" t="s">
        <v>9486</v>
      </c>
      <c r="W781" s="36" t="s">
        <v>557</v>
      </c>
      <c r="X781" s="36" t="s">
        <v>880</v>
      </c>
      <c r="Y781" s="36" t="s">
        <v>125</v>
      </c>
      <c r="Z781" s="36" t="s">
        <v>1029</v>
      </c>
      <c r="AA781" s="36" t="s">
        <v>965</v>
      </c>
      <c r="AB781" s="36" t="s">
        <v>964</v>
      </c>
      <c r="AC781" s="36" t="s">
        <v>939</v>
      </c>
      <c r="AD781" s="37">
        <v>11.3</v>
      </c>
      <c r="AE781" s="36" t="s">
        <v>902</v>
      </c>
      <c r="AF781" s="36" t="s">
        <v>860</v>
      </c>
    </row>
    <row r="782" spans="2:32" ht="60" customHeight="1" x14ac:dyDescent="0.25">
      <c r="B782" s="31" t="s">
        <v>2999</v>
      </c>
      <c r="C782" s="41">
        <v>2023</v>
      </c>
      <c r="D782" s="42">
        <f t="shared" si="12"/>
        <v>2026</v>
      </c>
      <c r="E782" s="31" t="s">
        <v>126</v>
      </c>
      <c r="F782" s="31" t="s">
        <v>1376</v>
      </c>
      <c r="G782" s="31" t="s">
        <v>3000</v>
      </c>
      <c r="H782" s="31" t="s">
        <v>172</v>
      </c>
      <c r="I782" s="31" t="s">
        <v>1020</v>
      </c>
      <c r="J782" s="31" t="s">
        <v>1021</v>
      </c>
      <c r="K782" s="31" t="s">
        <v>216</v>
      </c>
      <c r="L782" s="31" t="s">
        <v>159</v>
      </c>
      <c r="M782" s="34">
        <v>0</v>
      </c>
      <c r="N782" s="34">
        <v>116067600</v>
      </c>
      <c r="O782" s="34">
        <v>116067600</v>
      </c>
      <c r="P782" s="31" t="s">
        <v>624</v>
      </c>
      <c r="Q782" s="34">
        <v>211032</v>
      </c>
      <c r="R782" s="31" t="s">
        <v>159</v>
      </c>
      <c r="S782" s="35">
        <v>45122</v>
      </c>
      <c r="T782" s="35">
        <v>45057</v>
      </c>
      <c r="U782" s="35">
        <v>46387</v>
      </c>
      <c r="V782" s="27" t="s">
        <v>9324</v>
      </c>
      <c r="W782" s="31" t="s">
        <v>557</v>
      </c>
      <c r="X782" s="31" t="s">
        <v>880</v>
      </c>
      <c r="Y782" s="31" t="s">
        <v>242</v>
      </c>
      <c r="Z782" s="31" t="s">
        <v>992</v>
      </c>
      <c r="AA782" s="31" t="s">
        <v>561</v>
      </c>
      <c r="AB782" s="31" t="s">
        <v>560</v>
      </c>
      <c r="AC782" s="31" t="s">
        <v>989</v>
      </c>
      <c r="AD782" s="34">
        <v>3.8</v>
      </c>
      <c r="AE782" s="31" t="s">
        <v>902</v>
      </c>
      <c r="AF782" s="31" t="s">
        <v>860</v>
      </c>
    </row>
    <row r="783" spans="2:32" ht="60" customHeight="1" x14ac:dyDescent="0.25">
      <c r="B783" s="36" t="s">
        <v>3001</v>
      </c>
      <c r="C783" s="42">
        <v>2023</v>
      </c>
      <c r="D783" s="42">
        <f t="shared" si="12"/>
        <v>2027</v>
      </c>
      <c r="E783" s="36" t="s">
        <v>126</v>
      </c>
      <c r="F783" s="36" t="s">
        <v>1017</v>
      </c>
      <c r="G783" s="36" t="s">
        <v>3002</v>
      </c>
      <c r="H783" s="36" t="s">
        <v>172</v>
      </c>
      <c r="I783" s="36" t="s">
        <v>1020</v>
      </c>
      <c r="J783" s="36" t="s">
        <v>1021</v>
      </c>
      <c r="K783" s="36" t="s">
        <v>315</v>
      </c>
      <c r="L783" s="36" t="s">
        <v>159</v>
      </c>
      <c r="M783" s="37">
        <v>0</v>
      </c>
      <c r="N783" s="37">
        <v>174467150</v>
      </c>
      <c r="O783" s="37">
        <v>174467150</v>
      </c>
      <c r="P783" s="36" t="s">
        <v>624</v>
      </c>
      <c r="Q783" s="37">
        <v>317213</v>
      </c>
      <c r="R783" s="36" t="s">
        <v>159</v>
      </c>
      <c r="S783" s="38">
        <v>45092</v>
      </c>
      <c r="T783" s="38">
        <v>45034</v>
      </c>
      <c r="U783" s="38">
        <v>46660</v>
      </c>
      <c r="V783" s="27" t="s">
        <v>9308</v>
      </c>
      <c r="W783" s="36" t="s">
        <v>557</v>
      </c>
      <c r="X783" s="36" t="s">
        <v>880</v>
      </c>
      <c r="Y783" s="36" t="s">
        <v>242</v>
      </c>
      <c r="Z783" s="36" t="s">
        <v>1018</v>
      </c>
      <c r="AA783" s="36" t="s">
        <v>561</v>
      </c>
      <c r="AB783" s="36" t="s">
        <v>560</v>
      </c>
      <c r="AC783" s="36" t="s">
        <v>1022</v>
      </c>
      <c r="AD783" s="37">
        <v>1.3</v>
      </c>
      <c r="AE783" s="36" t="s">
        <v>902</v>
      </c>
      <c r="AF783" s="36" t="s">
        <v>860</v>
      </c>
    </row>
    <row r="784" spans="2:32" ht="60" customHeight="1" x14ac:dyDescent="0.25">
      <c r="B784" s="31" t="s">
        <v>3003</v>
      </c>
      <c r="C784" s="41">
        <v>2023</v>
      </c>
      <c r="D784" s="42">
        <f t="shared" si="12"/>
        <v>2027</v>
      </c>
      <c r="E784" s="31" t="s">
        <v>317</v>
      </c>
      <c r="F784" s="31" t="s">
        <v>1024</v>
      </c>
      <c r="G784" s="31" t="s">
        <v>3004</v>
      </c>
      <c r="H784" s="31" t="s">
        <v>172</v>
      </c>
      <c r="I784" s="31" t="s">
        <v>1020</v>
      </c>
      <c r="J784" s="31" t="s">
        <v>1021</v>
      </c>
      <c r="K784" s="31" t="s">
        <v>216</v>
      </c>
      <c r="L784" s="31" t="s">
        <v>159</v>
      </c>
      <c r="M784" s="34">
        <v>0</v>
      </c>
      <c r="N784" s="34">
        <v>750898500</v>
      </c>
      <c r="O784" s="34">
        <v>750898500</v>
      </c>
      <c r="P784" s="31" t="s">
        <v>624</v>
      </c>
      <c r="Q784" s="34">
        <v>1365270</v>
      </c>
      <c r="R784" s="31" t="s">
        <v>159</v>
      </c>
      <c r="S784" s="35">
        <v>45092</v>
      </c>
      <c r="T784" s="35">
        <v>45034</v>
      </c>
      <c r="U784" s="35">
        <v>46660</v>
      </c>
      <c r="V784" s="27" t="s">
        <v>9308</v>
      </c>
      <c r="W784" s="31" t="s">
        <v>557</v>
      </c>
      <c r="X784" s="31" t="s">
        <v>880</v>
      </c>
      <c r="Y784" s="31" t="s">
        <v>242</v>
      </c>
      <c r="Z784" s="31" t="s">
        <v>1025</v>
      </c>
      <c r="AA784" s="31" t="s">
        <v>561</v>
      </c>
      <c r="AB784" s="31" t="s">
        <v>560</v>
      </c>
      <c r="AC784" s="31" t="s">
        <v>989</v>
      </c>
      <c r="AD784" s="34">
        <v>3.8</v>
      </c>
      <c r="AE784" s="31" t="s">
        <v>902</v>
      </c>
      <c r="AF784" s="31" t="s">
        <v>860</v>
      </c>
    </row>
    <row r="785" spans="2:32" ht="90" customHeight="1" x14ac:dyDescent="0.25">
      <c r="B785" s="36" t="s">
        <v>3005</v>
      </c>
      <c r="C785" s="42">
        <v>2023</v>
      </c>
      <c r="D785" s="42">
        <f t="shared" si="12"/>
        <v>2028</v>
      </c>
      <c r="E785" s="36" t="s">
        <v>126</v>
      </c>
      <c r="F785" s="36" t="s">
        <v>3006</v>
      </c>
      <c r="G785" s="36" t="s">
        <v>3007</v>
      </c>
      <c r="H785" s="36" t="s">
        <v>326</v>
      </c>
      <c r="I785" s="36" t="s">
        <v>267</v>
      </c>
      <c r="J785" s="36" t="s">
        <v>267</v>
      </c>
      <c r="K785" s="36" t="s">
        <v>142</v>
      </c>
      <c r="L785" s="36" t="s">
        <v>127</v>
      </c>
      <c r="M785" s="37">
        <v>89306024156</v>
      </c>
      <c r="N785" s="37">
        <v>0</v>
      </c>
      <c r="O785" s="37">
        <v>89306024156</v>
      </c>
      <c r="P785" s="36" t="s">
        <v>122</v>
      </c>
      <c r="Q785" s="37">
        <v>136146156.16</v>
      </c>
      <c r="R785" s="36" t="s">
        <v>150</v>
      </c>
      <c r="S785" s="38">
        <v>44979</v>
      </c>
      <c r="T785" s="38">
        <v>44726</v>
      </c>
      <c r="U785" s="38">
        <v>47118</v>
      </c>
      <c r="V785" s="27" t="s">
        <v>9487</v>
      </c>
      <c r="W785" s="36" t="s">
        <v>557</v>
      </c>
      <c r="X785" s="36" t="s">
        <v>558</v>
      </c>
      <c r="Y785" s="36" t="s">
        <v>242</v>
      </c>
      <c r="Z785" s="36" t="s">
        <v>968</v>
      </c>
      <c r="AA785" s="36" t="s">
        <v>862</v>
      </c>
      <c r="AB785" s="36" t="s">
        <v>861</v>
      </c>
      <c r="AC785" s="36" t="s">
        <v>971</v>
      </c>
      <c r="AD785" s="37">
        <v>9.1</v>
      </c>
      <c r="AE785" s="36" t="s">
        <v>864</v>
      </c>
      <c r="AF785" s="36" t="s">
        <v>860</v>
      </c>
    </row>
    <row r="786" spans="2:32" ht="60" customHeight="1" x14ac:dyDescent="0.25">
      <c r="B786" s="31" t="s">
        <v>3009</v>
      </c>
      <c r="C786" s="41">
        <v>2023</v>
      </c>
      <c r="D786" s="42">
        <f t="shared" si="12"/>
        <v>2026</v>
      </c>
      <c r="E786" s="31" t="s">
        <v>126</v>
      </c>
      <c r="F786" s="31" t="s">
        <v>1518</v>
      </c>
      <c r="G786" s="31" t="s">
        <v>3010</v>
      </c>
      <c r="H786" s="31" t="s">
        <v>326</v>
      </c>
      <c r="I786" s="31" t="s">
        <v>1515</v>
      </c>
      <c r="J786" s="31" t="s">
        <v>1516</v>
      </c>
      <c r="K786" s="31" t="s">
        <v>315</v>
      </c>
      <c r="L786" s="31" t="s">
        <v>127</v>
      </c>
      <c r="M786" s="34">
        <v>11151269002.5</v>
      </c>
      <c r="N786" s="34">
        <v>0</v>
      </c>
      <c r="O786" s="34">
        <v>11151269002.5</v>
      </c>
      <c r="P786" s="31" t="s">
        <v>624</v>
      </c>
      <c r="Q786" s="34">
        <v>20275034.550000001</v>
      </c>
      <c r="R786" s="31" t="s">
        <v>150</v>
      </c>
      <c r="S786" s="45"/>
      <c r="T786" s="35">
        <v>45057</v>
      </c>
      <c r="U786" s="35">
        <v>46387</v>
      </c>
      <c r="V786" s="27" t="s">
        <v>9424</v>
      </c>
      <c r="W786" s="31" t="s">
        <v>557</v>
      </c>
      <c r="X786" s="31" t="s">
        <v>558</v>
      </c>
      <c r="Y786" s="31" t="s">
        <v>242</v>
      </c>
      <c r="Z786" s="31" t="s">
        <v>1519</v>
      </c>
      <c r="AA786" s="31" t="s">
        <v>900</v>
      </c>
      <c r="AB786" s="31" t="s">
        <v>861</v>
      </c>
      <c r="AC786" s="31" t="s">
        <v>901</v>
      </c>
      <c r="AD786" s="34">
        <v>4.0999999999999996</v>
      </c>
      <c r="AE786" s="31" t="s">
        <v>902</v>
      </c>
      <c r="AF786" s="31" t="s">
        <v>860</v>
      </c>
    </row>
    <row r="787" spans="2:32" ht="90" customHeight="1" x14ac:dyDescent="0.25">
      <c r="B787" s="36" t="s">
        <v>3011</v>
      </c>
      <c r="C787" s="42">
        <v>2023</v>
      </c>
      <c r="D787" s="42">
        <f t="shared" si="12"/>
        <v>2029</v>
      </c>
      <c r="E787" s="36" t="s">
        <v>126</v>
      </c>
      <c r="F787" s="36" t="s">
        <v>3012</v>
      </c>
      <c r="G787" s="36" t="s">
        <v>3013</v>
      </c>
      <c r="H787" s="36" t="s">
        <v>3016</v>
      </c>
      <c r="I787" s="36" t="s">
        <v>305</v>
      </c>
      <c r="J787" s="36" t="s">
        <v>306</v>
      </c>
      <c r="K787" s="36" t="s">
        <v>190</v>
      </c>
      <c r="L787" s="36" t="s">
        <v>127</v>
      </c>
      <c r="M787" s="37">
        <v>27500000000</v>
      </c>
      <c r="N787" s="37">
        <v>0</v>
      </c>
      <c r="O787" s="37">
        <v>27500000000</v>
      </c>
      <c r="P787" s="36" t="s">
        <v>624</v>
      </c>
      <c r="Q787" s="37">
        <v>50000000</v>
      </c>
      <c r="R787" s="36" t="s">
        <v>150</v>
      </c>
      <c r="S787" s="38">
        <v>45138</v>
      </c>
      <c r="T787" s="38">
        <v>45127</v>
      </c>
      <c r="U787" s="38">
        <v>47483</v>
      </c>
      <c r="V787" s="27" t="s">
        <v>9488</v>
      </c>
      <c r="W787" s="37"/>
      <c r="X787" s="37"/>
      <c r="Y787" s="37" t="s">
        <v>125</v>
      </c>
      <c r="Z787" s="37"/>
      <c r="AA787" s="37"/>
      <c r="AB787" s="37"/>
      <c r="AC787" s="37"/>
      <c r="AD787" s="37"/>
      <c r="AE787" s="37"/>
      <c r="AF787" s="37"/>
    </row>
    <row r="788" spans="2:32" ht="135" customHeight="1" x14ac:dyDescent="0.25">
      <c r="B788" s="31" t="s">
        <v>3017</v>
      </c>
      <c r="C788" s="41">
        <v>2023</v>
      </c>
      <c r="D788" s="42">
        <f t="shared" si="12"/>
        <v>2028</v>
      </c>
      <c r="E788" s="31" t="s">
        <v>126</v>
      </c>
      <c r="F788" s="31" t="s">
        <v>3018</v>
      </c>
      <c r="G788" s="31" t="s">
        <v>3019</v>
      </c>
      <c r="H788" s="31" t="s">
        <v>3021</v>
      </c>
      <c r="I788" s="31" t="s">
        <v>277</v>
      </c>
      <c r="J788" s="31" t="s">
        <v>278</v>
      </c>
      <c r="K788" s="31" t="s">
        <v>190</v>
      </c>
      <c r="L788" s="31" t="s">
        <v>127</v>
      </c>
      <c r="M788" s="34">
        <v>15998400000</v>
      </c>
      <c r="N788" s="34">
        <v>0</v>
      </c>
      <c r="O788" s="34">
        <v>15998400000</v>
      </c>
      <c r="P788" s="31" t="s">
        <v>624</v>
      </c>
      <c r="Q788" s="34">
        <v>29088000</v>
      </c>
      <c r="R788" s="31" t="s">
        <v>150</v>
      </c>
      <c r="S788" s="35">
        <v>45278</v>
      </c>
      <c r="T788" s="35">
        <v>45252</v>
      </c>
      <c r="U788" s="35">
        <v>47118</v>
      </c>
      <c r="V788" s="27" t="s">
        <v>9489</v>
      </c>
      <c r="W788" s="31" t="s">
        <v>557</v>
      </c>
      <c r="X788" s="31" t="s">
        <v>558</v>
      </c>
      <c r="Y788" s="31" t="s">
        <v>125</v>
      </c>
      <c r="Z788" s="31" t="s">
        <v>974</v>
      </c>
      <c r="AA788" s="31" t="s">
        <v>862</v>
      </c>
      <c r="AB788" s="31" t="s">
        <v>861</v>
      </c>
      <c r="AC788" s="31" t="s">
        <v>863</v>
      </c>
      <c r="AD788" s="34">
        <v>2.2999999999999998</v>
      </c>
      <c r="AE788" s="31" t="s">
        <v>864</v>
      </c>
      <c r="AF788" s="31" t="s">
        <v>860</v>
      </c>
    </row>
    <row r="789" spans="2:32" ht="75" customHeight="1" x14ac:dyDescent="0.25">
      <c r="B789" s="36" t="s">
        <v>3022</v>
      </c>
      <c r="C789" s="42">
        <v>2024</v>
      </c>
      <c r="D789" s="42">
        <f t="shared" si="12"/>
        <v>2027</v>
      </c>
      <c r="E789" s="36" t="s">
        <v>126</v>
      </c>
      <c r="F789" s="36" t="s">
        <v>3023</v>
      </c>
      <c r="G789" s="36" t="s">
        <v>3024</v>
      </c>
      <c r="H789" s="36" t="s">
        <v>3025</v>
      </c>
      <c r="I789" s="36" t="s">
        <v>137</v>
      </c>
      <c r="J789" s="36" t="s">
        <v>138</v>
      </c>
      <c r="K789" s="36" t="s">
        <v>205</v>
      </c>
      <c r="L789" s="36" t="s">
        <v>127</v>
      </c>
      <c r="M789" s="37">
        <v>10000000000</v>
      </c>
      <c r="N789" s="37">
        <v>0</v>
      </c>
      <c r="O789" s="37">
        <v>10000000000</v>
      </c>
      <c r="P789" s="36" t="s">
        <v>136</v>
      </c>
      <c r="Q789" s="37">
        <v>10000000000</v>
      </c>
      <c r="R789" s="36" t="s">
        <v>128</v>
      </c>
      <c r="S789" s="38">
        <v>45427</v>
      </c>
      <c r="T789" s="38">
        <v>44970</v>
      </c>
      <c r="U789" s="38">
        <v>46752</v>
      </c>
      <c r="V789" s="27" t="s">
        <v>9411</v>
      </c>
      <c r="W789" s="37"/>
      <c r="X789" s="37"/>
      <c r="Y789" s="37" t="s">
        <v>125</v>
      </c>
      <c r="Z789" s="37"/>
      <c r="AA789" s="37"/>
      <c r="AB789" s="37"/>
      <c r="AC789" s="37"/>
      <c r="AD789" s="37"/>
      <c r="AE789" s="37"/>
      <c r="AF789" s="37"/>
    </row>
    <row r="790" spans="2:32" ht="60" customHeight="1" x14ac:dyDescent="0.25">
      <c r="B790" s="31" t="s">
        <v>3026</v>
      </c>
      <c r="C790" s="41">
        <v>2024</v>
      </c>
      <c r="D790" s="42">
        <f t="shared" si="12"/>
        <v>2029</v>
      </c>
      <c r="E790" s="31" t="s">
        <v>126</v>
      </c>
      <c r="F790" s="31" t="s">
        <v>3027</v>
      </c>
      <c r="G790" s="31" t="s">
        <v>3028</v>
      </c>
      <c r="H790" s="31" t="s">
        <v>3029</v>
      </c>
      <c r="I790" s="31" t="s">
        <v>337</v>
      </c>
      <c r="J790" s="31" t="s">
        <v>338</v>
      </c>
      <c r="K790" s="31" t="s">
        <v>205</v>
      </c>
      <c r="L790" s="31" t="s">
        <v>159</v>
      </c>
      <c r="M790" s="34">
        <v>0</v>
      </c>
      <c r="N790" s="34">
        <v>7871484000</v>
      </c>
      <c r="O790" s="34">
        <v>7871484000</v>
      </c>
      <c r="P790" s="31" t="s">
        <v>122</v>
      </c>
      <c r="Q790" s="34">
        <v>10000000</v>
      </c>
      <c r="R790" s="31" t="s">
        <v>159</v>
      </c>
      <c r="S790" s="35">
        <v>45427</v>
      </c>
      <c r="T790" s="35">
        <v>45024</v>
      </c>
      <c r="U790" s="35">
        <v>47483</v>
      </c>
      <c r="V790" s="27" t="s">
        <v>9490</v>
      </c>
      <c r="W790" s="34"/>
      <c r="X790" s="34"/>
      <c r="Y790" s="34" t="s">
        <v>242</v>
      </c>
      <c r="Z790" s="34"/>
      <c r="AA790" s="34"/>
      <c r="AB790" s="34"/>
      <c r="AC790" s="34"/>
      <c r="AD790" s="34"/>
      <c r="AE790" s="34"/>
      <c r="AF790" s="34"/>
    </row>
    <row r="791" spans="2:32" ht="45" customHeight="1" x14ac:dyDescent="0.25">
      <c r="B791" s="36" t="s">
        <v>3030</v>
      </c>
      <c r="C791" s="42">
        <v>2024</v>
      </c>
      <c r="D791" s="42">
        <f t="shared" si="12"/>
        <v>2029</v>
      </c>
      <c r="E791" s="36" t="s">
        <v>126</v>
      </c>
      <c r="F791" s="36" t="s">
        <v>3031</v>
      </c>
      <c r="G791" s="36" t="s">
        <v>3032</v>
      </c>
      <c r="H791" s="36" t="s">
        <v>3033</v>
      </c>
      <c r="I791" s="36" t="s">
        <v>240</v>
      </c>
      <c r="J791" s="36" t="s">
        <v>241</v>
      </c>
      <c r="K791" s="36" t="s">
        <v>205</v>
      </c>
      <c r="L791" s="36" t="s">
        <v>159</v>
      </c>
      <c r="M791" s="37">
        <v>0</v>
      </c>
      <c r="N791" s="37">
        <v>6559570000</v>
      </c>
      <c r="O791" s="37">
        <v>6559570000</v>
      </c>
      <c r="P791" s="36" t="s">
        <v>122</v>
      </c>
      <c r="Q791" s="37">
        <v>10000000</v>
      </c>
      <c r="R791" s="36" t="s">
        <v>159</v>
      </c>
      <c r="S791" s="38">
        <v>45427</v>
      </c>
      <c r="T791" s="38">
        <v>45024</v>
      </c>
      <c r="U791" s="38">
        <v>47483</v>
      </c>
      <c r="V791" s="27" t="s">
        <v>9490</v>
      </c>
      <c r="W791" s="37"/>
      <c r="X791" s="37"/>
      <c r="Y791" s="37" t="s">
        <v>242</v>
      </c>
      <c r="Z791" s="37"/>
      <c r="AA791" s="37"/>
      <c r="AB791" s="37"/>
      <c r="AC791" s="37"/>
      <c r="AD791" s="37"/>
      <c r="AE791" s="37"/>
      <c r="AF791" s="37"/>
    </row>
    <row r="792" spans="2:32" ht="90" customHeight="1" x14ac:dyDescent="0.25">
      <c r="B792" s="31" t="s">
        <v>3034</v>
      </c>
      <c r="C792" s="41">
        <v>2024</v>
      </c>
      <c r="D792" s="42">
        <f t="shared" si="12"/>
        <v>2030</v>
      </c>
      <c r="E792" s="31" t="s">
        <v>126</v>
      </c>
      <c r="F792" s="31" t="s">
        <v>3035</v>
      </c>
      <c r="G792" s="31" t="s">
        <v>3036</v>
      </c>
      <c r="H792" s="31" t="s">
        <v>3037</v>
      </c>
      <c r="I792" s="31" t="s">
        <v>240</v>
      </c>
      <c r="J792" s="31" t="s">
        <v>241</v>
      </c>
      <c r="K792" s="31" t="s">
        <v>315</v>
      </c>
      <c r="L792" s="31" t="s">
        <v>159</v>
      </c>
      <c r="M792" s="34">
        <v>0</v>
      </c>
      <c r="N792" s="34">
        <v>13119140000</v>
      </c>
      <c r="O792" s="34">
        <v>13119140000</v>
      </c>
      <c r="P792" s="31" t="s">
        <v>122</v>
      </c>
      <c r="Q792" s="34">
        <v>20000000</v>
      </c>
      <c r="R792" s="31" t="s">
        <v>159</v>
      </c>
      <c r="S792" s="35">
        <v>45427</v>
      </c>
      <c r="T792" s="35">
        <v>45024</v>
      </c>
      <c r="U792" s="35">
        <v>47848</v>
      </c>
      <c r="V792" s="27" t="s">
        <v>9308</v>
      </c>
      <c r="W792" s="34"/>
      <c r="X792" s="34"/>
      <c r="Y792" s="34" t="s">
        <v>242</v>
      </c>
      <c r="Z792" s="34"/>
      <c r="AA792" s="34"/>
      <c r="AB792" s="34"/>
      <c r="AC792" s="34"/>
      <c r="AD792" s="34"/>
      <c r="AE792" s="34"/>
      <c r="AF792" s="34"/>
    </row>
    <row r="793" spans="2:32" ht="90" customHeight="1" x14ac:dyDescent="0.25">
      <c r="B793" s="36" t="s">
        <v>3038</v>
      </c>
      <c r="C793" s="42">
        <v>2024</v>
      </c>
      <c r="D793" s="42">
        <f t="shared" si="12"/>
        <v>2028</v>
      </c>
      <c r="E793" s="36" t="s">
        <v>126</v>
      </c>
      <c r="F793" s="36" t="s">
        <v>3039</v>
      </c>
      <c r="G793" s="36" t="s">
        <v>3040</v>
      </c>
      <c r="H793" s="36" t="s">
        <v>3041</v>
      </c>
      <c r="I793" s="36" t="s">
        <v>484</v>
      </c>
      <c r="J793" s="36" t="s">
        <v>484</v>
      </c>
      <c r="K793" s="36" t="s">
        <v>205</v>
      </c>
      <c r="L793" s="36" t="s">
        <v>159</v>
      </c>
      <c r="M793" s="37">
        <v>0</v>
      </c>
      <c r="N793" s="37">
        <v>393574200</v>
      </c>
      <c r="O793" s="37">
        <v>393574200</v>
      </c>
      <c r="P793" s="36" t="s">
        <v>122</v>
      </c>
      <c r="Q793" s="37">
        <v>6000000</v>
      </c>
      <c r="R793" s="36" t="s">
        <v>159</v>
      </c>
      <c r="S793" s="38">
        <v>45427</v>
      </c>
      <c r="T793" s="38">
        <v>45022</v>
      </c>
      <c r="U793" s="38">
        <v>47118</v>
      </c>
      <c r="V793" s="27" t="s">
        <v>9307</v>
      </c>
      <c r="W793" s="37"/>
      <c r="X793" s="37"/>
      <c r="Y793" s="37" t="s">
        <v>242</v>
      </c>
      <c r="Z793" s="37"/>
      <c r="AA793" s="37"/>
      <c r="AB793" s="37"/>
      <c r="AC793" s="37"/>
      <c r="AD793" s="37"/>
      <c r="AE793" s="37"/>
      <c r="AF793" s="37"/>
    </row>
    <row r="794" spans="2:32" ht="45" customHeight="1" x14ac:dyDescent="0.25">
      <c r="B794" s="31" t="s">
        <v>3042</v>
      </c>
      <c r="C794" s="41">
        <v>2024</v>
      </c>
      <c r="D794" s="42">
        <f t="shared" si="12"/>
        <v>2029</v>
      </c>
      <c r="E794" s="31" t="s">
        <v>126</v>
      </c>
      <c r="F794" s="31" t="s">
        <v>3043</v>
      </c>
      <c r="G794" s="31" t="s">
        <v>3044</v>
      </c>
      <c r="H794" s="31" t="s">
        <v>3047</v>
      </c>
      <c r="I794" s="31" t="s">
        <v>137</v>
      </c>
      <c r="J794" s="31" t="s">
        <v>138</v>
      </c>
      <c r="K794" s="31" t="s">
        <v>315</v>
      </c>
      <c r="L794" s="31" t="s">
        <v>127</v>
      </c>
      <c r="M794" s="34">
        <v>30000000000</v>
      </c>
      <c r="N794" s="34">
        <v>0</v>
      </c>
      <c r="O794" s="34">
        <v>30000000000</v>
      </c>
      <c r="P794" s="31" t="s">
        <v>136</v>
      </c>
      <c r="Q794" s="34">
        <v>30000000000</v>
      </c>
      <c r="R794" s="31" t="s">
        <v>128</v>
      </c>
      <c r="S794" s="35">
        <v>45427</v>
      </c>
      <c r="T794" s="35">
        <v>45291</v>
      </c>
      <c r="U794" s="35">
        <v>47483</v>
      </c>
      <c r="V794" s="27" t="s">
        <v>9491</v>
      </c>
      <c r="W794" s="34"/>
      <c r="X794" s="34"/>
      <c r="Y794" s="34" t="s">
        <v>125</v>
      </c>
      <c r="Z794" s="34"/>
      <c r="AA794" s="34"/>
      <c r="AB794" s="34"/>
      <c r="AC794" s="34"/>
      <c r="AD794" s="34"/>
      <c r="AE794" s="34"/>
      <c r="AF794" s="34"/>
    </row>
    <row r="795" spans="2:32" ht="120" customHeight="1" x14ac:dyDescent="0.25">
      <c r="B795" s="36" t="s">
        <v>3048</v>
      </c>
      <c r="C795" s="42">
        <v>2024</v>
      </c>
      <c r="D795" s="42">
        <f t="shared" si="12"/>
        <v>2029</v>
      </c>
      <c r="E795" s="36" t="s">
        <v>126</v>
      </c>
      <c r="F795" s="36" t="s">
        <v>3049</v>
      </c>
      <c r="G795" s="36" t="s">
        <v>3050</v>
      </c>
      <c r="H795" s="36" t="s">
        <v>3052</v>
      </c>
      <c r="I795" s="36" t="s">
        <v>137</v>
      </c>
      <c r="J795" s="36" t="s">
        <v>138</v>
      </c>
      <c r="K795" s="36" t="s">
        <v>263</v>
      </c>
      <c r="L795" s="36" t="s">
        <v>127</v>
      </c>
      <c r="M795" s="37">
        <v>20000000000</v>
      </c>
      <c r="N795" s="37">
        <v>0</v>
      </c>
      <c r="O795" s="37">
        <v>20000000000</v>
      </c>
      <c r="P795" s="36" t="s">
        <v>136</v>
      </c>
      <c r="Q795" s="37">
        <v>20000000000</v>
      </c>
      <c r="R795" s="36" t="s">
        <v>128</v>
      </c>
      <c r="S795" s="38">
        <v>45427</v>
      </c>
      <c r="T795" s="38">
        <v>45291</v>
      </c>
      <c r="U795" s="38">
        <v>47483</v>
      </c>
      <c r="V795" s="27" t="s">
        <v>9492</v>
      </c>
      <c r="W795" s="37"/>
      <c r="X795" s="37"/>
      <c r="Y795" s="37" t="s">
        <v>125</v>
      </c>
      <c r="Z795" s="37"/>
      <c r="AA795" s="37"/>
      <c r="AB795" s="37"/>
      <c r="AC795" s="37"/>
      <c r="AD795" s="37"/>
      <c r="AE795" s="37"/>
      <c r="AF795" s="37"/>
    </row>
    <row r="796" spans="2:32" ht="60" customHeight="1" x14ac:dyDescent="0.25">
      <c r="B796" s="31" t="s">
        <v>3053</v>
      </c>
      <c r="C796" s="41">
        <v>2024</v>
      </c>
      <c r="D796" s="42">
        <f t="shared" si="12"/>
        <v>2029</v>
      </c>
      <c r="E796" s="31" t="s">
        <v>126</v>
      </c>
      <c r="F796" s="31" t="s">
        <v>3054</v>
      </c>
      <c r="G796" s="31" t="s">
        <v>3055</v>
      </c>
      <c r="H796" s="31" t="s">
        <v>3057</v>
      </c>
      <c r="I796" s="31" t="s">
        <v>277</v>
      </c>
      <c r="J796" s="31" t="s">
        <v>278</v>
      </c>
      <c r="K796" s="31" t="s">
        <v>526</v>
      </c>
      <c r="L796" s="31" t="s">
        <v>127</v>
      </c>
      <c r="M796" s="34">
        <v>53621204965</v>
      </c>
      <c r="N796" s="34">
        <v>0</v>
      </c>
      <c r="O796" s="34">
        <v>53621204965</v>
      </c>
      <c r="P796" s="31" t="s">
        <v>122</v>
      </c>
      <c r="Q796" s="34">
        <v>81745000</v>
      </c>
      <c r="R796" s="31" t="s">
        <v>128</v>
      </c>
      <c r="S796" s="35">
        <v>45427</v>
      </c>
      <c r="T796" s="35">
        <v>45310</v>
      </c>
      <c r="U796" s="35">
        <v>47483</v>
      </c>
      <c r="V796" s="27" t="s">
        <v>9493</v>
      </c>
      <c r="W796" s="34"/>
      <c r="X796" s="34"/>
      <c r="Y796" s="34" t="s">
        <v>125</v>
      </c>
      <c r="Z796" s="34"/>
      <c r="AA796" s="34"/>
      <c r="AB796" s="34"/>
      <c r="AC796" s="34"/>
      <c r="AD796" s="34"/>
      <c r="AE796" s="34"/>
      <c r="AF796" s="34"/>
    </row>
    <row r="797" spans="2:32" ht="90" customHeight="1" x14ac:dyDescent="0.25">
      <c r="B797" s="36" t="s">
        <v>3058</v>
      </c>
      <c r="C797" s="42">
        <v>2024</v>
      </c>
      <c r="D797" s="42">
        <f t="shared" si="12"/>
        <v>2026</v>
      </c>
      <c r="E797" s="36" t="s">
        <v>126</v>
      </c>
      <c r="F797" s="36" t="s">
        <v>3059</v>
      </c>
      <c r="G797" s="36" t="s">
        <v>3060</v>
      </c>
      <c r="H797" s="36" t="s">
        <v>3062</v>
      </c>
      <c r="I797" s="36" t="s">
        <v>448</v>
      </c>
      <c r="J797" s="36" t="s">
        <v>449</v>
      </c>
      <c r="K797" s="36" t="s">
        <v>190</v>
      </c>
      <c r="L797" s="36" t="s">
        <v>127</v>
      </c>
      <c r="M797" s="37">
        <v>6355072400</v>
      </c>
      <c r="N797" s="37">
        <v>0</v>
      </c>
      <c r="O797" s="37">
        <v>6355072400</v>
      </c>
      <c r="P797" s="36" t="s">
        <v>624</v>
      </c>
      <c r="Q797" s="37">
        <v>10963768</v>
      </c>
      <c r="R797" s="36" t="s">
        <v>150</v>
      </c>
      <c r="S797" s="38">
        <v>45427</v>
      </c>
      <c r="T797" s="38">
        <v>45315</v>
      </c>
      <c r="U797" s="38">
        <v>46387</v>
      </c>
      <c r="V797" s="27" t="s">
        <v>9494</v>
      </c>
      <c r="W797" s="37"/>
      <c r="X797" s="37"/>
      <c r="Y797" s="37" t="s">
        <v>125</v>
      </c>
      <c r="Z797" s="37"/>
      <c r="AA797" s="37"/>
      <c r="AB797" s="37"/>
      <c r="AC797" s="37"/>
      <c r="AD797" s="37"/>
      <c r="AE797" s="37"/>
      <c r="AF797" s="37"/>
    </row>
    <row r="798" spans="2:32" ht="75" customHeight="1" x14ac:dyDescent="0.25">
      <c r="B798" s="31" t="s">
        <v>3063</v>
      </c>
      <c r="C798" s="41">
        <v>2024</v>
      </c>
      <c r="D798" s="42">
        <f t="shared" si="12"/>
        <v>2026</v>
      </c>
      <c r="E798" s="31" t="s">
        <v>126</v>
      </c>
      <c r="F798" s="31" t="s">
        <v>3064</v>
      </c>
      <c r="G798" s="31" t="s">
        <v>3065</v>
      </c>
      <c r="H798" s="31" t="s">
        <v>3066</v>
      </c>
      <c r="I798" s="31" t="s">
        <v>448</v>
      </c>
      <c r="J798" s="31" t="s">
        <v>449</v>
      </c>
      <c r="K798" s="31" t="s">
        <v>190</v>
      </c>
      <c r="L798" s="31" t="s">
        <v>127</v>
      </c>
      <c r="M798" s="34">
        <v>63768100</v>
      </c>
      <c r="N798" s="34">
        <v>0</v>
      </c>
      <c r="O798" s="34">
        <v>63768100</v>
      </c>
      <c r="P798" s="31" t="s">
        <v>624</v>
      </c>
      <c r="Q798" s="34">
        <v>115942</v>
      </c>
      <c r="R798" s="31" t="s">
        <v>150</v>
      </c>
      <c r="S798" s="35">
        <v>45427</v>
      </c>
      <c r="T798" s="35">
        <v>45315</v>
      </c>
      <c r="U798" s="35">
        <v>46387</v>
      </c>
      <c r="V798" s="27" t="s">
        <v>9494</v>
      </c>
      <c r="W798" s="34"/>
      <c r="X798" s="34"/>
      <c r="Y798" s="34" t="s">
        <v>125</v>
      </c>
      <c r="Z798" s="34"/>
      <c r="AA798" s="34"/>
      <c r="AB798" s="34"/>
      <c r="AC798" s="34"/>
      <c r="AD798" s="34"/>
      <c r="AE798" s="34"/>
      <c r="AF798" s="34"/>
    </row>
    <row r="799" spans="2:32" ht="75" customHeight="1" x14ac:dyDescent="0.25">
      <c r="B799" s="36" t="s">
        <v>3067</v>
      </c>
      <c r="C799" s="42">
        <v>2024</v>
      </c>
      <c r="D799" s="42">
        <f t="shared" si="12"/>
        <v>2025</v>
      </c>
      <c r="E799" s="36" t="s">
        <v>126</v>
      </c>
      <c r="F799" s="36" t="s">
        <v>3068</v>
      </c>
      <c r="G799" s="36" t="s">
        <v>3069</v>
      </c>
      <c r="H799" s="36" t="s">
        <v>3041</v>
      </c>
      <c r="I799" s="36" t="s">
        <v>448</v>
      </c>
      <c r="J799" s="36" t="s">
        <v>449</v>
      </c>
      <c r="K799" s="36" t="s">
        <v>190</v>
      </c>
      <c r="L799" s="36" t="s">
        <v>127</v>
      </c>
      <c r="M799" s="37">
        <v>8226356737</v>
      </c>
      <c r="N799" s="37">
        <v>0</v>
      </c>
      <c r="O799" s="37">
        <v>8226356737</v>
      </c>
      <c r="P799" s="36" t="s">
        <v>624</v>
      </c>
      <c r="Q799" s="37">
        <v>12541000</v>
      </c>
      <c r="R799" s="36" t="s">
        <v>150</v>
      </c>
      <c r="S799" s="38">
        <v>45427</v>
      </c>
      <c r="T799" s="38">
        <v>45315</v>
      </c>
      <c r="U799" s="38">
        <v>46022</v>
      </c>
      <c r="V799" s="27" t="s">
        <v>9495</v>
      </c>
      <c r="W799" s="37"/>
      <c r="X799" s="37"/>
      <c r="Y799" s="37" t="s">
        <v>125</v>
      </c>
      <c r="Z799" s="37"/>
      <c r="AA799" s="37"/>
      <c r="AB799" s="37"/>
      <c r="AC799" s="37"/>
      <c r="AD799" s="37"/>
      <c r="AE799" s="37"/>
      <c r="AF799" s="37"/>
    </row>
    <row r="800" spans="2:32" ht="45" customHeight="1" x14ac:dyDescent="0.25">
      <c r="B800" s="31" t="s">
        <v>3071</v>
      </c>
      <c r="C800" s="41">
        <v>2024</v>
      </c>
      <c r="D800" s="42">
        <f t="shared" si="12"/>
        <v>2030</v>
      </c>
      <c r="E800" s="31" t="s">
        <v>126</v>
      </c>
      <c r="F800" s="31" t="s">
        <v>3072</v>
      </c>
      <c r="G800" s="31" t="s">
        <v>3073</v>
      </c>
      <c r="H800" s="31" t="s">
        <v>3075</v>
      </c>
      <c r="I800" s="31" t="s">
        <v>168</v>
      </c>
      <c r="J800" s="31" t="s">
        <v>169</v>
      </c>
      <c r="K800" s="31" t="s">
        <v>190</v>
      </c>
      <c r="L800" s="31" t="s">
        <v>127</v>
      </c>
      <c r="M800" s="34">
        <v>65989274200</v>
      </c>
      <c r="N800" s="34">
        <v>0</v>
      </c>
      <c r="O800" s="34">
        <v>65989274200</v>
      </c>
      <c r="P800" s="31" t="s">
        <v>122</v>
      </c>
      <c r="Q800" s="34">
        <v>100600000</v>
      </c>
      <c r="R800" s="31" t="s">
        <v>150</v>
      </c>
      <c r="S800" s="35">
        <v>45427</v>
      </c>
      <c r="T800" s="35">
        <v>45354</v>
      </c>
      <c r="U800" s="35">
        <v>47848</v>
      </c>
      <c r="V800" s="27" t="s">
        <v>9496</v>
      </c>
      <c r="W800" s="34"/>
      <c r="X800" s="34"/>
      <c r="Y800" s="34" t="s">
        <v>125</v>
      </c>
      <c r="Z800" s="34"/>
      <c r="AA800" s="34"/>
      <c r="AB800" s="34"/>
      <c r="AC800" s="34"/>
      <c r="AD800" s="34"/>
      <c r="AE800" s="34"/>
      <c r="AF800" s="34"/>
    </row>
    <row r="801" spans="2:32" ht="60" customHeight="1" x14ac:dyDescent="0.25">
      <c r="B801" s="36" t="s">
        <v>3076</v>
      </c>
      <c r="C801" s="42">
        <v>2024</v>
      </c>
      <c r="D801" s="42">
        <f t="shared" si="12"/>
        <v>2026</v>
      </c>
      <c r="E801" s="36" t="s">
        <v>126</v>
      </c>
      <c r="F801" s="36" t="s">
        <v>3077</v>
      </c>
      <c r="G801" s="36" t="s">
        <v>3078</v>
      </c>
      <c r="H801" s="36" t="s">
        <v>3079</v>
      </c>
      <c r="I801" s="36" t="s">
        <v>178</v>
      </c>
      <c r="J801" s="36" t="s">
        <v>179</v>
      </c>
      <c r="K801" s="36" t="s">
        <v>190</v>
      </c>
      <c r="L801" s="36" t="s">
        <v>127</v>
      </c>
      <c r="M801" s="37">
        <v>91717790200</v>
      </c>
      <c r="N801" s="37">
        <v>0</v>
      </c>
      <c r="O801" s="37">
        <v>91717790200</v>
      </c>
      <c r="P801" s="36" t="s">
        <v>122</v>
      </c>
      <c r="Q801" s="37">
        <v>139900000</v>
      </c>
      <c r="R801" s="36" t="s">
        <v>150</v>
      </c>
      <c r="S801" s="38">
        <v>45472</v>
      </c>
      <c r="T801" s="38">
        <v>45427</v>
      </c>
      <c r="U801" s="38">
        <v>46387</v>
      </c>
      <c r="V801" s="27" t="s">
        <v>9308</v>
      </c>
      <c r="W801" s="37"/>
      <c r="X801" s="37"/>
      <c r="Y801" s="37" t="s">
        <v>125</v>
      </c>
      <c r="Z801" s="37"/>
      <c r="AA801" s="37"/>
      <c r="AB801" s="37"/>
      <c r="AC801" s="37"/>
      <c r="AD801" s="37"/>
      <c r="AE801" s="37"/>
      <c r="AF801" s="37"/>
    </row>
    <row r="802" spans="2:32" ht="90" customHeight="1" x14ac:dyDescent="0.25">
      <c r="B802" s="31" t="s">
        <v>3080</v>
      </c>
      <c r="C802" s="41">
        <v>2024</v>
      </c>
      <c r="D802" s="42">
        <f t="shared" si="12"/>
        <v>2029</v>
      </c>
      <c r="E802" s="31" t="s">
        <v>126</v>
      </c>
      <c r="F802" s="31" t="s">
        <v>3081</v>
      </c>
      <c r="G802" s="31" t="s">
        <v>3013</v>
      </c>
      <c r="H802" s="31" t="s">
        <v>3084</v>
      </c>
      <c r="I802" s="31" t="s">
        <v>168</v>
      </c>
      <c r="J802" s="31" t="s">
        <v>169</v>
      </c>
      <c r="K802" s="31" t="s">
        <v>190</v>
      </c>
      <c r="L802" s="31" t="s">
        <v>127</v>
      </c>
      <c r="M802" s="34">
        <v>41987807570</v>
      </c>
      <c r="N802" s="34">
        <v>0</v>
      </c>
      <c r="O802" s="34">
        <v>41987807570</v>
      </c>
      <c r="P802" s="31" t="s">
        <v>122</v>
      </c>
      <c r="Q802" s="34">
        <v>64010000</v>
      </c>
      <c r="R802" s="31" t="s">
        <v>150</v>
      </c>
      <c r="S802" s="35">
        <v>45475</v>
      </c>
      <c r="T802" s="35">
        <v>45427</v>
      </c>
      <c r="U802" s="35">
        <v>47483</v>
      </c>
      <c r="V802" s="27" t="s">
        <v>9497</v>
      </c>
      <c r="W802" s="34"/>
      <c r="X802" s="34"/>
      <c r="Y802" s="34" t="s">
        <v>125</v>
      </c>
      <c r="Z802" s="34"/>
      <c r="AA802" s="34"/>
      <c r="AB802" s="34"/>
      <c r="AC802" s="34"/>
      <c r="AD802" s="34"/>
      <c r="AE802" s="34"/>
      <c r="AF802" s="34"/>
    </row>
    <row r="803" spans="2:32" ht="45" customHeight="1" x14ac:dyDescent="0.25">
      <c r="B803" s="36" t="s">
        <v>3085</v>
      </c>
      <c r="C803" s="42">
        <v>2024</v>
      </c>
      <c r="D803" s="42">
        <f t="shared" si="12"/>
        <v>2028</v>
      </c>
      <c r="E803" s="36" t="s">
        <v>126</v>
      </c>
      <c r="F803" s="36" t="s">
        <v>3086</v>
      </c>
      <c r="G803" s="36" t="s">
        <v>3087</v>
      </c>
      <c r="H803" s="36" t="s">
        <v>3088</v>
      </c>
      <c r="I803" s="36" t="s">
        <v>168</v>
      </c>
      <c r="J803" s="36" t="s">
        <v>169</v>
      </c>
      <c r="K803" s="36" t="s">
        <v>526</v>
      </c>
      <c r="L803" s="36" t="s">
        <v>127</v>
      </c>
      <c r="M803" s="37">
        <v>11800000000</v>
      </c>
      <c r="N803" s="37">
        <v>0</v>
      </c>
      <c r="O803" s="37">
        <v>11800000000</v>
      </c>
      <c r="P803" s="36" t="s">
        <v>2384</v>
      </c>
      <c r="Q803" s="37">
        <v>18520000</v>
      </c>
      <c r="R803" s="36" t="s">
        <v>150</v>
      </c>
      <c r="S803" s="38">
        <v>45475</v>
      </c>
      <c r="T803" s="38">
        <v>45427</v>
      </c>
      <c r="U803" s="38">
        <v>47118</v>
      </c>
      <c r="V803" s="27" t="s">
        <v>9308</v>
      </c>
      <c r="W803" s="37"/>
      <c r="X803" s="37"/>
      <c r="Y803" s="37" t="s">
        <v>125</v>
      </c>
      <c r="Z803" s="37"/>
      <c r="AA803" s="37"/>
      <c r="AB803" s="37"/>
      <c r="AC803" s="37"/>
      <c r="AD803" s="37"/>
      <c r="AE803" s="37"/>
      <c r="AF803" s="37"/>
    </row>
    <row r="804" spans="2:32" ht="75" customHeight="1" x14ac:dyDescent="0.25">
      <c r="B804" s="31" t="s">
        <v>3089</v>
      </c>
      <c r="C804" s="41">
        <v>2024</v>
      </c>
      <c r="D804" s="42">
        <f t="shared" si="12"/>
        <v>2025</v>
      </c>
      <c r="E804" s="31" t="s">
        <v>126</v>
      </c>
      <c r="F804" s="31" t="s">
        <v>3090</v>
      </c>
      <c r="G804" s="31" t="s">
        <v>3091</v>
      </c>
      <c r="H804" s="31" t="s">
        <v>3092</v>
      </c>
      <c r="I804" s="31" t="s">
        <v>277</v>
      </c>
      <c r="J804" s="31" t="s">
        <v>278</v>
      </c>
      <c r="K804" s="31" t="s">
        <v>163</v>
      </c>
      <c r="L804" s="31" t="s">
        <v>127</v>
      </c>
      <c r="M804" s="34">
        <v>36700000000</v>
      </c>
      <c r="N804" s="34">
        <v>0</v>
      </c>
      <c r="O804" s="34">
        <v>36700000000</v>
      </c>
      <c r="P804" s="31" t="s">
        <v>177</v>
      </c>
      <c r="Q804" s="34">
        <v>46000000</v>
      </c>
      <c r="R804" s="31" t="s">
        <v>150</v>
      </c>
      <c r="S804" s="35">
        <v>45498</v>
      </c>
      <c r="T804" s="35">
        <v>45427</v>
      </c>
      <c r="U804" s="35">
        <v>46022</v>
      </c>
      <c r="V804" s="27" t="s">
        <v>9308</v>
      </c>
      <c r="W804" s="34"/>
      <c r="X804" s="34"/>
      <c r="Y804" s="34" t="s">
        <v>125</v>
      </c>
      <c r="Z804" s="34"/>
      <c r="AA804" s="34"/>
      <c r="AB804" s="34"/>
      <c r="AC804" s="34"/>
      <c r="AD804" s="34"/>
      <c r="AE804" s="34"/>
      <c r="AF804" s="34"/>
    </row>
    <row r="805" spans="2:32" ht="120" customHeight="1" x14ac:dyDescent="0.25">
      <c r="B805" s="36" t="s">
        <v>3093</v>
      </c>
      <c r="C805" s="42">
        <v>2024</v>
      </c>
      <c r="D805" s="42">
        <f t="shared" si="12"/>
        <v>2025</v>
      </c>
      <c r="E805" s="36" t="s">
        <v>126</v>
      </c>
      <c r="F805" s="36" t="s">
        <v>3094</v>
      </c>
      <c r="G805" s="36" t="s">
        <v>3095</v>
      </c>
      <c r="H805" s="36" t="s">
        <v>3096</v>
      </c>
      <c r="I805" s="36" t="s">
        <v>337</v>
      </c>
      <c r="J805" s="36" t="s">
        <v>338</v>
      </c>
      <c r="K805" s="36" t="s">
        <v>163</v>
      </c>
      <c r="L805" s="36" t="s">
        <v>127</v>
      </c>
      <c r="M805" s="37">
        <v>38701463000</v>
      </c>
      <c r="N805" s="37">
        <v>0</v>
      </c>
      <c r="O805" s="37">
        <v>38701463000</v>
      </c>
      <c r="P805" s="36" t="s">
        <v>122</v>
      </c>
      <c r="Q805" s="37">
        <v>60000000</v>
      </c>
      <c r="R805" s="36" t="s">
        <v>150</v>
      </c>
      <c r="S805" s="38">
        <v>45568</v>
      </c>
      <c r="T805" s="38">
        <v>45427</v>
      </c>
      <c r="U805" s="38">
        <v>46022</v>
      </c>
      <c r="V805" s="27" t="s">
        <v>9308</v>
      </c>
      <c r="W805" s="36" t="s">
        <v>557</v>
      </c>
      <c r="X805" s="36" t="s">
        <v>558</v>
      </c>
      <c r="Y805" s="36" t="s">
        <v>242</v>
      </c>
      <c r="Z805" s="36" t="s">
        <v>2853</v>
      </c>
      <c r="AA805" s="36" t="s">
        <v>862</v>
      </c>
      <c r="AB805" s="36" t="s">
        <v>861</v>
      </c>
      <c r="AC805" s="36" t="s">
        <v>939</v>
      </c>
      <c r="AD805" s="37">
        <v>11.3</v>
      </c>
      <c r="AE805" s="36" t="s">
        <v>902</v>
      </c>
      <c r="AF805" s="36" t="s">
        <v>860</v>
      </c>
    </row>
    <row r="806" spans="2:32" ht="60" customHeight="1" x14ac:dyDescent="0.25">
      <c r="B806" s="31" t="s">
        <v>3097</v>
      </c>
      <c r="C806" s="41">
        <v>2024</v>
      </c>
      <c r="D806" s="42">
        <f t="shared" si="12"/>
        <v>2027</v>
      </c>
      <c r="E806" s="31" t="s">
        <v>126</v>
      </c>
      <c r="F806" s="31" t="s">
        <v>3098</v>
      </c>
      <c r="G806" s="31" t="s">
        <v>3099</v>
      </c>
      <c r="H806" s="31" t="s">
        <v>3101</v>
      </c>
      <c r="I806" s="31" t="s">
        <v>148</v>
      </c>
      <c r="J806" s="36" t="s">
        <v>149</v>
      </c>
      <c r="K806" s="31" t="s">
        <v>190</v>
      </c>
      <c r="L806" s="31" t="s">
        <v>127</v>
      </c>
      <c r="M806" s="34">
        <v>15100000000</v>
      </c>
      <c r="N806" s="34">
        <v>0</v>
      </c>
      <c r="O806" s="34">
        <v>15100000000</v>
      </c>
      <c r="P806" s="31" t="s">
        <v>624</v>
      </c>
      <c r="Q806" s="34">
        <v>26000000</v>
      </c>
      <c r="R806" s="31" t="s">
        <v>150</v>
      </c>
      <c r="S806" s="35">
        <v>45588</v>
      </c>
      <c r="T806" s="35">
        <v>45427</v>
      </c>
      <c r="U806" s="35">
        <v>46752</v>
      </c>
      <c r="V806" s="27" t="s">
        <v>9498</v>
      </c>
      <c r="W806" s="34"/>
      <c r="X806" s="34"/>
      <c r="Y806" s="34" t="s">
        <v>125</v>
      </c>
      <c r="Z806" s="34"/>
      <c r="AA806" s="34"/>
      <c r="AB806" s="34"/>
      <c r="AC806" s="34"/>
      <c r="AD806" s="34"/>
      <c r="AE806" s="34"/>
      <c r="AF806" s="34"/>
    </row>
    <row r="807" spans="2:32" ht="45" customHeight="1" x14ac:dyDescent="0.25">
      <c r="B807" s="36" t="s">
        <v>3102</v>
      </c>
      <c r="C807" s="42">
        <v>2024</v>
      </c>
      <c r="D807" s="42">
        <f t="shared" si="12"/>
        <v>2025</v>
      </c>
      <c r="E807" s="36" t="s">
        <v>1335</v>
      </c>
      <c r="F807" s="36" t="s">
        <v>3103</v>
      </c>
      <c r="G807" s="36" t="s">
        <v>3104</v>
      </c>
      <c r="H807" s="36" t="s">
        <v>3105</v>
      </c>
      <c r="I807" s="36" t="s">
        <v>178</v>
      </c>
      <c r="J807" s="36" t="s">
        <v>179</v>
      </c>
      <c r="K807" s="36" t="s">
        <v>163</v>
      </c>
      <c r="L807" s="36" t="s">
        <v>127</v>
      </c>
      <c r="M807" s="37">
        <v>88882173500</v>
      </c>
      <c r="N807" s="37">
        <v>0</v>
      </c>
      <c r="O807" s="37">
        <v>88882173500</v>
      </c>
      <c r="P807" s="36" t="s">
        <v>122</v>
      </c>
      <c r="Q807" s="37">
        <v>135500000</v>
      </c>
      <c r="R807" s="36" t="s">
        <v>1252</v>
      </c>
      <c r="S807" s="38">
        <v>45600</v>
      </c>
      <c r="T807" s="38">
        <v>45427</v>
      </c>
      <c r="U807" s="38">
        <v>46022</v>
      </c>
      <c r="V807" s="27" t="s">
        <v>9308</v>
      </c>
      <c r="W807" s="37"/>
      <c r="X807" s="37"/>
      <c r="Y807" s="37" t="s">
        <v>125</v>
      </c>
      <c r="Z807" s="37"/>
      <c r="AA807" s="37"/>
      <c r="AB807" s="37"/>
      <c r="AC807" s="37"/>
      <c r="AD807" s="37"/>
      <c r="AE807" s="37"/>
      <c r="AF807" s="37"/>
    </row>
    <row r="808" spans="2:32" ht="75" customHeight="1" x14ac:dyDescent="0.25">
      <c r="B808" s="31" t="s">
        <v>3106</v>
      </c>
      <c r="C808" s="41">
        <v>2024</v>
      </c>
      <c r="D808" s="42">
        <f t="shared" si="12"/>
        <v>2028</v>
      </c>
      <c r="E808" s="31" t="s">
        <v>126</v>
      </c>
      <c r="F808" s="31" t="s">
        <v>3107</v>
      </c>
      <c r="G808" s="31" t="s">
        <v>3108</v>
      </c>
      <c r="H808" s="31" t="s">
        <v>151</v>
      </c>
      <c r="I808" s="31" t="s">
        <v>277</v>
      </c>
      <c r="J808" s="31" t="s">
        <v>278</v>
      </c>
      <c r="K808" s="31" t="s">
        <v>142</v>
      </c>
      <c r="L808" s="31" t="s">
        <v>127</v>
      </c>
      <c r="M808" s="34">
        <v>52471999998</v>
      </c>
      <c r="N808" s="34">
        <v>0</v>
      </c>
      <c r="O808" s="34">
        <v>52471999998</v>
      </c>
      <c r="P808" s="31" t="s">
        <v>624</v>
      </c>
      <c r="Q808" s="34">
        <v>95403636.359999999</v>
      </c>
      <c r="R808" s="31" t="s">
        <v>128</v>
      </c>
      <c r="S808" s="35">
        <v>45294</v>
      </c>
      <c r="T808" s="35">
        <v>45274</v>
      </c>
      <c r="U808" s="35">
        <v>47118</v>
      </c>
      <c r="V808" s="27" t="s">
        <v>9307</v>
      </c>
      <c r="W808" s="31" t="s">
        <v>557</v>
      </c>
      <c r="X808" s="31" t="s">
        <v>558</v>
      </c>
      <c r="Y808" s="31" t="s">
        <v>125</v>
      </c>
      <c r="Z808" s="31" t="s">
        <v>1449</v>
      </c>
      <c r="AA808" s="31" t="s">
        <v>862</v>
      </c>
      <c r="AB808" s="31" t="s">
        <v>861</v>
      </c>
      <c r="AC808" s="31" t="s">
        <v>971</v>
      </c>
      <c r="AD808" s="34">
        <v>9.1</v>
      </c>
      <c r="AE808" s="31" t="s">
        <v>864</v>
      </c>
      <c r="AF808" s="31" t="s">
        <v>860</v>
      </c>
    </row>
    <row r="809" spans="2:32" ht="60" customHeight="1" x14ac:dyDescent="0.25">
      <c r="B809" s="36" t="s">
        <v>3109</v>
      </c>
      <c r="C809" s="42">
        <v>2024</v>
      </c>
      <c r="D809" s="42">
        <f t="shared" si="12"/>
        <v>2029</v>
      </c>
      <c r="E809" s="36" t="s">
        <v>317</v>
      </c>
      <c r="F809" s="36" t="s">
        <v>1014</v>
      </c>
      <c r="G809" s="36" t="s">
        <v>3110</v>
      </c>
      <c r="H809" s="36" t="s">
        <v>326</v>
      </c>
      <c r="I809" s="36" t="s">
        <v>267</v>
      </c>
      <c r="J809" s="36" t="s">
        <v>267</v>
      </c>
      <c r="K809" s="36" t="s">
        <v>263</v>
      </c>
      <c r="L809" s="36" t="s">
        <v>159</v>
      </c>
      <c r="M809" s="37">
        <v>0</v>
      </c>
      <c r="N809" s="37">
        <v>7740292600</v>
      </c>
      <c r="O809" s="37">
        <v>7740292600</v>
      </c>
      <c r="P809" s="36" t="s">
        <v>122</v>
      </c>
      <c r="Q809" s="37">
        <v>11800000</v>
      </c>
      <c r="R809" s="36" t="s">
        <v>159</v>
      </c>
      <c r="S809" s="38">
        <v>45427</v>
      </c>
      <c r="T809" s="38">
        <v>45336</v>
      </c>
      <c r="U809" s="38">
        <v>47483</v>
      </c>
      <c r="V809" s="27" t="s">
        <v>9308</v>
      </c>
      <c r="W809" s="36" t="s">
        <v>557</v>
      </c>
      <c r="X809" s="36" t="s">
        <v>880</v>
      </c>
      <c r="Y809" s="36" t="s">
        <v>242</v>
      </c>
      <c r="Z809" s="36" t="s">
        <v>555</v>
      </c>
      <c r="AA809" s="36" t="s">
        <v>561</v>
      </c>
      <c r="AB809" s="36" t="s">
        <v>560</v>
      </c>
      <c r="AC809" s="36" t="s">
        <v>562</v>
      </c>
      <c r="AD809" s="37">
        <v>6.1</v>
      </c>
      <c r="AE809" s="36" t="s">
        <v>563</v>
      </c>
      <c r="AF809" s="36" t="s">
        <v>860</v>
      </c>
    </row>
    <row r="810" spans="2:32" ht="60" customHeight="1" x14ac:dyDescent="0.25">
      <c r="B810" s="31" t="s">
        <v>3111</v>
      </c>
      <c r="C810" s="41">
        <v>2024</v>
      </c>
      <c r="D810" s="42">
        <f t="shared" si="12"/>
        <v>2028</v>
      </c>
      <c r="E810" s="31" t="s">
        <v>126</v>
      </c>
      <c r="F810" s="31" t="s">
        <v>3112</v>
      </c>
      <c r="G810" s="31" t="s">
        <v>3113</v>
      </c>
      <c r="H810" s="31" t="s">
        <v>326</v>
      </c>
      <c r="I810" s="31" t="s">
        <v>1439</v>
      </c>
      <c r="J810" s="31" t="s">
        <v>1439</v>
      </c>
      <c r="K810" s="31" t="s">
        <v>142</v>
      </c>
      <c r="L810" s="31" t="s">
        <v>159</v>
      </c>
      <c r="M810" s="34">
        <v>0</v>
      </c>
      <c r="N810" s="34">
        <v>136734237</v>
      </c>
      <c r="O810" s="34">
        <v>136734237</v>
      </c>
      <c r="P810" s="31" t="s">
        <v>122</v>
      </c>
      <c r="Q810" s="34">
        <v>208450</v>
      </c>
      <c r="R810" s="31" t="s">
        <v>159</v>
      </c>
      <c r="S810" s="35">
        <v>45427</v>
      </c>
      <c r="T810" s="35">
        <v>45315</v>
      </c>
      <c r="U810" s="35">
        <v>47118</v>
      </c>
      <c r="V810" s="27" t="s">
        <v>9307</v>
      </c>
      <c r="W810" s="31" t="s">
        <v>557</v>
      </c>
      <c r="X810" s="31" t="s">
        <v>880</v>
      </c>
      <c r="Y810" s="31" t="s">
        <v>242</v>
      </c>
      <c r="Z810" s="31" t="s">
        <v>1449</v>
      </c>
      <c r="AA810" s="31" t="s">
        <v>862</v>
      </c>
      <c r="AB810" s="31" t="s">
        <v>861</v>
      </c>
      <c r="AC810" s="31" t="s">
        <v>971</v>
      </c>
      <c r="AD810" s="34">
        <v>9.1</v>
      </c>
      <c r="AE810" s="31" t="s">
        <v>864</v>
      </c>
      <c r="AF810" s="31" t="s">
        <v>860</v>
      </c>
    </row>
    <row r="811" spans="2:32" ht="75" customHeight="1" x14ac:dyDescent="0.25">
      <c r="B811" s="36" t="s">
        <v>3114</v>
      </c>
      <c r="C811" s="42">
        <v>2024</v>
      </c>
      <c r="D811" s="42">
        <f t="shared" si="12"/>
        <v>2025</v>
      </c>
      <c r="E811" s="36" t="s">
        <v>126</v>
      </c>
      <c r="F811" s="36" t="s">
        <v>3115</v>
      </c>
      <c r="G811" s="36" t="s">
        <v>3116</v>
      </c>
      <c r="H811" s="36" t="s">
        <v>326</v>
      </c>
      <c r="I811" s="36" t="s">
        <v>1128</v>
      </c>
      <c r="J811" s="36" t="s">
        <v>1128</v>
      </c>
      <c r="K811" s="36" t="s">
        <v>216</v>
      </c>
      <c r="L811" s="36" t="s">
        <v>159</v>
      </c>
      <c r="M811" s="37">
        <v>0</v>
      </c>
      <c r="N811" s="37">
        <v>2140774700</v>
      </c>
      <c r="O811" s="37">
        <v>2140774700</v>
      </c>
      <c r="P811" s="36" t="s">
        <v>1127</v>
      </c>
      <c r="Q811" s="37">
        <v>4670000</v>
      </c>
      <c r="R811" s="36" t="s">
        <v>159</v>
      </c>
      <c r="S811" s="38">
        <v>45591</v>
      </c>
      <c r="T811" s="38">
        <v>45427</v>
      </c>
      <c r="U811" s="38">
        <v>46022</v>
      </c>
      <c r="V811" s="27" t="s">
        <v>9308</v>
      </c>
      <c r="W811" s="36" t="s">
        <v>557</v>
      </c>
      <c r="X811" s="36" t="s">
        <v>880</v>
      </c>
      <c r="Y811" s="36" t="s">
        <v>242</v>
      </c>
      <c r="Z811" s="36" t="s">
        <v>1025</v>
      </c>
      <c r="AA811" s="36" t="s">
        <v>561</v>
      </c>
      <c r="AB811" s="36" t="s">
        <v>560</v>
      </c>
      <c r="AC811" s="36" t="s">
        <v>989</v>
      </c>
      <c r="AD811" s="37">
        <v>3.8</v>
      </c>
      <c r="AE811" s="36" t="s">
        <v>902</v>
      </c>
      <c r="AF811" s="36" t="s">
        <v>860</v>
      </c>
    </row>
    <row r="812" spans="2:32" ht="60" customHeight="1" x14ac:dyDescent="0.25">
      <c r="B812" s="31" t="s">
        <v>3117</v>
      </c>
      <c r="C812" s="41">
        <v>2024</v>
      </c>
      <c r="D812" s="42">
        <f t="shared" si="12"/>
        <v>2028</v>
      </c>
      <c r="E812" s="31" t="s">
        <v>126</v>
      </c>
      <c r="F812" s="31" t="s">
        <v>3118</v>
      </c>
      <c r="G812" s="31" t="s">
        <v>3119</v>
      </c>
      <c r="H812" s="31" t="s">
        <v>326</v>
      </c>
      <c r="I812" s="31" t="s">
        <v>1128</v>
      </c>
      <c r="J812" s="31" t="s">
        <v>1128</v>
      </c>
      <c r="K812" s="31" t="s">
        <v>190</v>
      </c>
      <c r="L812" s="31" t="s">
        <v>159</v>
      </c>
      <c r="M812" s="34">
        <v>0</v>
      </c>
      <c r="N812" s="34">
        <v>1118520400</v>
      </c>
      <c r="O812" s="34">
        <v>1118520400</v>
      </c>
      <c r="P812" s="31" t="s">
        <v>1127</v>
      </c>
      <c r="Q812" s="34">
        <v>2440000</v>
      </c>
      <c r="R812" s="31" t="s">
        <v>159</v>
      </c>
      <c r="S812" s="35">
        <v>45454</v>
      </c>
      <c r="T812" s="35">
        <v>45427</v>
      </c>
      <c r="U812" s="35">
        <v>47118</v>
      </c>
      <c r="V812" s="27" t="s">
        <v>9308</v>
      </c>
      <c r="W812" s="31" t="s">
        <v>557</v>
      </c>
      <c r="X812" s="31" t="s">
        <v>880</v>
      </c>
      <c r="Y812" s="31" t="s">
        <v>242</v>
      </c>
      <c r="Z812" s="31" t="s">
        <v>1453</v>
      </c>
      <c r="AA812" s="31" t="s">
        <v>862</v>
      </c>
      <c r="AB812" s="31" t="s">
        <v>861</v>
      </c>
      <c r="AC812" s="31" t="s">
        <v>863</v>
      </c>
      <c r="AD812" s="34">
        <v>2.2999999999999998</v>
      </c>
      <c r="AE812" s="31" t="s">
        <v>864</v>
      </c>
      <c r="AF812" s="31" t="s">
        <v>860</v>
      </c>
    </row>
    <row r="813" spans="2:32" ht="75" customHeight="1" x14ac:dyDescent="0.25">
      <c r="B813" s="36" t="s">
        <v>3120</v>
      </c>
      <c r="C813" s="42">
        <v>2024</v>
      </c>
      <c r="D813" s="42">
        <f t="shared" si="12"/>
        <v>2028</v>
      </c>
      <c r="E813" s="36" t="s">
        <v>126</v>
      </c>
      <c r="F813" s="36" t="s">
        <v>3121</v>
      </c>
      <c r="G813" s="36" t="s">
        <v>3122</v>
      </c>
      <c r="H813" s="36" t="s">
        <v>326</v>
      </c>
      <c r="I813" s="36" t="s">
        <v>1128</v>
      </c>
      <c r="J813" s="36" t="s">
        <v>1128</v>
      </c>
      <c r="K813" s="36" t="s">
        <v>315</v>
      </c>
      <c r="L813" s="36" t="s">
        <v>159</v>
      </c>
      <c r="M813" s="37">
        <v>0</v>
      </c>
      <c r="N813" s="37">
        <v>7000559939</v>
      </c>
      <c r="O813" s="37">
        <v>7000559939</v>
      </c>
      <c r="P813" s="36" t="s">
        <v>1127</v>
      </c>
      <c r="Q813" s="37">
        <v>15271394.470000001</v>
      </c>
      <c r="R813" s="36" t="s">
        <v>159</v>
      </c>
      <c r="S813" s="38">
        <v>45498</v>
      </c>
      <c r="T813" s="38">
        <v>45427</v>
      </c>
      <c r="U813" s="38">
        <v>47118</v>
      </c>
      <c r="V813" s="27" t="s">
        <v>9308</v>
      </c>
      <c r="W813" s="36" t="s">
        <v>557</v>
      </c>
      <c r="X813" s="36" t="s">
        <v>880</v>
      </c>
      <c r="Y813" s="36" t="s">
        <v>242</v>
      </c>
      <c r="Z813" s="36" t="s">
        <v>1519</v>
      </c>
      <c r="AA813" s="36" t="s">
        <v>900</v>
      </c>
      <c r="AB813" s="36" t="s">
        <v>861</v>
      </c>
      <c r="AC813" s="36" t="s">
        <v>901</v>
      </c>
      <c r="AD813" s="37">
        <v>4.0999999999999996</v>
      </c>
      <c r="AE813" s="36" t="s">
        <v>902</v>
      </c>
      <c r="AF813" s="36" t="s">
        <v>860</v>
      </c>
    </row>
    <row r="814" spans="2:32" ht="75" customHeight="1" x14ac:dyDescent="0.25">
      <c r="B814" s="31" t="s">
        <v>3123</v>
      </c>
      <c r="C814" s="41">
        <v>2024</v>
      </c>
      <c r="D814" s="42">
        <f t="shared" si="12"/>
        <v>2024</v>
      </c>
      <c r="E814" s="31" t="s">
        <v>317</v>
      </c>
      <c r="F814" s="31" t="s">
        <v>3124</v>
      </c>
      <c r="G814" s="31" t="s">
        <v>3125</v>
      </c>
      <c r="H814" s="31" t="s">
        <v>172</v>
      </c>
      <c r="I814" s="31" t="s">
        <v>2501</v>
      </c>
      <c r="J814" s="31" t="s">
        <v>2502</v>
      </c>
      <c r="K814" s="31" t="s">
        <v>315</v>
      </c>
      <c r="L814" s="31" t="s">
        <v>127</v>
      </c>
      <c r="M814" s="34">
        <v>3738954900</v>
      </c>
      <c r="N814" s="34">
        <v>0</v>
      </c>
      <c r="O814" s="34">
        <v>3738954900</v>
      </c>
      <c r="P814" s="31" t="s">
        <v>122</v>
      </c>
      <c r="Q814" s="34">
        <v>5700000</v>
      </c>
      <c r="R814" s="31" t="s">
        <v>1883</v>
      </c>
      <c r="S814" s="35">
        <v>45498</v>
      </c>
      <c r="T814" s="35">
        <v>44210</v>
      </c>
      <c r="U814" s="35">
        <v>45657</v>
      </c>
      <c r="V814" s="27" t="s">
        <v>9308</v>
      </c>
      <c r="W814" s="31" t="s">
        <v>1043</v>
      </c>
      <c r="X814" s="31" t="s">
        <v>558</v>
      </c>
      <c r="Y814" s="31" t="s">
        <v>125</v>
      </c>
      <c r="Z814" s="31" t="s">
        <v>1519</v>
      </c>
      <c r="AA814" s="31" t="s">
        <v>900</v>
      </c>
      <c r="AB814" s="31" t="s">
        <v>861</v>
      </c>
      <c r="AC814" s="31" t="s">
        <v>901</v>
      </c>
      <c r="AD814" s="34">
        <v>4.0999999999999996</v>
      </c>
      <c r="AE814" s="31" t="s">
        <v>902</v>
      </c>
      <c r="AF814" s="34"/>
    </row>
    <row r="815" spans="2:32" ht="60" customHeight="1" x14ac:dyDescent="0.25">
      <c r="B815" s="36" t="s">
        <v>3126</v>
      </c>
      <c r="C815" s="42">
        <v>2024</v>
      </c>
      <c r="D815" s="42">
        <f t="shared" si="12"/>
        <v>2024</v>
      </c>
      <c r="E815" s="36" t="s">
        <v>126</v>
      </c>
      <c r="F815" s="36" t="s">
        <v>3127</v>
      </c>
      <c r="G815" s="36" t="s">
        <v>3128</v>
      </c>
      <c r="H815" s="36" t="s">
        <v>172</v>
      </c>
      <c r="I815" s="36" t="s">
        <v>2501</v>
      </c>
      <c r="J815" s="36" t="s">
        <v>2502</v>
      </c>
      <c r="K815" s="36" t="s">
        <v>369</v>
      </c>
      <c r="L815" s="36" t="s">
        <v>127</v>
      </c>
      <c r="M815" s="37">
        <v>4198124800</v>
      </c>
      <c r="N815" s="37">
        <v>0</v>
      </c>
      <c r="O815" s="37">
        <v>4198124800</v>
      </c>
      <c r="P815" s="36" t="s">
        <v>122</v>
      </c>
      <c r="Q815" s="37">
        <v>6400000</v>
      </c>
      <c r="R815" s="36" t="s">
        <v>1883</v>
      </c>
      <c r="S815" s="38">
        <v>45568</v>
      </c>
      <c r="T815" s="38">
        <v>44210</v>
      </c>
      <c r="U815" s="38">
        <v>45657</v>
      </c>
      <c r="V815" s="27" t="s">
        <v>9307</v>
      </c>
      <c r="W815" s="36" t="s">
        <v>1043</v>
      </c>
      <c r="X815" s="36" t="s">
        <v>558</v>
      </c>
      <c r="Y815" s="36" t="s">
        <v>125</v>
      </c>
      <c r="Z815" s="36" t="s">
        <v>1838</v>
      </c>
      <c r="AA815" s="36" t="s">
        <v>862</v>
      </c>
      <c r="AB815" s="36" t="s">
        <v>861</v>
      </c>
      <c r="AC815" s="36" t="s">
        <v>971</v>
      </c>
      <c r="AD815" s="37">
        <v>9.1</v>
      </c>
      <c r="AE815" s="36" t="s">
        <v>864</v>
      </c>
      <c r="AF815" s="37"/>
    </row>
    <row r="816" spans="2:32" ht="75" customHeight="1" x14ac:dyDescent="0.25">
      <c r="B816" s="31" t="s">
        <v>3129</v>
      </c>
      <c r="C816" s="41">
        <v>2024</v>
      </c>
      <c r="D816" s="42">
        <f t="shared" si="12"/>
        <v>2026</v>
      </c>
      <c r="E816" s="31" t="s">
        <v>126</v>
      </c>
      <c r="F816" s="31" t="s">
        <v>3130</v>
      </c>
      <c r="G816" s="31" t="s">
        <v>3131</v>
      </c>
      <c r="H816" s="31" t="s">
        <v>172</v>
      </c>
      <c r="I816" s="31" t="s">
        <v>1148</v>
      </c>
      <c r="J816" s="31" t="s">
        <v>1148</v>
      </c>
      <c r="K816" s="31" t="s">
        <v>315</v>
      </c>
      <c r="L816" s="31" t="s">
        <v>159</v>
      </c>
      <c r="M816" s="34">
        <v>0</v>
      </c>
      <c r="N816" s="34">
        <v>98451930</v>
      </c>
      <c r="O816" s="34">
        <v>98451930</v>
      </c>
      <c r="P816" s="31" t="s">
        <v>136</v>
      </c>
      <c r="Q816" s="34">
        <v>98451930</v>
      </c>
      <c r="R816" s="31" t="s">
        <v>159</v>
      </c>
      <c r="S816" s="35">
        <v>45356</v>
      </c>
      <c r="T816" s="35">
        <v>45331</v>
      </c>
      <c r="U816" s="35">
        <v>46387</v>
      </c>
      <c r="V816" s="27" t="s">
        <v>9417</v>
      </c>
      <c r="W816" s="31" t="s">
        <v>557</v>
      </c>
      <c r="X816" s="31" t="s">
        <v>880</v>
      </c>
      <c r="Y816" s="31" t="s">
        <v>242</v>
      </c>
      <c r="Z816" s="31" t="s">
        <v>998</v>
      </c>
      <c r="AA816" s="31" t="s">
        <v>900</v>
      </c>
      <c r="AB816" s="31" t="s">
        <v>861</v>
      </c>
      <c r="AC816" s="31" t="s">
        <v>901</v>
      </c>
      <c r="AD816" s="34">
        <v>4.0999999999999996</v>
      </c>
      <c r="AE816" s="31" t="s">
        <v>902</v>
      </c>
      <c r="AF816" s="31" t="s">
        <v>860</v>
      </c>
    </row>
    <row r="817" spans="2:32" ht="60" customHeight="1" x14ac:dyDescent="0.25">
      <c r="B817" s="36" t="s">
        <v>3132</v>
      </c>
      <c r="C817" s="42">
        <v>2024</v>
      </c>
      <c r="D817" s="42">
        <f t="shared" si="12"/>
        <v>2026</v>
      </c>
      <c r="E817" s="36" t="s">
        <v>126</v>
      </c>
      <c r="F817" s="36" t="s">
        <v>3133</v>
      </c>
      <c r="G817" s="36" t="s">
        <v>3134</v>
      </c>
      <c r="H817" s="36" t="s">
        <v>172</v>
      </c>
      <c r="I817" s="36" t="s">
        <v>1148</v>
      </c>
      <c r="J817" s="36" t="s">
        <v>1148</v>
      </c>
      <c r="K817" s="36" t="s">
        <v>315</v>
      </c>
      <c r="L817" s="36" t="s">
        <v>159</v>
      </c>
      <c r="M817" s="37">
        <v>0</v>
      </c>
      <c r="N817" s="37">
        <v>97046870</v>
      </c>
      <c r="O817" s="37">
        <v>97046870</v>
      </c>
      <c r="P817" s="36" t="s">
        <v>136</v>
      </c>
      <c r="Q817" s="37">
        <v>97046870</v>
      </c>
      <c r="R817" s="36" t="s">
        <v>159</v>
      </c>
      <c r="S817" s="38">
        <v>45356</v>
      </c>
      <c r="T817" s="38">
        <v>45315</v>
      </c>
      <c r="U817" s="38">
        <v>46387</v>
      </c>
      <c r="V817" s="27" t="s">
        <v>9308</v>
      </c>
      <c r="W817" s="36" t="s">
        <v>557</v>
      </c>
      <c r="X817" s="36" t="s">
        <v>880</v>
      </c>
      <c r="Y817" s="36" t="s">
        <v>242</v>
      </c>
      <c r="Z817" s="36" t="s">
        <v>998</v>
      </c>
      <c r="AA817" s="36" t="s">
        <v>900</v>
      </c>
      <c r="AB817" s="36" t="s">
        <v>861</v>
      </c>
      <c r="AC817" s="36" t="s">
        <v>901</v>
      </c>
      <c r="AD817" s="37">
        <v>4.0999999999999996</v>
      </c>
      <c r="AE817" s="36" t="s">
        <v>902</v>
      </c>
      <c r="AF817" s="36" t="s">
        <v>860</v>
      </c>
    </row>
    <row r="818" spans="2:32" ht="75" customHeight="1" x14ac:dyDescent="0.25">
      <c r="B818" s="31" t="s">
        <v>3135</v>
      </c>
      <c r="C818" s="41">
        <v>2024</v>
      </c>
      <c r="D818" s="42">
        <f t="shared" si="12"/>
        <v>2025</v>
      </c>
      <c r="E818" s="31" t="s">
        <v>126</v>
      </c>
      <c r="F818" s="31" t="s">
        <v>3136</v>
      </c>
      <c r="G818" s="31" t="s">
        <v>3137</v>
      </c>
      <c r="H818" s="31" t="s">
        <v>172</v>
      </c>
      <c r="I818" s="31" t="s">
        <v>1148</v>
      </c>
      <c r="J818" s="31" t="s">
        <v>1148</v>
      </c>
      <c r="K818" s="31" t="s">
        <v>526</v>
      </c>
      <c r="L818" s="31" t="s">
        <v>159</v>
      </c>
      <c r="M818" s="34">
        <v>0</v>
      </c>
      <c r="N818" s="34">
        <v>6984385430</v>
      </c>
      <c r="O818" s="34">
        <v>6984385430</v>
      </c>
      <c r="P818" s="31" t="s">
        <v>136</v>
      </c>
      <c r="Q818" s="34">
        <v>6984385430</v>
      </c>
      <c r="R818" s="31" t="s">
        <v>159</v>
      </c>
      <c r="S818" s="35">
        <v>45588</v>
      </c>
      <c r="T818" s="35">
        <v>45427</v>
      </c>
      <c r="U818" s="35">
        <v>46022</v>
      </c>
      <c r="V818" s="27" t="s">
        <v>9308</v>
      </c>
      <c r="W818" s="31" t="s">
        <v>557</v>
      </c>
      <c r="X818" s="31" t="s">
        <v>880</v>
      </c>
      <c r="Y818" s="31" t="s">
        <v>242</v>
      </c>
      <c r="Z818" s="31" t="s">
        <v>1095</v>
      </c>
      <c r="AA818" s="31" t="s">
        <v>561</v>
      </c>
      <c r="AB818" s="31" t="s">
        <v>560</v>
      </c>
      <c r="AC818" s="31" t="s">
        <v>1022</v>
      </c>
      <c r="AD818" s="34">
        <v>1.3</v>
      </c>
      <c r="AE818" s="31" t="s">
        <v>902</v>
      </c>
      <c r="AF818" s="31" t="s">
        <v>860</v>
      </c>
    </row>
    <row r="819" spans="2:32" ht="60" customHeight="1" x14ac:dyDescent="0.25">
      <c r="B819" s="36" t="s">
        <v>3138</v>
      </c>
      <c r="C819" s="42">
        <v>2024</v>
      </c>
      <c r="D819" s="42">
        <f t="shared" si="12"/>
        <v>2027</v>
      </c>
      <c r="E819" s="36" t="s">
        <v>126</v>
      </c>
      <c r="F819" s="36" t="s">
        <v>3139</v>
      </c>
      <c r="G819" s="36" t="s">
        <v>3140</v>
      </c>
      <c r="H819" s="36" t="s">
        <v>326</v>
      </c>
      <c r="I819" s="36" t="s">
        <v>1515</v>
      </c>
      <c r="J819" s="36" t="s">
        <v>1516</v>
      </c>
      <c r="K819" s="36" t="s">
        <v>190</v>
      </c>
      <c r="L819" s="36" t="s">
        <v>159</v>
      </c>
      <c r="M819" s="37">
        <v>1967871000</v>
      </c>
      <c r="N819" s="37">
        <v>0</v>
      </c>
      <c r="O819" s="37">
        <v>1967871000</v>
      </c>
      <c r="P819" s="36" t="s">
        <v>122</v>
      </c>
      <c r="Q819" s="37">
        <v>3000000</v>
      </c>
      <c r="R819" s="36" t="s">
        <v>159</v>
      </c>
      <c r="S819" s="38">
        <v>45427</v>
      </c>
      <c r="T819" s="38">
        <v>45310</v>
      </c>
      <c r="U819" s="38">
        <v>46741</v>
      </c>
      <c r="V819" s="27" t="s">
        <v>9308</v>
      </c>
      <c r="W819" s="36" t="s">
        <v>557</v>
      </c>
      <c r="X819" s="36" t="s">
        <v>880</v>
      </c>
      <c r="Y819" s="36" t="s">
        <v>242</v>
      </c>
      <c r="Z819" s="36" t="s">
        <v>1453</v>
      </c>
      <c r="AA819" s="36" t="s">
        <v>862</v>
      </c>
      <c r="AB819" s="36" t="s">
        <v>861</v>
      </c>
      <c r="AC819" s="36" t="s">
        <v>863</v>
      </c>
      <c r="AD819" s="37">
        <v>2.2999999999999998</v>
      </c>
      <c r="AE819" s="36" t="s">
        <v>864</v>
      </c>
      <c r="AF819" s="36" t="s">
        <v>860</v>
      </c>
    </row>
    <row r="820" spans="2:32" ht="75" customHeight="1" x14ac:dyDescent="0.25">
      <c r="B820" s="31" t="s">
        <v>3141</v>
      </c>
      <c r="C820" s="41">
        <v>2024</v>
      </c>
      <c r="D820" s="42">
        <f t="shared" si="12"/>
        <v>2027</v>
      </c>
      <c r="E820" s="31" t="s">
        <v>126</v>
      </c>
      <c r="F820" s="31" t="s">
        <v>3142</v>
      </c>
      <c r="G820" s="31" t="s">
        <v>3143</v>
      </c>
      <c r="H820" s="31" t="s">
        <v>172</v>
      </c>
      <c r="I820" s="31" t="s">
        <v>1020</v>
      </c>
      <c r="J820" s="31" t="s">
        <v>1021</v>
      </c>
      <c r="K820" s="31" t="s">
        <v>205</v>
      </c>
      <c r="L820" s="31" t="s">
        <v>159</v>
      </c>
      <c r="M820" s="34">
        <v>0</v>
      </c>
      <c r="N820" s="34">
        <v>19659200</v>
      </c>
      <c r="O820" s="34">
        <v>19659200</v>
      </c>
      <c r="P820" s="31" t="s">
        <v>624</v>
      </c>
      <c r="Q820" s="34">
        <v>35744</v>
      </c>
      <c r="R820" s="31" t="s">
        <v>159</v>
      </c>
      <c r="S820" s="35">
        <v>45600</v>
      </c>
      <c r="T820" s="35">
        <v>45427</v>
      </c>
      <c r="U820" s="35">
        <v>46752</v>
      </c>
      <c r="V820" s="27" t="s">
        <v>9418</v>
      </c>
      <c r="W820" s="31" t="s">
        <v>557</v>
      </c>
      <c r="X820" s="31" t="s">
        <v>880</v>
      </c>
      <c r="Y820" s="31" t="s">
        <v>242</v>
      </c>
      <c r="Z820" s="31" t="s">
        <v>1258</v>
      </c>
      <c r="AA820" s="31" t="s">
        <v>1012</v>
      </c>
      <c r="AB820" s="31" t="s">
        <v>560</v>
      </c>
      <c r="AC820" s="31" t="s">
        <v>939</v>
      </c>
      <c r="AD820" s="34">
        <v>11.3</v>
      </c>
      <c r="AE820" s="31" t="s">
        <v>563</v>
      </c>
      <c r="AF820" s="31" t="s">
        <v>860</v>
      </c>
    </row>
    <row r="821" spans="2:32" ht="60" customHeight="1" x14ac:dyDescent="0.25">
      <c r="B821" s="36" t="s">
        <v>3144</v>
      </c>
      <c r="C821" s="42">
        <v>2024</v>
      </c>
      <c r="D821" s="42" t="e">
        <f t="shared" si="12"/>
        <v>#VALUE!</v>
      </c>
      <c r="E821" s="36" t="s">
        <v>1048</v>
      </c>
      <c r="F821" s="36" t="s">
        <v>1038</v>
      </c>
      <c r="G821" s="36" t="s">
        <v>3145</v>
      </c>
      <c r="H821" s="36" t="s">
        <v>172</v>
      </c>
      <c r="I821" s="36" t="s">
        <v>1044</v>
      </c>
      <c r="J821" s="36" t="s">
        <v>1045</v>
      </c>
      <c r="K821" s="36" t="s">
        <v>1039</v>
      </c>
      <c r="L821" s="36" t="s">
        <v>127</v>
      </c>
      <c r="M821" s="37">
        <v>169170250</v>
      </c>
      <c r="N821" s="37">
        <v>0</v>
      </c>
      <c r="O821" s="37">
        <v>169170250</v>
      </c>
      <c r="P821" s="36" t="s">
        <v>136</v>
      </c>
      <c r="Q821" s="37">
        <v>169170250</v>
      </c>
      <c r="R821" s="36" t="s">
        <v>1049</v>
      </c>
      <c r="S821" s="47"/>
      <c r="T821" s="38">
        <v>45427</v>
      </c>
      <c r="U821" s="38" t="s">
        <v>3146</v>
      </c>
      <c r="V821" s="27" t="s">
        <v>9308</v>
      </c>
      <c r="W821" s="36" t="s">
        <v>1043</v>
      </c>
      <c r="X821" s="36" t="s">
        <v>1038</v>
      </c>
      <c r="Y821" s="36" t="s">
        <v>1044</v>
      </c>
      <c r="Z821" s="36" t="s">
        <v>1040</v>
      </c>
      <c r="AA821" s="36" t="s">
        <v>1046</v>
      </c>
      <c r="AB821" s="36" t="s">
        <v>861</v>
      </c>
      <c r="AC821" s="36" t="s">
        <v>1047</v>
      </c>
      <c r="AD821" s="37">
        <v>17.170000000000002</v>
      </c>
      <c r="AE821" s="36" t="s">
        <v>864</v>
      </c>
      <c r="AF821" s="36" t="s">
        <v>860</v>
      </c>
    </row>
    <row r="822" spans="2:32" ht="30" customHeight="1" x14ac:dyDescent="0.25">
      <c r="B822" s="31" t="s">
        <v>3147</v>
      </c>
      <c r="C822" s="41">
        <v>2024</v>
      </c>
      <c r="D822" s="42">
        <f t="shared" si="12"/>
        <v>2029</v>
      </c>
      <c r="E822" s="31" t="s">
        <v>126</v>
      </c>
      <c r="F822" s="31" t="s">
        <v>3148</v>
      </c>
      <c r="G822" s="31" t="s">
        <v>3149</v>
      </c>
      <c r="H822" s="31" t="s">
        <v>3151</v>
      </c>
      <c r="I822" s="31" t="s">
        <v>240</v>
      </c>
      <c r="J822" s="31" t="s">
        <v>241</v>
      </c>
      <c r="K822" s="31" t="s">
        <v>263</v>
      </c>
      <c r="L822" s="31" t="s">
        <v>127</v>
      </c>
      <c r="M822" s="34">
        <v>8890695000</v>
      </c>
      <c r="N822" s="34">
        <v>0</v>
      </c>
      <c r="O822" s="34">
        <v>8890695000</v>
      </c>
      <c r="P822" s="31" t="s">
        <v>624</v>
      </c>
      <c r="Q822" s="34">
        <v>16164900</v>
      </c>
      <c r="R822" s="31" t="s">
        <v>150</v>
      </c>
      <c r="S822" s="35">
        <v>45591</v>
      </c>
      <c r="T822" s="34"/>
      <c r="U822" s="35">
        <v>47483</v>
      </c>
      <c r="V822" s="27" t="s">
        <v>9499</v>
      </c>
      <c r="W822" s="34"/>
      <c r="X822" s="34"/>
      <c r="Y822" s="34" t="s">
        <v>242</v>
      </c>
      <c r="Z822" s="34"/>
      <c r="AA822" s="34"/>
      <c r="AB822" s="34"/>
      <c r="AC822" s="34"/>
      <c r="AD822" s="34"/>
      <c r="AE822" s="34"/>
      <c r="AF822" s="34"/>
    </row>
    <row r="823" spans="2:32" ht="75" customHeight="1" x14ac:dyDescent="0.25">
      <c r="B823" s="36" t="s">
        <v>3152</v>
      </c>
      <c r="C823" s="42">
        <v>2025</v>
      </c>
      <c r="D823" s="42">
        <f t="shared" si="12"/>
        <v>2028</v>
      </c>
      <c r="E823" s="36" t="s">
        <v>126</v>
      </c>
      <c r="F823" s="36" t="s">
        <v>3039</v>
      </c>
      <c r="G823" s="36" t="s">
        <v>3153</v>
      </c>
      <c r="H823" s="36" t="s">
        <v>3154</v>
      </c>
      <c r="I823" s="36" t="s">
        <v>484</v>
      </c>
      <c r="J823" s="36" t="s">
        <v>484</v>
      </c>
      <c r="K823" s="36" t="s">
        <v>205</v>
      </c>
      <c r="L823" s="36" t="s">
        <v>159</v>
      </c>
      <c r="M823" s="37">
        <v>0</v>
      </c>
      <c r="N823" s="37">
        <v>23614452000</v>
      </c>
      <c r="O823" s="37">
        <v>23614452000</v>
      </c>
      <c r="P823" s="36" t="s">
        <v>122</v>
      </c>
      <c r="Q823" s="37">
        <v>36000000</v>
      </c>
      <c r="R823" s="36" t="s">
        <v>159</v>
      </c>
      <c r="S823" s="38">
        <v>45671</v>
      </c>
      <c r="T823" s="38">
        <v>45388</v>
      </c>
      <c r="U823" s="38">
        <v>47118</v>
      </c>
      <c r="V823" s="27" t="s">
        <v>9307</v>
      </c>
      <c r="W823" s="37"/>
      <c r="X823" s="37"/>
      <c r="Y823" s="37" t="s">
        <v>242</v>
      </c>
      <c r="Z823" s="37"/>
      <c r="AA823" s="37"/>
      <c r="AB823" s="37"/>
      <c r="AC823" s="37"/>
      <c r="AD823" s="37"/>
      <c r="AE823" s="37"/>
      <c r="AF823" s="37"/>
    </row>
    <row r="824" spans="2:32" ht="45" customHeight="1" x14ac:dyDescent="0.25">
      <c r="B824" s="31" t="s">
        <v>3155</v>
      </c>
      <c r="C824" s="41">
        <v>2025</v>
      </c>
      <c r="D824" s="42">
        <f t="shared" si="12"/>
        <v>2029</v>
      </c>
      <c r="E824" s="31" t="s">
        <v>126</v>
      </c>
      <c r="F824" s="31" t="s">
        <v>3043</v>
      </c>
      <c r="G824" s="31" t="s">
        <v>3044</v>
      </c>
      <c r="H824" s="31" t="s">
        <v>3047</v>
      </c>
      <c r="I824" s="31" t="s">
        <v>137</v>
      </c>
      <c r="J824" s="31" t="s">
        <v>138</v>
      </c>
      <c r="K824" s="31" t="s">
        <v>315</v>
      </c>
      <c r="L824" s="31" t="s">
        <v>127</v>
      </c>
      <c r="M824" s="34">
        <v>30000000000</v>
      </c>
      <c r="N824" s="34">
        <v>0</v>
      </c>
      <c r="O824" s="34">
        <v>30000000000</v>
      </c>
      <c r="P824" s="31" t="s">
        <v>136</v>
      </c>
      <c r="Q824" s="34">
        <v>30000000000</v>
      </c>
      <c r="R824" s="31" t="s">
        <v>128</v>
      </c>
      <c r="S824" s="35">
        <v>45671</v>
      </c>
      <c r="T824" s="35">
        <v>45588</v>
      </c>
      <c r="U824" s="35">
        <v>47483</v>
      </c>
      <c r="V824" s="27" t="s">
        <v>9491</v>
      </c>
      <c r="W824" s="34"/>
      <c r="X824" s="34"/>
      <c r="Y824" s="34" t="s">
        <v>125</v>
      </c>
      <c r="Z824" s="34"/>
      <c r="AA824" s="34"/>
      <c r="AB824" s="34"/>
      <c r="AC824" s="34"/>
      <c r="AD824" s="34"/>
      <c r="AE824" s="34"/>
      <c r="AF824" s="34"/>
    </row>
    <row r="825" spans="2:32" ht="45" customHeight="1" x14ac:dyDescent="0.25">
      <c r="B825" s="36" t="s">
        <v>3156</v>
      </c>
      <c r="C825" s="42">
        <v>2025</v>
      </c>
      <c r="D825" s="42">
        <f t="shared" si="12"/>
        <v>2029</v>
      </c>
      <c r="E825" s="36" t="s">
        <v>126</v>
      </c>
      <c r="F825" s="36" t="s">
        <v>3157</v>
      </c>
      <c r="G825" s="36" t="s">
        <v>3158</v>
      </c>
      <c r="H825" s="36" t="s">
        <v>3159</v>
      </c>
      <c r="I825" s="36" t="s">
        <v>2200</v>
      </c>
      <c r="J825" s="36" t="s">
        <v>2200</v>
      </c>
      <c r="K825" s="36" t="s">
        <v>142</v>
      </c>
      <c r="L825" s="36" t="s">
        <v>127</v>
      </c>
      <c r="M825" s="37">
        <v>78714840000</v>
      </c>
      <c r="N825" s="37">
        <v>0</v>
      </c>
      <c r="O825" s="37">
        <v>78714840000</v>
      </c>
      <c r="P825" s="36" t="s">
        <v>122</v>
      </c>
      <c r="Q825" s="37">
        <v>120000000</v>
      </c>
      <c r="R825" s="36" t="s">
        <v>443</v>
      </c>
      <c r="S825" s="38">
        <v>45671</v>
      </c>
      <c r="T825" s="38">
        <v>45498</v>
      </c>
      <c r="U825" s="38">
        <v>47483</v>
      </c>
      <c r="V825" s="27" t="s">
        <v>9308</v>
      </c>
      <c r="W825" s="36" t="s">
        <v>1043</v>
      </c>
      <c r="X825" s="36" t="s">
        <v>558</v>
      </c>
      <c r="Y825" s="36" t="s">
        <v>442</v>
      </c>
      <c r="Z825" s="36" t="s">
        <v>968</v>
      </c>
      <c r="AA825" s="36" t="s">
        <v>862</v>
      </c>
      <c r="AB825" s="36" t="s">
        <v>861</v>
      </c>
      <c r="AC825" s="36" t="s">
        <v>971</v>
      </c>
      <c r="AD825" s="37">
        <v>9.1</v>
      </c>
      <c r="AE825" s="36" t="s">
        <v>864</v>
      </c>
      <c r="AF825" s="36" t="s">
        <v>860</v>
      </c>
    </row>
    <row r="826" spans="2:32" ht="60" customHeight="1" x14ac:dyDescent="0.25">
      <c r="B826" s="31" t="s">
        <v>3160</v>
      </c>
      <c r="C826" s="41">
        <v>2025</v>
      </c>
      <c r="D826" s="42">
        <f t="shared" si="12"/>
        <v>2030</v>
      </c>
      <c r="E826" s="31" t="s">
        <v>126</v>
      </c>
      <c r="F826" s="31" t="s">
        <v>3161</v>
      </c>
      <c r="G826" s="31" t="s">
        <v>3162</v>
      </c>
      <c r="H826" s="31" t="s">
        <v>3163</v>
      </c>
      <c r="I826" s="31" t="s">
        <v>240</v>
      </c>
      <c r="J826" s="31" t="s">
        <v>241</v>
      </c>
      <c r="K826" s="31" t="s">
        <v>205</v>
      </c>
      <c r="L826" s="31" t="s">
        <v>127</v>
      </c>
      <c r="M826" s="34">
        <v>8617455000</v>
      </c>
      <c r="N826" s="34">
        <v>0</v>
      </c>
      <c r="O826" s="34">
        <v>8617455000</v>
      </c>
      <c r="P826" s="31" t="s">
        <v>624</v>
      </c>
      <c r="Q826" s="34">
        <v>14850000</v>
      </c>
      <c r="R826" s="31" t="s">
        <v>150</v>
      </c>
      <c r="S826" s="35">
        <v>45671</v>
      </c>
      <c r="T826" s="35">
        <v>45589</v>
      </c>
      <c r="U826" s="35">
        <v>47848</v>
      </c>
      <c r="V826" s="27" t="s">
        <v>9308</v>
      </c>
      <c r="W826" s="34"/>
      <c r="X826" s="34"/>
      <c r="Y826" s="34" t="s">
        <v>242</v>
      </c>
      <c r="Z826" s="34"/>
      <c r="AA826" s="34"/>
      <c r="AB826" s="34"/>
      <c r="AC826" s="34"/>
      <c r="AD826" s="34"/>
      <c r="AE826" s="34"/>
      <c r="AF826" s="34"/>
    </row>
    <row r="827" spans="2:32" ht="45" customHeight="1" x14ac:dyDescent="0.25">
      <c r="B827" s="36" t="s">
        <v>3164</v>
      </c>
      <c r="C827" s="42">
        <v>2025</v>
      </c>
      <c r="D827" s="42">
        <f t="shared" si="12"/>
        <v>2030</v>
      </c>
      <c r="E827" s="36" t="s">
        <v>126</v>
      </c>
      <c r="F827" s="36" t="s">
        <v>3165</v>
      </c>
      <c r="G827" s="36" t="s">
        <v>3166</v>
      </c>
      <c r="H827" s="36" t="s">
        <v>3167</v>
      </c>
      <c r="I827" s="36" t="s">
        <v>689</v>
      </c>
      <c r="J827" s="36" t="s">
        <v>690</v>
      </c>
      <c r="K827" s="36" t="s">
        <v>205</v>
      </c>
      <c r="L827" s="36" t="s">
        <v>127</v>
      </c>
      <c r="M827" s="37">
        <v>23286580000</v>
      </c>
      <c r="N827" s="37">
        <v>0</v>
      </c>
      <c r="O827" s="37">
        <v>23286580000</v>
      </c>
      <c r="P827" s="36" t="s">
        <v>122</v>
      </c>
      <c r="Q827" s="37">
        <v>35500000</v>
      </c>
      <c r="R827" s="36" t="s">
        <v>127</v>
      </c>
      <c r="S827" s="38">
        <v>45671</v>
      </c>
      <c r="T827" s="38">
        <v>45649</v>
      </c>
      <c r="U827" s="38">
        <v>47848</v>
      </c>
      <c r="V827" s="27" t="s">
        <v>9340</v>
      </c>
      <c r="W827" s="37"/>
      <c r="X827" s="37"/>
      <c r="Y827" s="37" t="s">
        <v>125</v>
      </c>
      <c r="Z827" s="37"/>
      <c r="AA827" s="37"/>
      <c r="AB827" s="37"/>
      <c r="AC827" s="37"/>
      <c r="AD827" s="37"/>
      <c r="AE827" s="37"/>
      <c r="AF827" s="37"/>
    </row>
    <row r="828" spans="2:32" ht="45" customHeight="1" x14ac:dyDescent="0.25">
      <c r="B828" s="31" t="s">
        <v>3168</v>
      </c>
      <c r="C828" s="41">
        <v>2025</v>
      </c>
      <c r="D828" s="42">
        <f t="shared" si="12"/>
        <v>2029</v>
      </c>
      <c r="E828" s="31" t="s">
        <v>126</v>
      </c>
      <c r="F828" s="31" t="s">
        <v>3169</v>
      </c>
      <c r="G828" s="31" t="s">
        <v>3170</v>
      </c>
      <c r="H828" s="31" t="s">
        <v>3171</v>
      </c>
      <c r="I828" s="31" t="s">
        <v>137</v>
      </c>
      <c r="J828" s="31" t="s">
        <v>138</v>
      </c>
      <c r="K828" s="31" t="s">
        <v>263</v>
      </c>
      <c r="L828" s="31" t="s">
        <v>127</v>
      </c>
      <c r="M828" s="34">
        <v>6000000000</v>
      </c>
      <c r="N828" s="34">
        <v>0</v>
      </c>
      <c r="O828" s="34">
        <v>6000000000</v>
      </c>
      <c r="P828" s="31" t="s">
        <v>136</v>
      </c>
      <c r="Q828" s="34">
        <v>6000000000</v>
      </c>
      <c r="R828" s="31" t="s">
        <v>128</v>
      </c>
      <c r="S828" s="35">
        <v>45671</v>
      </c>
      <c r="T828" s="35">
        <v>45588</v>
      </c>
      <c r="U828" s="35">
        <v>47483</v>
      </c>
      <c r="V828" s="27" t="s">
        <v>9492</v>
      </c>
      <c r="W828" s="34"/>
      <c r="X828" s="34"/>
      <c r="Y828" s="34" t="s">
        <v>125</v>
      </c>
      <c r="Z828" s="34"/>
      <c r="AA828" s="34"/>
      <c r="AB828" s="34"/>
      <c r="AC828" s="34"/>
      <c r="AD828" s="34"/>
      <c r="AE828" s="34"/>
      <c r="AF828" s="34"/>
    </row>
    <row r="829" spans="2:32" ht="45" customHeight="1" x14ac:dyDescent="0.25">
      <c r="B829" s="36" t="s">
        <v>3172</v>
      </c>
      <c r="C829" s="42">
        <v>2025</v>
      </c>
      <c r="D829" s="42">
        <f t="shared" si="12"/>
        <v>2029</v>
      </c>
      <c r="E829" s="36" t="s">
        <v>126</v>
      </c>
      <c r="F829" s="36" t="s">
        <v>3173</v>
      </c>
      <c r="G829" s="36" t="s">
        <v>3170</v>
      </c>
      <c r="H829" s="36" t="s">
        <v>3171</v>
      </c>
      <c r="I829" s="36" t="s">
        <v>137</v>
      </c>
      <c r="J829" s="36" t="s">
        <v>138</v>
      </c>
      <c r="K829" s="36" t="s">
        <v>263</v>
      </c>
      <c r="L829" s="36" t="s">
        <v>127</v>
      </c>
      <c r="M829" s="37">
        <v>14000000000</v>
      </c>
      <c r="N829" s="37">
        <v>0</v>
      </c>
      <c r="O829" s="37">
        <v>14000000000</v>
      </c>
      <c r="P829" s="36" t="s">
        <v>136</v>
      </c>
      <c r="Q829" s="37">
        <v>14000000000</v>
      </c>
      <c r="R829" s="36" t="s">
        <v>128</v>
      </c>
      <c r="S829" s="38">
        <v>45671</v>
      </c>
      <c r="T829" s="38">
        <v>45588</v>
      </c>
      <c r="U829" s="38">
        <v>47483</v>
      </c>
      <c r="V829" s="27" t="s">
        <v>9492</v>
      </c>
      <c r="W829" s="37"/>
      <c r="X829" s="37"/>
      <c r="Y829" s="37" t="s">
        <v>125</v>
      </c>
      <c r="Z829" s="37"/>
      <c r="AA829" s="37"/>
      <c r="AB829" s="37"/>
      <c r="AC829" s="37"/>
      <c r="AD829" s="37"/>
      <c r="AE829" s="37"/>
      <c r="AF829" s="37"/>
    </row>
    <row r="830" spans="2:32" ht="45" customHeight="1" x14ac:dyDescent="0.25">
      <c r="B830" s="31" t="s">
        <v>3174</v>
      </c>
      <c r="C830" s="41">
        <v>2025</v>
      </c>
      <c r="D830" s="42">
        <f t="shared" si="12"/>
        <v>2029</v>
      </c>
      <c r="E830" s="31" t="s">
        <v>126</v>
      </c>
      <c r="F830" s="31" t="s">
        <v>3175</v>
      </c>
      <c r="G830" s="31" t="s">
        <v>3176</v>
      </c>
      <c r="H830" s="31" t="s">
        <v>3177</v>
      </c>
      <c r="I830" s="31" t="s">
        <v>267</v>
      </c>
      <c r="J830" s="31" t="s">
        <v>267</v>
      </c>
      <c r="K830" s="31" t="s">
        <v>163</v>
      </c>
      <c r="L830" s="31" t="s">
        <v>127</v>
      </c>
      <c r="M830" s="34">
        <v>327980000000</v>
      </c>
      <c r="N830" s="34">
        <v>0</v>
      </c>
      <c r="O830" s="34">
        <v>327980000000</v>
      </c>
      <c r="P830" s="31" t="s">
        <v>122</v>
      </c>
      <c r="Q830" s="34">
        <v>500000000</v>
      </c>
      <c r="R830" s="31" t="s">
        <v>443</v>
      </c>
      <c r="S830" s="35">
        <v>45673</v>
      </c>
      <c r="T830" s="35">
        <v>45671</v>
      </c>
      <c r="U830" s="35">
        <v>47483</v>
      </c>
      <c r="V830" s="27" t="s">
        <v>9308</v>
      </c>
      <c r="W830" s="34"/>
      <c r="X830" s="34"/>
      <c r="Y830" s="34" t="s">
        <v>242</v>
      </c>
      <c r="Z830" s="34"/>
      <c r="AA830" s="34"/>
      <c r="AB830" s="34"/>
      <c r="AC830" s="34"/>
      <c r="AD830" s="34"/>
      <c r="AE830" s="34"/>
      <c r="AF830" s="34"/>
    </row>
    <row r="831" spans="2:32" ht="45" customHeight="1" x14ac:dyDescent="0.25">
      <c r="B831" s="36" t="s">
        <v>3178</v>
      </c>
      <c r="C831" s="42">
        <v>2025</v>
      </c>
      <c r="D831" s="42" t="e">
        <f t="shared" si="12"/>
        <v>#VALUE!</v>
      </c>
      <c r="E831" s="36" t="s">
        <v>1048</v>
      </c>
      <c r="F831" s="36" t="s">
        <v>3179</v>
      </c>
      <c r="G831" s="36" t="s">
        <v>3180</v>
      </c>
      <c r="H831" s="36" t="s">
        <v>3182</v>
      </c>
      <c r="I831" s="36" t="s">
        <v>2314</v>
      </c>
      <c r="J831" s="36" t="s">
        <v>2315</v>
      </c>
      <c r="K831" s="36" t="s">
        <v>163</v>
      </c>
      <c r="L831" s="36" t="s">
        <v>127</v>
      </c>
      <c r="M831" s="37">
        <v>290150000000</v>
      </c>
      <c r="N831" s="37">
        <v>0</v>
      </c>
      <c r="O831" s="37">
        <v>290150000000</v>
      </c>
      <c r="P831" s="36" t="s">
        <v>624</v>
      </c>
      <c r="Q831" s="37">
        <v>500000000</v>
      </c>
      <c r="R831" s="36" t="s">
        <v>1883</v>
      </c>
      <c r="S831" s="38">
        <v>45673</v>
      </c>
      <c r="T831" s="38">
        <v>45671</v>
      </c>
      <c r="U831" s="38" t="s">
        <v>3181</v>
      </c>
      <c r="V831" s="27" t="s">
        <v>9308</v>
      </c>
      <c r="W831" s="37"/>
      <c r="X831" s="37"/>
      <c r="Y831" s="37" t="s">
        <v>125</v>
      </c>
      <c r="Z831" s="37"/>
      <c r="AA831" s="37"/>
      <c r="AB831" s="37"/>
      <c r="AC831" s="37"/>
      <c r="AD831" s="37"/>
      <c r="AE831" s="37"/>
      <c r="AF831" s="37"/>
    </row>
    <row r="832" spans="2:32" ht="75" customHeight="1" x14ac:dyDescent="0.25">
      <c r="B832" s="31" t="s">
        <v>3183</v>
      </c>
      <c r="C832" s="41">
        <v>2025</v>
      </c>
      <c r="D832" s="42">
        <f t="shared" si="12"/>
        <v>2030</v>
      </c>
      <c r="E832" s="31" t="s">
        <v>317</v>
      </c>
      <c r="F832" s="31" t="s">
        <v>3184</v>
      </c>
      <c r="G832" s="31" t="s">
        <v>3185</v>
      </c>
      <c r="H832" s="31" t="s">
        <v>3187</v>
      </c>
      <c r="I832" s="31" t="s">
        <v>277</v>
      </c>
      <c r="J832" s="31" t="s">
        <v>278</v>
      </c>
      <c r="K832" s="31" t="s">
        <v>263</v>
      </c>
      <c r="L832" s="31" t="s">
        <v>127</v>
      </c>
      <c r="M832" s="34">
        <v>77816534800</v>
      </c>
      <c r="N832" s="34">
        <v>0</v>
      </c>
      <c r="O832" s="34">
        <v>77816534800</v>
      </c>
      <c r="P832" s="31" t="s">
        <v>122</v>
      </c>
      <c r="Q832" s="34">
        <v>118630000</v>
      </c>
      <c r="R832" s="31" t="s">
        <v>128</v>
      </c>
      <c r="S832" s="35">
        <v>45699</v>
      </c>
      <c r="T832" s="35">
        <v>45671</v>
      </c>
      <c r="U832" s="35">
        <v>47848</v>
      </c>
      <c r="V832" s="27" t="s">
        <v>9500</v>
      </c>
      <c r="W832" s="34"/>
      <c r="X832" s="34"/>
      <c r="Y832" s="34" t="s">
        <v>125</v>
      </c>
      <c r="Z832" s="34"/>
      <c r="AA832" s="34"/>
      <c r="AB832" s="34"/>
      <c r="AC832" s="34"/>
      <c r="AD832" s="34"/>
      <c r="AE832" s="34"/>
      <c r="AF832" s="34"/>
    </row>
    <row r="833" spans="2:32" ht="105" customHeight="1" x14ac:dyDescent="0.25">
      <c r="B833" s="36" t="s">
        <v>3188</v>
      </c>
      <c r="C833" s="42">
        <v>2025</v>
      </c>
      <c r="D833" s="42">
        <f t="shared" si="12"/>
        <v>2027</v>
      </c>
      <c r="E833" s="36" t="s">
        <v>126</v>
      </c>
      <c r="F833" s="36" t="s">
        <v>3189</v>
      </c>
      <c r="G833" s="36" t="s">
        <v>3190</v>
      </c>
      <c r="H833" s="36" t="s">
        <v>3191</v>
      </c>
      <c r="I833" s="36" t="s">
        <v>448</v>
      </c>
      <c r="J833" s="36" t="s">
        <v>449</v>
      </c>
      <c r="K833" s="36" t="s">
        <v>190</v>
      </c>
      <c r="L833" s="36" t="s">
        <v>127</v>
      </c>
      <c r="M833" s="37">
        <v>1480000000</v>
      </c>
      <c r="N833" s="37">
        <v>0</v>
      </c>
      <c r="O833" s="37">
        <v>1480000000</v>
      </c>
      <c r="P833" s="36" t="s">
        <v>122</v>
      </c>
      <c r="Q833" s="37">
        <v>2255000</v>
      </c>
      <c r="R833" s="36" t="s">
        <v>150</v>
      </c>
      <c r="S833" s="38">
        <v>45728</v>
      </c>
      <c r="T833" s="38">
        <v>45671</v>
      </c>
      <c r="U833" s="38">
        <v>46752</v>
      </c>
      <c r="V833" s="27" t="s">
        <v>9308</v>
      </c>
      <c r="W833" s="37"/>
      <c r="X833" s="37"/>
      <c r="Y833" s="37" t="s">
        <v>125</v>
      </c>
      <c r="Z833" s="37"/>
      <c r="AA833" s="37"/>
      <c r="AB833" s="37"/>
      <c r="AC833" s="37"/>
      <c r="AD833" s="37"/>
      <c r="AE833" s="37"/>
      <c r="AF833" s="37"/>
    </row>
    <row r="834" spans="2:32" ht="45" customHeight="1" x14ac:dyDescent="0.25">
      <c r="B834" s="31" t="s">
        <v>3192</v>
      </c>
      <c r="C834" s="41">
        <v>2025</v>
      </c>
      <c r="D834" s="42">
        <f t="shared" si="12"/>
        <v>2030</v>
      </c>
      <c r="E834" s="31" t="s">
        <v>126</v>
      </c>
      <c r="F834" s="31" t="s">
        <v>3193</v>
      </c>
      <c r="G834" s="31" t="s">
        <v>3194</v>
      </c>
      <c r="H834" s="31" t="s">
        <v>3195</v>
      </c>
      <c r="I834" s="31" t="s">
        <v>277</v>
      </c>
      <c r="J834" s="31" t="s">
        <v>278</v>
      </c>
      <c r="K834" s="31" t="s">
        <v>118</v>
      </c>
      <c r="L834" s="31" t="s">
        <v>127</v>
      </c>
      <c r="M834" s="34">
        <v>70417306000</v>
      </c>
      <c r="N834" s="34">
        <v>0</v>
      </c>
      <c r="O834" s="34">
        <v>70417306000</v>
      </c>
      <c r="P834" s="31" t="s">
        <v>122</v>
      </c>
      <c r="Q834" s="34">
        <v>107350000</v>
      </c>
      <c r="R834" s="31" t="s">
        <v>128</v>
      </c>
      <c r="S834" s="35">
        <v>45765</v>
      </c>
      <c r="T834" s="35">
        <v>45671</v>
      </c>
      <c r="U834" s="35">
        <v>47848</v>
      </c>
      <c r="V834" s="27" t="s">
        <v>9308</v>
      </c>
      <c r="W834" s="34"/>
      <c r="X834" s="34"/>
      <c r="Y834" s="34" t="s">
        <v>125</v>
      </c>
      <c r="Z834" s="34"/>
      <c r="AA834" s="34"/>
      <c r="AB834" s="34"/>
      <c r="AC834" s="34"/>
      <c r="AD834" s="34"/>
      <c r="AE834" s="34"/>
      <c r="AF834" s="34"/>
    </row>
    <row r="835" spans="2:32" ht="60" customHeight="1" x14ac:dyDescent="0.25">
      <c r="B835" s="36" t="s">
        <v>3196</v>
      </c>
      <c r="C835" s="42">
        <v>2025</v>
      </c>
      <c r="D835" s="42">
        <f t="shared" si="12"/>
        <v>2027</v>
      </c>
      <c r="E835" s="36" t="s">
        <v>126</v>
      </c>
      <c r="F835" s="36" t="s">
        <v>3197</v>
      </c>
      <c r="G835" s="36" t="s">
        <v>3198</v>
      </c>
      <c r="H835" s="36" t="s">
        <v>3200</v>
      </c>
      <c r="I835" s="36" t="s">
        <v>178</v>
      </c>
      <c r="J835" s="36" t="s">
        <v>179</v>
      </c>
      <c r="K835" s="36" t="s">
        <v>526</v>
      </c>
      <c r="L835" s="36" t="s">
        <v>127</v>
      </c>
      <c r="M835" s="37">
        <v>11544843200</v>
      </c>
      <c r="N835" s="37">
        <v>0</v>
      </c>
      <c r="O835" s="37">
        <v>11544843200</v>
      </c>
      <c r="P835" s="36" t="s">
        <v>122</v>
      </c>
      <c r="Q835" s="37">
        <v>17600000</v>
      </c>
      <c r="R835" s="36" t="s">
        <v>150</v>
      </c>
      <c r="S835" s="38">
        <v>45770</v>
      </c>
      <c r="T835" s="38">
        <v>45671</v>
      </c>
      <c r="U835" s="38">
        <v>46752</v>
      </c>
      <c r="V835" s="27" t="s">
        <v>9501</v>
      </c>
      <c r="W835" s="37"/>
      <c r="X835" s="37"/>
      <c r="Y835" s="37" t="s">
        <v>125</v>
      </c>
      <c r="Z835" s="37"/>
      <c r="AA835" s="37"/>
      <c r="AB835" s="37"/>
      <c r="AC835" s="37"/>
      <c r="AD835" s="37"/>
      <c r="AE835" s="37"/>
      <c r="AF835" s="37"/>
    </row>
    <row r="836" spans="2:32" ht="90" customHeight="1" x14ac:dyDescent="0.25">
      <c r="B836" s="31" t="s">
        <v>3201</v>
      </c>
      <c r="C836" s="41">
        <v>2025</v>
      </c>
      <c r="D836" s="42">
        <f t="shared" si="12"/>
        <v>2031</v>
      </c>
      <c r="E836" s="31" t="s">
        <v>126</v>
      </c>
      <c r="F836" s="31" t="s">
        <v>3202</v>
      </c>
      <c r="G836" s="31" t="s">
        <v>3203</v>
      </c>
      <c r="H836" s="31" t="s">
        <v>3041</v>
      </c>
      <c r="I836" s="31" t="s">
        <v>178</v>
      </c>
      <c r="J836" s="31" t="s">
        <v>179</v>
      </c>
      <c r="K836" s="31" t="s">
        <v>205</v>
      </c>
      <c r="L836" s="31" t="s">
        <v>127</v>
      </c>
      <c r="M836" s="34">
        <v>49500000000</v>
      </c>
      <c r="N836" s="34">
        <v>0</v>
      </c>
      <c r="O836" s="34">
        <v>49500000000</v>
      </c>
      <c r="P836" s="31" t="s">
        <v>122</v>
      </c>
      <c r="Q836" s="34">
        <v>75461918</v>
      </c>
      <c r="R836" s="31" t="s">
        <v>150</v>
      </c>
      <c r="S836" s="35">
        <v>45821</v>
      </c>
      <c r="T836" s="35">
        <v>45671</v>
      </c>
      <c r="U836" s="35">
        <v>48029</v>
      </c>
      <c r="V836" s="27" t="s">
        <v>9308</v>
      </c>
      <c r="W836" s="34"/>
      <c r="X836" s="34"/>
      <c r="Y836" s="34" t="s">
        <v>125</v>
      </c>
      <c r="Z836" s="34"/>
      <c r="AA836" s="34"/>
      <c r="AB836" s="34"/>
      <c r="AC836" s="34"/>
      <c r="AD836" s="34"/>
      <c r="AE836" s="34"/>
      <c r="AF836" s="34"/>
    </row>
    <row r="837" spans="2:32" ht="60" customHeight="1" x14ac:dyDescent="0.25">
      <c r="B837" s="36" t="s">
        <v>3204</v>
      </c>
      <c r="C837" s="42">
        <v>2025</v>
      </c>
      <c r="D837" s="42">
        <f t="shared" si="12"/>
        <v>2026</v>
      </c>
      <c r="E837" s="36" t="s">
        <v>126</v>
      </c>
      <c r="F837" s="36" t="s">
        <v>3205</v>
      </c>
      <c r="G837" s="36" t="s">
        <v>3206</v>
      </c>
      <c r="H837" s="36" t="s">
        <v>3207</v>
      </c>
      <c r="I837" s="36" t="s">
        <v>178</v>
      </c>
      <c r="J837" s="36" t="s">
        <v>179</v>
      </c>
      <c r="K837" s="36" t="s">
        <v>526</v>
      </c>
      <c r="L837" s="36" t="s">
        <v>127</v>
      </c>
      <c r="M837" s="37">
        <v>23614452000</v>
      </c>
      <c r="N837" s="37">
        <v>0</v>
      </c>
      <c r="O837" s="37">
        <v>23614452000</v>
      </c>
      <c r="P837" s="36" t="s">
        <v>122</v>
      </c>
      <c r="Q837" s="37">
        <v>36000000</v>
      </c>
      <c r="R837" s="36" t="s">
        <v>150</v>
      </c>
      <c r="S837" s="38">
        <v>45836</v>
      </c>
      <c r="T837" s="38">
        <v>45671</v>
      </c>
      <c r="U837" s="38">
        <v>46203</v>
      </c>
      <c r="V837" s="27" t="s">
        <v>9308</v>
      </c>
      <c r="W837" s="37"/>
      <c r="X837" s="37"/>
      <c r="Y837" s="37" t="s">
        <v>125</v>
      </c>
      <c r="Z837" s="37"/>
      <c r="AA837" s="37"/>
      <c r="AB837" s="37"/>
      <c r="AC837" s="37"/>
      <c r="AD837" s="37"/>
      <c r="AE837" s="37"/>
      <c r="AF837" s="37"/>
    </row>
    <row r="838" spans="2:32" ht="90" customHeight="1" x14ac:dyDescent="0.25">
      <c r="B838" s="31" t="s">
        <v>3208</v>
      </c>
      <c r="C838" s="41">
        <v>2025</v>
      </c>
      <c r="D838" s="42">
        <f t="shared" si="12"/>
        <v>2031</v>
      </c>
      <c r="E838" s="31" t="s">
        <v>126</v>
      </c>
      <c r="F838" s="31" t="s">
        <v>3209</v>
      </c>
      <c r="G838" s="31" t="s">
        <v>3210</v>
      </c>
      <c r="H838" s="31" t="s">
        <v>3211</v>
      </c>
      <c r="I838" s="31" t="s">
        <v>178</v>
      </c>
      <c r="J838" s="31" t="s">
        <v>179</v>
      </c>
      <c r="K838" s="31" t="s">
        <v>205</v>
      </c>
      <c r="L838" s="31" t="s">
        <v>127</v>
      </c>
      <c r="M838" s="34">
        <v>126206126800</v>
      </c>
      <c r="N838" s="34">
        <v>0</v>
      </c>
      <c r="O838" s="34">
        <v>126206126800</v>
      </c>
      <c r="P838" s="31" t="s">
        <v>122</v>
      </c>
      <c r="Q838" s="34">
        <v>192400000</v>
      </c>
      <c r="R838" s="31" t="s">
        <v>150</v>
      </c>
      <c r="S838" s="35">
        <v>45830</v>
      </c>
      <c r="T838" s="35">
        <v>45671</v>
      </c>
      <c r="U838" s="35">
        <v>48029</v>
      </c>
      <c r="V838" s="27" t="s">
        <v>9340</v>
      </c>
      <c r="W838" s="34"/>
      <c r="X838" s="34"/>
      <c r="Y838" s="34" t="s">
        <v>125</v>
      </c>
      <c r="Z838" s="34"/>
      <c r="AA838" s="34"/>
      <c r="AB838" s="34"/>
      <c r="AC838" s="34"/>
      <c r="AD838" s="34"/>
      <c r="AE838" s="34"/>
      <c r="AF838" s="34"/>
    </row>
    <row r="839" spans="2:32" ht="90" customHeight="1" x14ac:dyDescent="0.25">
      <c r="B839" s="36" t="s">
        <v>3212</v>
      </c>
      <c r="C839" s="42">
        <v>2025</v>
      </c>
      <c r="D839" s="42">
        <f t="shared" ref="D839:D872" si="13">YEAR(U839)</f>
        <v>2031</v>
      </c>
      <c r="E839" s="36" t="s">
        <v>126</v>
      </c>
      <c r="F839" s="36" t="s">
        <v>3213</v>
      </c>
      <c r="G839" s="36" t="s">
        <v>3214</v>
      </c>
      <c r="H839" s="36" t="s">
        <v>3041</v>
      </c>
      <c r="I839" s="36" t="s">
        <v>178</v>
      </c>
      <c r="J839" s="36" t="s">
        <v>179</v>
      </c>
      <c r="K839" s="36" t="s">
        <v>205</v>
      </c>
      <c r="L839" s="36" t="s">
        <v>127</v>
      </c>
      <c r="M839" s="37">
        <v>63103063400</v>
      </c>
      <c r="N839" s="37">
        <v>0</v>
      </c>
      <c r="O839" s="37">
        <v>63103063400</v>
      </c>
      <c r="P839" s="36" t="s">
        <v>122</v>
      </c>
      <c r="Q839" s="37">
        <v>96200000</v>
      </c>
      <c r="R839" s="36" t="s">
        <v>150</v>
      </c>
      <c r="S839" s="38">
        <v>45856</v>
      </c>
      <c r="T839" s="38">
        <v>45671</v>
      </c>
      <c r="U839" s="38">
        <v>48029</v>
      </c>
      <c r="V839" s="27" t="s">
        <v>9340</v>
      </c>
      <c r="W839" s="37"/>
      <c r="X839" s="37"/>
      <c r="Y839" s="37" t="s">
        <v>125</v>
      </c>
      <c r="Z839" s="37"/>
      <c r="AA839" s="37"/>
      <c r="AB839" s="37"/>
      <c r="AC839" s="37"/>
      <c r="AD839" s="37"/>
      <c r="AE839" s="37"/>
      <c r="AF839" s="37"/>
    </row>
    <row r="840" spans="2:32" ht="90" customHeight="1" x14ac:dyDescent="0.25">
      <c r="B840" s="31" t="s">
        <v>3215</v>
      </c>
      <c r="C840" s="41">
        <v>2025</v>
      </c>
      <c r="D840" s="42">
        <f t="shared" si="13"/>
        <v>2029</v>
      </c>
      <c r="E840" s="31" t="s">
        <v>126</v>
      </c>
      <c r="F840" s="31" t="s">
        <v>3216</v>
      </c>
      <c r="G840" s="31" t="s">
        <v>3217</v>
      </c>
      <c r="H840" s="31" t="s">
        <v>3041</v>
      </c>
      <c r="I840" s="31" t="s">
        <v>137</v>
      </c>
      <c r="J840" s="31" t="s">
        <v>138</v>
      </c>
      <c r="K840" s="31" t="s">
        <v>118</v>
      </c>
      <c r="L840" s="31" t="s">
        <v>127</v>
      </c>
      <c r="M840" s="34">
        <v>15000000000</v>
      </c>
      <c r="N840" s="34">
        <v>0</v>
      </c>
      <c r="O840" s="34">
        <v>15000000000</v>
      </c>
      <c r="P840" s="31" t="s">
        <v>136</v>
      </c>
      <c r="Q840" s="34">
        <v>15000000000</v>
      </c>
      <c r="R840" s="31" t="s">
        <v>128</v>
      </c>
      <c r="S840" s="35">
        <v>45789</v>
      </c>
      <c r="T840" s="35">
        <v>45671</v>
      </c>
      <c r="U840" s="35">
        <v>47483</v>
      </c>
      <c r="V840" s="27" t="s">
        <v>9502</v>
      </c>
      <c r="W840" s="34"/>
      <c r="X840" s="34"/>
      <c r="Y840" s="34" t="s">
        <v>125</v>
      </c>
      <c r="Z840" s="34"/>
      <c r="AA840" s="34"/>
      <c r="AB840" s="34"/>
      <c r="AC840" s="34"/>
      <c r="AD840" s="34"/>
      <c r="AE840" s="34"/>
      <c r="AF840" s="34"/>
    </row>
    <row r="841" spans="2:32" ht="90" customHeight="1" x14ac:dyDescent="0.25">
      <c r="B841" s="36" t="s">
        <v>3219</v>
      </c>
      <c r="C841" s="42">
        <v>2025</v>
      </c>
      <c r="D841" s="33">
        <f t="shared" si="13"/>
        <v>2028</v>
      </c>
      <c r="E841" s="36" t="s">
        <v>126</v>
      </c>
      <c r="F841" s="36" t="s">
        <v>3220</v>
      </c>
      <c r="G841" s="36" t="s">
        <v>3221</v>
      </c>
      <c r="H841" s="36" t="s">
        <v>3041</v>
      </c>
      <c r="I841" s="36" t="s">
        <v>337</v>
      </c>
      <c r="J841" s="36" t="s">
        <v>338</v>
      </c>
      <c r="K841" s="36" t="s">
        <v>190</v>
      </c>
      <c r="L841" s="36" t="s">
        <v>159</v>
      </c>
      <c r="M841" s="37">
        <v>0</v>
      </c>
      <c r="N841" s="37">
        <v>3279785000</v>
      </c>
      <c r="O841" s="37">
        <v>3279785000</v>
      </c>
      <c r="P841" s="36" t="s">
        <v>122</v>
      </c>
      <c r="Q841" s="37">
        <v>5000000</v>
      </c>
      <c r="R841" s="36" t="s">
        <v>159</v>
      </c>
      <c r="S841" s="38">
        <v>45838</v>
      </c>
      <c r="T841" s="38">
        <v>45671</v>
      </c>
      <c r="U841" s="38">
        <v>46934</v>
      </c>
      <c r="V841" s="27" t="s">
        <v>9503</v>
      </c>
      <c r="W841" s="37"/>
      <c r="X841" s="37"/>
      <c r="Y841" s="37" t="s">
        <v>242</v>
      </c>
      <c r="Z841" s="37"/>
      <c r="AA841" s="37"/>
      <c r="AB841" s="37"/>
      <c r="AC841" s="37"/>
      <c r="AD841" s="37"/>
      <c r="AE841" s="37"/>
      <c r="AF841" s="37"/>
    </row>
    <row r="842" spans="2:32" ht="75" customHeight="1" x14ac:dyDescent="0.25">
      <c r="B842" s="31" t="s">
        <v>3223</v>
      </c>
      <c r="C842" s="41">
        <v>2025</v>
      </c>
      <c r="D842" s="42">
        <f t="shared" si="13"/>
        <v>2028</v>
      </c>
      <c r="E842" s="31" t="s">
        <v>126</v>
      </c>
      <c r="F842" s="31" t="s">
        <v>3224</v>
      </c>
      <c r="G842" s="31" t="s">
        <v>3225</v>
      </c>
      <c r="H842" s="31" t="s">
        <v>3041</v>
      </c>
      <c r="I842" s="31" t="s">
        <v>277</v>
      </c>
      <c r="J842" s="31" t="s">
        <v>278</v>
      </c>
      <c r="K842" s="31" t="s">
        <v>163</v>
      </c>
      <c r="L842" s="31" t="s">
        <v>159</v>
      </c>
      <c r="M842" s="34">
        <v>0</v>
      </c>
      <c r="N842" s="34">
        <v>220000000</v>
      </c>
      <c r="O842" s="34">
        <v>220000000</v>
      </c>
      <c r="P842" s="31" t="s">
        <v>624</v>
      </c>
      <c r="Q842" s="34">
        <v>400000</v>
      </c>
      <c r="R842" s="31" t="s">
        <v>159</v>
      </c>
      <c r="S842" s="35">
        <v>45838</v>
      </c>
      <c r="T842" s="35">
        <v>45671</v>
      </c>
      <c r="U842" s="35">
        <v>47118</v>
      </c>
      <c r="V842" s="27" t="s">
        <v>9308</v>
      </c>
      <c r="W842" s="34"/>
      <c r="X842" s="34"/>
      <c r="Y842" s="34" t="s">
        <v>125</v>
      </c>
      <c r="Z842" s="34"/>
      <c r="AA842" s="34"/>
      <c r="AB842" s="34"/>
      <c r="AC842" s="34"/>
      <c r="AD842" s="34"/>
      <c r="AE842" s="34"/>
      <c r="AF842" s="34"/>
    </row>
    <row r="843" spans="2:32" ht="90" customHeight="1" x14ac:dyDescent="0.25">
      <c r="B843" s="36" t="s">
        <v>3226</v>
      </c>
      <c r="C843" s="42">
        <v>2025</v>
      </c>
      <c r="D843" s="42">
        <f t="shared" si="13"/>
        <v>2028</v>
      </c>
      <c r="E843" s="36" t="s">
        <v>284</v>
      </c>
      <c r="F843" s="36" t="s">
        <v>3227</v>
      </c>
      <c r="G843" s="36" t="s">
        <v>3228</v>
      </c>
      <c r="H843" s="36" t="s">
        <v>3041</v>
      </c>
      <c r="I843" s="36" t="s">
        <v>267</v>
      </c>
      <c r="J843" s="36" t="s">
        <v>267</v>
      </c>
      <c r="K843" s="36" t="s">
        <v>205</v>
      </c>
      <c r="L843" s="36" t="s">
        <v>159</v>
      </c>
      <c r="M843" s="37">
        <v>0</v>
      </c>
      <c r="N843" s="37">
        <v>6559570000</v>
      </c>
      <c r="O843" s="37">
        <v>6559570000</v>
      </c>
      <c r="P843" s="36" t="s">
        <v>122</v>
      </c>
      <c r="Q843" s="37">
        <v>10000000</v>
      </c>
      <c r="R843" s="36" t="s">
        <v>159</v>
      </c>
      <c r="S843" s="38">
        <v>45838</v>
      </c>
      <c r="T843" s="38">
        <v>45671</v>
      </c>
      <c r="U843" s="38">
        <v>47118</v>
      </c>
      <c r="V843" s="27" t="s">
        <v>9504</v>
      </c>
      <c r="W843" s="37"/>
      <c r="X843" s="37"/>
      <c r="Y843" s="37" t="s">
        <v>242</v>
      </c>
      <c r="Z843" s="37"/>
      <c r="AA843" s="37"/>
      <c r="AB843" s="37"/>
      <c r="AC843" s="37"/>
      <c r="AD843" s="37"/>
      <c r="AE843" s="37"/>
      <c r="AF843" s="37"/>
    </row>
    <row r="844" spans="2:32" ht="60" customHeight="1" x14ac:dyDescent="0.25">
      <c r="B844" s="31" t="s">
        <v>3230</v>
      </c>
      <c r="C844" s="41">
        <v>2025</v>
      </c>
      <c r="D844" s="42">
        <f t="shared" si="13"/>
        <v>2029</v>
      </c>
      <c r="E844" s="31" t="s">
        <v>170</v>
      </c>
      <c r="F844" s="31" t="s">
        <v>3231</v>
      </c>
      <c r="G844" s="31" t="s">
        <v>3233</v>
      </c>
      <c r="H844" s="31" t="s">
        <v>129</v>
      </c>
      <c r="I844" s="31" t="s">
        <v>337</v>
      </c>
      <c r="J844" s="31" t="s">
        <v>338</v>
      </c>
      <c r="K844" s="31" t="s">
        <v>526</v>
      </c>
      <c r="L844" s="31" t="s">
        <v>159</v>
      </c>
      <c r="M844" s="34">
        <v>0</v>
      </c>
      <c r="N844" s="34">
        <v>1331914000</v>
      </c>
      <c r="O844" s="34">
        <v>1331914000</v>
      </c>
      <c r="P844" s="31" t="s">
        <v>122</v>
      </c>
      <c r="Q844" s="34">
        <v>2000000</v>
      </c>
      <c r="R844" s="31" t="s">
        <v>171</v>
      </c>
      <c r="S844" s="35">
        <v>45952</v>
      </c>
      <c r="T844" s="35">
        <v>45671</v>
      </c>
      <c r="U844" s="35">
        <v>47483</v>
      </c>
      <c r="V844" s="27" t="s">
        <v>9308</v>
      </c>
      <c r="W844" s="31" t="s">
        <v>557</v>
      </c>
      <c r="X844" s="31" t="s">
        <v>859</v>
      </c>
      <c r="Y844" s="31" t="s">
        <v>242</v>
      </c>
      <c r="Z844" s="31" t="s">
        <v>3232</v>
      </c>
      <c r="AA844" s="34"/>
      <c r="AB844" s="34"/>
      <c r="AC844" s="31" t="s">
        <v>3235</v>
      </c>
      <c r="AD844" s="34">
        <v>8.3000000000000007</v>
      </c>
      <c r="AE844" s="31" t="s">
        <v>864</v>
      </c>
      <c r="AF844" s="31" t="s">
        <v>3234</v>
      </c>
    </row>
    <row r="845" spans="2:32" ht="60" customHeight="1" x14ac:dyDescent="0.25">
      <c r="B845" s="36" t="s">
        <v>3236</v>
      </c>
      <c r="C845" s="42">
        <v>2025</v>
      </c>
      <c r="D845" s="42">
        <f t="shared" si="13"/>
        <v>2029</v>
      </c>
      <c r="E845" s="36" t="s">
        <v>126</v>
      </c>
      <c r="F845" s="36" t="s">
        <v>3237</v>
      </c>
      <c r="G845" s="36" t="s">
        <v>3238</v>
      </c>
      <c r="H845" s="36" t="s">
        <v>151</v>
      </c>
      <c r="I845" s="36" t="s">
        <v>168</v>
      </c>
      <c r="J845" s="36" t="s">
        <v>169</v>
      </c>
      <c r="K845" s="36" t="s">
        <v>142</v>
      </c>
      <c r="L845" s="36" t="s">
        <v>127</v>
      </c>
      <c r="M845" s="37">
        <v>201306643730</v>
      </c>
      <c r="N845" s="37">
        <v>0</v>
      </c>
      <c r="O845" s="37">
        <v>201306643730</v>
      </c>
      <c r="P845" s="36" t="s">
        <v>122</v>
      </c>
      <c r="Q845" s="37">
        <v>306890000</v>
      </c>
      <c r="R845" s="36" t="s">
        <v>150</v>
      </c>
      <c r="S845" s="47"/>
      <c r="T845" s="38">
        <v>45671</v>
      </c>
      <c r="U845" s="38">
        <v>47483</v>
      </c>
      <c r="V845" s="27" t="s">
        <v>9505</v>
      </c>
      <c r="W845" s="36" t="s">
        <v>557</v>
      </c>
      <c r="X845" s="36" t="s">
        <v>558</v>
      </c>
      <c r="Y845" s="36" t="s">
        <v>125</v>
      </c>
      <c r="Z845" s="36" t="s">
        <v>968</v>
      </c>
      <c r="AA845" s="36" t="s">
        <v>862</v>
      </c>
      <c r="AB845" s="36" t="s">
        <v>861</v>
      </c>
      <c r="AC845" s="36" t="s">
        <v>971</v>
      </c>
      <c r="AD845" s="37">
        <v>9.1</v>
      </c>
      <c r="AE845" s="36" t="s">
        <v>864</v>
      </c>
      <c r="AF845" s="36" t="s">
        <v>559</v>
      </c>
    </row>
    <row r="846" spans="2:32" ht="75" customHeight="1" x14ac:dyDescent="0.25">
      <c r="B846" s="31" t="s">
        <v>3240</v>
      </c>
      <c r="C846" s="41">
        <v>2025</v>
      </c>
      <c r="D846" s="42">
        <f t="shared" si="13"/>
        <v>2030</v>
      </c>
      <c r="E846" s="31" t="s">
        <v>126</v>
      </c>
      <c r="F846" s="31" t="s">
        <v>3241</v>
      </c>
      <c r="G846" s="31" t="s">
        <v>3242</v>
      </c>
      <c r="H846" s="31" t="s">
        <v>151</v>
      </c>
      <c r="I846" s="31" t="s">
        <v>277</v>
      </c>
      <c r="J846" s="31" t="s">
        <v>278</v>
      </c>
      <c r="K846" s="31" t="s">
        <v>190</v>
      </c>
      <c r="L846" s="31" t="s">
        <v>127</v>
      </c>
      <c r="M846" s="34">
        <v>16398925000</v>
      </c>
      <c r="N846" s="34">
        <v>0</v>
      </c>
      <c r="O846" s="34">
        <v>16398925000</v>
      </c>
      <c r="P846" s="31" t="s">
        <v>122</v>
      </c>
      <c r="Q846" s="34">
        <v>25000000</v>
      </c>
      <c r="R846" s="31" t="s">
        <v>128</v>
      </c>
      <c r="S846" s="35">
        <v>45959</v>
      </c>
      <c r="T846" s="35">
        <v>45671</v>
      </c>
      <c r="U846" s="35">
        <v>47848</v>
      </c>
      <c r="V846" s="27" t="s">
        <v>9308</v>
      </c>
      <c r="W846" s="31" t="s">
        <v>557</v>
      </c>
      <c r="X846" s="31" t="s">
        <v>558</v>
      </c>
      <c r="Y846" s="31" t="s">
        <v>125</v>
      </c>
      <c r="Z846" s="31" t="s">
        <v>974</v>
      </c>
      <c r="AA846" s="34"/>
      <c r="AB846" s="34"/>
      <c r="AC846" s="34"/>
      <c r="AD846" s="34"/>
      <c r="AE846" s="34"/>
      <c r="AF846" s="31" t="s">
        <v>3243</v>
      </c>
    </row>
    <row r="847" spans="2:32" ht="60" customHeight="1" x14ac:dyDescent="0.25">
      <c r="B847" s="36" t="s">
        <v>3244</v>
      </c>
      <c r="C847" s="42">
        <v>2025</v>
      </c>
      <c r="D847" s="42">
        <f t="shared" si="13"/>
        <v>2028</v>
      </c>
      <c r="E847" s="36" t="s">
        <v>126</v>
      </c>
      <c r="F847" s="36" t="s">
        <v>1001</v>
      </c>
      <c r="G847" s="36" t="s">
        <v>3245</v>
      </c>
      <c r="H847" s="36" t="s">
        <v>326</v>
      </c>
      <c r="I847" s="36" t="s">
        <v>267</v>
      </c>
      <c r="J847" s="36" t="s">
        <v>267</v>
      </c>
      <c r="K847" s="36" t="s">
        <v>190</v>
      </c>
      <c r="L847" s="36" t="s">
        <v>159</v>
      </c>
      <c r="M847" s="37">
        <v>0</v>
      </c>
      <c r="N847" s="37">
        <v>1311914000</v>
      </c>
      <c r="O847" s="37">
        <v>1311914000</v>
      </c>
      <c r="P847" s="36" t="s">
        <v>122</v>
      </c>
      <c r="Q847" s="37">
        <v>2000000</v>
      </c>
      <c r="R847" s="36" t="s">
        <v>159</v>
      </c>
      <c r="S847" s="38">
        <v>45673</v>
      </c>
      <c r="T847" s="38">
        <v>45671</v>
      </c>
      <c r="U847" s="38">
        <v>47118</v>
      </c>
      <c r="V847" s="27" t="s">
        <v>9391</v>
      </c>
      <c r="W847" s="36" t="s">
        <v>557</v>
      </c>
      <c r="X847" s="36" t="s">
        <v>880</v>
      </c>
      <c r="Y847" s="36" t="s">
        <v>242</v>
      </c>
      <c r="Z847" s="36" t="s">
        <v>974</v>
      </c>
      <c r="AA847" s="36" t="s">
        <v>862</v>
      </c>
      <c r="AB847" s="36" t="s">
        <v>861</v>
      </c>
      <c r="AC847" s="36" t="s">
        <v>863</v>
      </c>
      <c r="AD847" s="37">
        <v>2.2999999999999998</v>
      </c>
      <c r="AE847" s="36" t="s">
        <v>864</v>
      </c>
      <c r="AF847" s="36" t="s">
        <v>860</v>
      </c>
    </row>
    <row r="848" spans="2:32" ht="75" customHeight="1" x14ac:dyDescent="0.25">
      <c r="B848" s="31" t="s">
        <v>3246</v>
      </c>
      <c r="C848" s="41">
        <v>2025</v>
      </c>
      <c r="D848" s="42">
        <f t="shared" si="13"/>
        <v>2028</v>
      </c>
      <c r="E848" s="31" t="s">
        <v>126</v>
      </c>
      <c r="F848" s="31" t="s">
        <v>3247</v>
      </c>
      <c r="G848" s="31" t="s">
        <v>3248</v>
      </c>
      <c r="H848" s="31" t="s">
        <v>326</v>
      </c>
      <c r="I848" s="31" t="s">
        <v>267</v>
      </c>
      <c r="J848" s="31" t="s">
        <v>267</v>
      </c>
      <c r="K848" s="31" t="s">
        <v>190</v>
      </c>
      <c r="L848" s="31" t="s">
        <v>159</v>
      </c>
      <c r="M848" s="34">
        <v>0</v>
      </c>
      <c r="N848" s="34">
        <v>163989250</v>
      </c>
      <c r="O848" s="34">
        <v>163989250</v>
      </c>
      <c r="P848" s="31" t="s">
        <v>122</v>
      </c>
      <c r="Q848" s="34">
        <v>250000</v>
      </c>
      <c r="R848" s="31" t="s">
        <v>159</v>
      </c>
      <c r="S848" s="35">
        <v>45727</v>
      </c>
      <c r="T848" s="35">
        <v>45671</v>
      </c>
      <c r="U848" s="35">
        <v>47118</v>
      </c>
      <c r="V848" s="27" t="s">
        <v>9308</v>
      </c>
      <c r="W848" s="31" t="s">
        <v>557</v>
      </c>
      <c r="X848" s="31" t="s">
        <v>880</v>
      </c>
      <c r="Y848" s="31" t="s">
        <v>242</v>
      </c>
      <c r="Z848" s="31" t="s">
        <v>1453</v>
      </c>
      <c r="AA848" s="31" t="s">
        <v>862</v>
      </c>
      <c r="AB848" s="31" t="s">
        <v>861</v>
      </c>
      <c r="AC848" s="31" t="s">
        <v>863</v>
      </c>
      <c r="AD848" s="34">
        <v>2.2999999999999998</v>
      </c>
      <c r="AE848" s="31" t="s">
        <v>864</v>
      </c>
      <c r="AF848" s="31" t="s">
        <v>860</v>
      </c>
    </row>
    <row r="849" spans="2:32" ht="60" customHeight="1" x14ac:dyDescent="0.25">
      <c r="B849" s="36" t="s">
        <v>3249</v>
      </c>
      <c r="C849" s="42">
        <v>2025</v>
      </c>
      <c r="D849" s="42">
        <f t="shared" si="13"/>
        <v>2026</v>
      </c>
      <c r="E849" s="36" t="s">
        <v>126</v>
      </c>
      <c r="F849" s="36" t="s">
        <v>3250</v>
      </c>
      <c r="G849" s="36" t="s">
        <v>3251</v>
      </c>
      <c r="H849" s="36" t="s">
        <v>326</v>
      </c>
      <c r="I849" s="36" t="s">
        <v>1439</v>
      </c>
      <c r="J849" s="36" t="s">
        <v>1439</v>
      </c>
      <c r="K849" s="36" t="s">
        <v>163</v>
      </c>
      <c r="L849" s="36" t="s">
        <v>159</v>
      </c>
      <c r="M849" s="37">
        <v>0</v>
      </c>
      <c r="N849" s="37">
        <v>787148400</v>
      </c>
      <c r="O849" s="37">
        <v>787148400</v>
      </c>
      <c r="P849" s="36" t="s">
        <v>136</v>
      </c>
      <c r="Q849" s="37">
        <v>787148400</v>
      </c>
      <c r="R849" s="36" t="s">
        <v>159</v>
      </c>
      <c r="S849" s="38">
        <v>45777</v>
      </c>
      <c r="T849" s="38">
        <v>45671</v>
      </c>
      <c r="U849" s="38">
        <v>46387</v>
      </c>
      <c r="V849" s="27" t="s">
        <v>9307</v>
      </c>
      <c r="W849" s="36" t="s">
        <v>557</v>
      </c>
      <c r="X849" s="36" t="s">
        <v>880</v>
      </c>
      <c r="Y849" s="36" t="s">
        <v>242</v>
      </c>
      <c r="Z849" s="36" t="s">
        <v>1087</v>
      </c>
      <c r="AA849" s="36" t="s">
        <v>1035</v>
      </c>
      <c r="AB849" s="36" t="s">
        <v>964</v>
      </c>
      <c r="AC849" s="36" t="s">
        <v>1036</v>
      </c>
      <c r="AD849" s="37">
        <v>16.600000000000001</v>
      </c>
      <c r="AE849" s="36" t="s">
        <v>902</v>
      </c>
      <c r="AF849" s="36" t="s">
        <v>860</v>
      </c>
    </row>
    <row r="850" spans="2:32" ht="75" customHeight="1" x14ac:dyDescent="0.25">
      <c r="B850" s="31" t="s">
        <v>3252</v>
      </c>
      <c r="C850" s="41">
        <v>2025</v>
      </c>
      <c r="D850" s="42">
        <f t="shared" si="13"/>
        <v>2029</v>
      </c>
      <c r="E850" s="31" t="s">
        <v>126</v>
      </c>
      <c r="F850" s="31" t="s">
        <v>3253</v>
      </c>
      <c r="G850" s="31" t="s">
        <v>3254</v>
      </c>
      <c r="H850" s="31" t="s">
        <v>326</v>
      </c>
      <c r="I850" s="31" t="s">
        <v>1439</v>
      </c>
      <c r="J850" s="31" t="s">
        <v>1439</v>
      </c>
      <c r="K850" s="31" t="s">
        <v>315</v>
      </c>
      <c r="L850" s="31" t="s">
        <v>159</v>
      </c>
      <c r="M850" s="34">
        <v>0</v>
      </c>
      <c r="N850" s="34">
        <v>370720658</v>
      </c>
      <c r="O850" s="34">
        <v>370720658</v>
      </c>
      <c r="P850" s="31" t="s">
        <v>122</v>
      </c>
      <c r="Q850" s="34">
        <v>565160</v>
      </c>
      <c r="R850" s="31" t="s">
        <v>159</v>
      </c>
      <c r="S850" s="35">
        <v>45727</v>
      </c>
      <c r="T850" s="35">
        <v>45671</v>
      </c>
      <c r="U850" s="35">
        <v>47483</v>
      </c>
      <c r="V850" s="27" t="s">
        <v>9427</v>
      </c>
      <c r="W850" s="31" t="s">
        <v>557</v>
      </c>
      <c r="X850" s="31" t="s">
        <v>880</v>
      </c>
      <c r="Y850" s="31" t="s">
        <v>242</v>
      </c>
      <c r="Z850" s="31" t="s">
        <v>896</v>
      </c>
      <c r="AA850" s="31" t="s">
        <v>900</v>
      </c>
      <c r="AB850" s="31" t="s">
        <v>861</v>
      </c>
      <c r="AC850" s="31" t="s">
        <v>901</v>
      </c>
      <c r="AD850" s="34">
        <v>4.0999999999999996</v>
      </c>
      <c r="AE850" s="31" t="s">
        <v>902</v>
      </c>
      <c r="AF850" s="31" t="s">
        <v>860</v>
      </c>
    </row>
    <row r="851" spans="2:32" ht="60" customHeight="1" x14ac:dyDescent="0.25">
      <c r="B851" s="36" t="s">
        <v>3255</v>
      </c>
      <c r="C851" s="42">
        <v>2025</v>
      </c>
      <c r="D851" s="42">
        <f t="shared" si="13"/>
        <v>2029</v>
      </c>
      <c r="E851" s="36" t="s">
        <v>126</v>
      </c>
      <c r="F851" s="36" t="s">
        <v>3256</v>
      </c>
      <c r="G851" s="36" t="s">
        <v>3257</v>
      </c>
      <c r="H851" s="36" t="s">
        <v>326</v>
      </c>
      <c r="I851" s="36" t="s">
        <v>1128</v>
      </c>
      <c r="J851" s="36" t="s">
        <v>1128</v>
      </c>
      <c r="K851" s="36" t="s">
        <v>526</v>
      </c>
      <c r="L851" s="36" t="s">
        <v>159</v>
      </c>
      <c r="M851" s="37">
        <v>0</v>
      </c>
      <c r="N851" s="37">
        <v>1375230000</v>
      </c>
      <c r="O851" s="37">
        <v>1375230000</v>
      </c>
      <c r="P851" s="36" t="s">
        <v>1127</v>
      </c>
      <c r="Q851" s="37">
        <v>3000000</v>
      </c>
      <c r="R851" s="36" t="s">
        <v>159</v>
      </c>
      <c r="S851" s="38">
        <v>45836</v>
      </c>
      <c r="T851" s="38">
        <v>45671</v>
      </c>
      <c r="U851" s="38">
        <v>47483</v>
      </c>
      <c r="V851" s="27" t="s">
        <v>9324</v>
      </c>
      <c r="W851" s="36" t="s">
        <v>557</v>
      </c>
      <c r="X851" s="36" t="s">
        <v>880</v>
      </c>
      <c r="Y851" s="36" t="s">
        <v>242</v>
      </c>
      <c r="Z851" s="36" t="s">
        <v>1131</v>
      </c>
      <c r="AA851" s="36" t="s">
        <v>561</v>
      </c>
      <c r="AB851" s="36" t="s">
        <v>560</v>
      </c>
      <c r="AC851" s="36" t="s">
        <v>1022</v>
      </c>
      <c r="AD851" s="37">
        <v>1.3</v>
      </c>
      <c r="AE851" s="36" t="s">
        <v>902</v>
      </c>
      <c r="AF851" s="36" t="s">
        <v>860</v>
      </c>
    </row>
    <row r="852" spans="2:32" ht="60" customHeight="1" x14ac:dyDescent="0.25">
      <c r="B852" s="31" t="s">
        <v>3258</v>
      </c>
      <c r="C852" s="41">
        <v>2025</v>
      </c>
      <c r="D852" s="42">
        <f t="shared" si="13"/>
        <v>2030</v>
      </c>
      <c r="E852" s="31" t="s">
        <v>126</v>
      </c>
      <c r="F852" s="31" t="s">
        <v>3259</v>
      </c>
      <c r="G852" s="31" t="s">
        <v>3260</v>
      </c>
      <c r="H852" s="31" t="s">
        <v>326</v>
      </c>
      <c r="I852" s="31" t="s">
        <v>1128</v>
      </c>
      <c r="J852" s="31" t="s">
        <v>1128</v>
      </c>
      <c r="K852" s="31" t="s">
        <v>526</v>
      </c>
      <c r="L852" s="31" t="s">
        <v>159</v>
      </c>
      <c r="M852" s="34">
        <v>0</v>
      </c>
      <c r="N852" s="34">
        <v>2999999999</v>
      </c>
      <c r="O852" s="34">
        <v>2999999999</v>
      </c>
      <c r="P852" s="31" t="s">
        <v>1127</v>
      </c>
      <c r="Q852" s="34">
        <v>6544359.8499999996</v>
      </c>
      <c r="R852" s="31" t="s">
        <v>159</v>
      </c>
      <c r="S852" s="35">
        <v>45777</v>
      </c>
      <c r="T852" s="35">
        <v>45671</v>
      </c>
      <c r="U852" s="35">
        <v>47848</v>
      </c>
      <c r="V852" s="27" t="s">
        <v>9308</v>
      </c>
      <c r="W852" s="31" t="s">
        <v>557</v>
      </c>
      <c r="X852" s="31" t="s">
        <v>880</v>
      </c>
      <c r="Y852" s="31" t="s">
        <v>242</v>
      </c>
      <c r="Z852" s="31" t="s">
        <v>1131</v>
      </c>
      <c r="AA852" s="31" t="s">
        <v>561</v>
      </c>
      <c r="AB852" s="31" t="s">
        <v>560</v>
      </c>
      <c r="AC852" s="31" t="s">
        <v>1022</v>
      </c>
      <c r="AD852" s="34">
        <v>1.3</v>
      </c>
      <c r="AE852" s="31" t="s">
        <v>902</v>
      </c>
      <c r="AF852" s="31" t="s">
        <v>860</v>
      </c>
    </row>
    <row r="853" spans="2:32" ht="60" customHeight="1" x14ac:dyDescent="0.25">
      <c r="B853" s="36" t="s">
        <v>3261</v>
      </c>
      <c r="C853" s="42">
        <v>2025</v>
      </c>
      <c r="D853" s="42">
        <f t="shared" si="13"/>
        <v>2029</v>
      </c>
      <c r="E853" s="36" t="s">
        <v>317</v>
      </c>
      <c r="F853" s="36" t="s">
        <v>3262</v>
      </c>
      <c r="G853" s="36" t="s">
        <v>3263</v>
      </c>
      <c r="H853" s="36" t="s">
        <v>326</v>
      </c>
      <c r="I853" s="36" t="s">
        <v>822</v>
      </c>
      <c r="J853" s="36" t="s">
        <v>823</v>
      </c>
      <c r="K853" s="36" t="s">
        <v>190</v>
      </c>
      <c r="L853" s="36" t="s">
        <v>127</v>
      </c>
      <c r="M853" s="37">
        <v>3300000000</v>
      </c>
      <c r="N853" s="37">
        <v>0</v>
      </c>
      <c r="O853" s="37">
        <v>3300000000</v>
      </c>
      <c r="P853" s="36" t="s">
        <v>1110</v>
      </c>
      <c r="Q853" s="37">
        <v>5500000</v>
      </c>
      <c r="R853" s="36" t="s">
        <v>127</v>
      </c>
      <c r="S853" s="38">
        <v>45765</v>
      </c>
      <c r="T853" s="38">
        <v>45671</v>
      </c>
      <c r="U853" s="38">
        <v>47483</v>
      </c>
      <c r="V853" s="27" t="s">
        <v>9479</v>
      </c>
      <c r="W853" s="36" t="s">
        <v>557</v>
      </c>
      <c r="X853" s="36" t="s">
        <v>558</v>
      </c>
      <c r="Y853" s="36" t="s">
        <v>242</v>
      </c>
      <c r="Z853" s="36" t="s">
        <v>1311</v>
      </c>
      <c r="AA853" s="36" t="s">
        <v>862</v>
      </c>
      <c r="AB853" s="36" t="s">
        <v>861</v>
      </c>
      <c r="AC853" s="36" t="s">
        <v>863</v>
      </c>
      <c r="AD853" s="37">
        <v>2.2999999999999998</v>
      </c>
      <c r="AE853" s="36" t="s">
        <v>864</v>
      </c>
      <c r="AF853" s="36" t="s">
        <v>860</v>
      </c>
    </row>
    <row r="854" spans="2:32" ht="60" customHeight="1" x14ac:dyDescent="0.25">
      <c r="B854" s="31" t="s">
        <v>3264</v>
      </c>
      <c r="C854" s="41">
        <v>2025</v>
      </c>
      <c r="D854" s="42">
        <f t="shared" si="13"/>
        <v>2026</v>
      </c>
      <c r="E854" s="31" t="s">
        <v>126</v>
      </c>
      <c r="F854" s="31" t="s">
        <v>3265</v>
      </c>
      <c r="G854" s="31" t="s">
        <v>3266</v>
      </c>
      <c r="H854" s="31" t="s">
        <v>172</v>
      </c>
      <c r="I854" s="31" t="s">
        <v>1148</v>
      </c>
      <c r="J854" s="31" t="s">
        <v>1148</v>
      </c>
      <c r="K854" s="31" t="s">
        <v>873</v>
      </c>
      <c r="L854" s="31" t="s">
        <v>127</v>
      </c>
      <c r="M854" s="34">
        <v>115664897810</v>
      </c>
      <c r="N854" s="34">
        <v>0</v>
      </c>
      <c r="O854" s="34">
        <v>115664897810</v>
      </c>
      <c r="P854" s="31" t="s">
        <v>136</v>
      </c>
      <c r="Q854" s="34">
        <v>115664897810</v>
      </c>
      <c r="R854" s="31" t="s">
        <v>150</v>
      </c>
      <c r="S854" s="35">
        <v>45797</v>
      </c>
      <c r="T854" s="35">
        <v>45671</v>
      </c>
      <c r="U854" s="35">
        <v>46387</v>
      </c>
      <c r="V854" s="27" t="s">
        <v>9307</v>
      </c>
      <c r="W854" s="31" t="s">
        <v>557</v>
      </c>
      <c r="X854" s="31" t="s">
        <v>558</v>
      </c>
      <c r="Y854" s="31" t="s">
        <v>242</v>
      </c>
      <c r="Z854" s="31" t="s">
        <v>982</v>
      </c>
      <c r="AA854" s="31" t="s">
        <v>862</v>
      </c>
      <c r="AB854" s="31" t="s">
        <v>861</v>
      </c>
      <c r="AC854" s="31" t="s">
        <v>939</v>
      </c>
      <c r="AD854" s="34">
        <v>11.3</v>
      </c>
      <c r="AE854" s="31" t="s">
        <v>902</v>
      </c>
      <c r="AF854" s="31" t="s">
        <v>860</v>
      </c>
    </row>
    <row r="855" spans="2:32" ht="75" customHeight="1" x14ac:dyDescent="0.25">
      <c r="B855" s="36" t="s">
        <v>3267</v>
      </c>
      <c r="C855" s="42">
        <v>2025</v>
      </c>
      <c r="D855" s="42">
        <f t="shared" si="13"/>
        <v>2026</v>
      </c>
      <c r="E855" s="36" t="s">
        <v>126</v>
      </c>
      <c r="F855" s="36" t="s">
        <v>3268</v>
      </c>
      <c r="G855" s="36" t="s">
        <v>3270</v>
      </c>
      <c r="H855" s="36" t="s">
        <v>172</v>
      </c>
      <c r="I855" s="36" t="s">
        <v>1010</v>
      </c>
      <c r="J855" s="36" t="s">
        <v>1011</v>
      </c>
      <c r="K855" s="36" t="s">
        <v>205</v>
      </c>
      <c r="L855" s="36" t="s">
        <v>159</v>
      </c>
      <c r="M855" s="37">
        <v>0</v>
      </c>
      <c r="N855" s="37">
        <v>445072529</v>
      </c>
      <c r="O855" s="37">
        <v>445072529</v>
      </c>
      <c r="P855" s="36" t="s">
        <v>624</v>
      </c>
      <c r="Q855" s="37">
        <v>809222.78</v>
      </c>
      <c r="R855" s="36" t="s">
        <v>159</v>
      </c>
      <c r="S855" s="38">
        <v>45739</v>
      </c>
      <c r="T855" s="38">
        <v>45671</v>
      </c>
      <c r="U855" s="38">
        <v>46387</v>
      </c>
      <c r="V855" s="27" t="s">
        <v>9307</v>
      </c>
      <c r="W855" s="36" t="s">
        <v>557</v>
      </c>
      <c r="X855" s="36" t="s">
        <v>880</v>
      </c>
      <c r="Y855" s="36" t="s">
        <v>125</v>
      </c>
      <c r="Z855" s="36" t="s">
        <v>3269</v>
      </c>
      <c r="AA855" s="36" t="s">
        <v>1012</v>
      </c>
      <c r="AB855" s="36" t="s">
        <v>560</v>
      </c>
      <c r="AC855" s="36" t="s">
        <v>939</v>
      </c>
      <c r="AD855" s="37">
        <v>11.3</v>
      </c>
      <c r="AE855" s="36" t="s">
        <v>563</v>
      </c>
      <c r="AF855" s="36" t="s">
        <v>860</v>
      </c>
    </row>
    <row r="856" spans="2:32" ht="75" customHeight="1" x14ac:dyDescent="0.25">
      <c r="B856" s="31" t="s">
        <v>3271</v>
      </c>
      <c r="C856" s="41">
        <v>2025</v>
      </c>
      <c r="D856" s="42">
        <f t="shared" si="13"/>
        <v>2028</v>
      </c>
      <c r="E856" s="31" t="s">
        <v>126</v>
      </c>
      <c r="F856" s="31" t="s">
        <v>1005</v>
      </c>
      <c r="G856" s="31" t="s">
        <v>3272</v>
      </c>
      <c r="H856" s="31" t="s">
        <v>172</v>
      </c>
      <c r="I856" s="31" t="s">
        <v>1010</v>
      </c>
      <c r="J856" s="31" t="s">
        <v>1011</v>
      </c>
      <c r="K856" s="31" t="s">
        <v>205</v>
      </c>
      <c r="L856" s="31" t="s">
        <v>159</v>
      </c>
      <c r="M856" s="34">
        <v>0</v>
      </c>
      <c r="N856" s="34">
        <v>57750000</v>
      </c>
      <c r="O856" s="34">
        <v>57750000</v>
      </c>
      <c r="P856" s="31" t="s">
        <v>624</v>
      </c>
      <c r="Q856" s="34">
        <v>105000</v>
      </c>
      <c r="R856" s="31" t="s">
        <v>159</v>
      </c>
      <c r="S856" s="35">
        <v>45673</v>
      </c>
      <c r="T856" s="35">
        <v>45671</v>
      </c>
      <c r="U856" s="35">
        <v>47118</v>
      </c>
      <c r="V856" s="27" t="s">
        <v>9392</v>
      </c>
      <c r="W856" s="31" t="s">
        <v>557</v>
      </c>
      <c r="X856" s="31" t="s">
        <v>880</v>
      </c>
      <c r="Y856" s="31" t="s">
        <v>125</v>
      </c>
      <c r="Z856" s="31" t="s">
        <v>1006</v>
      </c>
      <c r="AA856" s="31" t="s">
        <v>1012</v>
      </c>
      <c r="AB856" s="31" t="s">
        <v>560</v>
      </c>
      <c r="AC856" s="31" t="s">
        <v>939</v>
      </c>
      <c r="AD856" s="34">
        <v>11.3</v>
      </c>
      <c r="AE856" s="31" t="s">
        <v>563</v>
      </c>
      <c r="AF856" s="31" t="s">
        <v>860</v>
      </c>
    </row>
    <row r="857" spans="2:32" ht="75" customHeight="1" x14ac:dyDescent="0.25">
      <c r="B857" s="36" t="s">
        <v>3273</v>
      </c>
      <c r="C857" s="42">
        <v>2025</v>
      </c>
      <c r="D857" s="42">
        <f t="shared" si="13"/>
        <v>2028</v>
      </c>
      <c r="E857" s="36" t="s">
        <v>126</v>
      </c>
      <c r="F857" s="36" t="s">
        <v>3274</v>
      </c>
      <c r="G857" s="36" t="s">
        <v>3275</v>
      </c>
      <c r="H857" s="36" t="s">
        <v>172</v>
      </c>
      <c r="I857" s="36" t="s">
        <v>1020</v>
      </c>
      <c r="J857" s="36" t="s">
        <v>1021</v>
      </c>
      <c r="K857" s="36" t="s">
        <v>526</v>
      </c>
      <c r="L857" s="36" t="s">
        <v>159</v>
      </c>
      <c r="M857" s="37">
        <v>0</v>
      </c>
      <c r="N857" s="37">
        <v>641828550</v>
      </c>
      <c r="O857" s="37">
        <v>641828550</v>
      </c>
      <c r="P857" s="36" t="s">
        <v>624</v>
      </c>
      <c r="Q857" s="37">
        <v>1166961</v>
      </c>
      <c r="R857" s="36" t="s">
        <v>159</v>
      </c>
      <c r="S857" s="38">
        <v>45717</v>
      </c>
      <c r="T857" s="38">
        <v>45671</v>
      </c>
      <c r="U857" s="38">
        <v>47118</v>
      </c>
      <c r="V857" s="27" t="s">
        <v>9308</v>
      </c>
      <c r="W857" s="36" t="s">
        <v>557</v>
      </c>
      <c r="X857" s="36" t="s">
        <v>880</v>
      </c>
      <c r="Y857" s="36" t="s">
        <v>242</v>
      </c>
      <c r="Z857" s="36" t="s">
        <v>2876</v>
      </c>
      <c r="AA857" s="36" t="s">
        <v>1035</v>
      </c>
      <c r="AB857" s="36" t="s">
        <v>964</v>
      </c>
      <c r="AC857" s="36" t="s">
        <v>1047</v>
      </c>
      <c r="AD857" s="37">
        <v>17.170000000000002</v>
      </c>
      <c r="AE857" s="36" t="s">
        <v>864</v>
      </c>
      <c r="AF857" s="36" t="s">
        <v>860</v>
      </c>
    </row>
    <row r="858" spans="2:32" ht="60" customHeight="1" x14ac:dyDescent="0.25">
      <c r="B858" s="31" t="s">
        <v>3276</v>
      </c>
      <c r="C858" s="41">
        <v>2025</v>
      </c>
      <c r="D858" s="42">
        <f t="shared" si="13"/>
        <v>2026</v>
      </c>
      <c r="E858" s="31" t="s">
        <v>126</v>
      </c>
      <c r="F858" s="31" t="s">
        <v>1524</v>
      </c>
      <c r="G858" s="31" t="s">
        <v>3277</v>
      </c>
      <c r="H858" s="31" t="s">
        <v>326</v>
      </c>
      <c r="I858" s="31" t="s">
        <v>1515</v>
      </c>
      <c r="J858" s="31" t="s">
        <v>1516</v>
      </c>
      <c r="K858" s="31" t="s">
        <v>315</v>
      </c>
      <c r="L858" s="31" t="s">
        <v>159</v>
      </c>
      <c r="M858" s="34">
        <v>0</v>
      </c>
      <c r="N858" s="34">
        <v>7649442553.5</v>
      </c>
      <c r="O858" s="34">
        <v>7649442553.5</v>
      </c>
      <c r="P858" s="31" t="s">
        <v>624</v>
      </c>
      <c r="Q858" s="34">
        <v>13908077.369999999</v>
      </c>
      <c r="R858" s="31" t="s">
        <v>159</v>
      </c>
      <c r="S858" s="45"/>
      <c r="T858" s="35">
        <v>45671</v>
      </c>
      <c r="U858" s="35">
        <v>46387</v>
      </c>
      <c r="V858" s="27" t="s">
        <v>9424</v>
      </c>
      <c r="W858" s="31" t="s">
        <v>557</v>
      </c>
      <c r="X858" s="31" t="s">
        <v>880</v>
      </c>
      <c r="Y858" s="31" t="s">
        <v>242</v>
      </c>
      <c r="Z858" s="31" t="s">
        <v>1519</v>
      </c>
      <c r="AA858" s="31" t="s">
        <v>900</v>
      </c>
      <c r="AB858" s="31" t="s">
        <v>861</v>
      </c>
      <c r="AC858" s="31" t="s">
        <v>901</v>
      </c>
      <c r="AD858" s="34">
        <v>4.0999999999999996</v>
      </c>
      <c r="AE858" s="31" t="s">
        <v>902</v>
      </c>
      <c r="AF858" s="31" t="s">
        <v>860</v>
      </c>
    </row>
    <row r="859" spans="2:32" ht="75" customHeight="1" x14ac:dyDescent="0.25">
      <c r="B859" s="36" t="s">
        <v>3278</v>
      </c>
      <c r="C859" s="42">
        <v>2026</v>
      </c>
      <c r="D859" s="42">
        <f t="shared" si="13"/>
        <v>2026</v>
      </c>
      <c r="E859" s="36" t="s">
        <v>126</v>
      </c>
      <c r="F859" s="36" t="s">
        <v>3279</v>
      </c>
      <c r="G859" s="36" t="s">
        <v>3280</v>
      </c>
      <c r="H859" s="36" t="s">
        <v>3041</v>
      </c>
      <c r="I859" s="36" t="s">
        <v>178</v>
      </c>
      <c r="J859" s="36" t="s">
        <v>179</v>
      </c>
      <c r="K859" s="36" t="s">
        <v>163</v>
      </c>
      <c r="L859" s="36" t="s">
        <v>127</v>
      </c>
      <c r="M859" s="37">
        <v>25188748800</v>
      </c>
      <c r="N859" s="37">
        <v>0</v>
      </c>
      <c r="O859" s="37">
        <v>25188748800</v>
      </c>
      <c r="P859" s="36" t="s">
        <v>122</v>
      </c>
      <c r="Q859" s="37">
        <v>38400000</v>
      </c>
      <c r="R859" s="36" t="s">
        <v>150</v>
      </c>
      <c r="S859" s="38">
        <v>46084</v>
      </c>
      <c r="T859" s="38">
        <v>45671</v>
      </c>
      <c r="U859" s="38">
        <v>46387</v>
      </c>
      <c r="V859" s="27" t="s">
        <v>9308</v>
      </c>
      <c r="W859" s="37"/>
      <c r="X859" s="37"/>
      <c r="Y859" s="37" t="s">
        <v>125</v>
      </c>
      <c r="Z859" s="37"/>
      <c r="AA859" s="37"/>
      <c r="AB859" s="37"/>
      <c r="AC859" s="37"/>
      <c r="AD859" s="37"/>
      <c r="AE859" s="37"/>
      <c r="AF859" s="37"/>
    </row>
    <row r="860" spans="2:32" ht="135" customHeight="1" x14ac:dyDescent="0.25">
      <c r="B860" s="31" t="s">
        <v>3281</v>
      </c>
      <c r="C860" s="41">
        <v>2026</v>
      </c>
      <c r="D860" s="42">
        <f t="shared" si="13"/>
        <v>2026</v>
      </c>
      <c r="E860" s="31" t="s">
        <v>126</v>
      </c>
      <c r="F860" s="31" t="s">
        <v>3282</v>
      </c>
      <c r="G860" s="31" t="s">
        <v>3283</v>
      </c>
      <c r="H860" s="31" t="s">
        <v>3284</v>
      </c>
      <c r="I860" s="31" t="s">
        <v>178</v>
      </c>
      <c r="J860" s="31" t="s">
        <v>179</v>
      </c>
      <c r="K860" s="31" t="s">
        <v>163</v>
      </c>
      <c r="L860" s="31" t="s">
        <v>127</v>
      </c>
      <c r="M860" s="34">
        <v>86586324000</v>
      </c>
      <c r="N860" s="34">
        <v>0</v>
      </c>
      <c r="O860" s="34">
        <v>86586324000</v>
      </c>
      <c r="P860" s="31" t="s">
        <v>122</v>
      </c>
      <c r="Q860" s="34">
        <v>132000000</v>
      </c>
      <c r="R860" s="31" t="s">
        <v>150</v>
      </c>
      <c r="S860" s="35">
        <v>46084</v>
      </c>
      <c r="T860" s="35">
        <v>45671</v>
      </c>
      <c r="U860" s="35">
        <v>46387</v>
      </c>
      <c r="V860" s="27" t="s">
        <v>9308</v>
      </c>
      <c r="W860" s="34"/>
      <c r="X860" s="34"/>
      <c r="Y860" s="34" t="s">
        <v>125</v>
      </c>
      <c r="Z860" s="34"/>
      <c r="AA860" s="34"/>
      <c r="AB860" s="34"/>
      <c r="AC860" s="34"/>
      <c r="AD860" s="34"/>
      <c r="AE860" s="34"/>
      <c r="AF860" s="34"/>
    </row>
    <row r="861" spans="2:32" ht="90" customHeight="1" x14ac:dyDescent="0.25">
      <c r="B861" s="36" t="s">
        <v>3285</v>
      </c>
      <c r="C861" s="42">
        <v>2026</v>
      </c>
      <c r="D861" s="42">
        <f t="shared" si="13"/>
        <v>2027</v>
      </c>
      <c r="E861" s="36" t="s">
        <v>126</v>
      </c>
      <c r="F861" s="36" t="s">
        <v>3286</v>
      </c>
      <c r="G861" s="36" t="s">
        <v>3287</v>
      </c>
      <c r="H861" s="36" t="s">
        <v>3289</v>
      </c>
      <c r="I861" s="36" t="s">
        <v>3288</v>
      </c>
      <c r="J861" s="36" t="s">
        <v>149</v>
      </c>
      <c r="K861" s="36" t="s">
        <v>163</v>
      </c>
      <c r="L861" s="36" t="s">
        <v>127</v>
      </c>
      <c r="M861" s="37">
        <v>19678710000</v>
      </c>
      <c r="N861" s="37">
        <v>0</v>
      </c>
      <c r="O861" s="37">
        <v>19678710000</v>
      </c>
      <c r="P861" s="36" t="s">
        <v>122</v>
      </c>
      <c r="Q861" s="37">
        <v>30000000</v>
      </c>
      <c r="R861" s="36" t="s">
        <v>150</v>
      </c>
      <c r="S861" s="38">
        <v>46097</v>
      </c>
      <c r="T861" s="38">
        <v>46037</v>
      </c>
      <c r="U861" s="38">
        <v>46752</v>
      </c>
      <c r="V861" s="27" t="s">
        <v>9308</v>
      </c>
      <c r="W861" s="37"/>
      <c r="X861" s="37"/>
      <c r="Y861" s="37" t="s">
        <v>125</v>
      </c>
      <c r="Z861" s="37"/>
      <c r="AA861" s="37"/>
      <c r="AB861" s="37"/>
      <c r="AC861" s="37"/>
      <c r="AD861" s="37"/>
      <c r="AE861" s="37"/>
      <c r="AF861" s="37"/>
    </row>
    <row r="862" spans="2:32" ht="90" customHeight="1" x14ac:dyDescent="0.25">
      <c r="B862" s="31" t="s">
        <v>3290</v>
      </c>
      <c r="C862" s="41">
        <v>2026</v>
      </c>
      <c r="D862" s="42">
        <f t="shared" si="13"/>
        <v>2030</v>
      </c>
      <c r="E862" s="31" t="s">
        <v>126</v>
      </c>
      <c r="F862" s="31" t="s">
        <v>3291</v>
      </c>
      <c r="G862" s="31" t="s">
        <v>3292</v>
      </c>
      <c r="H862" s="31" t="s">
        <v>3293</v>
      </c>
      <c r="I862" s="31" t="s">
        <v>137</v>
      </c>
      <c r="J862" s="31" t="s">
        <v>138</v>
      </c>
      <c r="K862" s="31" t="s">
        <v>369</v>
      </c>
      <c r="L862" s="31" t="s">
        <v>127</v>
      </c>
      <c r="M862" s="34">
        <v>12000000000</v>
      </c>
      <c r="N862" s="34">
        <v>0</v>
      </c>
      <c r="O862" s="34">
        <v>12000000000</v>
      </c>
      <c r="P862" s="31" t="s">
        <v>136</v>
      </c>
      <c r="Q862" s="34">
        <v>12000000000</v>
      </c>
      <c r="R862" s="31" t="s">
        <v>128</v>
      </c>
      <c r="S862" s="35">
        <v>46108</v>
      </c>
      <c r="T862" s="35">
        <v>46037</v>
      </c>
      <c r="U862" s="35">
        <v>47848</v>
      </c>
      <c r="V862" s="27" t="s">
        <v>9308</v>
      </c>
      <c r="W862" s="34"/>
      <c r="X862" s="34"/>
      <c r="Y862" s="34" t="s">
        <v>125</v>
      </c>
      <c r="Z862" s="34"/>
      <c r="AA862" s="34"/>
      <c r="AB862" s="34"/>
      <c r="AC862" s="34"/>
      <c r="AD862" s="34"/>
      <c r="AE862" s="34"/>
      <c r="AF862" s="34"/>
    </row>
    <row r="863" spans="2:32" ht="90" customHeight="1" x14ac:dyDescent="0.25">
      <c r="B863" s="36" t="s">
        <v>3294</v>
      </c>
      <c r="C863" s="42">
        <v>2026</v>
      </c>
      <c r="D863" s="42">
        <f t="shared" si="13"/>
        <v>2030</v>
      </c>
      <c r="E863" s="36" t="s">
        <v>126</v>
      </c>
      <c r="F863" s="36" t="s">
        <v>3295</v>
      </c>
      <c r="G863" s="36" t="s">
        <v>3296</v>
      </c>
      <c r="H863" s="36" t="s">
        <v>3293</v>
      </c>
      <c r="I863" s="36" t="s">
        <v>137</v>
      </c>
      <c r="J863" s="36" t="s">
        <v>138</v>
      </c>
      <c r="K863" s="36" t="s">
        <v>369</v>
      </c>
      <c r="L863" s="36" t="s">
        <v>127</v>
      </c>
      <c r="M863" s="37">
        <v>7500000000</v>
      </c>
      <c r="N863" s="37">
        <v>0</v>
      </c>
      <c r="O863" s="37">
        <v>7500000000</v>
      </c>
      <c r="P863" s="36" t="s">
        <v>136</v>
      </c>
      <c r="Q863" s="37">
        <v>7500000000</v>
      </c>
      <c r="R863" s="36" t="s">
        <v>128</v>
      </c>
      <c r="S863" s="38">
        <v>46108</v>
      </c>
      <c r="T863" s="38">
        <v>46037</v>
      </c>
      <c r="U863" s="38">
        <v>47848</v>
      </c>
      <c r="V863" s="27" t="s">
        <v>9308</v>
      </c>
      <c r="W863" s="37"/>
      <c r="X863" s="37"/>
      <c r="Y863" s="37" t="s">
        <v>125</v>
      </c>
      <c r="Z863" s="37"/>
      <c r="AA863" s="37"/>
      <c r="AB863" s="37"/>
      <c r="AC863" s="37"/>
      <c r="AD863" s="37"/>
      <c r="AE863" s="37"/>
      <c r="AF863" s="37"/>
    </row>
    <row r="864" spans="2:32" ht="105" customHeight="1" x14ac:dyDescent="0.25">
      <c r="B864" s="31" t="s">
        <v>3297</v>
      </c>
      <c r="C864" s="41">
        <v>2026</v>
      </c>
      <c r="D864" s="42">
        <f t="shared" si="13"/>
        <v>2031</v>
      </c>
      <c r="E864" s="31" t="s">
        <v>126</v>
      </c>
      <c r="F864" s="31" t="s">
        <v>3298</v>
      </c>
      <c r="G864" s="31" t="s">
        <v>3299</v>
      </c>
      <c r="H864" s="31" t="s">
        <v>3302</v>
      </c>
      <c r="I864" s="31" t="s">
        <v>689</v>
      </c>
      <c r="J864" s="31" t="s">
        <v>690</v>
      </c>
      <c r="K864" s="31" t="s">
        <v>315</v>
      </c>
      <c r="L864" s="31" t="s">
        <v>127</v>
      </c>
      <c r="M864" s="34">
        <v>72155270000</v>
      </c>
      <c r="N864" s="34">
        <v>0</v>
      </c>
      <c r="O864" s="34">
        <v>72155270000</v>
      </c>
      <c r="P864" s="31" t="s">
        <v>122</v>
      </c>
      <c r="Q864" s="34">
        <v>110000000</v>
      </c>
      <c r="R864" s="31" t="s">
        <v>127</v>
      </c>
      <c r="S864" s="35">
        <v>46037</v>
      </c>
      <c r="T864" s="35">
        <v>46027</v>
      </c>
      <c r="U864" s="35">
        <v>48213</v>
      </c>
      <c r="V864" s="27" t="s">
        <v>9506</v>
      </c>
      <c r="W864" s="34"/>
      <c r="X864" s="34"/>
      <c r="Y864" s="34" t="s">
        <v>125</v>
      </c>
      <c r="Z864" s="34"/>
      <c r="AA864" s="34"/>
      <c r="AB864" s="34"/>
      <c r="AC864" s="34"/>
      <c r="AD864" s="34"/>
      <c r="AE864" s="34"/>
      <c r="AF864" s="34"/>
    </row>
    <row r="865" spans="2:32" ht="90" customHeight="1" x14ac:dyDescent="0.25">
      <c r="B865" s="36" t="s">
        <v>3303</v>
      </c>
      <c r="C865" s="42">
        <v>2026</v>
      </c>
      <c r="D865" s="42">
        <f t="shared" si="13"/>
        <v>2030</v>
      </c>
      <c r="E865" s="36" t="s">
        <v>126</v>
      </c>
      <c r="F865" s="36" t="s">
        <v>3304</v>
      </c>
      <c r="G865" s="36" t="s">
        <v>3305</v>
      </c>
      <c r="H865" s="36" t="s">
        <v>151</v>
      </c>
      <c r="I865" s="36" t="s">
        <v>277</v>
      </c>
      <c r="J865" s="36" t="s">
        <v>278</v>
      </c>
      <c r="K865" s="36" t="s">
        <v>190</v>
      </c>
      <c r="L865" s="36" t="s">
        <v>127</v>
      </c>
      <c r="M865" s="37">
        <v>1100000000</v>
      </c>
      <c r="N865" s="37">
        <v>0</v>
      </c>
      <c r="O865" s="37">
        <v>1100000000</v>
      </c>
      <c r="P865" s="36" t="s">
        <v>624</v>
      </c>
      <c r="Q865" s="37">
        <v>2000000</v>
      </c>
      <c r="R865" s="36" t="s">
        <v>150</v>
      </c>
      <c r="S865" s="38">
        <v>46107</v>
      </c>
      <c r="T865" s="38">
        <v>46097</v>
      </c>
      <c r="U865" s="38">
        <v>47848</v>
      </c>
      <c r="V865" s="27" t="s">
        <v>9315</v>
      </c>
      <c r="W865" s="37"/>
      <c r="X865" s="37"/>
      <c r="Y865" s="37" t="s">
        <v>125</v>
      </c>
      <c r="Z865" s="37"/>
      <c r="AA865" s="37"/>
      <c r="AB865" s="37"/>
      <c r="AC865" s="37"/>
      <c r="AD865" s="37"/>
      <c r="AE865" s="37"/>
      <c r="AF865" s="37"/>
    </row>
    <row r="866" spans="2:32" ht="90" customHeight="1" x14ac:dyDescent="0.25">
      <c r="B866" s="31" t="s">
        <v>3306</v>
      </c>
      <c r="C866" s="41">
        <v>2026</v>
      </c>
      <c r="D866" s="42">
        <f t="shared" si="13"/>
        <v>2031</v>
      </c>
      <c r="E866" s="31" t="s">
        <v>126</v>
      </c>
      <c r="F866" s="31" t="s">
        <v>3307</v>
      </c>
      <c r="G866" s="31" t="s">
        <v>3308</v>
      </c>
      <c r="H866" s="31" t="s">
        <v>151</v>
      </c>
      <c r="I866" s="31" t="s">
        <v>277</v>
      </c>
      <c r="J866" s="31" t="s">
        <v>278</v>
      </c>
      <c r="K866" s="31" t="s">
        <v>190</v>
      </c>
      <c r="L866" s="31" t="s">
        <v>127</v>
      </c>
      <c r="M866" s="34">
        <v>66989661102</v>
      </c>
      <c r="N866" s="34">
        <v>0</v>
      </c>
      <c r="O866" s="34">
        <v>66989661102</v>
      </c>
      <c r="P866" s="31" t="s">
        <v>122</v>
      </c>
      <c r="Q866" s="34">
        <v>102125080</v>
      </c>
      <c r="R866" s="31" t="s">
        <v>128</v>
      </c>
      <c r="S866" s="35">
        <v>46191</v>
      </c>
      <c r="T866" s="35">
        <v>46029</v>
      </c>
      <c r="U866" s="35">
        <v>48213</v>
      </c>
      <c r="V866" s="27" t="s">
        <v>9507</v>
      </c>
      <c r="W866" s="34"/>
      <c r="X866" s="34"/>
      <c r="Y866" s="34" t="s">
        <v>125</v>
      </c>
      <c r="Z866" s="34"/>
      <c r="AA866" s="34"/>
      <c r="AB866" s="34"/>
      <c r="AC866" s="34"/>
      <c r="AD866" s="34"/>
      <c r="AE866" s="34"/>
      <c r="AF866" s="34"/>
    </row>
    <row r="867" spans="2:32" ht="90" customHeight="1" x14ac:dyDescent="0.25">
      <c r="B867" s="36" t="s">
        <v>3310</v>
      </c>
      <c r="C867" s="42">
        <v>2026</v>
      </c>
      <c r="D867" s="42">
        <f t="shared" si="13"/>
        <v>2027</v>
      </c>
      <c r="E867" s="36" t="s">
        <v>317</v>
      </c>
      <c r="F867" s="36" t="s">
        <v>3311</v>
      </c>
      <c r="G867" s="36" t="s">
        <v>3312</v>
      </c>
      <c r="H867" s="36" t="s">
        <v>181</v>
      </c>
      <c r="I867" s="36" t="s">
        <v>178</v>
      </c>
      <c r="J867" s="36" t="s">
        <v>179</v>
      </c>
      <c r="K867" s="36" t="s">
        <v>163</v>
      </c>
      <c r="L867" s="36" t="s">
        <v>127</v>
      </c>
      <c r="M867" s="37">
        <v>15673029000</v>
      </c>
      <c r="N867" s="37">
        <v>0</v>
      </c>
      <c r="O867" s="37">
        <v>15673029000</v>
      </c>
      <c r="P867" s="36" t="s">
        <v>122</v>
      </c>
      <c r="Q867" s="37">
        <v>20500000</v>
      </c>
      <c r="R867" s="36" t="s">
        <v>150</v>
      </c>
      <c r="S867" s="38">
        <v>46037</v>
      </c>
      <c r="T867" s="38">
        <v>46028</v>
      </c>
      <c r="U867" s="38">
        <v>46752</v>
      </c>
      <c r="V867" s="27" t="s">
        <v>9307</v>
      </c>
      <c r="W867" s="37"/>
      <c r="X867" s="37"/>
      <c r="Y867" s="37" t="s">
        <v>125</v>
      </c>
      <c r="Z867" s="37"/>
      <c r="AA867" s="37"/>
      <c r="AB867" s="37"/>
      <c r="AC867" s="37"/>
      <c r="AD867" s="37"/>
      <c r="AE867" s="37"/>
      <c r="AF867" s="37"/>
    </row>
    <row r="868" spans="2:32" ht="75" customHeight="1" x14ac:dyDescent="0.25">
      <c r="B868" s="31" t="s">
        <v>3313</v>
      </c>
      <c r="C868" s="41">
        <v>2026</v>
      </c>
      <c r="D868" s="42">
        <f t="shared" si="13"/>
        <v>2031</v>
      </c>
      <c r="E868" s="31" t="s">
        <v>317</v>
      </c>
      <c r="F868" s="31" t="s">
        <v>3314</v>
      </c>
      <c r="G868" s="31" t="s">
        <v>3315</v>
      </c>
      <c r="H868" s="31" t="s">
        <v>181</v>
      </c>
      <c r="I868" s="31" t="s">
        <v>178</v>
      </c>
      <c r="J868" s="31" t="s">
        <v>179</v>
      </c>
      <c r="K868" s="31" t="s">
        <v>526</v>
      </c>
      <c r="L868" s="31" t="s">
        <v>127</v>
      </c>
      <c r="M868" s="34">
        <v>56740280500</v>
      </c>
      <c r="N868" s="34">
        <v>0</v>
      </c>
      <c r="O868" s="34">
        <v>56740280500</v>
      </c>
      <c r="P868" s="31" t="s">
        <v>122</v>
      </c>
      <c r="Q868" s="34">
        <v>86500000</v>
      </c>
      <c r="R868" s="31" t="s">
        <v>150</v>
      </c>
      <c r="S868" s="35">
        <v>46142</v>
      </c>
      <c r="T868" s="35">
        <v>46087</v>
      </c>
      <c r="U868" s="35">
        <v>48213</v>
      </c>
      <c r="V868" s="27" t="s">
        <v>9308</v>
      </c>
      <c r="W868" s="34"/>
      <c r="X868" s="34"/>
      <c r="Y868" s="34" t="s">
        <v>125</v>
      </c>
      <c r="Z868" s="34"/>
      <c r="AA868" s="34"/>
      <c r="AB868" s="34"/>
      <c r="AC868" s="34"/>
      <c r="AD868" s="34"/>
      <c r="AE868" s="34"/>
      <c r="AF868" s="34"/>
    </row>
    <row r="869" spans="2:32" ht="75" customHeight="1" x14ac:dyDescent="0.25">
      <c r="B869" s="36" t="s">
        <v>3316</v>
      </c>
      <c r="C869" s="42">
        <v>2026</v>
      </c>
      <c r="D869" s="42">
        <f t="shared" si="13"/>
        <v>2031</v>
      </c>
      <c r="E869" s="36" t="s">
        <v>126</v>
      </c>
      <c r="F869" s="36" t="s">
        <v>3317</v>
      </c>
      <c r="G869" s="36" t="s">
        <v>3318</v>
      </c>
      <c r="H869" s="36" t="s">
        <v>181</v>
      </c>
      <c r="I869" s="36" t="s">
        <v>178</v>
      </c>
      <c r="J869" s="36" t="s">
        <v>179</v>
      </c>
      <c r="K869" s="36" t="s">
        <v>118</v>
      </c>
      <c r="L869" s="36" t="s">
        <v>127</v>
      </c>
      <c r="M869" s="37">
        <v>82500000000</v>
      </c>
      <c r="N869" s="37">
        <v>0</v>
      </c>
      <c r="O869" s="37">
        <v>82500000000</v>
      </c>
      <c r="P869" s="36" t="s">
        <v>624</v>
      </c>
      <c r="Q869" s="37">
        <v>150000000</v>
      </c>
      <c r="R869" s="36" t="s">
        <v>150</v>
      </c>
      <c r="S869" s="38">
        <v>46189</v>
      </c>
      <c r="T869" s="38">
        <v>46142</v>
      </c>
      <c r="U869" s="38">
        <v>48029</v>
      </c>
      <c r="V869" s="27" t="s">
        <v>9508</v>
      </c>
      <c r="W869" s="36" t="s">
        <v>557</v>
      </c>
      <c r="X869" s="36" t="s">
        <v>558</v>
      </c>
      <c r="Y869" s="36" t="s">
        <v>125</v>
      </c>
      <c r="Z869" s="36" t="s">
        <v>1215</v>
      </c>
      <c r="AA869" s="36" t="s">
        <v>561</v>
      </c>
      <c r="AB869" s="36" t="s">
        <v>560</v>
      </c>
      <c r="AC869" s="36" t="s">
        <v>562</v>
      </c>
      <c r="AD869" s="37">
        <v>6.1</v>
      </c>
      <c r="AE869" s="36" t="s">
        <v>563</v>
      </c>
      <c r="AF869" s="36" t="s">
        <v>559</v>
      </c>
    </row>
    <row r="870" spans="2:32" ht="60" customHeight="1" x14ac:dyDescent="0.25">
      <c r="B870" s="31" t="s">
        <v>3320</v>
      </c>
      <c r="C870" s="41">
        <v>2026</v>
      </c>
      <c r="D870" s="42">
        <f t="shared" si="13"/>
        <v>2029</v>
      </c>
      <c r="E870" s="31" t="s">
        <v>126</v>
      </c>
      <c r="F870" s="31" t="s">
        <v>3321</v>
      </c>
      <c r="G870" s="31" t="s">
        <v>3322</v>
      </c>
      <c r="H870" s="31" t="s">
        <v>181</v>
      </c>
      <c r="I870" s="31" t="s">
        <v>178</v>
      </c>
      <c r="J870" s="31" t="s">
        <v>179</v>
      </c>
      <c r="K870" s="31" t="s">
        <v>216</v>
      </c>
      <c r="L870" s="31" t="s">
        <v>127</v>
      </c>
      <c r="M870" s="34">
        <v>34586250000</v>
      </c>
      <c r="N870" s="34">
        <v>0</v>
      </c>
      <c r="O870" s="34">
        <v>34586250000</v>
      </c>
      <c r="P870" s="31" t="s">
        <v>624</v>
      </c>
      <c r="Q870" s="34">
        <v>60000000</v>
      </c>
      <c r="R870" s="31" t="s">
        <v>150</v>
      </c>
      <c r="S870" s="35">
        <v>46174</v>
      </c>
      <c r="T870" s="35">
        <v>46037</v>
      </c>
      <c r="U870" s="35">
        <v>47299</v>
      </c>
      <c r="V870" s="27" t="s">
        <v>9308</v>
      </c>
      <c r="W870" s="34"/>
      <c r="X870" s="34"/>
      <c r="Y870" s="34" t="s">
        <v>125</v>
      </c>
      <c r="Z870" s="34"/>
      <c r="AA870" s="34"/>
      <c r="AB870" s="34"/>
      <c r="AC870" s="34"/>
      <c r="AD870" s="34"/>
      <c r="AE870" s="34"/>
      <c r="AF870" s="34"/>
    </row>
    <row r="871" spans="2:32" ht="75" customHeight="1" x14ac:dyDescent="0.25">
      <c r="B871" s="36" t="s">
        <v>3323</v>
      </c>
      <c r="C871" s="42">
        <v>2026</v>
      </c>
      <c r="D871" s="42">
        <f t="shared" si="13"/>
        <v>2031</v>
      </c>
      <c r="E871" s="36" t="s">
        <v>317</v>
      </c>
      <c r="F871" s="36" t="s">
        <v>3324</v>
      </c>
      <c r="G871" s="36" t="s">
        <v>3326</v>
      </c>
      <c r="H871" s="36" t="s">
        <v>372</v>
      </c>
      <c r="I871" s="36" t="s">
        <v>178</v>
      </c>
      <c r="J871" s="36" t="s">
        <v>179</v>
      </c>
      <c r="K871" s="36" t="s">
        <v>190</v>
      </c>
      <c r="L871" s="36" t="s">
        <v>201</v>
      </c>
      <c r="M871" s="37">
        <v>82500000000</v>
      </c>
      <c r="N871" s="37">
        <v>11000000000</v>
      </c>
      <c r="O871" s="37">
        <v>93500000000</v>
      </c>
      <c r="P871" s="36" t="s">
        <v>624</v>
      </c>
      <c r="Q871" s="37">
        <v>170000000</v>
      </c>
      <c r="R871" s="36" t="s">
        <v>279</v>
      </c>
      <c r="S871" s="38">
        <v>46189</v>
      </c>
      <c r="T871" s="38">
        <v>46142</v>
      </c>
      <c r="U871" s="38">
        <v>48029</v>
      </c>
      <c r="V871" s="27" t="s">
        <v>9308</v>
      </c>
      <c r="W871" s="36" t="s">
        <v>557</v>
      </c>
      <c r="X871" s="36" t="s">
        <v>859</v>
      </c>
      <c r="Y871" s="36" t="s">
        <v>125</v>
      </c>
      <c r="Z871" s="36" t="s">
        <v>3325</v>
      </c>
      <c r="AA871" s="36" t="s">
        <v>561</v>
      </c>
      <c r="AB871" s="36" t="s">
        <v>560</v>
      </c>
      <c r="AC871" s="36" t="s">
        <v>989</v>
      </c>
      <c r="AD871" s="37">
        <v>3.8</v>
      </c>
      <c r="AE871" s="36" t="s">
        <v>902</v>
      </c>
      <c r="AF871" s="36" t="s">
        <v>559</v>
      </c>
    </row>
    <row r="872" spans="2:32" ht="60" customHeight="1" x14ac:dyDescent="0.25">
      <c r="B872" s="36" t="s">
        <v>3327</v>
      </c>
      <c r="C872" s="42">
        <v>2024</v>
      </c>
      <c r="D872" s="33">
        <f t="shared" si="13"/>
        <v>2027</v>
      </c>
      <c r="E872" s="36" t="s">
        <v>126</v>
      </c>
      <c r="F872" s="36" t="s">
        <v>3139</v>
      </c>
      <c r="G872" s="36" t="s">
        <v>3140</v>
      </c>
      <c r="H872" s="36" t="s">
        <v>326</v>
      </c>
      <c r="I872" s="36" t="s">
        <v>337</v>
      </c>
      <c r="J872" s="36" t="s">
        <v>338</v>
      </c>
      <c r="K872" s="36" t="s">
        <v>190</v>
      </c>
      <c r="L872" s="36" t="s">
        <v>127</v>
      </c>
      <c r="M872" s="37">
        <v>19678710000</v>
      </c>
      <c r="N872" s="37">
        <v>0</v>
      </c>
      <c r="O872" s="37">
        <v>19678710000</v>
      </c>
      <c r="P872" s="36" t="s">
        <v>122</v>
      </c>
      <c r="Q872" s="37">
        <v>33000000</v>
      </c>
      <c r="R872" s="36" t="s">
        <v>150</v>
      </c>
      <c r="S872" s="38">
        <v>45427</v>
      </c>
      <c r="T872" s="38">
        <v>45310</v>
      </c>
      <c r="U872" s="38">
        <v>46741</v>
      </c>
      <c r="V872" s="27" t="s">
        <v>9308</v>
      </c>
      <c r="W872" s="36" t="s">
        <v>557</v>
      </c>
      <c r="X872" s="36" t="s">
        <v>558</v>
      </c>
      <c r="Y872" s="36" t="s">
        <v>242</v>
      </c>
      <c r="Z872" s="36" t="s">
        <v>1453</v>
      </c>
      <c r="AA872" s="36" t="s">
        <v>862</v>
      </c>
      <c r="AB872" s="36" t="s">
        <v>861</v>
      </c>
      <c r="AC872" s="36" t="s">
        <v>863</v>
      </c>
      <c r="AD872" s="37">
        <v>2.2999999999999998</v>
      </c>
      <c r="AE872" s="36" t="s">
        <v>864</v>
      </c>
      <c r="AF872" s="36" t="s">
        <v>860</v>
      </c>
    </row>
  </sheetData>
  <autoFilter ref="B6:AK6" xr:uid="{00000000-0001-0000-04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Projets</vt:lpstr>
      <vt:lpstr>Localisation</vt:lpstr>
      <vt:lpstr>Paramètres</vt:lpstr>
      <vt:lpstr>Suivi_Trimestriel</vt:lpstr>
      <vt:lpstr>Accords_consolides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ERNEST KOUHONTODE</cp:lastModifiedBy>
  <cp:revision>0</cp:revision>
  <dcterms:created xsi:type="dcterms:W3CDTF">2026-06-11T20:19:40Z</dcterms:created>
  <dcterms:modified xsi:type="dcterms:W3CDTF">2026-08-04T15:10:57Z</dcterms:modified>
  <dc:language>en-US</dc:language>
</cp:coreProperties>
</file>