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1f93a2b0abb5c92/Desktop/"/>
    </mc:Choice>
  </mc:AlternateContent>
  <xr:revisionPtr revIDLastSave="12" documentId="8_{99689073-5A35-4663-A31D-2556553CB0A9}" xr6:coauthVersionLast="47" xr6:coauthVersionMax="47" xr10:uidLastSave="{8CB09384-7F24-4EA0-B29C-F4E37049825F}"/>
  <bookViews>
    <workbookView xWindow="2340" yWindow="2340" windowWidth="21600" windowHeight="11295" firstSheet="2" activeTab="3" xr2:uid="{00000000-000D-0000-FFFF-FFFF00000000}"/>
  </bookViews>
  <sheets>
    <sheet name="base" sheetId="1" state="hidden" r:id="rId1"/>
    <sheet name="BASE VF_ARCHIVE 29.07.2024" sheetId="2" state="hidden" r:id="rId2"/>
    <sheet name="BASE EN COURS " sheetId="5" r:id="rId3"/>
    <sheet name="Feuil1" sheetId="6" r:id="rId4"/>
  </sheets>
  <definedNames>
    <definedName name="_xlnm._FilterDatabase" localSheetId="0" hidden="1">base!$A$1:$T$46</definedName>
    <definedName name="_xlnm._FilterDatabase" localSheetId="2" hidden="1">'BASE EN COURS '!$A$1:$AG$45</definedName>
    <definedName name="_xlnm._FilterDatabase" localSheetId="1" hidden="1">'BASE VF_ARCHIVE 29.07.2024'!$A$1:$AG$47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3" i="5" l="1"/>
  <c r="S42" i="5"/>
  <c r="L42" i="5"/>
  <c r="S41" i="5"/>
  <c r="L41" i="5"/>
  <c r="S40" i="5"/>
  <c r="L40" i="5"/>
  <c r="S39" i="5"/>
  <c r="L39" i="5"/>
  <c r="S38" i="5"/>
  <c r="L38" i="5"/>
  <c r="S37" i="5"/>
  <c r="L37" i="5"/>
  <c r="S36" i="5"/>
  <c r="L36" i="5"/>
  <c r="S35" i="5"/>
  <c r="L35" i="5"/>
  <c r="S34" i="5"/>
  <c r="L34" i="5"/>
  <c r="S33" i="5"/>
  <c r="L33" i="5"/>
  <c r="S32" i="5"/>
  <c r="L32" i="5"/>
  <c r="S31" i="5"/>
  <c r="L31" i="5"/>
  <c r="S30" i="5"/>
  <c r="L30" i="5"/>
  <c r="S29" i="5"/>
  <c r="L29" i="5"/>
  <c r="S28" i="5"/>
  <c r="L28" i="5"/>
  <c r="S27" i="5"/>
  <c r="L27" i="5"/>
  <c r="S26" i="5"/>
  <c r="L26" i="5"/>
  <c r="S25" i="5"/>
  <c r="L25" i="5"/>
  <c r="S24" i="5"/>
  <c r="L24" i="5"/>
  <c r="S23" i="5"/>
  <c r="L23" i="5"/>
  <c r="S22" i="5"/>
  <c r="L22" i="5"/>
  <c r="S21" i="5"/>
  <c r="L21" i="5"/>
  <c r="S20" i="5"/>
  <c r="L20" i="5"/>
  <c r="S19" i="5"/>
  <c r="L19" i="5"/>
  <c r="S18" i="5"/>
  <c r="L18" i="5"/>
  <c r="S17" i="5"/>
  <c r="L17" i="5"/>
  <c r="S16" i="5"/>
  <c r="L16" i="5"/>
  <c r="S15" i="5"/>
  <c r="L15" i="5"/>
  <c r="S14" i="5"/>
  <c r="L14" i="5"/>
  <c r="S13" i="5"/>
  <c r="L13" i="5"/>
  <c r="S12" i="5"/>
  <c r="L12" i="5"/>
  <c r="S11" i="5"/>
  <c r="L11" i="5"/>
  <c r="S10" i="5"/>
  <c r="L10" i="5"/>
  <c r="S9" i="5"/>
  <c r="L9" i="5"/>
  <c r="S8" i="5"/>
  <c r="L8" i="5"/>
  <c r="S7" i="5"/>
  <c r="L7" i="5"/>
  <c r="S6" i="5"/>
  <c r="L6" i="5"/>
  <c r="S5" i="5"/>
  <c r="L5" i="5"/>
  <c r="S4" i="5"/>
  <c r="L4" i="5"/>
  <c r="S3" i="5"/>
  <c r="L3" i="5"/>
  <c r="S2" i="5"/>
  <c r="L2" i="5"/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2" i="2"/>
</calcChain>
</file>

<file path=xl/sharedStrings.xml><?xml version="1.0" encoding="utf-8"?>
<sst xmlns="http://schemas.openxmlformats.org/spreadsheetml/2006/main" count="1763" uniqueCount="396">
  <si>
    <t>N°</t>
  </si>
  <si>
    <t>Nº Matricule</t>
  </si>
  <si>
    <t>Nom et prénoms</t>
  </si>
  <si>
    <t>Structure/Direction</t>
  </si>
  <si>
    <t>SEXE</t>
  </si>
  <si>
    <t>Poste occupé</t>
  </si>
  <si>
    <t>Statut</t>
  </si>
  <si>
    <t>Date probable de départ à la retraite</t>
  </si>
  <si>
    <t>Date de naissance</t>
  </si>
  <si>
    <t>Date de prise de service dans la fonction publique</t>
  </si>
  <si>
    <t>Date de prise de service dans la structure actuelle</t>
  </si>
  <si>
    <t xml:space="preserve">Corps </t>
  </si>
  <si>
    <t>Grade actuelle</t>
  </si>
  <si>
    <t xml:space="preserve">Dernier diplôme/Spécialité/date d'obtention </t>
  </si>
  <si>
    <t>Diplôme reconnu par l'Administration</t>
  </si>
  <si>
    <t>Date de retour de la dernière formation diplômante</t>
  </si>
  <si>
    <t>HAKPONDE Eustache</t>
  </si>
  <si>
    <t>DGAFD</t>
  </si>
  <si>
    <t>M</t>
  </si>
  <si>
    <t>Directeur ex Général Adjoint du Financement du Développement</t>
  </si>
  <si>
    <t>ACDPE</t>
  </si>
  <si>
    <t>15ans 11ms 30jrs</t>
  </si>
  <si>
    <t>Administrateur en gestion de projets</t>
  </si>
  <si>
    <t>A1-5</t>
  </si>
  <si>
    <t>DESS en Gestion des Projets en 2014 au Canada</t>
  </si>
  <si>
    <t xml:space="preserve">DESS en Gestion des Projets </t>
  </si>
  <si>
    <t>en 2015</t>
  </si>
  <si>
    <t>COMAHOUE Coffi Cécé Rock</t>
  </si>
  <si>
    <t>DMRM/DGFD</t>
  </si>
  <si>
    <t>Assistant du DGFD</t>
  </si>
  <si>
    <t>A1-2</t>
  </si>
  <si>
    <t xml:space="preserve">Master en Administration des Finances </t>
  </si>
  <si>
    <t>BAC D</t>
  </si>
  <si>
    <t>AMOUSSOUGA-AKPO Gblèlidji Amandine</t>
  </si>
  <si>
    <t>CDM/DGFD</t>
  </si>
  <si>
    <t>F</t>
  </si>
  <si>
    <t>Chargé de Mission à la Mobilisation des ressources Bilatérales</t>
  </si>
  <si>
    <t>FE</t>
  </si>
  <si>
    <t>12ans 10ms 21jrs</t>
  </si>
  <si>
    <t>Administrateur des projets</t>
  </si>
  <si>
    <t>A1-6</t>
  </si>
  <si>
    <t>DESS en gestion des projets et developpement locale en 2008</t>
  </si>
  <si>
    <t>DESS en gestion des projets et developpement locale</t>
  </si>
  <si>
    <t>MAMA-SIKA Rachid</t>
  </si>
  <si>
    <t>14ans 5ms 14jrs</t>
  </si>
  <si>
    <t>A1-7</t>
  </si>
  <si>
    <t>Master/Gestion des Projet en 2008</t>
  </si>
  <si>
    <t xml:space="preserve">Master/Gestion des Projet </t>
  </si>
  <si>
    <t>MONTCHO Hyacinthe</t>
  </si>
  <si>
    <t>DECAD/DGFD</t>
  </si>
  <si>
    <t>Directeur des Etudes et de la Coordination de l'Aide au Developpement</t>
  </si>
  <si>
    <t>Administrateur</t>
  </si>
  <si>
    <t>DESS en gestion de la politique économique septembre 2004</t>
  </si>
  <si>
    <t xml:space="preserve">DESS en gestion de la politique économique </t>
  </si>
  <si>
    <t>AMOUSSOU Hermann Wilfried</t>
  </si>
  <si>
    <t>Chef Service Etudes et  Synthèse</t>
  </si>
  <si>
    <t>12ans 2ms 07jrs</t>
  </si>
  <si>
    <t>Ingénieur de la Statistique</t>
  </si>
  <si>
    <t>Diplôme d'Ingénieur Statisticien Economiste en 2007</t>
  </si>
  <si>
    <t xml:space="preserve">Diplôme d'Ingénieur Statisticien Economiste </t>
  </si>
  <si>
    <t>DENAKPO Adjouavi Emilie Chareth Carole</t>
  </si>
  <si>
    <t>19ans 07ms 07jrs</t>
  </si>
  <si>
    <t>Secrétaire Adjoint des Services Administratifs</t>
  </si>
  <si>
    <t>BAC G1 en 2016</t>
  </si>
  <si>
    <t>BEPC+ Attestation d'opérateur de saisie</t>
  </si>
  <si>
    <t>GANHOUNOUTO Simon Romuald Codjo</t>
  </si>
  <si>
    <t>Chef Division des Politiques et Stratégies de Promotion des Investissements  Privés</t>
  </si>
  <si>
    <t>Secrétaire des Services Administratifs</t>
  </si>
  <si>
    <t>B3-8</t>
  </si>
  <si>
    <t>BAC C en 2003</t>
  </si>
  <si>
    <t>BAC C</t>
  </si>
  <si>
    <t>GNACADJA Comlan Aristide Erick</t>
  </si>
  <si>
    <t xml:space="preserve">Chef Division du Système de gestion de l'Information sur le Financement du Développement </t>
  </si>
  <si>
    <t>18ans 5ms 20jrs</t>
  </si>
  <si>
    <t>Technicien  Superieur de la Statistique</t>
  </si>
  <si>
    <t>A3-7</t>
  </si>
  <si>
    <t>Master2 en Statistique en 2010, Master 2 en Politique Economique et Développement en 2009</t>
  </si>
  <si>
    <t>Diplôme de Technicien Supérieur de la Statistique</t>
  </si>
  <si>
    <t>GNANMAKOU Félix Obossou</t>
  </si>
  <si>
    <t>Chef Service des Bourses et Stage de Formation</t>
  </si>
  <si>
    <t>Attaché des Services Administratifs</t>
  </si>
  <si>
    <t>A3-8</t>
  </si>
  <si>
    <t>DESS en Socio- Anthropologie de l'environnement en 2007, DESS en gestion des projet de developpement local en 2018</t>
  </si>
  <si>
    <t>Maitrise en sociologie</t>
  </si>
  <si>
    <t>en 2016</t>
  </si>
  <si>
    <t>KOUHONTODE Adjimon Ernest</t>
  </si>
  <si>
    <t>Chef Division des Politiques et Stratégies du Financement du Developpement</t>
  </si>
  <si>
    <t>14ans 4ms</t>
  </si>
  <si>
    <t>Agent Technique de la Statistique</t>
  </si>
  <si>
    <t>C3-7</t>
  </si>
  <si>
    <t>Licence professionnelle en Statistique et Econométrie en 2012</t>
  </si>
  <si>
    <t xml:space="preserve">Diplôme d'Agent Technique de la Statistique </t>
  </si>
  <si>
    <t>VODONOU Koïssé David</t>
  </si>
  <si>
    <t>Chef Service de la Gestion de l'Information et de la Coordination de l'Aide au Développement</t>
  </si>
  <si>
    <t>Ingénieur et Analyste Concepteur</t>
  </si>
  <si>
    <t>A1-4</t>
  </si>
  <si>
    <t>Maîtrise en Informatique obtenu au Canada en 2020 (équivalent du Master)</t>
  </si>
  <si>
    <t>Diplôme de Technicien Supérieur en Informatique de Gestion</t>
  </si>
  <si>
    <t>DOTOU Hortense Laure k.</t>
  </si>
  <si>
    <t>DGAR/DGFD</t>
  </si>
  <si>
    <t>Directrice de la Gestion Administrative et des ressources</t>
  </si>
  <si>
    <t>18ans 8ms 27jrs</t>
  </si>
  <si>
    <t>Administrateur des Servives Financiers</t>
  </si>
  <si>
    <t>Master 2 en Administration des Finances et Trésor obtenu le 14/02/2012</t>
  </si>
  <si>
    <t xml:space="preserve">Master 2 en Administration des Finances et Trésor </t>
  </si>
  <si>
    <t>AHOSSI Délomè Judicaël Joël</t>
  </si>
  <si>
    <t>Chef du Service du Matériel et des Affaires Financiers</t>
  </si>
  <si>
    <t>17ans 4ms 7jrs</t>
  </si>
  <si>
    <t>Controleur des services Financiers</t>
  </si>
  <si>
    <t>B1-7</t>
  </si>
  <si>
    <t>Maitrise en droit public/ juin 2015</t>
  </si>
  <si>
    <t>BAC G2</t>
  </si>
  <si>
    <t>APLOGAN Towanou G. Vincent</t>
  </si>
  <si>
    <t xml:space="preserve">Agent de Liaison </t>
  </si>
  <si>
    <t>20ans 7ms 18jrs</t>
  </si>
  <si>
    <t>Préposé des Services Administratifs</t>
  </si>
  <si>
    <t>D3-8</t>
  </si>
  <si>
    <t>CEFEB en 1988</t>
  </si>
  <si>
    <t>CEFEB</t>
  </si>
  <si>
    <t>CHICHE Baba Durotini Belgrande Y.</t>
  </si>
  <si>
    <t>Chef Division Finances et Comptabilité</t>
  </si>
  <si>
    <t>18ans 6ms 25jrs</t>
  </si>
  <si>
    <t>B3-2</t>
  </si>
  <si>
    <t>BAC D obtenu en 2010</t>
  </si>
  <si>
    <t xml:space="preserve">DJEGUEDE Mirène Carolle </t>
  </si>
  <si>
    <t>Chef du Secrétariat Administatif</t>
  </si>
  <si>
    <t>14ans 3ms 03jrs</t>
  </si>
  <si>
    <t>Secrétaraire des Services Administratifs</t>
  </si>
  <si>
    <t>BTS en secrétariat bureautique</t>
  </si>
  <si>
    <t>DJOSSOU Yaovi Jerôme</t>
  </si>
  <si>
    <t>CVA</t>
  </si>
  <si>
    <t>Permis de conduire obtenu en 1997</t>
  </si>
  <si>
    <t>KEOUDA Valentin</t>
  </si>
  <si>
    <t>Agent d'Entretien et de Service</t>
  </si>
  <si>
    <t>E1-8</t>
  </si>
  <si>
    <t>CEFEB en 1980+ Permis de Conduire en 2000</t>
  </si>
  <si>
    <t>METHO Pascal</t>
  </si>
  <si>
    <t xml:space="preserve">CEFEB en 1981+ Permis de Conduire </t>
  </si>
  <si>
    <t>TOHOU HONLONKOU Baï Elisée</t>
  </si>
  <si>
    <t>Chef du Service des Ressources Humaines</t>
  </si>
  <si>
    <t>24ans 09ms 30jrs</t>
  </si>
  <si>
    <t>Administrateur des Ressources Humaines</t>
  </si>
  <si>
    <t>Master 2 en management des ressources humaines obtenu en 2017</t>
  </si>
  <si>
    <t>Master 2 en management des ressources humaines</t>
  </si>
  <si>
    <t>MONWANOU Mondji Herbert</t>
  </si>
  <si>
    <t xml:space="preserve">Cadre </t>
  </si>
  <si>
    <t>15ans 06ms 21jrs</t>
  </si>
  <si>
    <t>Master en Statistique obtenu en 2016 au Canada</t>
  </si>
  <si>
    <t>Master en Statistique</t>
  </si>
  <si>
    <t>ADAMMADO Caddys Espoir</t>
  </si>
  <si>
    <t>DMRB/DGFD</t>
  </si>
  <si>
    <t>Chef du Service de Mobilisation des Ressources Zone 2</t>
  </si>
  <si>
    <t>8ans 11ms 03jrs</t>
  </si>
  <si>
    <t>Administrateur en Managementdes services publics</t>
  </si>
  <si>
    <t>Diplôme du cycle 2 ENAM en Management des Services Publics, obtenu le 27/05/2013</t>
  </si>
  <si>
    <t xml:space="preserve">Diplôme du cycle 2 ENAM en Management des Services Publics, </t>
  </si>
  <si>
    <t>ATCHADE Firmin</t>
  </si>
  <si>
    <t>Chef du Services de Mobilisation des Ressources Zone 3</t>
  </si>
  <si>
    <t>08ans 08ms 29jrs</t>
  </si>
  <si>
    <t>B3-3</t>
  </si>
  <si>
    <t>DESS en Finances et Contrôle de Gestion obtenu en 2021</t>
  </si>
  <si>
    <t>BABA Rahimatou</t>
  </si>
  <si>
    <t>Directrice de la Mobilisation Ressources Bilaterales</t>
  </si>
  <si>
    <t>Diplôme du cycle 2 de l'ENAM en gestion de projets le 14/05/2013</t>
  </si>
  <si>
    <t>Diplôme du cycle 2 de l'ENAM en gestion de projets</t>
  </si>
  <si>
    <t>BABADOUDOU Armel Landry  De-Frunhor</t>
  </si>
  <si>
    <t>Chef du Service de Mobilisation des Ressources Zone 1</t>
  </si>
  <si>
    <t>14ans 3ms 3jrs</t>
  </si>
  <si>
    <t>Technicien Superieur de la Planification</t>
  </si>
  <si>
    <t>Master 2 du COFEB/BCEAO en finances et gestion bancaire obtenu  le 14/04/2021</t>
  </si>
  <si>
    <t>DTS en Planification et Amenagement du Territoire</t>
  </si>
  <si>
    <t>GUENDEHOU Francis Léo</t>
  </si>
  <si>
    <t>Chef Division Amérique et Océanie</t>
  </si>
  <si>
    <t>20ans 9ms 28jrs</t>
  </si>
  <si>
    <t>BAC G1</t>
  </si>
  <si>
    <t>Directeur de la Mobilisation des Ressources Multilaterales</t>
  </si>
  <si>
    <t>Administrateur en gestion des projets</t>
  </si>
  <si>
    <t>DESS en Gestion de Projet et Developpement Local en 2006</t>
  </si>
  <si>
    <t>DESS en Gestion de Projet et Developpement Local</t>
  </si>
  <si>
    <t>AGBAGAN Nonvignon Fermat</t>
  </si>
  <si>
    <t>Chef Division des Banques et Institutions Régionales (BOAD, BIDC, UEMOA, CEDEAO,…)</t>
  </si>
  <si>
    <t>15 ans 11ms 30jrs</t>
  </si>
  <si>
    <t>Contrôleur des Services Techniques des Travaux Publics</t>
  </si>
  <si>
    <t>Administrateur en Gestion des projets</t>
  </si>
  <si>
    <t>Diplôme du Contrôleur des Services Techniques des TP</t>
  </si>
  <si>
    <t>AMESSINOU Kossi</t>
  </si>
  <si>
    <t>Chef Division Banque Mondiale et FMI</t>
  </si>
  <si>
    <t>B1-8</t>
  </si>
  <si>
    <t>Doctorat en sciences de l'information et de la communication en 2018 en France</t>
  </si>
  <si>
    <t>Licence en Aménagement du territoire</t>
  </si>
  <si>
    <t>ASSAVEDO Karl</t>
  </si>
  <si>
    <t xml:space="preserve">Chef du Service des Banques et Institutions Régionales </t>
  </si>
  <si>
    <t>A3-3</t>
  </si>
  <si>
    <t>Diplôme de Technicien Supérieur en économie/Planification en date du 20/03/2013</t>
  </si>
  <si>
    <t>Diplôme de Technicien Supérieur en économie</t>
  </si>
  <si>
    <t>HOUNDEGNON GBAï Judith</t>
  </si>
  <si>
    <t xml:space="preserve">Chef Service des Banques et Organisations Internationales </t>
  </si>
  <si>
    <t>Maitrise en Administration des Affaires (MBA)/Gestion Stratégique de Projets obtenu le 31/05/2020</t>
  </si>
  <si>
    <t>Diplôme de Technicien Superieur de la Statistique</t>
  </si>
  <si>
    <t>HOUNKOUNTO ZIME Sémassè Alphonsine</t>
  </si>
  <si>
    <t xml:space="preserve">Chef Division des Fonds Arabes (FSD, FKDEA,FADD,Fonds OPEP….) </t>
  </si>
  <si>
    <t>22ans  4ms 22jrs</t>
  </si>
  <si>
    <t>Inspecteur du trésor</t>
  </si>
  <si>
    <t>Master en gestion des projets</t>
  </si>
  <si>
    <t>Attestation de formation de mise à niveau des APE admis au concours professionnels au titre de l'année 2012   corps des inspecteurs du trésor</t>
  </si>
  <si>
    <t>SALIFOU ALIDOU Raïnatou</t>
  </si>
  <si>
    <t>Chef Division Secrétariat de la DMRM</t>
  </si>
  <si>
    <t>20ans 9ms  3jrs</t>
  </si>
  <si>
    <t>Diplôme d'aptitude professionnelle (DAP) en 1999</t>
  </si>
  <si>
    <t>Attestation de formation de mise à niveau des APE admis au concours professionnels au titre de l'année 2011 (SASA)</t>
  </si>
  <si>
    <t>WAMASSE Cokou Sagbo Jean-Patrick</t>
  </si>
  <si>
    <t>15ans 11ms 30 jrs</t>
  </si>
  <si>
    <t>CEFEB en 1984</t>
  </si>
  <si>
    <t>AVOGNON Apolinaire Wilfrid</t>
  </si>
  <si>
    <t>UGC-UNSDCF/DGFD</t>
  </si>
  <si>
    <t>Chargé de Programme de Coordination UNSDCF</t>
  </si>
  <si>
    <t>Professeur certifié</t>
  </si>
  <si>
    <t xml:space="preserve">Master Gestion des Projets et Développement local en 2021   </t>
  </si>
  <si>
    <t>Master/Sciences et Techniques Administratives et de Gestion (CAPET)</t>
  </si>
  <si>
    <t>DASSI Bertin</t>
  </si>
  <si>
    <t>CAP AC en 2016</t>
  </si>
  <si>
    <t xml:space="preserve">CEFEB </t>
  </si>
  <si>
    <t xml:space="preserve">DJOTO SEHIZOUN Luc Antoine </t>
  </si>
  <si>
    <t>Chargé de Programme Appropriation Capitalisation</t>
  </si>
  <si>
    <t xml:space="preserve">Administrateur des projets </t>
  </si>
  <si>
    <t xml:space="preserve">DESS en Gestion des Projets et developpement locale en 2007 </t>
  </si>
  <si>
    <t>DESS en Gestion des Projets et developpement locale</t>
  </si>
  <si>
    <t>DOSSOU Mahougnon Sylvie</t>
  </si>
  <si>
    <t>Chef Division du Secrétariat de l'UGC-UNSDCF</t>
  </si>
  <si>
    <t>BAC B en 2016</t>
  </si>
  <si>
    <t>CEFEB + Diplôme d'Opérateur de saisie</t>
  </si>
  <si>
    <t>GANSE Cohovi Georges</t>
  </si>
  <si>
    <t>Assistant Administratif et Financier à l'UGC-UNSDCF</t>
  </si>
  <si>
    <t>28ans 2jrs</t>
  </si>
  <si>
    <t>Administrateur des Banques et Institutions Financières</t>
  </si>
  <si>
    <t>A1-9</t>
  </si>
  <si>
    <t>DESBF obtenu le 02/11/2007</t>
  </si>
  <si>
    <t>DESBF</t>
  </si>
  <si>
    <t>MADEGNAN Bruno</t>
  </si>
  <si>
    <t>Chargé de Programme Appui au suivi Evaluation de l'UGC-UNSDCF</t>
  </si>
  <si>
    <t>15ans  11ms 30jrs</t>
  </si>
  <si>
    <t>Attaché des services administratifs</t>
  </si>
  <si>
    <t>Master 2 en Statistique Economique et Sociale obtenu en septembre 2020</t>
  </si>
  <si>
    <t>Maitrise en Sciences économiques</t>
  </si>
  <si>
    <t>ZINSOU Kouassi Germain</t>
  </si>
  <si>
    <t>Coordonnateur de L'UGC-UNSDCF</t>
  </si>
  <si>
    <t>24ans 11ms 27jrs</t>
  </si>
  <si>
    <t>Administrateur en Relation Economiques</t>
  </si>
  <si>
    <t>A1-8</t>
  </si>
  <si>
    <t>Master en relation économique internationale en 1995</t>
  </si>
  <si>
    <t xml:space="preserve">Master en relation économique internationale </t>
  </si>
  <si>
    <t>TOKANNOU Edmond Claude</t>
  </si>
  <si>
    <t>D3-11</t>
  </si>
  <si>
    <t>Notes 2021</t>
  </si>
  <si>
    <t>Notes 2022</t>
  </si>
  <si>
    <t>Notes 2023</t>
  </si>
  <si>
    <t>Notes 2024</t>
  </si>
  <si>
    <t>Notes 2025</t>
  </si>
  <si>
    <t>Ancienneté  dans la fonction publique au 31/12/2023</t>
  </si>
  <si>
    <t>Chargé de Mission à la Mobilisation des Ressources Multilatérales</t>
  </si>
  <si>
    <t>ABIOU Franck Hervé Martial</t>
  </si>
  <si>
    <t xml:space="preserve">15 ans 11ms 30 jrs </t>
  </si>
  <si>
    <t>Grade Payé</t>
  </si>
  <si>
    <t>Contact whatsapp</t>
  </si>
  <si>
    <t>D3-9</t>
  </si>
  <si>
    <t>A3-2</t>
  </si>
  <si>
    <t>Contrôleur des services Financiers</t>
  </si>
  <si>
    <t>Administrateur des Services Financiers</t>
  </si>
  <si>
    <t>Chef Division Secrétariat de la DECAD Cumulativement avec secrétariat de la DMRB</t>
  </si>
  <si>
    <t>C3-10</t>
  </si>
  <si>
    <t>Assistant des Services Informatiques</t>
  </si>
  <si>
    <t>A3-6</t>
  </si>
  <si>
    <t>B1-10</t>
  </si>
  <si>
    <t xml:space="preserve">Agent d'Entretien et de ServiceS   </t>
  </si>
  <si>
    <t>C1-7</t>
  </si>
  <si>
    <t>OLYMPIO Hermine Afi Maximilienne</t>
  </si>
  <si>
    <t>DG/DGFD</t>
  </si>
  <si>
    <t>SP/DGFD</t>
  </si>
  <si>
    <t>24 ans</t>
  </si>
  <si>
    <t>Secrétaires des Services Administratifs</t>
  </si>
  <si>
    <t>B1-11</t>
  </si>
  <si>
    <t>C1-4</t>
  </si>
  <si>
    <t>Licence en Administration et Gestion RH</t>
  </si>
  <si>
    <t>KOBA Ayéman Lazare</t>
  </si>
  <si>
    <t>15 ans</t>
  </si>
  <si>
    <t>Attachés des Services Financiers</t>
  </si>
  <si>
    <t>A3-9</t>
  </si>
  <si>
    <t>Ingénieur en Planification et Gestion des Projets (Master 2) en 2017</t>
  </si>
  <si>
    <t>Maitrise en Science Economique</t>
  </si>
  <si>
    <t>Licence en Administration et Gestion RH en 2021</t>
  </si>
  <si>
    <t>Chef Service des Banques et Organisations Internationales</t>
  </si>
  <si>
    <t>Durée de service interrompu</t>
  </si>
  <si>
    <t>Année de congé</t>
  </si>
  <si>
    <t>Periode du dernier  congé</t>
  </si>
  <si>
    <t>Nombre de jour</t>
  </si>
  <si>
    <t>Observation</t>
  </si>
  <si>
    <t>07 ans 01 jours</t>
  </si>
  <si>
    <t>2016-2023</t>
  </si>
  <si>
    <t>06 ans 18 jours</t>
  </si>
  <si>
    <t>2017-2023</t>
  </si>
  <si>
    <t>10 ans</t>
  </si>
  <si>
    <t>2015-2023</t>
  </si>
  <si>
    <t xml:space="preserve">07 ans </t>
  </si>
  <si>
    <t>05 ans 15 jours</t>
  </si>
  <si>
    <t>2018-2023</t>
  </si>
  <si>
    <t>05 ans 03 jours</t>
  </si>
  <si>
    <t>11 ans 08 jours</t>
  </si>
  <si>
    <t>2012-2023</t>
  </si>
  <si>
    <t>07 ans 03 jours</t>
  </si>
  <si>
    <t>04 ans 09 jours</t>
  </si>
  <si>
    <t>02 ans 08 jours</t>
  </si>
  <si>
    <t>2021-2023</t>
  </si>
  <si>
    <t>2022-2023</t>
  </si>
  <si>
    <t xml:space="preserve">02 ans </t>
  </si>
  <si>
    <t>01 an 23 jours</t>
  </si>
  <si>
    <t>03 ans 17 jours</t>
  </si>
  <si>
    <t>2020-2023</t>
  </si>
  <si>
    <t>01 an 08 jours</t>
  </si>
  <si>
    <t>04 ans 13 jours</t>
  </si>
  <si>
    <t>2019-2023</t>
  </si>
  <si>
    <t>02 ans 15 jours</t>
  </si>
  <si>
    <t>03 ans 15 jours</t>
  </si>
  <si>
    <t>06 ans 25 jours</t>
  </si>
  <si>
    <t>07 ans 12 jours</t>
  </si>
  <si>
    <t>02 ans 05 jours</t>
  </si>
  <si>
    <t>08 ans 08 jours</t>
  </si>
  <si>
    <t>05 ans 23 jours</t>
  </si>
  <si>
    <t>13 ans 15 jours</t>
  </si>
  <si>
    <t>2010-2023</t>
  </si>
  <si>
    <t>05 ans 08 jours</t>
  </si>
  <si>
    <t xml:space="preserve">04 ans </t>
  </si>
  <si>
    <t>03 ans 09 jours</t>
  </si>
  <si>
    <t>13 ans 08 jours</t>
  </si>
  <si>
    <t>07 ans 08 jours</t>
  </si>
  <si>
    <t>03 ans 02 jours</t>
  </si>
  <si>
    <t>01 an 10 jours</t>
  </si>
  <si>
    <t xml:space="preserve">08 ans </t>
  </si>
  <si>
    <t>04 ans 15 jours</t>
  </si>
  <si>
    <t xml:space="preserve">03 ans </t>
  </si>
  <si>
    <t>2021-2023,</t>
  </si>
  <si>
    <t>04 ans 08 jours</t>
  </si>
  <si>
    <t>06 ans 03 jours</t>
  </si>
  <si>
    <t>E1-9</t>
  </si>
  <si>
    <t>C3-8</t>
  </si>
  <si>
    <t>AFANOTIN Sèdami Benjamin</t>
  </si>
  <si>
    <t>CCI/DGFD</t>
  </si>
  <si>
    <t>Chef de Cellule contrôle interne</t>
  </si>
  <si>
    <t>Manageur de Risque/CCI</t>
  </si>
  <si>
    <t>Directeur Général Adjoint du Financement du Développement</t>
  </si>
  <si>
    <t>Secrétaire Particulière/DGFD</t>
  </si>
  <si>
    <t>Catégorie</t>
  </si>
  <si>
    <t>A</t>
  </si>
  <si>
    <t>A1-10</t>
  </si>
  <si>
    <t>Master en Administration des Finances et du Trésor</t>
  </si>
  <si>
    <t>22 ans 10 mois</t>
  </si>
  <si>
    <t>Master en Marché public et partenariat public privé</t>
  </si>
  <si>
    <t>Contrôleurs des Services Techniques des Travaux Publics</t>
  </si>
  <si>
    <t>Techniciens Supérieurs de la Planification</t>
  </si>
  <si>
    <t>Contrôleurs des Services Financiers</t>
  </si>
  <si>
    <t>Administrateurs des Services Financiers</t>
  </si>
  <si>
    <t>Conducteurs de Véhicules Administratifs</t>
  </si>
  <si>
    <t>Secrétaires Adjoints des Services Administratifs</t>
  </si>
  <si>
    <t>Administrateurs en Gestion des Projets</t>
  </si>
  <si>
    <t>Assistants des Services Informatiques</t>
  </si>
  <si>
    <t>Administrateurs des Banques et Institutions Financières</t>
  </si>
  <si>
    <t>Attachés des Services Administratifs</t>
  </si>
  <si>
    <t>Administrateurs</t>
  </si>
  <si>
    <t>Agents d'entretien et de Services</t>
  </si>
  <si>
    <t>Agents Techniques de la Statistique</t>
  </si>
  <si>
    <t>Ingénieurs de la Statistique</t>
  </si>
  <si>
    <t>Ingénieurs et Analystes Concepteurs</t>
  </si>
  <si>
    <t>Préposés des Services Administratifs</t>
  </si>
  <si>
    <t>Administrateurs du Trésor</t>
  </si>
  <si>
    <t>Ingénieurs de la Planification</t>
  </si>
  <si>
    <t>Inspecteurs du Trésor</t>
  </si>
  <si>
    <t>Techniciens  Supérieurs de la Statistique</t>
  </si>
  <si>
    <t>Année 2024</t>
  </si>
  <si>
    <t>Chef Division de la Documentation et des Archives</t>
  </si>
  <si>
    <t>Chef Division du Courrier</t>
  </si>
  <si>
    <t>Chef du Service de Mobilisation des Ressources Zone 3</t>
  </si>
  <si>
    <t>Année de départ à la retraite</t>
  </si>
  <si>
    <t>Age au 31/04/2024</t>
  </si>
  <si>
    <t>DOSSOU YOVO Serge Oscar Gbènakpon</t>
  </si>
  <si>
    <t>DGFD</t>
  </si>
  <si>
    <t>Directeur Général  du Financement du Développement</t>
  </si>
  <si>
    <t>AGENT NOMME</t>
  </si>
  <si>
    <t>5 mois15 jrs</t>
  </si>
  <si>
    <t>Master en Science de Gestion</t>
  </si>
  <si>
    <t>ND</t>
  </si>
  <si>
    <t>8ans 6ms 25jrs</t>
  </si>
  <si>
    <t>Permis de conduire B obtenu en 1995</t>
  </si>
  <si>
    <t>Permis de conduire C1 en 2012</t>
  </si>
  <si>
    <t>B3-11</t>
  </si>
  <si>
    <t>SONOU Antoine</t>
  </si>
  <si>
    <t>CSMAF</t>
  </si>
  <si>
    <t>Age actuel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</si>
</sst>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8"/>
      <color theme="1"/>
      <name val="Aptos Display"/>
      <family val="2"/>
      <scheme val="major"/>
    </font>
    <font>
      <sz val="8"/>
      <color theme="1"/>
      <name val="Aptos Narrow"/>
      <family val="2"/>
      <scheme val="minor"/>
    </font>
    <font>
      <sz val="8"/>
      <color theme="1"/>
      <name val="Aptos Display"/>
      <family val="2"/>
      <scheme val="major"/>
    </font>
    <font>
      <sz val="8"/>
      <name val="Aptos Display"/>
      <family val="2"/>
      <scheme val="major"/>
    </font>
    <font>
      <sz val="8"/>
      <color rgb="FFFF0000"/>
      <name val="Aptos Display"/>
      <family val="2"/>
      <scheme val="major"/>
    </font>
    <font>
      <sz val="10"/>
      <color theme="1"/>
      <name val="Aptos Display"/>
      <scheme val="major"/>
    </font>
    <font>
      <b/>
      <sz val="9"/>
      <color theme="1"/>
      <name val="Aptos Display"/>
      <family val="2"/>
      <scheme val="major"/>
    </font>
    <font>
      <b/>
      <sz val="9"/>
      <color theme="1"/>
      <name val="Aptos Display"/>
      <scheme val="major"/>
    </font>
    <font>
      <sz val="9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sz val="10"/>
      <name val="Arial Narrow"/>
      <family val="2"/>
    </font>
    <font>
      <sz val="10"/>
      <color rgb="FFC00000"/>
      <name val="Arial Narrow"/>
      <family val="2"/>
    </font>
    <font>
      <sz val="10"/>
      <color rgb="FFFF0000"/>
      <name val="Arial Narrow"/>
      <family val="2"/>
    </font>
    <font>
      <sz val="10"/>
      <color theme="8" tint="-0.249977111117893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4" fontId="4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14" fontId="4" fillId="0" borderId="2" xfId="0" applyNumberFormat="1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 wrapText="1"/>
    </xf>
    <xf numFmtId="14" fontId="4" fillId="0" borderId="2" xfId="0" applyNumberFormat="1" applyFont="1" applyBorder="1" applyAlignment="1">
      <alignment horizontal="center" vertical="center" wrapText="1"/>
    </xf>
    <xf numFmtId="4" fontId="4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/>
    <xf numFmtId="49" fontId="4" fillId="0" borderId="2" xfId="0" applyNumberFormat="1" applyFont="1" applyBorder="1" applyAlignment="1">
      <alignment horizontal="center" vertical="center" wrapText="1"/>
    </xf>
    <xf numFmtId="14" fontId="5" fillId="0" borderId="2" xfId="0" applyNumberFormat="1" applyFont="1" applyBorder="1" applyAlignment="1">
      <alignment horizontal="center" vertical="center" wrapText="1"/>
    </xf>
    <xf numFmtId="14" fontId="4" fillId="0" borderId="2" xfId="0" applyNumberFormat="1" applyFont="1" applyBorder="1"/>
    <xf numFmtId="0" fontId="5" fillId="0" borderId="2" xfId="0" applyFont="1" applyBorder="1" applyAlignment="1">
      <alignment horizontal="center" vertical="center"/>
    </xf>
    <xf numFmtId="0" fontId="4" fillId="0" borderId="1" xfId="0" applyFont="1" applyBorder="1"/>
    <xf numFmtId="14" fontId="6" fillId="0" borderId="2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3" fillId="0" borderId="2" xfId="0" applyFont="1" applyBorder="1"/>
    <xf numFmtId="0" fontId="3" fillId="0" borderId="2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left" vertical="center" wrapText="1"/>
    </xf>
    <xf numFmtId="14" fontId="4" fillId="0" borderId="2" xfId="0" applyNumberFormat="1" applyFont="1" applyBorder="1" applyAlignment="1">
      <alignment horizontal="left" vertical="center" wrapText="1"/>
    </xf>
    <xf numFmtId="49" fontId="4" fillId="0" borderId="2" xfId="0" applyNumberFormat="1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 wrapText="1"/>
    </xf>
    <xf numFmtId="49" fontId="8" fillId="0" borderId="2" xfId="0" applyNumberFormat="1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3" fontId="4" fillId="0" borderId="1" xfId="0" applyNumberFormat="1" applyFont="1" applyBorder="1" applyAlignment="1">
      <alignment horizontal="center" vertical="center"/>
    </xf>
    <xf numFmtId="3" fontId="8" fillId="0" borderId="2" xfId="0" applyNumberFormat="1" applyFont="1" applyBorder="1" applyAlignment="1">
      <alignment horizontal="center" vertical="center" wrapText="1"/>
    </xf>
    <xf numFmtId="3" fontId="3" fillId="0" borderId="0" xfId="0" applyNumberFormat="1" applyFont="1"/>
    <xf numFmtId="14" fontId="3" fillId="0" borderId="2" xfId="0" applyNumberFormat="1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left" vertical="center" wrapText="1"/>
    </xf>
    <xf numFmtId="3" fontId="4" fillId="0" borderId="2" xfId="0" applyNumberFormat="1" applyFont="1" applyBorder="1" applyAlignment="1">
      <alignment horizontal="center" vertical="center"/>
    </xf>
    <xf numFmtId="4" fontId="4" fillId="2" borderId="2" xfId="0" applyNumberFormat="1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3" fontId="12" fillId="0" borderId="2" xfId="0" applyNumberFormat="1" applyFont="1" applyBorder="1" applyAlignment="1">
      <alignment horizontal="center" vertical="center" wrapText="1"/>
    </xf>
    <xf numFmtId="49" fontId="12" fillId="0" borderId="2" xfId="0" applyNumberFormat="1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14" fontId="11" fillId="0" borderId="1" xfId="0" applyNumberFormat="1" applyFont="1" applyBorder="1" applyAlignment="1">
      <alignment horizontal="center" vertical="center"/>
    </xf>
    <xf numFmtId="1" fontId="11" fillId="0" borderId="2" xfId="0" applyNumberFormat="1" applyFont="1" applyBorder="1" applyAlignment="1">
      <alignment horizontal="center" vertical="center" wrapText="1"/>
    </xf>
    <xf numFmtId="3" fontId="11" fillId="0" borderId="1" xfId="0" applyNumberFormat="1" applyFont="1" applyBorder="1" applyAlignment="1">
      <alignment horizontal="center" vertical="center"/>
    </xf>
    <xf numFmtId="14" fontId="13" fillId="0" borderId="1" xfId="0" applyNumberFormat="1" applyFont="1" applyBorder="1" applyAlignment="1">
      <alignment horizontal="center" vertical="center"/>
    </xf>
    <xf numFmtId="1" fontId="11" fillId="0" borderId="1" xfId="0" applyNumberFormat="1" applyFont="1" applyBorder="1" applyAlignment="1">
      <alignment horizontal="center" vertical="center" wrapText="1"/>
    </xf>
    <xf numFmtId="14" fontId="11" fillId="0" borderId="2" xfId="0" applyNumberFormat="1" applyFont="1" applyBorder="1" applyAlignment="1">
      <alignment horizontal="left" vertical="center" wrapText="1"/>
    </xf>
    <xf numFmtId="14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left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2" xfId="0" applyFont="1" applyBorder="1"/>
    <xf numFmtId="14" fontId="11" fillId="0" borderId="2" xfId="0" applyNumberFormat="1" applyFont="1" applyBorder="1" applyAlignment="1">
      <alignment horizontal="center" vertical="center"/>
    </xf>
    <xf numFmtId="14" fontId="13" fillId="0" borderId="2" xfId="0" applyNumberFormat="1" applyFont="1" applyBorder="1" applyAlignment="1">
      <alignment horizontal="center" vertical="center"/>
    </xf>
    <xf numFmtId="14" fontId="11" fillId="0" borderId="2" xfId="0" applyNumberFormat="1" applyFont="1" applyBorder="1" applyAlignment="1">
      <alignment horizontal="center" vertical="center" wrapText="1"/>
    </xf>
    <xf numFmtId="4" fontId="11" fillId="0" borderId="2" xfId="0" applyNumberFormat="1" applyFont="1" applyBorder="1" applyAlignment="1">
      <alignment horizontal="center" vertical="center" wrapText="1"/>
    </xf>
    <xf numFmtId="0" fontId="11" fillId="0" borderId="1" xfId="0" applyFont="1" applyBorder="1"/>
    <xf numFmtId="49" fontId="11" fillId="0" borderId="2" xfId="0" applyNumberFormat="1" applyFont="1" applyBorder="1" applyAlignment="1">
      <alignment horizontal="left" vertical="center" wrapText="1"/>
    </xf>
    <xf numFmtId="14" fontId="13" fillId="0" borderId="2" xfId="0" applyNumberFormat="1" applyFont="1" applyBorder="1" applyAlignment="1">
      <alignment horizontal="left" vertical="center" wrapText="1"/>
    </xf>
    <xf numFmtId="14" fontId="13" fillId="0" borderId="2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14" fontId="11" fillId="0" borderId="2" xfId="0" applyNumberFormat="1" applyFont="1" applyBorder="1"/>
    <xf numFmtId="4" fontId="11" fillId="2" borderId="2" xfId="0" applyNumberFormat="1" applyFont="1" applyFill="1" applyBorder="1" applyAlignment="1">
      <alignment horizontal="center" vertical="center" wrapText="1"/>
    </xf>
    <xf numFmtId="3" fontId="11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14" fontId="14" fillId="0" borderId="2" xfId="0" applyNumberFormat="1" applyFont="1" applyBorder="1" applyAlignment="1">
      <alignment horizontal="center" vertical="center"/>
    </xf>
    <xf numFmtId="1" fontId="14" fillId="0" borderId="2" xfId="0" applyNumberFormat="1" applyFont="1" applyBorder="1" applyAlignment="1">
      <alignment horizontal="center" vertical="center" wrapText="1"/>
    </xf>
    <xf numFmtId="14" fontId="14" fillId="0" borderId="1" xfId="0" applyNumberFormat="1" applyFont="1" applyBorder="1" applyAlignment="1">
      <alignment horizontal="center" vertical="center"/>
    </xf>
    <xf numFmtId="3" fontId="14" fillId="0" borderId="1" xfId="0" applyNumberFormat="1" applyFont="1" applyBorder="1" applyAlignment="1">
      <alignment horizontal="center" vertical="center"/>
    </xf>
    <xf numFmtId="14" fontId="14" fillId="0" borderId="2" xfId="0" applyNumberFormat="1" applyFont="1" applyBorder="1" applyAlignment="1">
      <alignment horizontal="left" vertical="center" wrapText="1"/>
    </xf>
    <xf numFmtId="14" fontId="3" fillId="0" borderId="0" xfId="0" applyNumberFormat="1" applyFont="1"/>
    <xf numFmtId="0" fontId="15" fillId="0" borderId="1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left" vertical="center" wrapText="1"/>
    </xf>
    <xf numFmtId="0" fontId="15" fillId="0" borderId="2" xfId="0" applyFont="1" applyBorder="1" applyAlignment="1">
      <alignment horizontal="center" vertical="center"/>
    </xf>
    <xf numFmtId="14" fontId="15" fillId="0" borderId="2" xfId="0" applyNumberFormat="1" applyFont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center" vertical="center"/>
    </xf>
    <xf numFmtId="3" fontId="15" fillId="0" borderId="1" xfId="0" applyNumberFormat="1" applyFont="1" applyBorder="1" applyAlignment="1">
      <alignment horizontal="center" vertical="center"/>
    </xf>
    <xf numFmtId="14" fontId="15" fillId="0" borderId="2" xfId="0" applyNumberFormat="1" applyFont="1" applyBorder="1" applyAlignment="1">
      <alignment horizontal="left" vertical="center" wrapText="1"/>
    </xf>
    <xf numFmtId="0" fontId="15" fillId="0" borderId="1" xfId="0" applyFont="1" applyBorder="1" applyAlignment="1">
      <alignment horizontal="center" vertical="center" wrapText="1"/>
    </xf>
    <xf numFmtId="14" fontId="15" fillId="0" borderId="2" xfId="0" applyNumberFormat="1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14" fontId="16" fillId="0" borderId="2" xfId="0" applyNumberFormat="1" applyFont="1" applyBorder="1" applyAlignment="1">
      <alignment horizontal="center" vertical="center"/>
    </xf>
    <xf numFmtId="1" fontId="16" fillId="0" borderId="2" xfId="0" applyNumberFormat="1" applyFont="1" applyBorder="1" applyAlignment="1">
      <alignment horizontal="center" vertical="center" wrapText="1"/>
    </xf>
    <xf numFmtId="14" fontId="16" fillId="0" borderId="1" xfId="0" applyNumberFormat="1" applyFont="1" applyBorder="1" applyAlignment="1">
      <alignment horizontal="center" vertical="center"/>
    </xf>
    <xf numFmtId="3" fontId="16" fillId="0" borderId="1" xfId="0" applyNumberFormat="1" applyFont="1" applyBorder="1" applyAlignment="1">
      <alignment horizontal="center" vertical="center"/>
    </xf>
    <xf numFmtId="14" fontId="16" fillId="0" borderId="2" xfId="0" applyNumberFormat="1" applyFont="1" applyBorder="1" applyAlignment="1">
      <alignment horizontal="left" vertical="center" wrapText="1"/>
    </xf>
    <xf numFmtId="14" fontId="16" fillId="0" borderId="2" xfId="0" applyNumberFormat="1" applyFont="1" applyBorder="1" applyAlignment="1">
      <alignment horizontal="center" vertical="center" wrapText="1"/>
    </xf>
    <xf numFmtId="14" fontId="16" fillId="0" borderId="1" xfId="0" applyNumberFormat="1" applyFont="1" applyBorder="1" applyAlignment="1">
      <alignment horizontal="center" vertical="center" wrapText="1"/>
    </xf>
    <xf numFmtId="4" fontId="16" fillId="0" borderId="2" xfId="0" applyNumberFormat="1" applyFont="1" applyBorder="1" applyAlignment="1">
      <alignment horizontal="center" vertical="center" wrapText="1"/>
    </xf>
    <xf numFmtId="0" fontId="16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X46"/>
  <sheetViews>
    <sheetView topLeftCell="L1" zoomScale="80" zoomScaleNormal="80" workbookViewId="0">
      <pane ySplit="1" topLeftCell="A3" activePane="bottomLeft" state="frozen"/>
      <selection pane="bottomLeft" activeCell="L12" sqref="A12:XFD12"/>
    </sheetView>
  </sheetViews>
  <sheetFormatPr baseColWidth="10" defaultColWidth="11.42578125" defaultRowHeight="15" x14ac:dyDescent="0.25"/>
  <cols>
    <col min="1" max="1" width="3" style="12" bestFit="1" customWidth="1"/>
    <col min="2" max="2" width="11.42578125" style="12"/>
    <col min="3" max="3" width="16.5703125" style="12" customWidth="1"/>
    <col min="4" max="4" width="21.5703125" style="12" customWidth="1"/>
    <col min="5" max="5" width="11.42578125" style="12"/>
    <col min="6" max="6" width="32" style="12" customWidth="1"/>
    <col min="7" max="7" width="11.42578125" style="12"/>
    <col min="8" max="8" width="19.28515625" style="12" customWidth="1"/>
    <col min="9" max="9" width="11.42578125" style="12"/>
    <col min="10" max="10" width="27" style="12" customWidth="1"/>
    <col min="11" max="11" width="24.7109375" style="12" customWidth="1"/>
    <col min="12" max="12" width="20.140625" style="12" customWidth="1"/>
    <col min="13" max="13" width="20.28515625" style="12" customWidth="1"/>
    <col min="14" max="15" width="11.42578125" style="12"/>
    <col min="16" max="16" width="11.140625"/>
    <col min="17" max="17" width="29.5703125" style="12" customWidth="1"/>
    <col min="18" max="18" width="16.140625" style="12" customWidth="1"/>
    <col min="19" max="16384" width="11.42578125" style="12"/>
  </cols>
  <sheetData>
    <row r="1" spans="1:24" s="3" customFormat="1" ht="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258</v>
      </c>
      <c r="M1" s="2" t="s">
        <v>11</v>
      </c>
      <c r="N1" s="1" t="s">
        <v>12</v>
      </c>
      <c r="O1" s="1" t="s">
        <v>262</v>
      </c>
      <c r="P1" s="1" t="s">
        <v>263</v>
      </c>
      <c r="Q1" s="1" t="s">
        <v>13</v>
      </c>
      <c r="R1" s="1" t="s">
        <v>14</v>
      </c>
      <c r="S1" s="1" t="s">
        <v>15</v>
      </c>
      <c r="T1" s="1" t="s">
        <v>253</v>
      </c>
      <c r="U1" s="1" t="s">
        <v>254</v>
      </c>
      <c r="V1" s="1" t="s">
        <v>255</v>
      </c>
      <c r="W1" s="1" t="s">
        <v>256</v>
      </c>
      <c r="X1" s="1" t="s">
        <v>257</v>
      </c>
    </row>
    <row r="2" spans="1:24" ht="33.75" x14ac:dyDescent="0.25">
      <c r="A2" s="4">
        <v>1</v>
      </c>
      <c r="B2" s="6">
        <v>64720</v>
      </c>
      <c r="C2" s="5" t="s">
        <v>260</v>
      </c>
      <c r="D2" s="6" t="s">
        <v>28</v>
      </c>
      <c r="E2" s="6" t="s">
        <v>18</v>
      </c>
      <c r="F2" s="15" t="s">
        <v>259</v>
      </c>
      <c r="G2" s="4" t="s">
        <v>37</v>
      </c>
      <c r="H2" s="7">
        <v>48396</v>
      </c>
      <c r="I2" s="7">
        <v>26464</v>
      </c>
      <c r="J2" s="8">
        <v>40011</v>
      </c>
      <c r="K2" s="7">
        <v>40073</v>
      </c>
      <c r="L2" s="9" t="s">
        <v>44</v>
      </c>
      <c r="M2" s="10" t="s">
        <v>176</v>
      </c>
      <c r="N2" s="10" t="s">
        <v>45</v>
      </c>
      <c r="O2" s="10" t="s">
        <v>45</v>
      </c>
      <c r="P2">
        <v>97694887</v>
      </c>
      <c r="Q2" s="10" t="s">
        <v>177</v>
      </c>
      <c r="R2" s="10" t="s">
        <v>178</v>
      </c>
      <c r="S2" s="10"/>
      <c r="T2" s="11">
        <v>17</v>
      </c>
      <c r="U2" s="11">
        <v>17</v>
      </c>
      <c r="V2" s="11">
        <v>16</v>
      </c>
      <c r="W2" s="11"/>
      <c r="X2" s="11"/>
    </row>
    <row r="3" spans="1:24" ht="33.75" x14ac:dyDescent="0.25">
      <c r="A3" s="13">
        <v>2</v>
      </c>
      <c r="B3" s="13">
        <v>104885</v>
      </c>
      <c r="C3" s="15" t="s">
        <v>149</v>
      </c>
      <c r="D3" s="14" t="s">
        <v>150</v>
      </c>
      <c r="E3" s="6" t="s">
        <v>18</v>
      </c>
      <c r="F3" s="15" t="s">
        <v>151</v>
      </c>
      <c r="G3" s="13" t="s">
        <v>20</v>
      </c>
      <c r="H3" s="16">
        <v>53509</v>
      </c>
      <c r="I3" s="16">
        <v>31538</v>
      </c>
      <c r="J3" s="17">
        <v>42032</v>
      </c>
      <c r="K3" s="16">
        <v>44067</v>
      </c>
      <c r="L3" s="18" t="s">
        <v>152</v>
      </c>
      <c r="M3" s="19" t="s">
        <v>153</v>
      </c>
      <c r="N3" s="19" t="s">
        <v>30</v>
      </c>
      <c r="O3" s="19" t="s">
        <v>30</v>
      </c>
      <c r="P3">
        <v>97537987</v>
      </c>
      <c r="Q3" s="19" t="s">
        <v>154</v>
      </c>
      <c r="R3" s="19" t="s">
        <v>155</v>
      </c>
      <c r="S3" s="19"/>
      <c r="T3" s="20">
        <v>17</v>
      </c>
      <c r="U3" s="20">
        <v>17</v>
      </c>
      <c r="V3" s="20">
        <v>17.5</v>
      </c>
      <c r="W3" s="20"/>
      <c r="X3" s="20"/>
    </row>
    <row r="4" spans="1:24" ht="33.75" x14ac:dyDescent="0.25">
      <c r="A4" s="4">
        <v>3</v>
      </c>
      <c r="B4" s="14">
        <v>95603</v>
      </c>
      <c r="C4" s="15" t="s">
        <v>179</v>
      </c>
      <c r="D4" s="6" t="s">
        <v>28</v>
      </c>
      <c r="E4" s="6" t="s">
        <v>18</v>
      </c>
      <c r="F4" s="15" t="s">
        <v>180</v>
      </c>
      <c r="G4" s="4" t="s">
        <v>20</v>
      </c>
      <c r="H4" s="7">
        <v>50771</v>
      </c>
      <c r="I4" s="7">
        <v>29454</v>
      </c>
      <c r="J4" s="17">
        <v>39448</v>
      </c>
      <c r="K4" s="16">
        <v>45043</v>
      </c>
      <c r="L4" s="18" t="s">
        <v>181</v>
      </c>
      <c r="M4" s="19" t="s">
        <v>182</v>
      </c>
      <c r="N4" s="10" t="s">
        <v>68</v>
      </c>
      <c r="O4" s="10" t="s">
        <v>68</v>
      </c>
      <c r="P4">
        <v>96202888</v>
      </c>
      <c r="Q4" s="10" t="s">
        <v>183</v>
      </c>
      <c r="R4" s="10" t="s">
        <v>184</v>
      </c>
      <c r="S4" s="26"/>
      <c r="T4" s="21">
        <v>17</v>
      </c>
      <c r="U4" s="21">
        <v>17</v>
      </c>
      <c r="V4" s="26">
        <v>16.5</v>
      </c>
      <c r="W4" s="26"/>
      <c r="X4" s="26"/>
    </row>
    <row r="5" spans="1:24" ht="22.5" x14ac:dyDescent="0.25">
      <c r="A5" s="13">
        <v>4</v>
      </c>
      <c r="B5" s="13">
        <v>85019</v>
      </c>
      <c r="C5" s="15" t="s">
        <v>105</v>
      </c>
      <c r="D5" s="14" t="s">
        <v>99</v>
      </c>
      <c r="E5" s="6" t="s">
        <v>18</v>
      </c>
      <c r="F5" s="15" t="s">
        <v>106</v>
      </c>
      <c r="G5" s="13" t="s">
        <v>37</v>
      </c>
      <c r="H5" s="16">
        <v>51502</v>
      </c>
      <c r="I5" s="16">
        <v>30609</v>
      </c>
      <c r="J5" s="17">
        <v>38953</v>
      </c>
      <c r="K5" s="16">
        <v>44564</v>
      </c>
      <c r="L5" s="18" t="s">
        <v>107</v>
      </c>
      <c r="M5" s="10" t="s">
        <v>108</v>
      </c>
      <c r="N5" s="19" t="s">
        <v>109</v>
      </c>
      <c r="O5" s="19" t="s">
        <v>109</v>
      </c>
      <c r="P5">
        <v>95771976</v>
      </c>
      <c r="Q5" s="10" t="s">
        <v>110</v>
      </c>
      <c r="R5" s="10" t="s">
        <v>111</v>
      </c>
      <c r="S5" s="19"/>
      <c r="T5" s="20">
        <v>17</v>
      </c>
      <c r="U5" s="20">
        <v>17</v>
      </c>
      <c r="V5" s="11">
        <v>16</v>
      </c>
      <c r="W5" s="11"/>
      <c r="X5" s="11"/>
    </row>
    <row r="6" spans="1:24" ht="33.75" x14ac:dyDescent="0.25">
      <c r="A6" s="4">
        <v>5</v>
      </c>
      <c r="B6" s="14">
        <v>56463</v>
      </c>
      <c r="C6" s="15" t="s">
        <v>185</v>
      </c>
      <c r="D6" s="14" t="s">
        <v>28</v>
      </c>
      <c r="E6" s="6" t="s">
        <v>18</v>
      </c>
      <c r="F6" s="15" t="s">
        <v>186</v>
      </c>
      <c r="G6" s="13" t="s">
        <v>20</v>
      </c>
      <c r="H6" s="16">
        <v>50771</v>
      </c>
      <c r="I6" s="16">
        <v>29575</v>
      </c>
      <c r="J6" s="17">
        <v>39448</v>
      </c>
      <c r="K6" s="16">
        <v>43199</v>
      </c>
      <c r="L6" s="18" t="s">
        <v>261</v>
      </c>
      <c r="M6" s="19" t="s">
        <v>67</v>
      </c>
      <c r="N6" s="19" t="s">
        <v>187</v>
      </c>
      <c r="O6" s="19" t="s">
        <v>187</v>
      </c>
      <c r="P6">
        <v>99389817</v>
      </c>
      <c r="Q6" s="19" t="s">
        <v>188</v>
      </c>
      <c r="R6" s="19" t="s">
        <v>189</v>
      </c>
      <c r="S6" s="19">
        <v>43381</v>
      </c>
      <c r="T6" s="20">
        <v>17.5</v>
      </c>
      <c r="U6" s="20">
        <v>17.5</v>
      </c>
      <c r="V6" s="20">
        <v>15</v>
      </c>
      <c r="W6" s="20"/>
      <c r="X6" s="20"/>
    </row>
    <row r="7" spans="1:24" ht="36.75" customHeight="1" x14ac:dyDescent="0.25">
      <c r="A7" s="13">
        <v>6</v>
      </c>
      <c r="B7" s="14">
        <v>59696</v>
      </c>
      <c r="C7" s="15" t="s">
        <v>54</v>
      </c>
      <c r="D7" s="14" t="s">
        <v>49</v>
      </c>
      <c r="E7" s="14" t="s">
        <v>18</v>
      </c>
      <c r="F7" s="15" t="s">
        <v>55</v>
      </c>
      <c r="G7" s="13" t="s">
        <v>37</v>
      </c>
      <c r="H7" s="16">
        <v>51775</v>
      </c>
      <c r="I7" s="16">
        <v>29853</v>
      </c>
      <c r="J7" s="17">
        <v>40840</v>
      </c>
      <c r="K7" s="16">
        <v>40840</v>
      </c>
      <c r="L7" s="18" t="s">
        <v>56</v>
      </c>
      <c r="M7" s="19" t="s">
        <v>57</v>
      </c>
      <c r="N7" s="19" t="s">
        <v>45</v>
      </c>
      <c r="O7" s="19" t="s">
        <v>45</v>
      </c>
      <c r="P7">
        <v>95223234</v>
      </c>
      <c r="Q7" s="19" t="s">
        <v>58</v>
      </c>
      <c r="R7" s="19" t="s">
        <v>59</v>
      </c>
      <c r="S7" s="19"/>
      <c r="T7" s="20">
        <v>16</v>
      </c>
      <c r="U7" s="20">
        <v>17</v>
      </c>
      <c r="V7" s="20">
        <v>17</v>
      </c>
      <c r="W7" s="20"/>
      <c r="X7" s="20"/>
    </row>
    <row r="8" spans="1:24" ht="33.75" x14ac:dyDescent="0.25">
      <c r="A8" s="4">
        <v>7</v>
      </c>
      <c r="B8" s="14">
        <v>99263</v>
      </c>
      <c r="C8" s="15" t="s">
        <v>33</v>
      </c>
      <c r="D8" s="14" t="s">
        <v>34</v>
      </c>
      <c r="E8" s="4" t="s">
        <v>35</v>
      </c>
      <c r="F8" s="15" t="s">
        <v>36</v>
      </c>
      <c r="G8" s="13" t="s">
        <v>37</v>
      </c>
      <c r="H8" s="16">
        <v>50952</v>
      </c>
      <c r="I8" s="16">
        <v>29018</v>
      </c>
      <c r="J8" s="17">
        <v>40584</v>
      </c>
      <c r="K8" s="16">
        <v>40617</v>
      </c>
      <c r="L8" s="18" t="s">
        <v>38</v>
      </c>
      <c r="M8" s="19" t="s">
        <v>39</v>
      </c>
      <c r="N8" s="19" t="s">
        <v>45</v>
      </c>
      <c r="O8" s="19" t="s">
        <v>45</v>
      </c>
      <c r="P8">
        <v>67258008</v>
      </c>
      <c r="Q8" s="19" t="s">
        <v>41</v>
      </c>
      <c r="R8" s="19" t="s">
        <v>42</v>
      </c>
      <c r="S8" s="19"/>
      <c r="T8" s="20">
        <v>17</v>
      </c>
      <c r="U8" s="20">
        <v>17</v>
      </c>
      <c r="V8" s="20">
        <v>16</v>
      </c>
      <c r="W8" s="20"/>
      <c r="X8" s="20"/>
    </row>
    <row r="9" spans="1:24" ht="22.5" x14ac:dyDescent="0.25">
      <c r="A9" s="13">
        <v>8</v>
      </c>
      <c r="B9" s="14">
        <v>51191</v>
      </c>
      <c r="C9" s="15" t="s">
        <v>112</v>
      </c>
      <c r="D9" s="14" t="s">
        <v>99</v>
      </c>
      <c r="E9" s="14" t="s">
        <v>18</v>
      </c>
      <c r="F9" s="15" t="s">
        <v>113</v>
      </c>
      <c r="G9" s="13" t="s">
        <v>37</v>
      </c>
      <c r="H9" s="16">
        <v>46478</v>
      </c>
      <c r="I9" s="16">
        <v>26320</v>
      </c>
      <c r="J9" s="17">
        <v>37754</v>
      </c>
      <c r="K9" s="16">
        <v>43920</v>
      </c>
      <c r="L9" s="18" t="s">
        <v>114</v>
      </c>
      <c r="M9" s="19" t="s">
        <v>115</v>
      </c>
      <c r="N9" s="19" t="s">
        <v>264</v>
      </c>
      <c r="O9" s="19" t="s">
        <v>264</v>
      </c>
      <c r="P9">
        <v>97070079</v>
      </c>
      <c r="Q9" s="19" t="s">
        <v>117</v>
      </c>
      <c r="R9" s="19" t="s">
        <v>118</v>
      </c>
      <c r="S9" s="19"/>
      <c r="T9" s="20">
        <v>17</v>
      </c>
      <c r="U9" s="20">
        <v>17</v>
      </c>
      <c r="V9" s="20">
        <v>16</v>
      </c>
      <c r="W9" s="20"/>
      <c r="X9" s="20"/>
    </row>
    <row r="10" spans="1:24" ht="33.75" x14ac:dyDescent="0.25">
      <c r="A10" s="4">
        <v>9</v>
      </c>
      <c r="B10" s="14">
        <v>104001</v>
      </c>
      <c r="C10" s="15" t="s">
        <v>190</v>
      </c>
      <c r="D10" s="14" t="s">
        <v>28</v>
      </c>
      <c r="E10" s="6" t="s">
        <v>18</v>
      </c>
      <c r="F10" s="15" t="s">
        <v>191</v>
      </c>
      <c r="G10" s="13" t="s">
        <v>20</v>
      </c>
      <c r="H10" s="16">
        <v>54605</v>
      </c>
      <c r="I10" s="16">
        <v>32630</v>
      </c>
      <c r="J10" s="17">
        <v>42032</v>
      </c>
      <c r="K10" s="16">
        <v>42064</v>
      </c>
      <c r="L10" s="18">
        <v>2015</v>
      </c>
      <c r="M10" s="19" t="s">
        <v>168</v>
      </c>
      <c r="N10" s="19" t="s">
        <v>192</v>
      </c>
      <c r="O10" s="19" t="s">
        <v>265</v>
      </c>
      <c r="P10">
        <v>96742291</v>
      </c>
      <c r="Q10" s="19" t="s">
        <v>193</v>
      </c>
      <c r="R10" s="19" t="s">
        <v>194</v>
      </c>
      <c r="S10" s="19"/>
      <c r="T10" s="20">
        <v>17.5</v>
      </c>
      <c r="U10" s="20">
        <v>17.5</v>
      </c>
      <c r="V10" s="20">
        <v>16</v>
      </c>
      <c r="W10" s="20"/>
      <c r="X10" s="20"/>
    </row>
    <row r="11" spans="1:24" ht="22.5" x14ac:dyDescent="0.25">
      <c r="A11" s="13">
        <v>10</v>
      </c>
      <c r="B11" s="14">
        <v>106415</v>
      </c>
      <c r="C11" s="15" t="s">
        <v>156</v>
      </c>
      <c r="D11" s="14" t="s">
        <v>150</v>
      </c>
      <c r="E11" s="6" t="s">
        <v>18</v>
      </c>
      <c r="F11" s="15" t="s">
        <v>157</v>
      </c>
      <c r="G11" s="13" t="s">
        <v>20</v>
      </c>
      <c r="H11" s="16">
        <v>53966</v>
      </c>
      <c r="I11" s="16">
        <v>32738</v>
      </c>
      <c r="J11" s="17">
        <v>42096</v>
      </c>
      <c r="K11" s="16">
        <v>43775</v>
      </c>
      <c r="L11" s="18" t="s">
        <v>158</v>
      </c>
      <c r="M11" s="19" t="s">
        <v>67</v>
      </c>
      <c r="N11" s="19" t="s">
        <v>159</v>
      </c>
      <c r="O11" s="19" t="s">
        <v>122</v>
      </c>
      <c r="P11">
        <v>96098252</v>
      </c>
      <c r="Q11" s="19" t="s">
        <v>160</v>
      </c>
      <c r="R11" s="19" t="s">
        <v>32</v>
      </c>
      <c r="S11" s="19"/>
      <c r="T11" s="20">
        <v>17</v>
      </c>
      <c r="U11" s="20">
        <v>17</v>
      </c>
      <c r="V11" s="20">
        <v>17.5</v>
      </c>
      <c r="W11" s="20"/>
      <c r="X11" s="20"/>
    </row>
    <row r="12" spans="1:24" ht="45" x14ac:dyDescent="0.25">
      <c r="A12" s="4">
        <v>11</v>
      </c>
      <c r="B12" s="14">
        <v>65695</v>
      </c>
      <c r="C12" s="15" t="s">
        <v>213</v>
      </c>
      <c r="D12" s="14" t="s">
        <v>214</v>
      </c>
      <c r="E12" s="6" t="s">
        <v>18</v>
      </c>
      <c r="F12" s="15" t="s">
        <v>215</v>
      </c>
      <c r="G12" s="13" t="s">
        <v>20</v>
      </c>
      <c r="H12" s="16">
        <v>52688</v>
      </c>
      <c r="I12" s="16">
        <v>30766</v>
      </c>
      <c r="J12" s="17">
        <v>39448</v>
      </c>
      <c r="K12" s="16">
        <v>41216</v>
      </c>
      <c r="L12" s="18" t="s">
        <v>21</v>
      </c>
      <c r="M12" s="22" t="s">
        <v>216</v>
      </c>
      <c r="N12" s="19" t="s">
        <v>45</v>
      </c>
      <c r="O12" s="19" t="s">
        <v>45</v>
      </c>
      <c r="P12">
        <v>97717360</v>
      </c>
      <c r="Q12" s="19" t="s">
        <v>217</v>
      </c>
      <c r="R12" s="19" t="s">
        <v>218</v>
      </c>
      <c r="S12" s="19">
        <v>44470</v>
      </c>
      <c r="T12" s="20">
        <v>17.5</v>
      </c>
      <c r="U12" s="20">
        <v>17.5</v>
      </c>
      <c r="V12" s="20">
        <v>17.5</v>
      </c>
      <c r="W12" s="20"/>
      <c r="X12" s="20"/>
    </row>
    <row r="13" spans="1:24" ht="33.75" x14ac:dyDescent="0.25">
      <c r="A13" s="13">
        <v>12</v>
      </c>
      <c r="B13" s="14">
        <v>83300</v>
      </c>
      <c r="C13" s="15" t="s">
        <v>161</v>
      </c>
      <c r="D13" s="14" t="s">
        <v>150</v>
      </c>
      <c r="E13" s="4" t="s">
        <v>35</v>
      </c>
      <c r="F13" s="15" t="s">
        <v>162</v>
      </c>
      <c r="G13" s="13" t="s">
        <v>37</v>
      </c>
      <c r="H13" s="16">
        <v>50679</v>
      </c>
      <c r="I13" s="16">
        <v>28725</v>
      </c>
      <c r="J13" s="17">
        <v>38509</v>
      </c>
      <c r="K13" s="16">
        <v>43668</v>
      </c>
      <c r="L13" s="18" t="s">
        <v>121</v>
      </c>
      <c r="M13" s="19" t="s">
        <v>39</v>
      </c>
      <c r="N13" s="19" t="s">
        <v>45</v>
      </c>
      <c r="O13" s="19" t="s">
        <v>45</v>
      </c>
      <c r="P13">
        <v>97877030</v>
      </c>
      <c r="Q13" s="19" t="s">
        <v>163</v>
      </c>
      <c r="R13" s="19" t="s">
        <v>164</v>
      </c>
      <c r="S13" s="19">
        <v>41388</v>
      </c>
      <c r="T13" s="20">
        <v>17</v>
      </c>
      <c r="U13" s="20">
        <v>17</v>
      </c>
      <c r="V13" s="20">
        <v>16</v>
      </c>
      <c r="W13" s="20"/>
      <c r="X13" s="20"/>
    </row>
    <row r="14" spans="1:24" ht="33.75" x14ac:dyDescent="0.25">
      <c r="A14" s="4">
        <v>13</v>
      </c>
      <c r="B14" s="14">
        <v>89566</v>
      </c>
      <c r="C14" s="15" t="s">
        <v>165</v>
      </c>
      <c r="D14" s="14" t="s">
        <v>150</v>
      </c>
      <c r="E14" s="14" t="s">
        <v>18</v>
      </c>
      <c r="F14" s="15" t="s">
        <v>166</v>
      </c>
      <c r="G14" s="13" t="s">
        <v>37</v>
      </c>
      <c r="H14" s="16">
        <v>51683</v>
      </c>
      <c r="I14" s="16">
        <v>29701</v>
      </c>
      <c r="J14" s="17">
        <v>40084</v>
      </c>
      <c r="K14" s="16">
        <v>44564</v>
      </c>
      <c r="L14" s="18" t="s">
        <v>167</v>
      </c>
      <c r="M14" s="19" t="s">
        <v>168</v>
      </c>
      <c r="N14" s="19" t="s">
        <v>81</v>
      </c>
      <c r="O14" s="19" t="s">
        <v>75</v>
      </c>
      <c r="P14">
        <v>96302039</v>
      </c>
      <c r="Q14" s="19" t="s">
        <v>169</v>
      </c>
      <c r="R14" s="19" t="s">
        <v>170</v>
      </c>
      <c r="S14" s="19"/>
      <c r="T14" s="20">
        <v>17</v>
      </c>
      <c r="U14" s="20">
        <v>16</v>
      </c>
      <c r="V14" s="20">
        <v>17</v>
      </c>
      <c r="W14" s="20"/>
      <c r="X14" s="20"/>
    </row>
    <row r="15" spans="1:24" ht="22.5" x14ac:dyDescent="0.25">
      <c r="A15" s="13">
        <v>14</v>
      </c>
      <c r="B15" s="13">
        <v>104814</v>
      </c>
      <c r="C15" s="15" t="s">
        <v>119</v>
      </c>
      <c r="D15" s="14" t="s">
        <v>99</v>
      </c>
      <c r="E15" s="13" t="s">
        <v>35</v>
      </c>
      <c r="F15" s="15" t="s">
        <v>120</v>
      </c>
      <c r="G15" s="13" t="s">
        <v>20</v>
      </c>
      <c r="H15" s="16">
        <v>54240</v>
      </c>
      <c r="I15" s="16">
        <v>33032</v>
      </c>
      <c r="J15" s="17">
        <v>42037</v>
      </c>
      <c r="K15" s="16">
        <v>43199</v>
      </c>
      <c r="L15" s="18" t="s">
        <v>121</v>
      </c>
      <c r="M15" s="19" t="s">
        <v>266</v>
      </c>
      <c r="N15" s="19" t="s">
        <v>159</v>
      </c>
      <c r="O15" s="19" t="s">
        <v>122</v>
      </c>
      <c r="P15">
        <v>61656609</v>
      </c>
      <c r="Q15" s="19" t="s">
        <v>123</v>
      </c>
      <c r="R15" s="19" t="s">
        <v>32</v>
      </c>
      <c r="S15" s="19"/>
      <c r="T15" s="20">
        <v>17</v>
      </c>
      <c r="U15" s="20">
        <v>17</v>
      </c>
      <c r="V15" s="20">
        <v>16</v>
      </c>
      <c r="W15" s="20"/>
      <c r="X15" s="20"/>
    </row>
    <row r="16" spans="1:24" ht="22.5" x14ac:dyDescent="0.25">
      <c r="A16" s="4">
        <v>15</v>
      </c>
      <c r="B16" s="14">
        <v>100478</v>
      </c>
      <c r="C16" s="15" t="s">
        <v>27</v>
      </c>
      <c r="D16" s="14" t="s">
        <v>28</v>
      </c>
      <c r="E16" s="6" t="s">
        <v>18</v>
      </c>
      <c r="F16" s="15" t="s">
        <v>29</v>
      </c>
      <c r="G16" s="13" t="s">
        <v>20</v>
      </c>
      <c r="H16" s="16">
        <v>50131</v>
      </c>
      <c r="I16" s="16">
        <v>28860</v>
      </c>
      <c r="J16" s="17">
        <v>39448</v>
      </c>
      <c r="K16" s="16">
        <v>43003</v>
      </c>
      <c r="L16" s="18" t="s">
        <v>21</v>
      </c>
      <c r="M16" s="19" t="s">
        <v>267</v>
      </c>
      <c r="N16" s="19" t="s">
        <v>30</v>
      </c>
      <c r="O16" s="19" t="s">
        <v>122</v>
      </c>
      <c r="P16">
        <v>97087359</v>
      </c>
      <c r="Q16" s="19" t="s">
        <v>31</v>
      </c>
      <c r="R16" s="19" t="s">
        <v>32</v>
      </c>
      <c r="S16" s="19">
        <v>44186</v>
      </c>
      <c r="T16" s="20">
        <v>17.5</v>
      </c>
      <c r="U16" s="20">
        <v>17.5</v>
      </c>
      <c r="V16" s="20">
        <v>17.5</v>
      </c>
      <c r="W16" s="20"/>
      <c r="X16" s="20"/>
    </row>
    <row r="17" spans="1:24" x14ac:dyDescent="0.25">
      <c r="A17" s="13">
        <v>16</v>
      </c>
      <c r="B17" s="14">
        <v>56494</v>
      </c>
      <c r="C17" s="15" t="s">
        <v>219</v>
      </c>
      <c r="D17" s="14" t="s">
        <v>214</v>
      </c>
      <c r="E17" s="6" t="s">
        <v>18</v>
      </c>
      <c r="F17" s="15" t="s">
        <v>130</v>
      </c>
      <c r="G17" s="13" t="s">
        <v>20</v>
      </c>
      <c r="H17" s="16">
        <v>47027</v>
      </c>
      <c r="I17" s="16">
        <v>26916</v>
      </c>
      <c r="J17" s="17">
        <v>39448</v>
      </c>
      <c r="K17" s="16">
        <v>42892</v>
      </c>
      <c r="L17" s="18" t="s">
        <v>21</v>
      </c>
      <c r="M17" s="19" t="s">
        <v>130</v>
      </c>
      <c r="N17" s="19" t="s">
        <v>116</v>
      </c>
      <c r="O17" s="19" t="s">
        <v>116</v>
      </c>
      <c r="P17">
        <v>97725590</v>
      </c>
      <c r="Q17" s="19" t="s">
        <v>220</v>
      </c>
      <c r="R17" s="19" t="s">
        <v>221</v>
      </c>
      <c r="S17" s="19"/>
      <c r="T17" s="20">
        <v>17</v>
      </c>
      <c r="U17" s="20">
        <v>17</v>
      </c>
      <c r="V17" s="20">
        <v>17</v>
      </c>
      <c r="W17" s="20"/>
      <c r="X17" s="20"/>
    </row>
    <row r="18" spans="1:24" ht="22.5" x14ac:dyDescent="0.25">
      <c r="A18" s="4">
        <v>17</v>
      </c>
      <c r="B18" s="14">
        <v>82025</v>
      </c>
      <c r="C18" s="15" t="s">
        <v>60</v>
      </c>
      <c r="D18" s="14" t="s">
        <v>49</v>
      </c>
      <c r="E18" s="4" t="s">
        <v>35</v>
      </c>
      <c r="F18" s="15" t="s">
        <v>268</v>
      </c>
      <c r="G18" s="13" t="s">
        <v>37</v>
      </c>
      <c r="H18" s="16">
        <v>50771</v>
      </c>
      <c r="I18" s="16">
        <v>30604</v>
      </c>
      <c r="J18" s="17">
        <v>38131</v>
      </c>
      <c r="K18" s="16">
        <v>42600</v>
      </c>
      <c r="L18" s="18" t="s">
        <v>61</v>
      </c>
      <c r="M18" s="19" t="s">
        <v>62</v>
      </c>
      <c r="N18" s="19" t="s">
        <v>269</v>
      </c>
      <c r="O18" s="19" t="s">
        <v>269</v>
      </c>
      <c r="P18">
        <v>96310906</v>
      </c>
      <c r="Q18" s="19" t="s">
        <v>63</v>
      </c>
      <c r="R18" s="19" t="s">
        <v>64</v>
      </c>
      <c r="S18" s="19"/>
      <c r="T18" s="20">
        <v>17</v>
      </c>
      <c r="U18" s="20">
        <v>16.5</v>
      </c>
      <c r="V18" s="20">
        <v>17</v>
      </c>
      <c r="W18" s="20"/>
      <c r="X18" s="20"/>
    </row>
    <row r="19" spans="1:24" ht="22.5" x14ac:dyDescent="0.25">
      <c r="A19" s="13">
        <v>18</v>
      </c>
      <c r="B19" s="14">
        <v>77055</v>
      </c>
      <c r="C19" s="15" t="s">
        <v>124</v>
      </c>
      <c r="D19" s="14" t="s">
        <v>99</v>
      </c>
      <c r="E19" s="4" t="s">
        <v>35</v>
      </c>
      <c r="F19" s="15" t="s">
        <v>125</v>
      </c>
      <c r="G19" s="13" t="s">
        <v>37</v>
      </c>
      <c r="H19" s="16">
        <v>51867</v>
      </c>
      <c r="I19" s="16">
        <v>30674</v>
      </c>
      <c r="J19" s="17">
        <v>40084</v>
      </c>
      <c r="K19" s="16">
        <v>43598</v>
      </c>
      <c r="L19" s="18" t="s">
        <v>126</v>
      </c>
      <c r="M19" s="19" t="s">
        <v>127</v>
      </c>
      <c r="N19" s="19" t="s">
        <v>109</v>
      </c>
      <c r="O19" s="19" t="s">
        <v>109</v>
      </c>
      <c r="P19">
        <v>97647925</v>
      </c>
      <c r="Q19" s="19" t="s">
        <v>128</v>
      </c>
      <c r="R19" s="19" t="s">
        <v>128</v>
      </c>
      <c r="S19" s="19"/>
      <c r="T19" s="20">
        <v>17</v>
      </c>
      <c r="U19" s="20">
        <v>17</v>
      </c>
      <c r="V19" s="20">
        <v>16</v>
      </c>
      <c r="W19" s="20"/>
      <c r="X19" s="20"/>
    </row>
    <row r="20" spans="1:24" x14ac:dyDescent="0.25">
      <c r="A20" s="4">
        <v>19</v>
      </c>
      <c r="B20" s="14">
        <v>56478</v>
      </c>
      <c r="C20" s="15" t="s">
        <v>129</v>
      </c>
      <c r="D20" s="14" t="s">
        <v>99</v>
      </c>
      <c r="E20" s="6" t="s">
        <v>18</v>
      </c>
      <c r="F20" s="15" t="s">
        <v>130</v>
      </c>
      <c r="G20" s="13" t="s">
        <v>20</v>
      </c>
      <c r="H20" s="16">
        <v>48214</v>
      </c>
      <c r="I20" s="16">
        <v>28047</v>
      </c>
      <c r="J20" s="17">
        <v>39448</v>
      </c>
      <c r="K20" s="16">
        <v>42430</v>
      </c>
      <c r="L20" s="18" t="s">
        <v>21</v>
      </c>
      <c r="M20" s="19" t="s">
        <v>130</v>
      </c>
      <c r="N20" s="19" t="s">
        <v>116</v>
      </c>
      <c r="O20" s="19" t="s">
        <v>116</v>
      </c>
      <c r="P20">
        <v>95445287</v>
      </c>
      <c r="Q20" s="19" t="s">
        <v>131</v>
      </c>
      <c r="R20" s="19" t="s">
        <v>118</v>
      </c>
      <c r="S20" s="19"/>
      <c r="T20" s="20">
        <v>17</v>
      </c>
      <c r="U20" s="20">
        <v>17</v>
      </c>
      <c r="V20" s="20">
        <v>16.5</v>
      </c>
      <c r="W20" s="20"/>
      <c r="X20" s="20"/>
    </row>
    <row r="21" spans="1:24" ht="33.75" x14ac:dyDescent="0.25">
      <c r="A21" s="13">
        <v>20</v>
      </c>
      <c r="B21" s="14">
        <v>64716</v>
      </c>
      <c r="C21" s="15" t="s">
        <v>222</v>
      </c>
      <c r="D21" s="14" t="s">
        <v>214</v>
      </c>
      <c r="E21" s="6" t="s">
        <v>18</v>
      </c>
      <c r="F21" s="15" t="s">
        <v>223</v>
      </c>
      <c r="G21" s="13" t="s">
        <v>37</v>
      </c>
      <c r="H21" s="16">
        <v>47484</v>
      </c>
      <c r="I21" s="16">
        <v>25519</v>
      </c>
      <c r="J21" s="17">
        <v>40011</v>
      </c>
      <c r="K21" s="16">
        <v>43018</v>
      </c>
      <c r="L21" s="18" t="s">
        <v>44</v>
      </c>
      <c r="M21" s="19" t="s">
        <v>224</v>
      </c>
      <c r="N21" s="19" t="s">
        <v>45</v>
      </c>
      <c r="O21" s="19" t="s">
        <v>45</v>
      </c>
      <c r="P21">
        <v>95573206</v>
      </c>
      <c r="Q21" s="23" t="s">
        <v>225</v>
      </c>
      <c r="R21" s="23" t="s">
        <v>226</v>
      </c>
      <c r="S21" s="19"/>
      <c r="T21" s="20">
        <v>17</v>
      </c>
      <c r="U21" s="20">
        <v>16.5</v>
      </c>
      <c r="V21" s="20">
        <v>16.5</v>
      </c>
      <c r="W21" s="20"/>
      <c r="X21" s="20"/>
    </row>
    <row r="22" spans="1:24" ht="22.5" x14ac:dyDescent="0.25">
      <c r="A22" s="4">
        <v>21</v>
      </c>
      <c r="B22" s="14">
        <v>56532</v>
      </c>
      <c r="C22" s="15" t="s">
        <v>227</v>
      </c>
      <c r="D22" s="14" t="s">
        <v>214</v>
      </c>
      <c r="E22" s="13" t="s">
        <v>35</v>
      </c>
      <c r="F22" s="15" t="s">
        <v>228</v>
      </c>
      <c r="G22" s="13" t="s">
        <v>20</v>
      </c>
      <c r="H22" s="16">
        <v>47484</v>
      </c>
      <c r="I22" s="16">
        <v>27314</v>
      </c>
      <c r="J22" s="17">
        <v>39448</v>
      </c>
      <c r="K22" s="16">
        <v>40857</v>
      </c>
      <c r="L22" s="18" t="s">
        <v>21</v>
      </c>
      <c r="M22" s="19" t="s">
        <v>270</v>
      </c>
      <c r="N22" s="19" t="s">
        <v>116</v>
      </c>
      <c r="O22" s="19" t="s">
        <v>116</v>
      </c>
      <c r="P22">
        <v>97692116</v>
      </c>
      <c r="Q22" s="19" t="s">
        <v>229</v>
      </c>
      <c r="R22" s="19" t="s">
        <v>230</v>
      </c>
      <c r="S22" s="19"/>
      <c r="T22" s="20">
        <v>17</v>
      </c>
      <c r="U22" s="20">
        <v>16.5</v>
      </c>
      <c r="V22" s="20">
        <v>16.5</v>
      </c>
      <c r="W22" s="20"/>
      <c r="X22" s="20"/>
    </row>
    <row r="23" spans="1:24" ht="33.75" x14ac:dyDescent="0.25">
      <c r="A23" s="13">
        <v>22</v>
      </c>
      <c r="B23" s="13">
        <v>83154</v>
      </c>
      <c r="C23" s="15" t="s">
        <v>98</v>
      </c>
      <c r="D23" s="14" t="s">
        <v>99</v>
      </c>
      <c r="E23" s="13" t="s">
        <v>35</v>
      </c>
      <c r="F23" s="15" t="s">
        <v>100</v>
      </c>
      <c r="G23" s="13" t="s">
        <v>37</v>
      </c>
      <c r="H23" s="16">
        <v>49766</v>
      </c>
      <c r="I23" s="16">
        <v>27770</v>
      </c>
      <c r="J23" s="17">
        <v>38446</v>
      </c>
      <c r="K23" s="16">
        <v>44564</v>
      </c>
      <c r="L23" s="18" t="s">
        <v>101</v>
      </c>
      <c r="M23" s="19" t="s">
        <v>102</v>
      </c>
      <c r="N23" s="19" t="s">
        <v>45</v>
      </c>
      <c r="O23" s="19" t="s">
        <v>45</v>
      </c>
      <c r="P23">
        <v>97830747</v>
      </c>
      <c r="Q23" s="19" t="s">
        <v>103</v>
      </c>
      <c r="R23" s="19" t="s">
        <v>104</v>
      </c>
      <c r="S23" s="19">
        <v>41019</v>
      </c>
      <c r="T23" s="20">
        <v>17.5</v>
      </c>
      <c r="U23" s="20">
        <v>17.5</v>
      </c>
      <c r="V23" s="20">
        <v>16</v>
      </c>
      <c r="W23" s="20"/>
      <c r="X23" s="20"/>
    </row>
    <row r="24" spans="1:24" ht="22.5" x14ac:dyDescent="0.25">
      <c r="A24" s="4">
        <v>23</v>
      </c>
      <c r="B24" s="14">
        <v>56498</v>
      </c>
      <c r="C24" s="15" t="s">
        <v>65</v>
      </c>
      <c r="D24" s="14" t="s">
        <v>49</v>
      </c>
      <c r="E24" s="6" t="s">
        <v>18</v>
      </c>
      <c r="F24" s="15" t="s">
        <v>66</v>
      </c>
      <c r="G24" s="13" t="s">
        <v>20</v>
      </c>
      <c r="H24" s="16">
        <v>46388</v>
      </c>
      <c r="I24" s="16">
        <v>25139</v>
      </c>
      <c r="J24" s="17">
        <v>39448</v>
      </c>
      <c r="K24" s="16">
        <v>43004</v>
      </c>
      <c r="L24" s="18" t="s">
        <v>21</v>
      </c>
      <c r="M24" s="19" t="s">
        <v>67</v>
      </c>
      <c r="N24" s="19" t="s">
        <v>68</v>
      </c>
      <c r="O24" s="19" t="s">
        <v>68</v>
      </c>
      <c r="P24">
        <v>95812377</v>
      </c>
      <c r="Q24" s="19" t="s">
        <v>69</v>
      </c>
      <c r="R24" s="19" t="s">
        <v>70</v>
      </c>
      <c r="S24" s="19"/>
      <c r="T24" s="20">
        <v>17</v>
      </c>
      <c r="U24" s="20">
        <v>17</v>
      </c>
      <c r="V24" s="20">
        <v>15</v>
      </c>
      <c r="W24" s="20"/>
      <c r="X24" s="20"/>
    </row>
    <row r="25" spans="1:24" ht="22.5" x14ac:dyDescent="0.25">
      <c r="A25" s="13">
        <v>24</v>
      </c>
      <c r="B25" s="14">
        <v>35984</v>
      </c>
      <c r="C25" s="15" t="s">
        <v>231</v>
      </c>
      <c r="D25" s="14" t="s">
        <v>214</v>
      </c>
      <c r="E25" s="6" t="s">
        <v>18</v>
      </c>
      <c r="F25" s="15" t="s">
        <v>232</v>
      </c>
      <c r="G25" s="13" t="s">
        <v>37</v>
      </c>
      <c r="H25" s="16">
        <v>47665</v>
      </c>
      <c r="I25" s="16">
        <v>25681</v>
      </c>
      <c r="J25" s="17">
        <v>35062</v>
      </c>
      <c r="K25" s="16">
        <v>42857</v>
      </c>
      <c r="L25" s="18" t="s">
        <v>233</v>
      </c>
      <c r="M25" s="19" t="s">
        <v>234</v>
      </c>
      <c r="N25" s="19" t="s">
        <v>235</v>
      </c>
      <c r="O25" s="19" t="s">
        <v>235</v>
      </c>
      <c r="P25">
        <v>97441449</v>
      </c>
      <c r="Q25" s="19" t="s">
        <v>236</v>
      </c>
      <c r="R25" s="19" t="s">
        <v>237</v>
      </c>
      <c r="S25" s="19">
        <v>39388</v>
      </c>
      <c r="T25" s="20">
        <v>17</v>
      </c>
      <c r="U25" s="20">
        <v>16.5</v>
      </c>
      <c r="V25" s="20">
        <v>16.5</v>
      </c>
      <c r="W25" s="20"/>
      <c r="X25" s="20"/>
    </row>
    <row r="26" spans="1:24" ht="33.75" x14ac:dyDescent="0.25">
      <c r="A26" s="4">
        <v>25</v>
      </c>
      <c r="B26" s="14">
        <v>84472</v>
      </c>
      <c r="C26" s="15" t="s">
        <v>71</v>
      </c>
      <c r="D26" s="14" t="s">
        <v>49</v>
      </c>
      <c r="E26" s="6" t="s">
        <v>18</v>
      </c>
      <c r="F26" s="15" t="s">
        <v>72</v>
      </c>
      <c r="G26" s="13" t="s">
        <v>37</v>
      </c>
      <c r="H26" s="16">
        <v>49949</v>
      </c>
      <c r="I26" s="16">
        <v>28033</v>
      </c>
      <c r="J26" s="17">
        <v>38544</v>
      </c>
      <c r="K26" s="16">
        <v>43173</v>
      </c>
      <c r="L26" s="18" t="s">
        <v>73</v>
      </c>
      <c r="M26" s="19" t="s">
        <v>74</v>
      </c>
      <c r="N26" s="19" t="s">
        <v>75</v>
      </c>
      <c r="O26" s="19" t="s">
        <v>271</v>
      </c>
      <c r="P26">
        <v>95857799</v>
      </c>
      <c r="Q26" s="19" t="s">
        <v>76</v>
      </c>
      <c r="R26" s="19" t="s">
        <v>77</v>
      </c>
      <c r="S26" s="19"/>
      <c r="T26" s="20">
        <v>17</v>
      </c>
      <c r="U26" s="20">
        <v>16.5</v>
      </c>
      <c r="V26" s="20">
        <v>17</v>
      </c>
      <c r="W26" s="20"/>
      <c r="X26" s="20"/>
    </row>
    <row r="27" spans="1:24" ht="33.75" x14ac:dyDescent="0.25">
      <c r="A27" s="13">
        <v>26</v>
      </c>
      <c r="B27" s="14">
        <v>56499</v>
      </c>
      <c r="C27" s="15" t="s">
        <v>78</v>
      </c>
      <c r="D27" s="14" t="s">
        <v>49</v>
      </c>
      <c r="E27" s="6" t="s">
        <v>18</v>
      </c>
      <c r="F27" s="15" t="s">
        <v>79</v>
      </c>
      <c r="G27" s="13" t="s">
        <v>20</v>
      </c>
      <c r="H27" s="16">
        <v>46478</v>
      </c>
      <c r="I27" s="16">
        <v>24556</v>
      </c>
      <c r="J27" s="17">
        <v>39448</v>
      </c>
      <c r="K27" s="16">
        <v>43922</v>
      </c>
      <c r="L27" s="18" t="s">
        <v>21</v>
      </c>
      <c r="M27" s="19" t="s">
        <v>80</v>
      </c>
      <c r="N27" s="19" t="s">
        <v>81</v>
      </c>
      <c r="O27" s="19" t="s">
        <v>81</v>
      </c>
      <c r="P27">
        <v>97644848</v>
      </c>
      <c r="Q27" s="19" t="s">
        <v>82</v>
      </c>
      <c r="R27" s="19" t="s">
        <v>83</v>
      </c>
      <c r="S27" s="19" t="s">
        <v>84</v>
      </c>
      <c r="T27" s="20">
        <v>17</v>
      </c>
      <c r="U27" s="20">
        <v>16.5</v>
      </c>
      <c r="V27" s="20">
        <v>17</v>
      </c>
      <c r="W27" s="20"/>
      <c r="X27" s="20"/>
    </row>
    <row r="28" spans="1:24" ht="22.5" x14ac:dyDescent="0.25">
      <c r="A28" s="4">
        <v>27</v>
      </c>
      <c r="B28" s="14">
        <v>45872</v>
      </c>
      <c r="C28" s="15" t="s">
        <v>171</v>
      </c>
      <c r="D28" s="14" t="s">
        <v>150</v>
      </c>
      <c r="E28" s="6" t="s">
        <v>18</v>
      </c>
      <c r="F28" s="15" t="s">
        <v>172</v>
      </c>
      <c r="G28" s="13" t="s">
        <v>37</v>
      </c>
      <c r="H28" s="16">
        <v>47849</v>
      </c>
      <c r="I28" s="16">
        <v>26276</v>
      </c>
      <c r="J28" s="17">
        <v>37683</v>
      </c>
      <c r="K28" s="16">
        <v>44879</v>
      </c>
      <c r="L28" s="18" t="s">
        <v>173</v>
      </c>
      <c r="M28" s="19" t="s">
        <v>51</v>
      </c>
      <c r="N28" s="19" t="s">
        <v>30</v>
      </c>
      <c r="O28" s="19" t="s">
        <v>272</v>
      </c>
      <c r="P28">
        <v>97085034</v>
      </c>
      <c r="Q28" s="19" t="s">
        <v>143</v>
      </c>
      <c r="R28" s="19" t="s">
        <v>174</v>
      </c>
      <c r="S28" s="19">
        <v>43029</v>
      </c>
      <c r="T28" s="20">
        <v>18</v>
      </c>
      <c r="U28" s="20">
        <v>18</v>
      </c>
      <c r="V28" s="20">
        <v>17</v>
      </c>
      <c r="W28" s="20"/>
      <c r="X28" s="20"/>
    </row>
    <row r="29" spans="1:24" ht="22.5" x14ac:dyDescent="0.25">
      <c r="A29" s="13">
        <v>28</v>
      </c>
      <c r="B29" s="13">
        <v>56521</v>
      </c>
      <c r="C29" s="15" t="s">
        <v>16</v>
      </c>
      <c r="D29" s="14" t="s">
        <v>17</v>
      </c>
      <c r="E29" s="6" t="s">
        <v>18</v>
      </c>
      <c r="F29" s="15" t="s">
        <v>19</v>
      </c>
      <c r="G29" s="13" t="s">
        <v>20</v>
      </c>
      <c r="H29" s="16">
        <v>48853</v>
      </c>
      <c r="I29" s="16">
        <v>26927</v>
      </c>
      <c r="J29" s="17">
        <v>39448</v>
      </c>
      <c r="K29" s="16">
        <v>44564</v>
      </c>
      <c r="L29" s="18" t="s">
        <v>21</v>
      </c>
      <c r="M29" s="19" t="s">
        <v>22</v>
      </c>
      <c r="N29" s="19" t="s">
        <v>23</v>
      </c>
      <c r="O29" s="19" t="s">
        <v>23</v>
      </c>
      <c r="P29">
        <v>97480496</v>
      </c>
      <c r="Q29" s="19" t="s">
        <v>24</v>
      </c>
      <c r="R29" s="19" t="s">
        <v>25</v>
      </c>
      <c r="S29" s="19" t="s">
        <v>26</v>
      </c>
      <c r="T29" s="20">
        <v>17.5</v>
      </c>
      <c r="U29" s="20">
        <v>17.5</v>
      </c>
      <c r="V29" s="20">
        <v>16</v>
      </c>
      <c r="W29" s="20"/>
      <c r="X29" s="20"/>
    </row>
    <row r="30" spans="1:24" ht="33.75" x14ac:dyDescent="0.25">
      <c r="A30" s="4">
        <v>29</v>
      </c>
      <c r="B30" s="14">
        <v>75351</v>
      </c>
      <c r="C30" s="15" t="s">
        <v>195</v>
      </c>
      <c r="D30" s="14" t="s">
        <v>28</v>
      </c>
      <c r="E30" s="6" t="s">
        <v>35</v>
      </c>
      <c r="F30" s="15" t="s">
        <v>196</v>
      </c>
      <c r="G30" s="13" t="s">
        <v>37</v>
      </c>
      <c r="H30" s="16">
        <v>52779</v>
      </c>
      <c r="I30" s="16">
        <v>30827</v>
      </c>
      <c r="J30" s="17">
        <v>40042</v>
      </c>
      <c r="K30" s="16">
        <v>42159</v>
      </c>
      <c r="L30" s="18">
        <v>2015</v>
      </c>
      <c r="M30" s="19" t="s">
        <v>57</v>
      </c>
      <c r="N30" s="19" t="s">
        <v>95</v>
      </c>
      <c r="O30" s="19" t="s">
        <v>95</v>
      </c>
      <c r="P30">
        <v>97646888</v>
      </c>
      <c r="Q30" s="19" t="s">
        <v>197</v>
      </c>
      <c r="R30" s="19" t="s">
        <v>198</v>
      </c>
      <c r="S30" s="19">
        <v>44074</v>
      </c>
      <c r="T30" s="20">
        <v>17.5</v>
      </c>
      <c r="U30" s="20">
        <v>17.5</v>
      </c>
      <c r="V30" s="20">
        <v>17.5</v>
      </c>
      <c r="W30" s="20"/>
      <c r="X30" s="20"/>
    </row>
    <row r="31" spans="1:24" ht="78.75" x14ac:dyDescent="0.25">
      <c r="A31" s="13">
        <v>30</v>
      </c>
      <c r="B31" s="14">
        <v>42981</v>
      </c>
      <c r="C31" s="15" t="s">
        <v>199</v>
      </c>
      <c r="D31" s="14" t="s">
        <v>28</v>
      </c>
      <c r="E31" s="6" t="s">
        <v>35</v>
      </c>
      <c r="F31" s="15" t="s">
        <v>200</v>
      </c>
      <c r="G31" s="13" t="s">
        <v>37</v>
      </c>
      <c r="H31" s="16">
        <v>50314</v>
      </c>
      <c r="I31" s="16">
        <v>28338</v>
      </c>
      <c r="J31" s="17">
        <v>37109</v>
      </c>
      <c r="K31" s="16">
        <v>45043</v>
      </c>
      <c r="L31" s="18" t="s">
        <v>201</v>
      </c>
      <c r="M31" s="19" t="s">
        <v>202</v>
      </c>
      <c r="N31" s="19" t="s">
        <v>75</v>
      </c>
      <c r="O31" s="19" t="s">
        <v>75</v>
      </c>
      <c r="P31">
        <v>67353239</v>
      </c>
      <c r="Q31" s="19" t="s">
        <v>203</v>
      </c>
      <c r="R31" s="19" t="s">
        <v>204</v>
      </c>
      <c r="S31" s="21"/>
      <c r="T31" s="21">
        <v>17</v>
      </c>
      <c r="U31" s="21">
        <v>17.5</v>
      </c>
      <c r="V31" s="21">
        <v>16.5</v>
      </c>
      <c r="W31" s="21"/>
      <c r="X31" s="21"/>
    </row>
    <row r="32" spans="1:24" ht="22.5" x14ac:dyDescent="0.25">
      <c r="A32" s="4">
        <v>31</v>
      </c>
      <c r="B32" s="14">
        <v>56576</v>
      </c>
      <c r="C32" s="15" t="s">
        <v>132</v>
      </c>
      <c r="D32" s="14" t="s">
        <v>99</v>
      </c>
      <c r="E32" s="6" t="s">
        <v>18</v>
      </c>
      <c r="F32" s="15" t="s">
        <v>273</v>
      </c>
      <c r="G32" s="13" t="s">
        <v>20</v>
      </c>
      <c r="H32" s="16">
        <v>47209</v>
      </c>
      <c r="I32" s="16">
        <v>27074</v>
      </c>
      <c r="J32" s="17">
        <v>39448</v>
      </c>
      <c r="K32" s="16">
        <v>44743</v>
      </c>
      <c r="L32" s="18" t="s">
        <v>21</v>
      </c>
      <c r="M32" s="19" t="s">
        <v>133</v>
      </c>
      <c r="N32" s="19" t="s">
        <v>134</v>
      </c>
      <c r="O32" s="19" t="s">
        <v>134</v>
      </c>
      <c r="P32">
        <v>95064069</v>
      </c>
      <c r="Q32" s="19" t="s">
        <v>135</v>
      </c>
      <c r="R32" s="19" t="s">
        <v>118</v>
      </c>
      <c r="S32" s="19"/>
      <c r="T32" s="20">
        <v>17</v>
      </c>
      <c r="U32" s="20">
        <v>17</v>
      </c>
      <c r="V32" s="20">
        <v>16</v>
      </c>
      <c r="W32" s="20"/>
      <c r="X32" s="20"/>
    </row>
    <row r="33" spans="1:24" ht="33.75" x14ac:dyDescent="0.25">
      <c r="A33" s="13">
        <v>32</v>
      </c>
      <c r="B33" s="14">
        <v>67736</v>
      </c>
      <c r="C33" s="15" t="s">
        <v>85</v>
      </c>
      <c r="D33" s="14" t="s">
        <v>49</v>
      </c>
      <c r="E33" s="6" t="s">
        <v>18</v>
      </c>
      <c r="F33" s="15" t="s">
        <v>86</v>
      </c>
      <c r="G33" s="13" t="s">
        <v>37</v>
      </c>
      <c r="H33" s="16">
        <v>50314</v>
      </c>
      <c r="I33" s="16">
        <v>30204</v>
      </c>
      <c r="J33" s="17">
        <v>40056</v>
      </c>
      <c r="K33" s="16">
        <v>42068</v>
      </c>
      <c r="L33" s="18" t="s">
        <v>87</v>
      </c>
      <c r="M33" s="19" t="s">
        <v>88</v>
      </c>
      <c r="N33" s="19" t="s">
        <v>89</v>
      </c>
      <c r="O33" s="19" t="s">
        <v>89</v>
      </c>
      <c r="P33">
        <v>97469461</v>
      </c>
      <c r="Q33" s="19" t="s">
        <v>90</v>
      </c>
      <c r="R33" s="19" t="s">
        <v>91</v>
      </c>
      <c r="S33" s="19"/>
      <c r="T33" s="20">
        <v>17</v>
      </c>
      <c r="U33" s="20">
        <v>17</v>
      </c>
      <c r="V33" s="20">
        <v>16.5</v>
      </c>
      <c r="W33" s="20"/>
      <c r="X33" s="20"/>
    </row>
    <row r="34" spans="1:24" ht="22.5" x14ac:dyDescent="0.25">
      <c r="A34" s="4">
        <v>33</v>
      </c>
      <c r="B34" s="14">
        <v>56535</v>
      </c>
      <c r="C34" s="15" t="s">
        <v>238</v>
      </c>
      <c r="D34" s="14" t="s">
        <v>214</v>
      </c>
      <c r="E34" s="6" t="s">
        <v>18</v>
      </c>
      <c r="F34" s="15" t="s">
        <v>239</v>
      </c>
      <c r="G34" s="13" t="s">
        <v>20</v>
      </c>
      <c r="H34" s="16">
        <v>49675</v>
      </c>
      <c r="I34" s="16">
        <v>27394</v>
      </c>
      <c r="J34" s="17">
        <v>39448</v>
      </c>
      <c r="K34" s="16">
        <v>44164</v>
      </c>
      <c r="L34" s="18" t="s">
        <v>240</v>
      </c>
      <c r="M34" s="19" t="s">
        <v>241</v>
      </c>
      <c r="N34" s="19" t="s">
        <v>81</v>
      </c>
      <c r="O34" s="19" t="s">
        <v>81</v>
      </c>
      <c r="P34">
        <v>97321288</v>
      </c>
      <c r="Q34" s="19" t="s">
        <v>242</v>
      </c>
      <c r="R34" s="19" t="s">
        <v>243</v>
      </c>
      <c r="S34" s="19"/>
      <c r="T34" s="20">
        <v>17</v>
      </c>
      <c r="U34" s="20">
        <v>17</v>
      </c>
      <c r="V34" s="20">
        <v>17.5</v>
      </c>
      <c r="W34" s="20"/>
      <c r="X34" s="20"/>
    </row>
    <row r="35" spans="1:24" ht="22.5" x14ac:dyDescent="0.25">
      <c r="A35" s="13">
        <v>34</v>
      </c>
      <c r="B35" s="14">
        <v>73305</v>
      </c>
      <c r="C35" s="15" t="s">
        <v>43</v>
      </c>
      <c r="D35" s="14" t="s">
        <v>34</v>
      </c>
      <c r="E35" s="6" t="s">
        <v>18</v>
      </c>
      <c r="F35" s="5" t="s">
        <v>175</v>
      </c>
      <c r="G35" s="13" t="s">
        <v>37</v>
      </c>
      <c r="H35" s="16">
        <v>51227</v>
      </c>
      <c r="I35" s="16">
        <v>29248</v>
      </c>
      <c r="J35" s="17">
        <v>40011</v>
      </c>
      <c r="K35" s="16">
        <v>40011</v>
      </c>
      <c r="L35" s="18" t="s">
        <v>44</v>
      </c>
      <c r="M35" s="19" t="s">
        <v>39</v>
      </c>
      <c r="N35" s="19" t="s">
        <v>45</v>
      </c>
      <c r="O35" s="19" t="s">
        <v>45</v>
      </c>
      <c r="P35">
        <v>97094746</v>
      </c>
      <c r="Q35" s="19" t="s">
        <v>46</v>
      </c>
      <c r="R35" s="19" t="s">
        <v>47</v>
      </c>
      <c r="S35" s="19"/>
      <c r="T35" s="20">
        <v>17</v>
      </c>
      <c r="U35" s="20">
        <v>17</v>
      </c>
      <c r="V35" s="20">
        <v>16</v>
      </c>
      <c r="W35" s="20"/>
      <c r="X35" s="20"/>
    </row>
    <row r="36" spans="1:24" x14ac:dyDescent="0.25">
      <c r="A36" s="4">
        <v>35</v>
      </c>
      <c r="B36" s="14">
        <v>56506</v>
      </c>
      <c r="C36" s="15" t="s">
        <v>136</v>
      </c>
      <c r="D36" s="14" t="s">
        <v>99</v>
      </c>
      <c r="E36" s="14" t="s">
        <v>18</v>
      </c>
      <c r="F36" s="15" t="s">
        <v>130</v>
      </c>
      <c r="G36" s="13" t="s">
        <v>20</v>
      </c>
      <c r="H36" s="16">
        <v>45658</v>
      </c>
      <c r="I36" s="16">
        <v>25568</v>
      </c>
      <c r="J36" s="17">
        <v>39448</v>
      </c>
      <c r="K36" s="16">
        <v>43893</v>
      </c>
      <c r="L36" s="18" t="s">
        <v>21</v>
      </c>
      <c r="M36" s="19" t="s">
        <v>130</v>
      </c>
      <c r="N36" s="19" t="s">
        <v>116</v>
      </c>
      <c r="O36" s="19" t="s">
        <v>116</v>
      </c>
      <c r="P36">
        <v>97018592</v>
      </c>
      <c r="Q36" s="19" t="s">
        <v>137</v>
      </c>
      <c r="R36" s="19" t="s">
        <v>118</v>
      </c>
      <c r="S36" s="19"/>
      <c r="T36" s="20">
        <v>17</v>
      </c>
      <c r="U36" s="20">
        <v>17</v>
      </c>
      <c r="V36" s="20">
        <v>15</v>
      </c>
      <c r="W36" s="20"/>
      <c r="X36" s="20"/>
    </row>
    <row r="37" spans="1:24" ht="22.5" x14ac:dyDescent="0.25">
      <c r="A37" s="13">
        <v>36</v>
      </c>
      <c r="B37" s="14">
        <v>86883</v>
      </c>
      <c r="C37" s="15" t="s">
        <v>48</v>
      </c>
      <c r="D37" s="14" t="s">
        <v>49</v>
      </c>
      <c r="E37" s="6" t="s">
        <v>18</v>
      </c>
      <c r="F37" s="15" t="s">
        <v>50</v>
      </c>
      <c r="G37" s="13" t="s">
        <v>37</v>
      </c>
      <c r="H37" s="16">
        <v>48761</v>
      </c>
      <c r="I37" s="16">
        <v>26837</v>
      </c>
      <c r="J37" s="17">
        <v>40011</v>
      </c>
      <c r="K37" s="16">
        <v>40011</v>
      </c>
      <c r="L37" s="18" t="s">
        <v>44</v>
      </c>
      <c r="M37" s="19" t="s">
        <v>51</v>
      </c>
      <c r="N37" s="19" t="s">
        <v>45</v>
      </c>
      <c r="O37" s="19" t="s">
        <v>45</v>
      </c>
      <c r="P37">
        <v>66645134</v>
      </c>
      <c r="Q37" s="19" t="s">
        <v>52</v>
      </c>
      <c r="R37" s="19" t="s">
        <v>53</v>
      </c>
      <c r="S37" s="19"/>
      <c r="T37" s="20">
        <v>17.5</v>
      </c>
      <c r="U37" s="20">
        <v>17</v>
      </c>
      <c r="V37" s="20">
        <v>16</v>
      </c>
      <c r="W37" s="20"/>
      <c r="X37" s="20"/>
    </row>
    <row r="38" spans="1:24" ht="22.5" x14ac:dyDescent="0.25">
      <c r="A38" s="4">
        <v>37</v>
      </c>
      <c r="B38" s="13">
        <v>85943</v>
      </c>
      <c r="C38" s="15" t="s">
        <v>144</v>
      </c>
      <c r="D38" s="14" t="s">
        <v>99</v>
      </c>
      <c r="E38" s="14" t="s">
        <v>18</v>
      </c>
      <c r="F38" s="15" t="s">
        <v>145</v>
      </c>
      <c r="G38" s="13" t="s">
        <v>37</v>
      </c>
      <c r="H38" s="16">
        <v>52688</v>
      </c>
      <c r="I38" s="16">
        <v>30766</v>
      </c>
      <c r="J38" s="17">
        <v>39609</v>
      </c>
      <c r="K38" s="16">
        <v>43081</v>
      </c>
      <c r="L38" s="18" t="s">
        <v>146</v>
      </c>
      <c r="M38" s="19" t="s">
        <v>57</v>
      </c>
      <c r="N38" s="19" t="s">
        <v>40</v>
      </c>
      <c r="O38" s="19" t="s">
        <v>40</v>
      </c>
      <c r="P38">
        <v>97262448</v>
      </c>
      <c r="Q38" s="19" t="s">
        <v>147</v>
      </c>
      <c r="R38" s="19" t="s">
        <v>148</v>
      </c>
      <c r="S38" s="19">
        <v>42515</v>
      </c>
      <c r="T38" s="20">
        <v>17.5</v>
      </c>
      <c r="U38" s="20">
        <v>17.5</v>
      </c>
      <c r="V38" s="20">
        <v>16</v>
      </c>
      <c r="W38" s="20"/>
      <c r="X38" s="20"/>
    </row>
    <row r="39" spans="1:24" ht="56.25" x14ac:dyDescent="0.25">
      <c r="A39" s="13">
        <v>38</v>
      </c>
      <c r="B39" s="14">
        <v>46312</v>
      </c>
      <c r="C39" s="15" t="s">
        <v>205</v>
      </c>
      <c r="D39" s="14" t="s">
        <v>28</v>
      </c>
      <c r="E39" s="4" t="s">
        <v>35</v>
      </c>
      <c r="F39" s="15" t="s">
        <v>206</v>
      </c>
      <c r="G39" s="13" t="s">
        <v>37</v>
      </c>
      <c r="H39" s="16">
        <v>48580</v>
      </c>
      <c r="I39" s="16">
        <v>28447</v>
      </c>
      <c r="J39" s="17">
        <v>37708</v>
      </c>
      <c r="K39" s="16">
        <v>41716</v>
      </c>
      <c r="L39" s="18" t="s">
        <v>207</v>
      </c>
      <c r="M39" s="19" t="s">
        <v>62</v>
      </c>
      <c r="N39" s="19" t="s">
        <v>274</v>
      </c>
      <c r="O39" s="19" t="s">
        <v>274</v>
      </c>
      <c r="P39">
        <v>97602486</v>
      </c>
      <c r="Q39" s="19" t="s">
        <v>208</v>
      </c>
      <c r="R39" s="19" t="s">
        <v>209</v>
      </c>
      <c r="S39" s="19"/>
      <c r="T39" s="20">
        <v>17.5</v>
      </c>
      <c r="U39" s="20">
        <v>17.5</v>
      </c>
      <c r="V39" s="20">
        <v>15</v>
      </c>
      <c r="W39" s="20"/>
      <c r="X39" s="20"/>
    </row>
    <row r="40" spans="1:24" ht="33.75" x14ac:dyDescent="0.25">
      <c r="A40" s="4">
        <v>39</v>
      </c>
      <c r="B40" s="14">
        <v>39301</v>
      </c>
      <c r="C40" s="15" t="s">
        <v>138</v>
      </c>
      <c r="D40" s="14" t="s">
        <v>99</v>
      </c>
      <c r="E40" s="4" t="s">
        <v>35</v>
      </c>
      <c r="F40" s="15" t="s">
        <v>139</v>
      </c>
      <c r="G40" s="13" t="s">
        <v>37</v>
      </c>
      <c r="H40" s="16">
        <v>49400</v>
      </c>
      <c r="I40" s="16">
        <v>27461</v>
      </c>
      <c r="J40" s="17">
        <v>36220</v>
      </c>
      <c r="K40" s="16">
        <v>44564</v>
      </c>
      <c r="L40" s="18" t="s">
        <v>140</v>
      </c>
      <c r="M40" s="19" t="s">
        <v>141</v>
      </c>
      <c r="N40" s="19" t="s">
        <v>45</v>
      </c>
      <c r="O40" s="19" t="s">
        <v>45</v>
      </c>
      <c r="P40">
        <v>67145514</v>
      </c>
      <c r="Q40" s="19" t="s">
        <v>142</v>
      </c>
      <c r="R40" s="19" t="s">
        <v>143</v>
      </c>
      <c r="S40" s="19">
        <v>42947</v>
      </c>
      <c r="T40" s="20">
        <v>17.5</v>
      </c>
      <c r="U40" s="20">
        <v>17.5</v>
      </c>
      <c r="V40" s="20">
        <v>17</v>
      </c>
      <c r="W40" s="20"/>
      <c r="X40" s="20"/>
    </row>
    <row r="41" spans="1:24" ht="22.5" x14ac:dyDescent="0.25">
      <c r="A41" s="13">
        <v>40</v>
      </c>
      <c r="B41" s="14">
        <v>45767</v>
      </c>
      <c r="C41" s="15" t="s">
        <v>251</v>
      </c>
      <c r="D41" s="14" t="s">
        <v>99</v>
      </c>
      <c r="E41" s="6" t="s">
        <v>18</v>
      </c>
      <c r="F41" s="14" t="s">
        <v>130</v>
      </c>
      <c r="G41" s="25" t="s">
        <v>37</v>
      </c>
      <c r="H41" s="16">
        <v>47849</v>
      </c>
      <c r="I41" s="16">
        <v>27750</v>
      </c>
      <c r="J41" s="17">
        <v>36164</v>
      </c>
      <c r="K41" s="16">
        <v>45166</v>
      </c>
      <c r="L41" s="18"/>
      <c r="M41" s="19" t="s">
        <v>130</v>
      </c>
      <c r="N41" s="19" t="s">
        <v>252</v>
      </c>
      <c r="O41" s="19" t="s">
        <v>252</v>
      </c>
      <c r="P41">
        <v>90667740</v>
      </c>
      <c r="Q41" s="27" t="s">
        <v>118</v>
      </c>
      <c r="R41" s="27" t="s">
        <v>118</v>
      </c>
      <c r="S41" s="19"/>
      <c r="T41" s="19"/>
      <c r="U41" s="20"/>
      <c r="V41" s="20">
        <v>16</v>
      </c>
      <c r="W41" s="20"/>
      <c r="X41" s="20"/>
    </row>
    <row r="42" spans="1:24" ht="45" x14ac:dyDescent="0.25">
      <c r="A42" s="4">
        <v>41</v>
      </c>
      <c r="B42" s="14">
        <v>67112</v>
      </c>
      <c r="C42" s="15" t="s">
        <v>92</v>
      </c>
      <c r="D42" s="14" t="s">
        <v>49</v>
      </c>
      <c r="E42" s="14" t="s">
        <v>18</v>
      </c>
      <c r="F42" s="15" t="s">
        <v>93</v>
      </c>
      <c r="G42" s="13" t="s">
        <v>37</v>
      </c>
      <c r="H42" s="16">
        <v>52140</v>
      </c>
      <c r="I42" s="16">
        <v>30169</v>
      </c>
      <c r="J42" s="17">
        <v>40011</v>
      </c>
      <c r="K42" s="17">
        <v>40011</v>
      </c>
      <c r="L42" s="18" t="s">
        <v>44</v>
      </c>
      <c r="M42" s="19" t="s">
        <v>94</v>
      </c>
      <c r="N42" s="19" t="s">
        <v>95</v>
      </c>
      <c r="O42" s="19" t="s">
        <v>75</v>
      </c>
      <c r="P42">
        <v>97771957</v>
      </c>
      <c r="Q42" s="19" t="s">
        <v>96</v>
      </c>
      <c r="R42" s="19" t="s">
        <v>97</v>
      </c>
      <c r="S42" s="19">
        <v>44109</v>
      </c>
      <c r="T42" s="20">
        <v>17.5</v>
      </c>
      <c r="U42" s="20">
        <v>17.5</v>
      </c>
      <c r="V42" s="20">
        <v>17.5</v>
      </c>
      <c r="W42" s="20"/>
      <c r="X42" s="20"/>
    </row>
    <row r="43" spans="1:24" ht="22.5" x14ac:dyDescent="0.25">
      <c r="A43" s="13">
        <v>42</v>
      </c>
      <c r="B43" s="14">
        <v>56538</v>
      </c>
      <c r="C43" s="15" t="s">
        <v>210</v>
      </c>
      <c r="D43" s="14" t="s">
        <v>28</v>
      </c>
      <c r="E43" s="14" t="s">
        <v>18</v>
      </c>
      <c r="F43" s="15" t="s">
        <v>113</v>
      </c>
      <c r="G43" s="13" t="s">
        <v>20</v>
      </c>
      <c r="H43" s="16">
        <v>46023</v>
      </c>
      <c r="I43" s="16">
        <v>25855</v>
      </c>
      <c r="J43" s="17">
        <v>39448</v>
      </c>
      <c r="K43" s="16">
        <v>43003</v>
      </c>
      <c r="L43" s="18" t="s">
        <v>211</v>
      </c>
      <c r="M43" s="19" t="s">
        <v>115</v>
      </c>
      <c r="N43" s="19" t="s">
        <v>116</v>
      </c>
      <c r="O43" s="19" t="s">
        <v>116</v>
      </c>
      <c r="P43">
        <v>97251585</v>
      </c>
      <c r="Q43" s="19" t="s">
        <v>212</v>
      </c>
      <c r="R43" s="19" t="s">
        <v>118</v>
      </c>
      <c r="S43" s="19"/>
      <c r="T43" s="20">
        <v>17.5</v>
      </c>
      <c r="U43" s="20">
        <v>17</v>
      </c>
      <c r="V43" s="20">
        <v>16.5</v>
      </c>
      <c r="W43" s="20"/>
      <c r="X43" s="20"/>
    </row>
    <row r="44" spans="1:24" ht="33.75" x14ac:dyDescent="0.25">
      <c r="A44" s="4">
        <v>43</v>
      </c>
      <c r="B44" s="14">
        <v>56522</v>
      </c>
      <c r="C44" s="15" t="s">
        <v>244</v>
      </c>
      <c r="D44" s="14" t="s">
        <v>214</v>
      </c>
      <c r="E44" s="14" t="s">
        <v>18</v>
      </c>
      <c r="F44" s="15" t="s">
        <v>245</v>
      </c>
      <c r="G44" s="13" t="s">
        <v>20</v>
      </c>
      <c r="H44" s="16">
        <v>46569</v>
      </c>
      <c r="I44" s="16">
        <v>24620</v>
      </c>
      <c r="J44" s="17">
        <v>36164</v>
      </c>
      <c r="K44" s="16">
        <v>36164</v>
      </c>
      <c r="L44" s="18" t="s">
        <v>246</v>
      </c>
      <c r="M44" s="19" t="s">
        <v>247</v>
      </c>
      <c r="N44" s="19" t="s">
        <v>248</v>
      </c>
      <c r="O44" s="19" t="s">
        <v>95</v>
      </c>
      <c r="P44">
        <v>97174227</v>
      </c>
      <c r="Q44" s="19" t="s">
        <v>249</v>
      </c>
      <c r="R44" s="19" t="s">
        <v>250</v>
      </c>
      <c r="S44" s="24"/>
      <c r="T44" s="20">
        <v>17</v>
      </c>
      <c r="U44" s="20">
        <v>17</v>
      </c>
      <c r="V44" s="20">
        <v>17</v>
      </c>
      <c r="W44" s="20"/>
      <c r="X44" s="20"/>
    </row>
    <row r="45" spans="1:24" ht="33.75" x14ac:dyDescent="0.25">
      <c r="A45" s="4">
        <v>44</v>
      </c>
      <c r="B45" s="14">
        <v>45680</v>
      </c>
      <c r="C45" s="15" t="s">
        <v>275</v>
      </c>
      <c r="D45" s="14" t="s">
        <v>276</v>
      </c>
      <c r="E45" s="14" t="s">
        <v>35</v>
      </c>
      <c r="F45" s="15" t="s">
        <v>277</v>
      </c>
      <c r="G45" s="13" t="s">
        <v>37</v>
      </c>
      <c r="H45" s="16">
        <v>48030</v>
      </c>
      <c r="I45" s="16">
        <v>26053</v>
      </c>
      <c r="J45" s="17">
        <v>36164</v>
      </c>
      <c r="K45" s="16">
        <v>45408</v>
      </c>
      <c r="L45" s="18" t="s">
        <v>278</v>
      </c>
      <c r="M45" s="19" t="s">
        <v>279</v>
      </c>
      <c r="N45" s="19" t="s">
        <v>280</v>
      </c>
      <c r="O45" s="19" t="s">
        <v>281</v>
      </c>
      <c r="P45">
        <v>97777472</v>
      </c>
      <c r="Q45" s="19" t="s">
        <v>289</v>
      </c>
      <c r="R45" s="19" t="s">
        <v>282</v>
      </c>
      <c r="S45" s="24"/>
      <c r="T45" s="20"/>
      <c r="U45" s="20"/>
      <c r="V45" s="20"/>
      <c r="W45" s="20"/>
      <c r="X45" s="20"/>
    </row>
    <row r="46" spans="1:24" ht="22.5" x14ac:dyDescent="0.25">
      <c r="A46" s="4">
        <v>45</v>
      </c>
      <c r="B46" s="14">
        <v>98269</v>
      </c>
      <c r="C46" s="15" t="s">
        <v>283</v>
      </c>
      <c r="D46" s="14" t="s">
        <v>28</v>
      </c>
      <c r="E46" s="14" t="s">
        <v>18</v>
      </c>
      <c r="F46" s="15" t="s">
        <v>290</v>
      </c>
      <c r="G46" s="13" t="s">
        <v>20</v>
      </c>
      <c r="H46" s="16">
        <v>50314</v>
      </c>
      <c r="I46" s="16">
        <v>28134</v>
      </c>
      <c r="J46" s="17">
        <v>39653</v>
      </c>
      <c r="K46" s="16">
        <v>45414</v>
      </c>
      <c r="L46" s="18" t="s">
        <v>284</v>
      </c>
      <c r="M46" s="19" t="s">
        <v>285</v>
      </c>
      <c r="N46" s="19" t="s">
        <v>286</v>
      </c>
      <c r="O46" s="19" t="s">
        <v>286</v>
      </c>
      <c r="P46">
        <v>96944041</v>
      </c>
      <c r="Q46" s="19" t="s">
        <v>287</v>
      </c>
      <c r="R46" s="19" t="s">
        <v>288</v>
      </c>
      <c r="S46" s="24"/>
      <c r="T46" s="20"/>
      <c r="U46" s="20"/>
      <c r="V46" s="20"/>
      <c r="W46" s="20"/>
      <c r="X46" s="20"/>
    </row>
  </sheetData>
  <autoFilter ref="A1:T46" xr:uid="{00000000-0009-0000-0000-000000000000}"/>
  <sortState xmlns:xlrd2="http://schemas.microsoft.com/office/spreadsheetml/2017/richdata2" ref="A2:S44">
    <sortCondition ref="C2:C44"/>
  </sortState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47"/>
  <sheetViews>
    <sheetView workbookViewId="0">
      <pane ySplit="1" topLeftCell="A2" activePane="bottomLeft" state="frozen"/>
      <selection pane="bottomLeft" sqref="A1:XFD1048576"/>
    </sheetView>
  </sheetViews>
  <sheetFormatPr baseColWidth="10" defaultColWidth="11.42578125" defaultRowHeight="13.5" x14ac:dyDescent="0.2"/>
  <cols>
    <col min="1" max="1" width="8" style="12" customWidth="1"/>
    <col min="2" max="2" width="9.85546875" style="12" customWidth="1"/>
    <col min="3" max="3" width="22.140625" style="12" customWidth="1"/>
    <col min="4" max="4" width="14.7109375" style="12" customWidth="1"/>
    <col min="5" max="5" width="4.5703125" style="12" customWidth="1"/>
    <col min="6" max="6" width="19.28515625" style="12" customWidth="1"/>
    <col min="7" max="7" width="7.42578125" style="12" customWidth="1"/>
    <col min="8" max="8" width="16.140625" style="12" customWidth="1"/>
    <col min="9" max="9" width="16.140625" style="41" customWidth="1"/>
    <col min="10" max="10" width="10.7109375" style="12" customWidth="1"/>
    <col min="11" max="11" width="11.42578125" style="12" customWidth="1"/>
    <col min="12" max="12" width="12.5703125" style="12" customWidth="1"/>
    <col min="13" max="13" width="16.28515625" style="12" customWidth="1"/>
    <col min="14" max="14" width="15.85546875" style="12" customWidth="1"/>
    <col min="15" max="15" width="15" style="12" customWidth="1"/>
    <col min="16" max="16" width="18" style="12" customWidth="1"/>
    <col min="17" max="17" width="11.28515625" style="12" bestFit="1" customWidth="1"/>
    <col min="18" max="18" width="8.85546875" style="12" bestFit="1" customWidth="1"/>
    <col min="19" max="19" width="8.85546875" style="12" customWidth="1"/>
    <col min="20" max="20" width="9" style="28" bestFit="1" customWidth="1"/>
    <col min="21" max="22" width="29.5703125" style="12" customWidth="1"/>
    <col min="23" max="23" width="10.85546875" style="12" bestFit="1" customWidth="1"/>
    <col min="24" max="28" width="8.85546875" style="12" bestFit="1" customWidth="1"/>
    <col min="29" max="29" width="20.5703125" style="12" bestFit="1" customWidth="1"/>
    <col min="30" max="30" width="11.85546875" style="12" bestFit="1" customWidth="1"/>
    <col min="31" max="31" width="18.42578125" style="12" customWidth="1"/>
    <col min="32" max="32" width="11.5703125" style="12" bestFit="1" customWidth="1"/>
    <col min="33" max="33" width="9.42578125" style="12" bestFit="1" customWidth="1"/>
    <col min="34" max="16384" width="11.42578125" style="12"/>
  </cols>
  <sheetData>
    <row r="1" spans="1:33" s="38" customFormat="1" ht="43.5" customHeight="1" x14ac:dyDescent="0.2">
      <c r="A1" s="34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5</v>
      </c>
      <c r="G1" s="34" t="s">
        <v>6</v>
      </c>
      <c r="H1" s="34" t="s">
        <v>7</v>
      </c>
      <c r="I1" s="40" t="s">
        <v>380</v>
      </c>
      <c r="J1" s="34" t="s">
        <v>8</v>
      </c>
      <c r="K1" s="34" t="s">
        <v>376</v>
      </c>
      <c r="L1" s="34" t="s">
        <v>381</v>
      </c>
      <c r="M1" s="34" t="s">
        <v>9</v>
      </c>
      <c r="N1" s="34" t="s">
        <v>10</v>
      </c>
      <c r="O1" s="34" t="s">
        <v>258</v>
      </c>
      <c r="P1" s="35" t="s">
        <v>11</v>
      </c>
      <c r="Q1" s="34" t="s">
        <v>12</v>
      </c>
      <c r="R1" s="34" t="s">
        <v>262</v>
      </c>
      <c r="S1" s="34" t="s">
        <v>350</v>
      </c>
      <c r="T1" s="36" t="s">
        <v>263</v>
      </c>
      <c r="U1" s="34" t="s">
        <v>13</v>
      </c>
      <c r="V1" s="34" t="s">
        <v>14</v>
      </c>
      <c r="W1" s="34" t="s">
        <v>15</v>
      </c>
      <c r="X1" s="34" t="s">
        <v>253</v>
      </c>
      <c r="Y1" s="34" t="s">
        <v>254</v>
      </c>
      <c r="Z1" s="34" t="s">
        <v>255</v>
      </c>
      <c r="AA1" s="34" t="s">
        <v>256</v>
      </c>
      <c r="AB1" s="34" t="s">
        <v>257</v>
      </c>
      <c r="AC1" s="37" t="s">
        <v>291</v>
      </c>
      <c r="AD1" s="37" t="s">
        <v>292</v>
      </c>
      <c r="AE1" s="37" t="s">
        <v>293</v>
      </c>
      <c r="AF1" s="37" t="s">
        <v>294</v>
      </c>
      <c r="AG1" s="37" t="s">
        <v>295</v>
      </c>
    </row>
    <row r="2" spans="1:33" ht="33.75" x14ac:dyDescent="0.2">
      <c r="A2" s="4">
        <v>1</v>
      </c>
      <c r="B2" s="6">
        <v>64720</v>
      </c>
      <c r="C2" s="5" t="s">
        <v>260</v>
      </c>
      <c r="D2" s="6" t="s">
        <v>383</v>
      </c>
      <c r="E2" s="6" t="s">
        <v>18</v>
      </c>
      <c r="F2" s="15" t="s">
        <v>259</v>
      </c>
      <c r="G2" s="4" t="s">
        <v>37</v>
      </c>
      <c r="H2" s="7">
        <v>48396</v>
      </c>
      <c r="I2" s="18">
        <v>2032</v>
      </c>
      <c r="J2" s="7">
        <v>26464</v>
      </c>
      <c r="K2" s="7">
        <v>45657</v>
      </c>
      <c r="L2" s="39">
        <f>DATEDIF(J2,K2,"Y")</f>
        <v>52</v>
      </c>
      <c r="M2" s="8">
        <v>40011</v>
      </c>
      <c r="N2" s="7">
        <v>40073</v>
      </c>
      <c r="O2" s="9" t="s">
        <v>44</v>
      </c>
      <c r="P2" s="31" t="s">
        <v>362</v>
      </c>
      <c r="Q2" s="10" t="s">
        <v>248</v>
      </c>
      <c r="R2" s="10" t="s">
        <v>45</v>
      </c>
      <c r="S2" s="10" t="str">
        <f>LEFT(Q2,1)</f>
        <v>A</v>
      </c>
      <c r="T2" s="14">
        <v>97694887</v>
      </c>
      <c r="U2" s="31" t="s">
        <v>177</v>
      </c>
      <c r="V2" s="10" t="s">
        <v>178</v>
      </c>
      <c r="W2" s="10"/>
      <c r="X2" s="11">
        <v>17</v>
      </c>
      <c r="Y2" s="11">
        <v>17</v>
      </c>
      <c r="Z2" s="11">
        <v>16</v>
      </c>
      <c r="AA2" s="11"/>
      <c r="AB2" s="11"/>
      <c r="AC2" s="30" t="s">
        <v>296</v>
      </c>
      <c r="AD2" s="30" t="s">
        <v>297</v>
      </c>
      <c r="AE2" s="29"/>
      <c r="AF2" s="29"/>
      <c r="AG2" s="29"/>
    </row>
    <row r="3" spans="1:33" ht="33.75" x14ac:dyDescent="0.2">
      <c r="A3" s="13">
        <v>2</v>
      </c>
      <c r="B3" s="13">
        <v>104885</v>
      </c>
      <c r="C3" s="15" t="s">
        <v>149</v>
      </c>
      <c r="D3" s="14" t="s">
        <v>150</v>
      </c>
      <c r="E3" s="6" t="s">
        <v>18</v>
      </c>
      <c r="F3" s="15" t="s">
        <v>151</v>
      </c>
      <c r="G3" s="13" t="s">
        <v>20</v>
      </c>
      <c r="H3" s="16">
        <v>53509</v>
      </c>
      <c r="I3" s="18">
        <v>2046</v>
      </c>
      <c r="J3" s="16">
        <v>31538</v>
      </c>
      <c r="K3" s="7">
        <v>45657</v>
      </c>
      <c r="L3" s="39">
        <f t="shared" ref="L3:L46" si="0">DATEDIF(J3,K3,"Y")</f>
        <v>38</v>
      </c>
      <c r="M3" s="17">
        <v>42032</v>
      </c>
      <c r="N3" s="16">
        <v>44067</v>
      </c>
      <c r="O3" s="18" t="s">
        <v>152</v>
      </c>
      <c r="P3" s="32" t="s">
        <v>366</v>
      </c>
      <c r="Q3" s="19" t="s">
        <v>30</v>
      </c>
      <c r="R3" s="19" t="s">
        <v>30</v>
      </c>
      <c r="S3" s="10" t="str">
        <f t="shared" ref="S3:S45" si="1">LEFT(Q3,1)</f>
        <v>A</v>
      </c>
      <c r="T3" s="14">
        <v>97537987</v>
      </c>
      <c r="U3" s="32" t="s">
        <v>154</v>
      </c>
      <c r="V3" s="19" t="s">
        <v>155</v>
      </c>
      <c r="W3" s="19"/>
      <c r="X3" s="20">
        <v>17</v>
      </c>
      <c r="Y3" s="20">
        <v>17</v>
      </c>
      <c r="Z3" s="20">
        <v>17.5</v>
      </c>
      <c r="AA3" s="20"/>
      <c r="AB3" s="20"/>
      <c r="AC3" s="30" t="s">
        <v>298</v>
      </c>
      <c r="AD3" s="30" t="s">
        <v>299</v>
      </c>
      <c r="AE3" s="29"/>
      <c r="AF3" s="29"/>
      <c r="AG3" s="29"/>
    </row>
    <row r="4" spans="1:33" ht="45" x14ac:dyDescent="0.2">
      <c r="A4" s="4">
        <v>3</v>
      </c>
      <c r="B4" s="14">
        <v>95603</v>
      </c>
      <c r="C4" s="15" t="s">
        <v>179</v>
      </c>
      <c r="D4" s="6" t="s">
        <v>28</v>
      </c>
      <c r="E4" s="6" t="s">
        <v>18</v>
      </c>
      <c r="F4" s="15" t="s">
        <v>180</v>
      </c>
      <c r="G4" s="4" t="s">
        <v>20</v>
      </c>
      <c r="H4" s="7">
        <v>50771</v>
      </c>
      <c r="I4" s="18">
        <v>2039</v>
      </c>
      <c r="J4" s="7">
        <v>29454</v>
      </c>
      <c r="K4" s="7">
        <v>45657</v>
      </c>
      <c r="L4" s="39">
        <f t="shared" si="0"/>
        <v>44</v>
      </c>
      <c r="M4" s="17">
        <v>39448</v>
      </c>
      <c r="N4" s="16">
        <v>45043</v>
      </c>
      <c r="O4" s="18" t="s">
        <v>181</v>
      </c>
      <c r="P4" s="32" t="s">
        <v>356</v>
      </c>
      <c r="Q4" s="10" t="s">
        <v>68</v>
      </c>
      <c r="R4" s="10" t="s">
        <v>68</v>
      </c>
      <c r="S4" s="10" t="str">
        <f t="shared" si="1"/>
        <v>B</v>
      </c>
      <c r="T4" s="14">
        <v>96202888</v>
      </c>
      <c r="U4" s="31" t="s">
        <v>183</v>
      </c>
      <c r="V4" s="10" t="s">
        <v>184</v>
      </c>
      <c r="W4" s="26"/>
      <c r="X4" s="13">
        <v>17</v>
      </c>
      <c r="Y4" s="13">
        <v>17</v>
      </c>
      <c r="Z4" s="4">
        <v>16.5</v>
      </c>
      <c r="AA4" s="26"/>
      <c r="AB4" s="26"/>
      <c r="AC4" s="30" t="s">
        <v>300</v>
      </c>
      <c r="AD4" s="30" t="s">
        <v>301</v>
      </c>
      <c r="AE4" s="29"/>
      <c r="AF4" s="29"/>
      <c r="AG4" s="29"/>
    </row>
    <row r="5" spans="1:33" ht="22.5" x14ac:dyDescent="0.2">
      <c r="A5" s="13">
        <v>4</v>
      </c>
      <c r="B5" s="14">
        <v>56463</v>
      </c>
      <c r="C5" s="15" t="s">
        <v>185</v>
      </c>
      <c r="D5" s="14" t="s">
        <v>28</v>
      </c>
      <c r="E5" s="6" t="s">
        <v>18</v>
      </c>
      <c r="F5" s="15" t="s">
        <v>186</v>
      </c>
      <c r="G5" s="13" t="s">
        <v>20</v>
      </c>
      <c r="H5" s="16">
        <v>50771</v>
      </c>
      <c r="I5" s="18">
        <v>2039</v>
      </c>
      <c r="J5" s="16">
        <v>29575</v>
      </c>
      <c r="K5" s="7">
        <v>45657</v>
      </c>
      <c r="L5" s="39">
        <f t="shared" si="0"/>
        <v>44</v>
      </c>
      <c r="M5" s="17">
        <v>39448</v>
      </c>
      <c r="N5" s="16">
        <v>43199</v>
      </c>
      <c r="O5" s="18" t="s">
        <v>261</v>
      </c>
      <c r="P5" s="32" t="s">
        <v>279</v>
      </c>
      <c r="Q5" s="19" t="s">
        <v>187</v>
      </c>
      <c r="R5" s="19" t="s">
        <v>187</v>
      </c>
      <c r="S5" s="10" t="str">
        <f t="shared" si="1"/>
        <v>B</v>
      </c>
      <c r="T5" s="14">
        <v>99389817</v>
      </c>
      <c r="U5" s="32" t="s">
        <v>188</v>
      </c>
      <c r="V5" s="19" t="s">
        <v>189</v>
      </c>
      <c r="W5" s="19">
        <v>43381</v>
      </c>
      <c r="X5" s="20">
        <v>17.5</v>
      </c>
      <c r="Y5" s="20">
        <v>17.5</v>
      </c>
      <c r="Z5" s="20">
        <v>15</v>
      </c>
      <c r="AA5" s="20"/>
      <c r="AB5" s="20"/>
      <c r="AC5" s="30" t="s">
        <v>302</v>
      </c>
      <c r="AD5" s="30" t="s">
        <v>299</v>
      </c>
      <c r="AE5" s="29"/>
      <c r="AF5" s="29"/>
      <c r="AG5" s="29"/>
    </row>
    <row r="6" spans="1:33" ht="22.5" x14ac:dyDescent="0.2">
      <c r="A6" s="4">
        <v>5</v>
      </c>
      <c r="B6" s="14">
        <v>59696</v>
      </c>
      <c r="C6" s="15" t="s">
        <v>54</v>
      </c>
      <c r="D6" s="14" t="s">
        <v>49</v>
      </c>
      <c r="E6" s="14" t="s">
        <v>18</v>
      </c>
      <c r="F6" s="15" t="s">
        <v>55</v>
      </c>
      <c r="G6" s="13" t="s">
        <v>37</v>
      </c>
      <c r="H6" s="16">
        <v>51775</v>
      </c>
      <c r="I6" s="18">
        <v>2041</v>
      </c>
      <c r="J6" s="16">
        <v>29853</v>
      </c>
      <c r="K6" s="7">
        <v>45657</v>
      </c>
      <c r="L6" s="39">
        <f t="shared" si="0"/>
        <v>43</v>
      </c>
      <c r="M6" s="17">
        <v>40840</v>
      </c>
      <c r="N6" s="16">
        <v>40840</v>
      </c>
      <c r="O6" s="18" t="s">
        <v>56</v>
      </c>
      <c r="P6" s="32" t="s">
        <v>369</v>
      </c>
      <c r="Q6" s="19" t="s">
        <v>45</v>
      </c>
      <c r="R6" s="19" t="s">
        <v>45</v>
      </c>
      <c r="S6" s="10" t="str">
        <f t="shared" si="1"/>
        <v>A</v>
      </c>
      <c r="T6" s="14">
        <v>95223234</v>
      </c>
      <c r="U6" s="32" t="s">
        <v>58</v>
      </c>
      <c r="V6" s="19" t="s">
        <v>59</v>
      </c>
      <c r="W6" s="19"/>
      <c r="X6" s="20">
        <v>16</v>
      </c>
      <c r="Y6" s="20">
        <v>17</v>
      </c>
      <c r="Z6" s="20">
        <v>17</v>
      </c>
      <c r="AA6" s="20"/>
      <c r="AB6" s="20"/>
      <c r="AC6" s="30" t="s">
        <v>303</v>
      </c>
      <c r="AD6" s="30" t="s">
        <v>304</v>
      </c>
      <c r="AE6" s="29"/>
      <c r="AF6" s="29"/>
      <c r="AG6" s="29"/>
    </row>
    <row r="7" spans="1:33" ht="33.75" x14ac:dyDescent="0.2">
      <c r="A7" s="13">
        <v>6</v>
      </c>
      <c r="B7" s="14">
        <v>99263</v>
      </c>
      <c r="C7" s="15" t="s">
        <v>33</v>
      </c>
      <c r="D7" s="6" t="s">
        <v>383</v>
      </c>
      <c r="E7" s="4" t="s">
        <v>35</v>
      </c>
      <c r="F7" s="15" t="s">
        <v>36</v>
      </c>
      <c r="G7" s="13" t="s">
        <v>37</v>
      </c>
      <c r="H7" s="16">
        <v>50952</v>
      </c>
      <c r="I7" s="18">
        <v>2039</v>
      </c>
      <c r="J7" s="16">
        <v>29018</v>
      </c>
      <c r="K7" s="7">
        <v>45657</v>
      </c>
      <c r="L7" s="39">
        <f t="shared" si="0"/>
        <v>45</v>
      </c>
      <c r="M7" s="17">
        <v>40584</v>
      </c>
      <c r="N7" s="16">
        <v>40617</v>
      </c>
      <c r="O7" s="18" t="s">
        <v>38</v>
      </c>
      <c r="P7" s="31" t="s">
        <v>362</v>
      </c>
      <c r="Q7" s="19" t="s">
        <v>45</v>
      </c>
      <c r="R7" s="19" t="s">
        <v>45</v>
      </c>
      <c r="S7" s="10" t="str">
        <f t="shared" si="1"/>
        <v>A</v>
      </c>
      <c r="T7" s="14">
        <v>67258008</v>
      </c>
      <c r="U7" s="32" t="s">
        <v>41</v>
      </c>
      <c r="V7" s="19" t="s">
        <v>42</v>
      </c>
      <c r="W7" s="19"/>
      <c r="X7" s="20">
        <v>17</v>
      </c>
      <c r="Y7" s="20">
        <v>17</v>
      </c>
      <c r="Z7" s="20">
        <v>16</v>
      </c>
      <c r="AA7" s="20"/>
      <c r="AB7" s="20"/>
      <c r="AC7" s="30" t="s">
        <v>305</v>
      </c>
      <c r="AD7" s="30" t="s">
        <v>304</v>
      </c>
      <c r="AE7" s="29"/>
      <c r="AF7" s="29"/>
      <c r="AG7" s="29"/>
    </row>
    <row r="8" spans="1:33" ht="22.5" x14ac:dyDescent="0.2">
      <c r="A8" s="4">
        <v>7</v>
      </c>
      <c r="B8" s="14">
        <v>51191</v>
      </c>
      <c r="C8" s="15" t="s">
        <v>112</v>
      </c>
      <c r="D8" s="14" t="s">
        <v>99</v>
      </c>
      <c r="E8" s="14" t="s">
        <v>18</v>
      </c>
      <c r="F8" s="15" t="s">
        <v>378</v>
      </c>
      <c r="G8" s="13" t="s">
        <v>37</v>
      </c>
      <c r="H8" s="16">
        <v>46478</v>
      </c>
      <c r="I8" s="18">
        <v>2027</v>
      </c>
      <c r="J8" s="16">
        <v>26320</v>
      </c>
      <c r="K8" s="7">
        <v>45657</v>
      </c>
      <c r="L8" s="39">
        <f t="shared" si="0"/>
        <v>52</v>
      </c>
      <c r="M8" s="17">
        <v>37754</v>
      </c>
      <c r="N8" s="16">
        <v>43920</v>
      </c>
      <c r="O8" s="18" t="s">
        <v>114</v>
      </c>
      <c r="P8" s="32" t="s">
        <v>371</v>
      </c>
      <c r="Q8" s="19" t="s">
        <v>264</v>
      </c>
      <c r="R8" s="19" t="s">
        <v>264</v>
      </c>
      <c r="S8" s="10" t="str">
        <f t="shared" si="1"/>
        <v>D</v>
      </c>
      <c r="T8" s="14">
        <v>97070079</v>
      </c>
      <c r="U8" s="32" t="s">
        <v>117</v>
      </c>
      <c r="V8" s="19" t="s">
        <v>118</v>
      </c>
      <c r="W8" s="19"/>
      <c r="X8" s="20">
        <v>17</v>
      </c>
      <c r="Y8" s="20">
        <v>17</v>
      </c>
      <c r="Z8" s="20">
        <v>16</v>
      </c>
      <c r="AA8" s="20"/>
      <c r="AB8" s="20"/>
      <c r="AC8" s="30" t="s">
        <v>306</v>
      </c>
      <c r="AD8" s="30" t="s">
        <v>307</v>
      </c>
      <c r="AE8" s="29"/>
      <c r="AF8" s="29"/>
      <c r="AG8" s="29"/>
    </row>
    <row r="9" spans="1:33" ht="33.75" x14ac:dyDescent="0.2">
      <c r="A9" s="13">
        <v>8</v>
      </c>
      <c r="B9" s="14">
        <v>104001</v>
      </c>
      <c r="C9" s="15" t="s">
        <v>190</v>
      </c>
      <c r="D9" s="14" t="s">
        <v>28</v>
      </c>
      <c r="E9" s="6" t="s">
        <v>18</v>
      </c>
      <c r="F9" s="15" t="s">
        <v>191</v>
      </c>
      <c r="G9" s="13" t="s">
        <v>20</v>
      </c>
      <c r="H9" s="16">
        <v>54605</v>
      </c>
      <c r="I9" s="18">
        <v>2049</v>
      </c>
      <c r="J9" s="16">
        <v>32630</v>
      </c>
      <c r="K9" s="7">
        <v>45657</v>
      </c>
      <c r="L9" s="39">
        <f t="shared" si="0"/>
        <v>35</v>
      </c>
      <c r="M9" s="17">
        <v>42032</v>
      </c>
      <c r="N9" s="16">
        <v>42064</v>
      </c>
      <c r="O9" s="18" t="s">
        <v>152</v>
      </c>
      <c r="P9" s="32" t="s">
        <v>357</v>
      </c>
      <c r="Q9" s="19" t="s">
        <v>192</v>
      </c>
      <c r="R9" s="19" t="s">
        <v>265</v>
      </c>
      <c r="S9" s="10" t="str">
        <f t="shared" si="1"/>
        <v>A</v>
      </c>
      <c r="T9" s="14">
        <v>96742291</v>
      </c>
      <c r="U9" s="32" t="s">
        <v>193</v>
      </c>
      <c r="V9" s="19" t="s">
        <v>194</v>
      </c>
      <c r="W9" s="19"/>
      <c r="X9" s="20">
        <v>17.5</v>
      </c>
      <c r="Y9" s="20">
        <v>17.5</v>
      </c>
      <c r="Z9" s="20">
        <v>16</v>
      </c>
      <c r="AA9" s="20"/>
      <c r="AB9" s="20"/>
      <c r="AC9" s="30" t="s">
        <v>308</v>
      </c>
      <c r="AD9" s="30" t="s">
        <v>301</v>
      </c>
      <c r="AE9" s="29"/>
      <c r="AF9" s="29"/>
      <c r="AG9" s="29"/>
    </row>
    <row r="10" spans="1:33" ht="33.75" x14ac:dyDescent="0.2">
      <c r="A10" s="4">
        <v>9</v>
      </c>
      <c r="B10" s="14">
        <v>106415</v>
      </c>
      <c r="C10" s="15" t="s">
        <v>156</v>
      </c>
      <c r="D10" s="14" t="s">
        <v>150</v>
      </c>
      <c r="E10" s="6" t="s">
        <v>18</v>
      </c>
      <c r="F10" s="15" t="s">
        <v>379</v>
      </c>
      <c r="G10" s="13" t="s">
        <v>20</v>
      </c>
      <c r="H10" s="16">
        <v>53966</v>
      </c>
      <c r="I10" s="18">
        <v>2047</v>
      </c>
      <c r="J10" s="16">
        <v>32738</v>
      </c>
      <c r="K10" s="7">
        <v>45657</v>
      </c>
      <c r="L10" s="39">
        <f t="shared" si="0"/>
        <v>35</v>
      </c>
      <c r="M10" s="17">
        <v>42096</v>
      </c>
      <c r="N10" s="16">
        <v>43775</v>
      </c>
      <c r="O10" s="18" t="s">
        <v>158</v>
      </c>
      <c r="P10" s="32" t="s">
        <v>279</v>
      </c>
      <c r="Q10" s="19" t="s">
        <v>159</v>
      </c>
      <c r="R10" s="19" t="s">
        <v>122</v>
      </c>
      <c r="S10" s="10" t="str">
        <f t="shared" si="1"/>
        <v>B</v>
      </c>
      <c r="T10" s="14">
        <v>96098252</v>
      </c>
      <c r="U10" s="32" t="s">
        <v>160</v>
      </c>
      <c r="V10" s="19" t="s">
        <v>32</v>
      </c>
      <c r="W10" s="19"/>
      <c r="X10" s="20">
        <v>17</v>
      </c>
      <c r="Y10" s="20">
        <v>17</v>
      </c>
      <c r="Z10" s="20">
        <v>17.5</v>
      </c>
      <c r="AA10" s="20"/>
      <c r="AB10" s="20"/>
      <c r="AC10" s="30" t="s">
        <v>310</v>
      </c>
      <c r="AD10" s="30" t="s">
        <v>311</v>
      </c>
      <c r="AE10" s="29"/>
      <c r="AF10" s="29"/>
      <c r="AG10" s="29"/>
    </row>
    <row r="11" spans="1:33" ht="22.5" x14ac:dyDescent="0.2">
      <c r="A11" s="13">
        <v>10</v>
      </c>
      <c r="B11" s="14">
        <v>65695</v>
      </c>
      <c r="C11" s="15" t="s">
        <v>213</v>
      </c>
      <c r="D11" s="14" t="s">
        <v>214</v>
      </c>
      <c r="E11" s="6" t="s">
        <v>18</v>
      </c>
      <c r="F11" s="15" t="s">
        <v>215</v>
      </c>
      <c r="G11" s="13" t="s">
        <v>20</v>
      </c>
      <c r="H11" s="16">
        <v>52688</v>
      </c>
      <c r="I11" s="18">
        <v>2044</v>
      </c>
      <c r="J11" s="16">
        <v>30766</v>
      </c>
      <c r="K11" s="7">
        <v>45657</v>
      </c>
      <c r="L11" s="39">
        <f t="shared" si="0"/>
        <v>40</v>
      </c>
      <c r="M11" s="17">
        <v>39448</v>
      </c>
      <c r="N11" s="16">
        <v>41216</v>
      </c>
      <c r="O11" s="18" t="s">
        <v>21</v>
      </c>
      <c r="P11" s="33" t="s">
        <v>216</v>
      </c>
      <c r="Q11" s="19" t="s">
        <v>45</v>
      </c>
      <c r="R11" s="19" t="s">
        <v>45</v>
      </c>
      <c r="S11" s="10" t="str">
        <f t="shared" si="1"/>
        <v>A</v>
      </c>
      <c r="T11" s="14">
        <v>97717360</v>
      </c>
      <c r="U11" s="32" t="s">
        <v>217</v>
      </c>
      <c r="V11" s="19" t="s">
        <v>218</v>
      </c>
      <c r="W11" s="19">
        <v>44470</v>
      </c>
      <c r="X11" s="20">
        <v>17.5</v>
      </c>
      <c r="Y11" s="20">
        <v>17.5</v>
      </c>
      <c r="Z11" s="20">
        <v>17.5</v>
      </c>
      <c r="AA11" s="20"/>
      <c r="AB11" s="20"/>
      <c r="AC11" s="30" t="s">
        <v>314</v>
      </c>
      <c r="AD11" s="30" t="s">
        <v>312</v>
      </c>
      <c r="AE11" s="29"/>
      <c r="AF11" s="29"/>
      <c r="AG11" s="29"/>
    </row>
    <row r="12" spans="1:33" ht="22.5" x14ac:dyDescent="0.2">
      <c r="A12" s="4">
        <v>11</v>
      </c>
      <c r="B12" s="14">
        <v>83300</v>
      </c>
      <c r="C12" s="15" t="s">
        <v>161</v>
      </c>
      <c r="D12" s="14" t="s">
        <v>150</v>
      </c>
      <c r="E12" s="4" t="s">
        <v>35</v>
      </c>
      <c r="F12" s="15" t="s">
        <v>162</v>
      </c>
      <c r="G12" s="13" t="s">
        <v>37</v>
      </c>
      <c r="H12" s="16">
        <v>50679</v>
      </c>
      <c r="I12" s="18">
        <v>2038</v>
      </c>
      <c r="J12" s="16">
        <v>28725</v>
      </c>
      <c r="K12" s="7">
        <v>45657</v>
      </c>
      <c r="L12" s="39">
        <f t="shared" si="0"/>
        <v>46</v>
      </c>
      <c r="M12" s="17">
        <v>38509</v>
      </c>
      <c r="N12" s="16">
        <v>43668</v>
      </c>
      <c r="O12" s="18" t="s">
        <v>121</v>
      </c>
      <c r="P12" s="31" t="s">
        <v>362</v>
      </c>
      <c r="Q12" s="19" t="s">
        <v>248</v>
      </c>
      <c r="R12" s="19" t="s">
        <v>45</v>
      </c>
      <c r="S12" s="10" t="str">
        <f t="shared" si="1"/>
        <v>A</v>
      </c>
      <c r="T12" s="14">
        <v>97877030</v>
      </c>
      <c r="U12" s="32" t="s">
        <v>163</v>
      </c>
      <c r="V12" s="19" t="s">
        <v>164</v>
      </c>
      <c r="W12" s="19">
        <v>41388</v>
      </c>
      <c r="X12" s="20">
        <v>17</v>
      </c>
      <c r="Y12" s="20">
        <v>17</v>
      </c>
      <c r="Z12" s="20">
        <v>16</v>
      </c>
      <c r="AA12" s="20"/>
      <c r="AB12" s="20"/>
      <c r="AC12" s="30" t="s">
        <v>313</v>
      </c>
      <c r="AD12" s="30" t="s">
        <v>312</v>
      </c>
      <c r="AE12" s="29"/>
      <c r="AF12" s="29"/>
      <c r="AG12" s="29"/>
    </row>
    <row r="13" spans="1:33" ht="33.75" x14ac:dyDescent="0.2">
      <c r="A13" s="13">
        <v>12</v>
      </c>
      <c r="B13" s="14">
        <v>89566</v>
      </c>
      <c r="C13" s="15" t="s">
        <v>165</v>
      </c>
      <c r="D13" s="14" t="s">
        <v>150</v>
      </c>
      <c r="E13" s="14" t="s">
        <v>18</v>
      </c>
      <c r="F13" s="15" t="s">
        <v>166</v>
      </c>
      <c r="G13" s="13" t="s">
        <v>37</v>
      </c>
      <c r="H13" s="16">
        <v>51683</v>
      </c>
      <c r="I13" s="18">
        <v>2041</v>
      </c>
      <c r="J13" s="16">
        <v>29701</v>
      </c>
      <c r="K13" s="7">
        <v>45657</v>
      </c>
      <c r="L13" s="39">
        <f t="shared" si="0"/>
        <v>43</v>
      </c>
      <c r="M13" s="17">
        <v>40084</v>
      </c>
      <c r="N13" s="16">
        <v>44564</v>
      </c>
      <c r="O13" s="18" t="s">
        <v>167</v>
      </c>
      <c r="P13" s="32" t="s">
        <v>357</v>
      </c>
      <c r="Q13" s="19" t="s">
        <v>81</v>
      </c>
      <c r="R13" s="19" t="s">
        <v>75</v>
      </c>
      <c r="S13" s="10" t="str">
        <f t="shared" si="1"/>
        <v>A</v>
      </c>
      <c r="T13" s="14">
        <v>96302039</v>
      </c>
      <c r="U13" s="32" t="s">
        <v>169</v>
      </c>
      <c r="V13" s="19" t="s">
        <v>170</v>
      </c>
      <c r="W13" s="19"/>
      <c r="X13" s="20">
        <v>17</v>
      </c>
      <c r="Y13" s="20">
        <v>16</v>
      </c>
      <c r="Z13" s="20">
        <v>17</v>
      </c>
      <c r="AA13" s="20"/>
      <c r="AB13" s="20"/>
      <c r="AC13" s="30" t="s">
        <v>315</v>
      </c>
      <c r="AD13" s="30" t="s">
        <v>316</v>
      </c>
      <c r="AE13" s="29"/>
      <c r="AF13" s="29"/>
      <c r="AG13" s="29"/>
    </row>
    <row r="14" spans="1:33" ht="22.5" x14ac:dyDescent="0.2">
      <c r="A14" s="4">
        <v>13</v>
      </c>
      <c r="B14" s="13">
        <v>104814</v>
      </c>
      <c r="C14" s="15" t="s">
        <v>119</v>
      </c>
      <c r="D14" s="14" t="s">
        <v>99</v>
      </c>
      <c r="E14" s="13" t="s">
        <v>35</v>
      </c>
      <c r="F14" s="15" t="s">
        <v>120</v>
      </c>
      <c r="G14" s="13" t="s">
        <v>20</v>
      </c>
      <c r="H14" s="16">
        <v>54240</v>
      </c>
      <c r="I14" s="18">
        <v>2048</v>
      </c>
      <c r="J14" s="16">
        <v>33032</v>
      </c>
      <c r="K14" s="7">
        <v>45657</v>
      </c>
      <c r="L14" s="39">
        <f t="shared" si="0"/>
        <v>34</v>
      </c>
      <c r="M14" s="17">
        <v>42037</v>
      </c>
      <c r="N14" s="16">
        <v>43199</v>
      </c>
      <c r="O14" s="18" t="s">
        <v>389</v>
      </c>
      <c r="P14" s="32" t="s">
        <v>358</v>
      </c>
      <c r="Q14" s="19" t="s">
        <v>159</v>
      </c>
      <c r="R14" s="19" t="s">
        <v>122</v>
      </c>
      <c r="S14" s="10" t="str">
        <f t="shared" si="1"/>
        <v>B</v>
      </c>
      <c r="T14" s="14">
        <v>61656609</v>
      </c>
      <c r="U14" s="32" t="s">
        <v>123</v>
      </c>
      <c r="V14" s="19" t="s">
        <v>32</v>
      </c>
      <c r="W14" s="19"/>
      <c r="X14" s="20">
        <v>17</v>
      </c>
      <c r="Y14" s="20">
        <v>17</v>
      </c>
      <c r="Z14" s="20">
        <v>16</v>
      </c>
      <c r="AA14" s="20"/>
      <c r="AB14" s="20"/>
      <c r="AC14" s="30" t="s">
        <v>317</v>
      </c>
      <c r="AD14" s="30" t="s">
        <v>312</v>
      </c>
      <c r="AE14" s="29"/>
      <c r="AF14" s="29"/>
      <c r="AG14" s="29"/>
    </row>
    <row r="15" spans="1:33" ht="29.25" customHeight="1" x14ac:dyDescent="0.2">
      <c r="A15" s="13">
        <v>14</v>
      </c>
      <c r="B15" s="14">
        <v>100478</v>
      </c>
      <c r="C15" s="15" t="s">
        <v>27</v>
      </c>
      <c r="D15" s="6" t="s">
        <v>383</v>
      </c>
      <c r="E15" s="6" t="s">
        <v>18</v>
      </c>
      <c r="F15" s="15" t="s">
        <v>29</v>
      </c>
      <c r="G15" s="13" t="s">
        <v>20</v>
      </c>
      <c r="H15" s="16">
        <v>50131</v>
      </c>
      <c r="I15" s="18">
        <v>2037</v>
      </c>
      <c r="J15" s="16">
        <v>28860</v>
      </c>
      <c r="K15" s="7">
        <v>45657</v>
      </c>
      <c r="L15" s="39">
        <f t="shared" si="0"/>
        <v>45</v>
      </c>
      <c r="M15" s="17">
        <v>39448</v>
      </c>
      <c r="N15" s="16">
        <v>43003</v>
      </c>
      <c r="O15" s="18" t="s">
        <v>21</v>
      </c>
      <c r="P15" s="32" t="s">
        <v>359</v>
      </c>
      <c r="Q15" s="19" t="s">
        <v>30</v>
      </c>
      <c r="R15" s="19" t="s">
        <v>122</v>
      </c>
      <c r="S15" s="10" t="str">
        <f t="shared" si="1"/>
        <v>A</v>
      </c>
      <c r="T15" s="14">
        <v>97087359</v>
      </c>
      <c r="U15" s="32" t="s">
        <v>31</v>
      </c>
      <c r="V15" s="19" t="s">
        <v>32</v>
      </c>
      <c r="W15" s="19">
        <v>44186</v>
      </c>
      <c r="X15" s="20">
        <v>17.5</v>
      </c>
      <c r="Y15" s="20">
        <v>17.5</v>
      </c>
      <c r="Z15" s="20">
        <v>17.5</v>
      </c>
      <c r="AA15" s="20"/>
      <c r="AB15" s="20"/>
      <c r="AC15" s="30" t="s">
        <v>318</v>
      </c>
      <c r="AD15" s="30" t="s">
        <v>319</v>
      </c>
      <c r="AE15" s="29"/>
      <c r="AF15" s="29"/>
      <c r="AG15" s="29"/>
    </row>
    <row r="16" spans="1:33" ht="21.75" customHeight="1" x14ac:dyDescent="0.2">
      <c r="A16" s="4">
        <v>15</v>
      </c>
      <c r="B16" s="14">
        <v>56494</v>
      </c>
      <c r="C16" s="15" t="s">
        <v>219</v>
      </c>
      <c r="D16" s="14" t="s">
        <v>214</v>
      </c>
      <c r="E16" s="6" t="s">
        <v>18</v>
      </c>
      <c r="F16" s="32" t="s">
        <v>360</v>
      </c>
      <c r="G16" s="13" t="s">
        <v>20</v>
      </c>
      <c r="H16" s="16">
        <v>47027</v>
      </c>
      <c r="I16" s="18">
        <v>2028</v>
      </c>
      <c r="J16" s="16">
        <v>26916</v>
      </c>
      <c r="K16" s="7">
        <v>45657</v>
      </c>
      <c r="L16" s="39">
        <f t="shared" si="0"/>
        <v>51</v>
      </c>
      <c r="M16" s="17">
        <v>39448</v>
      </c>
      <c r="N16" s="16">
        <v>42892</v>
      </c>
      <c r="O16" s="18" t="s">
        <v>21</v>
      </c>
      <c r="P16" s="32" t="s">
        <v>360</v>
      </c>
      <c r="Q16" s="19" t="s">
        <v>116</v>
      </c>
      <c r="R16" s="19" t="s">
        <v>116</v>
      </c>
      <c r="S16" s="10" t="str">
        <f t="shared" si="1"/>
        <v>D</v>
      </c>
      <c r="T16" s="14">
        <v>97725590</v>
      </c>
      <c r="U16" s="32" t="s">
        <v>220</v>
      </c>
      <c r="V16" s="19" t="s">
        <v>221</v>
      </c>
      <c r="W16" s="19"/>
      <c r="X16" s="20">
        <v>17</v>
      </c>
      <c r="Y16" s="20">
        <v>17</v>
      </c>
      <c r="Z16" s="20">
        <v>17</v>
      </c>
      <c r="AA16" s="20"/>
      <c r="AB16" s="20"/>
      <c r="AC16" s="30" t="s">
        <v>320</v>
      </c>
      <c r="AD16" s="30" t="s">
        <v>311</v>
      </c>
      <c r="AE16" s="29"/>
      <c r="AF16" s="29"/>
      <c r="AG16" s="29"/>
    </row>
    <row r="17" spans="1:33" ht="33.75" x14ac:dyDescent="0.2">
      <c r="A17" s="13">
        <v>16</v>
      </c>
      <c r="B17" s="14">
        <v>82025</v>
      </c>
      <c r="C17" s="15" t="s">
        <v>60</v>
      </c>
      <c r="D17" s="14" t="s">
        <v>49</v>
      </c>
      <c r="E17" s="4" t="s">
        <v>35</v>
      </c>
      <c r="F17" s="15" t="s">
        <v>268</v>
      </c>
      <c r="G17" s="13" t="s">
        <v>37</v>
      </c>
      <c r="H17" s="16">
        <v>50771</v>
      </c>
      <c r="I17" s="18">
        <v>2039</v>
      </c>
      <c r="J17" s="16">
        <v>30604</v>
      </c>
      <c r="K17" s="7">
        <v>45657</v>
      </c>
      <c r="L17" s="39">
        <f t="shared" si="0"/>
        <v>41</v>
      </c>
      <c r="M17" s="17">
        <v>38131</v>
      </c>
      <c r="N17" s="16">
        <v>42600</v>
      </c>
      <c r="O17" s="18" t="s">
        <v>61</v>
      </c>
      <c r="P17" s="32" t="s">
        <v>361</v>
      </c>
      <c r="Q17" s="19" t="s">
        <v>269</v>
      </c>
      <c r="R17" s="19" t="s">
        <v>269</v>
      </c>
      <c r="S17" s="10" t="str">
        <f t="shared" si="1"/>
        <v>C</v>
      </c>
      <c r="T17" s="14">
        <v>96310906</v>
      </c>
      <c r="U17" s="32" t="s">
        <v>63</v>
      </c>
      <c r="V17" s="19" t="s">
        <v>64</v>
      </c>
      <c r="W17" s="19"/>
      <c r="X17" s="20">
        <v>17</v>
      </c>
      <c r="Y17" s="20">
        <v>16.5</v>
      </c>
      <c r="Z17" s="20">
        <v>17</v>
      </c>
      <c r="AA17" s="20"/>
      <c r="AB17" s="20"/>
      <c r="AC17" s="30" t="s">
        <v>321</v>
      </c>
      <c r="AD17" s="30" t="s">
        <v>316</v>
      </c>
      <c r="AE17" s="29"/>
      <c r="AF17" s="29"/>
      <c r="AG17" s="29"/>
    </row>
    <row r="18" spans="1:33" ht="22.5" x14ac:dyDescent="0.2">
      <c r="A18" s="4">
        <v>17</v>
      </c>
      <c r="B18" s="14">
        <v>77055</v>
      </c>
      <c r="C18" s="15" t="s">
        <v>124</v>
      </c>
      <c r="D18" s="14" t="s">
        <v>99</v>
      </c>
      <c r="E18" s="4" t="s">
        <v>35</v>
      </c>
      <c r="F18" s="15" t="s">
        <v>125</v>
      </c>
      <c r="G18" s="13" t="s">
        <v>37</v>
      </c>
      <c r="H18" s="16">
        <v>51867</v>
      </c>
      <c r="I18" s="18">
        <v>2042</v>
      </c>
      <c r="J18" s="16">
        <v>30674</v>
      </c>
      <c r="K18" s="7">
        <v>45657</v>
      </c>
      <c r="L18" s="39">
        <f t="shared" si="0"/>
        <v>41</v>
      </c>
      <c r="M18" s="17">
        <v>40084</v>
      </c>
      <c r="N18" s="16">
        <v>43598</v>
      </c>
      <c r="O18" s="18" t="s">
        <v>126</v>
      </c>
      <c r="P18" s="32" t="s">
        <v>361</v>
      </c>
      <c r="Q18" s="19" t="s">
        <v>187</v>
      </c>
      <c r="R18" s="19" t="s">
        <v>109</v>
      </c>
      <c r="S18" s="10" t="str">
        <f t="shared" si="1"/>
        <v>B</v>
      </c>
      <c r="T18" s="14">
        <v>97647925</v>
      </c>
      <c r="U18" s="32" t="s">
        <v>128</v>
      </c>
      <c r="V18" s="19" t="s">
        <v>128</v>
      </c>
      <c r="W18" s="19"/>
      <c r="X18" s="20">
        <v>17</v>
      </c>
      <c r="Y18" s="20">
        <v>17</v>
      </c>
      <c r="Z18" s="20">
        <v>16</v>
      </c>
      <c r="AA18" s="20"/>
      <c r="AB18" s="20"/>
      <c r="AC18" s="30" t="s">
        <v>322</v>
      </c>
      <c r="AD18" s="30" t="s">
        <v>299</v>
      </c>
      <c r="AE18" s="29"/>
      <c r="AF18" s="29"/>
      <c r="AG18" s="29"/>
    </row>
    <row r="19" spans="1:33" ht="22.5" x14ac:dyDescent="0.2">
      <c r="A19" s="13">
        <v>18</v>
      </c>
      <c r="B19" s="14">
        <v>56478</v>
      </c>
      <c r="C19" s="15" t="s">
        <v>129</v>
      </c>
      <c r="D19" s="14" t="s">
        <v>99</v>
      </c>
      <c r="E19" s="6" t="s">
        <v>18</v>
      </c>
      <c r="F19" s="32" t="s">
        <v>360</v>
      </c>
      <c r="G19" s="13" t="s">
        <v>20</v>
      </c>
      <c r="H19" s="16">
        <v>48214</v>
      </c>
      <c r="I19" s="18">
        <v>2032</v>
      </c>
      <c r="J19" s="16">
        <v>28047</v>
      </c>
      <c r="K19" s="7">
        <v>45657</v>
      </c>
      <c r="L19" s="39">
        <f t="shared" si="0"/>
        <v>48</v>
      </c>
      <c r="M19" s="17">
        <v>39448</v>
      </c>
      <c r="N19" s="16">
        <v>42430</v>
      </c>
      <c r="O19" s="18" t="s">
        <v>21</v>
      </c>
      <c r="P19" s="32" t="s">
        <v>360</v>
      </c>
      <c r="Q19" s="19" t="s">
        <v>116</v>
      </c>
      <c r="R19" s="19" t="s">
        <v>116</v>
      </c>
      <c r="S19" s="10" t="str">
        <f t="shared" si="1"/>
        <v>D</v>
      </c>
      <c r="T19" s="14">
        <v>95445287</v>
      </c>
      <c r="U19" s="32" t="s">
        <v>131</v>
      </c>
      <c r="V19" s="19" t="s">
        <v>118</v>
      </c>
      <c r="W19" s="19"/>
      <c r="X19" s="20">
        <v>17</v>
      </c>
      <c r="Y19" s="20">
        <v>17</v>
      </c>
      <c r="Z19" s="20">
        <v>16.5</v>
      </c>
      <c r="AA19" s="20"/>
      <c r="AB19" s="20"/>
      <c r="AC19" s="30" t="s">
        <v>323</v>
      </c>
      <c r="AD19" s="30" t="s">
        <v>297</v>
      </c>
      <c r="AE19" s="29"/>
      <c r="AF19" s="29"/>
      <c r="AG19" s="29"/>
    </row>
    <row r="20" spans="1:33" ht="22.5" x14ac:dyDescent="0.2">
      <c r="A20" s="4">
        <v>19</v>
      </c>
      <c r="B20" s="14">
        <v>64716</v>
      </c>
      <c r="C20" s="15" t="s">
        <v>222</v>
      </c>
      <c r="D20" s="14" t="s">
        <v>214</v>
      </c>
      <c r="E20" s="6" t="s">
        <v>18</v>
      </c>
      <c r="F20" s="15" t="s">
        <v>223</v>
      </c>
      <c r="G20" s="13" t="s">
        <v>37</v>
      </c>
      <c r="H20" s="16">
        <v>47484</v>
      </c>
      <c r="I20" s="18">
        <v>2030</v>
      </c>
      <c r="J20" s="16">
        <v>25519</v>
      </c>
      <c r="K20" s="7">
        <v>45657</v>
      </c>
      <c r="L20" s="39">
        <f t="shared" si="0"/>
        <v>55</v>
      </c>
      <c r="M20" s="17">
        <v>40011</v>
      </c>
      <c r="N20" s="16">
        <v>43018</v>
      </c>
      <c r="O20" s="18" t="s">
        <v>44</v>
      </c>
      <c r="P20" s="31" t="s">
        <v>362</v>
      </c>
      <c r="Q20" s="19" t="s">
        <v>248</v>
      </c>
      <c r="R20" s="19" t="s">
        <v>45</v>
      </c>
      <c r="S20" s="10" t="str">
        <f t="shared" si="1"/>
        <v>A</v>
      </c>
      <c r="T20" s="14">
        <v>95573206</v>
      </c>
      <c r="U20" s="43" t="s">
        <v>225</v>
      </c>
      <c r="V20" s="23" t="s">
        <v>226</v>
      </c>
      <c r="W20" s="19"/>
      <c r="X20" s="20">
        <v>17</v>
      </c>
      <c r="Y20" s="20">
        <v>16.5</v>
      </c>
      <c r="Z20" s="20">
        <v>16.5</v>
      </c>
      <c r="AA20" s="20"/>
      <c r="AB20" s="20"/>
      <c r="AC20" s="30" t="s">
        <v>303</v>
      </c>
      <c r="AD20" s="30" t="s">
        <v>304</v>
      </c>
      <c r="AE20" s="29"/>
      <c r="AF20" s="29"/>
      <c r="AG20" s="29"/>
    </row>
    <row r="21" spans="1:33" ht="22.5" x14ac:dyDescent="0.2">
      <c r="A21" s="13">
        <v>20</v>
      </c>
      <c r="B21" s="14">
        <v>56532</v>
      </c>
      <c r="C21" s="15" t="s">
        <v>227</v>
      </c>
      <c r="D21" s="14" t="s">
        <v>214</v>
      </c>
      <c r="E21" s="13" t="s">
        <v>35</v>
      </c>
      <c r="F21" s="15" t="s">
        <v>228</v>
      </c>
      <c r="G21" s="13" t="s">
        <v>20</v>
      </c>
      <c r="H21" s="16">
        <v>47484</v>
      </c>
      <c r="I21" s="18">
        <v>2030</v>
      </c>
      <c r="J21" s="16">
        <v>27314</v>
      </c>
      <c r="K21" s="7">
        <v>45657</v>
      </c>
      <c r="L21" s="39">
        <f t="shared" si="0"/>
        <v>50</v>
      </c>
      <c r="M21" s="17">
        <v>39448</v>
      </c>
      <c r="N21" s="16">
        <v>40857</v>
      </c>
      <c r="O21" s="18" t="s">
        <v>21</v>
      </c>
      <c r="P21" s="32" t="s">
        <v>363</v>
      </c>
      <c r="Q21" s="19" t="s">
        <v>116</v>
      </c>
      <c r="R21" s="19" t="s">
        <v>116</v>
      </c>
      <c r="S21" s="10" t="str">
        <f t="shared" si="1"/>
        <v>D</v>
      </c>
      <c r="T21" s="14">
        <v>97692116</v>
      </c>
      <c r="U21" s="32" t="s">
        <v>229</v>
      </c>
      <c r="V21" s="19" t="s">
        <v>230</v>
      </c>
      <c r="W21" s="19"/>
      <c r="X21" s="20">
        <v>17</v>
      </c>
      <c r="Y21" s="20">
        <v>16.5</v>
      </c>
      <c r="Z21" s="20">
        <v>16.5</v>
      </c>
      <c r="AA21" s="20"/>
      <c r="AB21" s="20"/>
      <c r="AC21" s="30" t="s">
        <v>324</v>
      </c>
      <c r="AD21" s="30" t="s">
        <v>311</v>
      </c>
      <c r="AE21" s="29"/>
      <c r="AF21" s="29"/>
      <c r="AG21" s="29"/>
    </row>
    <row r="22" spans="1:33" ht="33.75" x14ac:dyDescent="0.2">
      <c r="A22" s="4">
        <v>21</v>
      </c>
      <c r="B22" s="13">
        <v>83154</v>
      </c>
      <c r="C22" s="15" t="s">
        <v>98</v>
      </c>
      <c r="D22" s="14" t="s">
        <v>99</v>
      </c>
      <c r="E22" s="13" t="s">
        <v>35</v>
      </c>
      <c r="F22" s="15" t="s">
        <v>100</v>
      </c>
      <c r="G22" s="13" t="s">
        <v>37</v>
      </c>
      <c r="H22" s="16">
        <v>49766</v>
      </c>
      <c r="I22" s="18">
        <v>2036</v>
      </c>
      <c r="J22" s="16">
        <v>27770</v>
      </c>
      <c r="K22" s="7">
        <v>45657</v>
      </c>
      <c r="L22" s="39">
        <f t="shared" si="0"/>
        <v>48</v>
      </c>
      <c r="M22" s="17">
        <v>38446</v>
      </c>
      <c r="N22" s="16">
        <v>44564</v>
      </c>
      <c r="O22" s="18" t="s">
        <v>101</v>
      </c>
      <c r="P22" s="32" t="s">
        <v>359</v>
      </c>
      <c r="Q22" s="19" t="s">
        <v>248</v>
      </c>
      <c r="R22" s="19" t="s">
        <v>45</v>
      </c>
      <c r="S22" s="10" t="str">
        <f t="shared" si="1"/>
        <v>A</v>
      </c>
      <c r="T22" s="14">
        <v>97830747</v>
      </c>
      <c r="U22" s="32" t="s">
        <v>103</v>
      </c>
      <c r="V22" s="19" t="s">
        <v>104</v>
      </c>
      <c r="W22" s="19">
        <v>41019</v>
      </c>
      <c r="X22" s="20">
        <v>17.5</v>
      </c>
      <c r="Y22" s="20">
        <v>17.5</v>
      </c>
      <c r="Z22" s="20">
        <v>16</v>
      </c>
      <c r="AA22" s="20"/>
      <c r="AB22" s="20"/>
      <c r="AC22" s="30" t="s">
        <v>325</v>
      </c>
      <c r="AD22" s="30" t="s">
        <v>301</v>
      </c>
      <c r="AE22" s="29"/>
      <c r="AF22" s="29"/>
      <c r="AG22" s="29"/>
    </row>
    <row r="23" spans="1:33" ht="33.75" x14ac:dyDescent="0.2">
      <c r="A23" s="13">
        <v>22</v>
      </c>
      <c r="B23" s="14">
        <v>56498</v>
      </c>
      <c r="C23" s="15" t="s">
        <v>65</v>
      </c>
      <c r="D23" s="14" t="s">
        <v>49</v>
      </c>
      <c r="E23" s="6" t="s">
        <v>18</v>
      </c>
      <c r="F23" s="15" t="s">
        <v>66</v>
      </c>
      <c r="G23" s="13" t="s">
        <v>20</v>
      </c>
      <c r="H23" s="16">
        <v>46388</v>
      </c>
      <c r="I23" s="18">
        <v>2027</v>
      </c>
      <c r="J23" s="16">
        <v>25139</v>
      </c>
      <c r="K23" s="7">
        <v>45657</v>
      </c>
      <c r="L23" s="39">
        <f t="shared" si="0"/>
        <v>56</v>
      </c>
      <c r="M23" s="17">
        <v>39448</v>
      </c>
      <c r="N23" s="16">
        <v>43004</v>
      </c>
      <c r="O23" s="18" t="s">
        <v>21</v>
      </c>
      <c r="P23" s="32" t="s">
        <v>279</v>
      </c>
      <c r="Q23" s="19" t="s">
        <v>68</v>
      </c>
      <c r="R23" s="19" t="s">
        <v>68</v>
      </c>
      <c r="S23" s="10" t="str">
        <f t="shared" si="1"/>
        <v>B</v>
      </c>
      <c r="T23" s="14">
        <v>95812377</v>
      </c>
      <c r="U23" s="32" t="s">
        <v>69</v>
      </c>
      <c r="V23" s="19" t="s">
        <v>70</v>
      </c>
      <c r="W23" s="19"/>
      <c r="X23" s="20">
        <v>17</v>
      </c>
      <c r="Y23" s="20">
        <v>17</v>
      </c>
      <c r="Z23" s="20">
        <v>15</v>
      </c>
      <c r="AA23" s="20"/>
      <c r="AB23" s="20"/>
      <c r="AC23" s="30" t="s">
        <v>326</v>
      </c>
      <c r="AD23" s="30" t="s">
        <v>304</v>
      </c>
      <c r="AE23" s="29"/>
      <c r="AF23" s="29"/>
      <c r="AG23" s="29"/>
    </row>
    <row r="24" spans="1:33" ht="33.75" x14ac:dyDescent="0.2">
      <c r="A24" s="4">
        <v>23</v>
      </c>
      <c r="B24" s="14">
        <v>35984</v>
      </c>
      <c r="C24" s="15" t="s">
        <v>231</v>
      </c>
      <c r="D24" s="14" t="s">
        <v>214</v>
      </c>
      <c r="E24" s="6" t="s">
        <v>18</v>
      </c>
      <c r="F24" s="15" t="s">
        <v>232</v>
      </c>
      <c r="G24" s="13" t="s">
        <v>37</v>
      </c>
      <c r="H24" s="16">
        <v>47665</v>
      </c>
      <c r="I24" s="18">
        <v>2030</v>
      </c>
      <c r="J24" s="16">
        <v>25681</v>
      </c>
      <c r="K24" s="7">
        <v>45657</v>
      </c>
      <c r="L24" s="39">
        <f t="shared" si="0"/>
        <v>54</v>
      </c>
      <c r="M24" s="17">
        <v>35062</v>
      </c>
      <c r="N24" s="16">
        <v>42857</v>
      </c>
      <c r="O24" s="18" t="s">
        <v>233</v>
      </c>
      <c r="P24" s="32" t="s">
        <v>364</v>
      </c>
      <c r="Q24" s="19" t="s">
        <v>235</v>
      </c>
      <c r="R24" s="19" t="s">
        <v>235</v>
      </c>
      <c r="S24" s="10" t="str">
        <f t="shared" si="1"/>
        <v>A</v>
      </c>
      <c r="T24" s="14">
        <v>97441449</v>
      </c>
      <c r="U24" s="32" t="s">
        <v>236</v>
      </c>
      <c r="V24" s="19" t="s">
        <v>237</v>
      </c>
      <c r="W24" s="19">
        <v>39388</v>
      </c>
      <c r="X24" s="20">
        <v>17</v>
      </c>
      <c r="Y24" s="20">
        <v>16.5</v>
      </c>
      <c r="Z24" s="20">
        <v>16.5</v>
      </c>
      <c r="AA24" s="20"/>
      <c r="AB24" s="20"/>
      <c r="AC24" s="30" t="s">
        <v>327</v>
      </c>
      <c r="AD24" s="30" t="s">
        <v>328</v>
      </c>
      <c r="AE24" s="29"/>
      <c r="AF24" s="29"/>
      <c r="AG24" s="29"/>
    </row>
    <row r="25" spans="1:33" ht="45" x14ac:dyDescent="0.2">
      <c r="A25" s="13">
        <v>24</v>
      </c>
      <c r="B25" s="14">
        <v>84472</v>
      </c>
      <c r="C25" s="15" t="s">
        <v>71</v>
      </c>
      <c r="D25" s="14" t="s">
        <v>49</v>
      </c>
      <c r="E25" s="6" t="s">
        <v>18</v>
      </c>
      <c r="F25" s="15" t="s">
        <v>72</v>
      </c>
      <c r="G25" s="13" t="s">
        <v>37</v>
      </c>
      <c r="H25" s="16">
        <v>49949</v>
      </c>
      <c r="I25" s="18">
        <v>2036</v>
      </c>
      <c r="J25" s="16">
        <v>28033</v>
      </c>
      <c r="K25" s="7">
        <v>45657</v>
      </c>
      <c r="L25" s="39">
        <f t="shared" si="0"/>
        <v>48</v>
      </c>
      <c r="M25" s="17">
        <v>38544</v>
      </c>
      <c r="N25" s="16">
        <v>43173</v>
      </c>
      <c r="O25" s="18" t="s">
        <v>73</v>
      </c>
      <c r="P25" s="32" t="s">
        <v>375</v>
      </c>
      <c r="Q25" s="19" t="s">
        <v>75</v>
      </c>
      <c r="R25" s="19" t="s">
        <v>271</v>
      </c>
      <c r="S25" s="10" t="str">
        <f t="shared" si="1"/>
        <v>A</v>
      </c>
      <c r="T25" s="14">
        <v>95857799</v>
      </c>
      <c r="U25" s="32" t="s">
        <v>76</v>
      </c>
      <c r="V25" s="19" t="s">
        <v>77</v>
      </c>
      <c r="W25" s="19"/>
      <c r="X25" s="20">
        <v>17</v>
      </c>
      <c r="Y25" s="20">
        <v>16.5</v>
      </c>
      <c r="Z25" s="20">
        <v>17</v>
      </c>
      <c r="AA25" s="20"/>
      <c r="AB25" s="20"/>
      <c r="AC25" s="30" t="s">
        <v>329</v>
      </c>
      <c r="AD25" s="30" t="s">
        <v>304</v>
      </c>
      <c r="AE25" s="29"/>
      <c r="AF25" s="29"/>
      <c r="AG25" s="29"/>
    </row>
    <row r="26" spans="1:33" ht="33.75" x14ac:dyDescent="0.2">
      <c r="A26" s="4">
        <v>25</v>
      </c>
      <c r="B26" s="14">
        <v>56499</v>
      </c>
      <c r="C26" s="15" t="s">
        <v>78</v>
      </c>
      <c r="D26" s="14" t="s">
        <v>49</v>
      </c>
      <c r="E26" s="6" t="s">
        <v>18</v>
      </c>
      <c r="F26" s="15" t="s">
        <v>79</v>
      </c>
      <c r="G26" s="13" t="s">
        <v>20</v>
      </c>
      <c r="H26" s="16">
        <v>46478</v>
      </c>
      <c r="I26" s="18">
        <v>2027</v>
      </c>
      <c r="J26" s="16">
        <v>24556</v>
      </c>
      <c r="K26" s="7">
        <v>45657</v>
      </c>
      <c r="L26" s="39">
        <f t="shared" si="0"/>
        <v>57</v>
      </c>
      <c r="M26" s="17">
        <v>39448</v>
      </c>
      <c r="N26" s="16">
        <v>43922</v>
      </c>
      <c r="O26" s="18" t="s">
        <v>21</v>
      </c>
      <c r="P26" s="32" t="s">
        <v>365</v>
      </c>
      <c r="Q26" s="19" t="s">
        <v>81</v>
      </c>
      <c r="R26" s="19" t="s">
        <v>81</v>
      </c>
      <c r="S26" s="10" t="str">
        <f t="shared" si="1"/>
        <v>A</v>
      </c>
      <c r="T26" s="14">
        <v>97644848</v>
      </c>
      <c r="U26" s="32" t="s">
        <v>82</v>
      </c>
      <c r="V26" s="19" t="s">
        <v>83</v>
      </c>
      <c r="W26" s="19" t="s">
        <v>84</v>
      </c>
      <c r="X26" s="20">
        <v>17</v>
      </c>
      <c r="Y26" s="20">
        <v>16.5</v>
      </c>
      <c r="Z26" s="20">
        <v>17</v>
      </c>
      <c r="AA26" s="20"/>
      <c r="AB26" s="20"/>
      <c r="AC26" s="30" t="s">
        <v>330</v>
      </c>
      <c r="AD26" s="30" t="s">
        <v>316</v>
      </c>
      <c r="AE26" s="29"/>
      <c r="AF26" s="29"/>
      <c r="AG26" s="29"/>
    </row>
    <row r="27" spans="1:33" ht="22.5" x14ac:dyDescent="0.2">
      <c r="A27" s="13">
        <v>26</v>
      </c>
      <c r="B27" s="14">
        <v>45872</v>
      </c>
      <c r="C27" s="15" t="s">
        <v>171</v>
      </c>
      <c r="D27" s="14" t="s">
        <v>150</v>
      </c>
      <c r="E27" s="6" t="s">
        <v>18</v>
      </c>
      <c r="F27" s="15" t="s">
        <v>172</v>
      </c>
      <c r="G27" s="13" t="s">
        <v>37</v>
      </c>
      <c r="H27" s="16">
        <v>47849</v>
      </c>
      <c r="I27" s="18">
        <v>2031</v>
      </c>
      <c r="J27" s="16">
        <v>26276</v>
      </c>
      <c r="K27" s="7">
        <v>45657</v>
      </c>
      <c r="L27" s="39">
        <f t="shared" si="0"/>
        <v>53</v>
      </c>
      <c r="M27" s="17">
        <v>37683</v>
      </c>
      <c r="N27" s="16">
        <v>44879</v>
      </c>
      <c r="O27" s="18" t="s">
        <v>173</v>
      </c>
      <c r="P27" s="32" t="s">
        <v>366</v>
      </c>
      <c r="Q27" s="19" t="s">
        <v>30</v>
      </c>
      <c r="R27" s="19" t="s">
        <v>272</v>
      </c>
      <c r="S27" s="10" t="str">
        <f t="shared" si="1"/>
        <v>A</v>
      </c>
      <c r="T27" s="14">
        <v>97085034</v>
      </c>
      <c r="U27" s="32" t="s">
        <v>143</v>
      </c>
      <c r="V27" s="19" t="s">
        <v>174</v>
      </c>
      <c r="W27" s="19">
        <v>43029</v>
      </c>
      <c r="X27" s="20">
        <v>18</v>
      </c>
      <c r="Y27" s="20">
        <v>18</v>
      </c>
      <c r="Z27" s="20">
        <v>17</v>
      </c>
      <c r="AA27" s="20"/>
      <c r="AB27" s="20"/>
      <c r="AC27" s="30" t="s">
        <v>314</v>
      </c>
      <c r="AD27" s="30" t="s">
        <v>312</v>
      </c>
      <c r="AE27" s="29"/>
      <c r="AF27" s="29"/>
      <c r="AG27" s="29"/>
    </row>
    <row r="28" spans="1:33" ht="33.75" x14ac:dyDescent="0.2">
      <c r="A28" s="4">
        <v>27</v>
      </c>
      <c r="B28" s="13">
        <v>56521</v>
      </c>
      <c r="C28" s="15" t="s">
        <v>16</v>
      </c>
      <c r="D28" s="6" t="s">
        <v>383</v>
      </c>
      <c r="E28" s="6" t="s">
        <v>18</v>
      </c>
      <c r="F28" s="15" t="s">
        <v>19</v>
      </c>
      <c r="G28" s="13" t="s">
        <v>20</v>
      </c>
      <c r="H28" s="16">
        <v>48853</v>
      </c>
      <c r="I28" s="18">
        <v>2033</v>
      </c>
      <c r="J28" s="16">
        <v>26927</v>
      </c>
      <c r="K28" s="7">
        <v>45657</v>
      </c>
      <c r="L28" s="39">
        <f t="shared" si="0"/>
        <v>51</v>
      </c>
      <c r="M28" s="17">
        <v>39448</v>
      </c>
      <c r="N28" s="16">
        <v>44564</v>
      </c>
      <c r="O28" s="18" t="s">
        <v>21</v>
      </c>
      <c r="P28" s="31" t="s">
        <v>362</v>
      </c>
      <c r="Q28" s="19" t="s">
        <v>23</v>
      </c>
      <c r="R28" s="19" t="s">
        <v>23</v>
      </c>
      <c r="S28" s="10" t="str">
        <f t="shared" si="1"/>
        <v>A</v>
      </c>
      <c r="T28" s="14">
        <v>97480496</v>
      </c>
      <c r="U28" s="32" t="s">
        <v>24</v>
      </c>
      <c r="V28" s="19" t="s">
        <v>25</v>
      </c>
      <c r="W28" s="19" t="s">
        <v>26</v>
      </c>
      <c r="X28" s="20">
        <v>17.5</v>
      </c>
      <c r="Y28" s="20">
        <v>17.5</v>
      </c>
      <c r="Z28" s="20">
        <v>16</v>
      </c>
      <c r="AA28" s="20"/>
      <c r="AB28" s="20"/>
      <c r="AC28" s="30" t="s">
        <v>320</v>
      </c>
      <c r="AD28" s="30" t="s">
        <v>311</v>
      </c>
      <c r="AE28" s="29"/>
      <c r="AF28" s="29"/>
      <c r="AG28" s="29"/>
    </row>
    <row r="29" spans="1:33" ht="33.75" x14ac:dyDescent="0.2">
      <c r="A29" s="13">
        <v>28</v>
      </c>
      <c r="B29" s="14">
        <v>75351</v>
      </c>
      <c r="C29" s="15" t="s">
        <v>195</v>
      </c>
      <c r="D29" s="14" t="s">
        <v>214</v>
      </c>
      <c r="E29" s="6" t="s">
        <v>35</v>
      </c>
      <c r="F29" s="15" t="s">
        <v>245</v>
      </c>
      <c r="G29" s="13" t="s">
        <v>37</v>
      </c>
      <c r="H29" s="16">
        <v>52779</v>
      </c>
      <c r="I29" s="18">
        <v>2044</v>
      </c>
      <c r="J29" s="16">
        <v>30827</v>
      </c>
      <c r="K29" s="7">
        <v>45657</v>
      </c>
      <c r="L29" s="39">
        <f t="shared" si="0"/>
        <v>40</v>
      </c>
      <c r="M29" s="17">
        <v>40042</v>
      </c>
      <c r="N29" s="16">
        <v>42159</v>
      </c>
      <c r="O29" s="18">
        <v>2015</v>
      </c>
      <c r="P29" s="32" t="s">
        <v>373</v>
      </c>
      <c r="Q29" s="19" t="s">
        <v>23</v>
      </c>
      <c r="R29" s="19" t="s">
        <v>95</v>
      </c>
      <c r="S29" s="10" t="str">
        <f t="shared" si="1"/>
        <v>A</v>
      </c>
      <c r="T29" s="14">
        <v>97646888</v>
      </c>
      <c r="U29" s="32" t="s">
        <v>197</v>
      </c>
      <c r="V29" s="19" t="s">
        <v>198</v>
      </c>
      <c r="W29" s="19">
        <v>44074</v>
      </c>
      <c r="X29" s="20">
        <v>17.5</v>
      </c>
      <c r="Y29" s="20">
        <v>17.5</v>
      </c>
      <c r="Z29" s="20">
        <v>17.5</v>
      </c>
      <c r="AA29" s="20"/>
      <c r="AB29" s="20"/>
      <c r="AC29" s="30" t="s">
        <v>331</v>
      </c>
      <c r="AD29" s="30" t="s">
        <v>316</v>
      </c>
      <c r="AE29" s="29"/>
      <c r="AF29" s="29"/>
      <c r="AG29" s="29"/>
    </row>
    <row r="30" spans="1:33" ht="45" x14ac:dyDescent="0.2">
      <c r="A30" s="4">
        <v>29</v>
      </c>
      <c r="B30" s="14">
        <v>42981</v>
      </c>
      <c r="C30" s="15" t="s">
        <v>199</v>
      </c>
      <c r="D30" s="14" t="s">
        <v>28</v>
      </c>
      <c r="E30" s="6" t="s">
        <v>35</v>
      </c>
      <c r="F30" s="15" t="s">
        <v>200</v>
      </c>
      <c r="G30" s="13" t="s">
        <v>37</v>
      </c>
      <c r="H30" s="16">
        <v>50314</v>
      </c>
      <c r="I30" s="18">
        <v>2037</v>
      </c>
      <c r="J30" s="16">
        <v>28338</v>
      </c>
      <c r="K30" s="7">
        <v>45657</v>
      </c>
      <c r="L30" s="39">
        <f t="shared" si="0"/>
        <v>47</v>
      </c>
      <c r="M30" s="17">
        <v>37109</v>
      </c>
      <c r="N30" s="16">
        <v>45043</v>
      </c>
      <c r="O30" s="18" t="s">
        <v>201</v>
      </c>
      <c r="P30" s="32" t="s">
        <v>374</v>
      </c>
      <c r="Q30" s="19" t="s">
        <v>75</v>
      </c>
      <c r="R30" s="19" t="s">
        <v>75</v>
      </c>
      <c r="S30" s="10" t="str">
        <f t="shared" si="1"/>
        <v>A</v>
      </c>
      <c r="T30" s="14">
        <v>67353239</v>
      </c>
      <c r="U30" s="32" t="s">
        <v>203</v>
      </c>
      <c r="V30" s="19" t="s">
        <v>204</v>
      </c>
      <c r="W30" s="21"/>
      <c r="X30" s="13">
        <v>17</v>
      </c>
      <c r="Y30" s="13">
        <v>17.5</v>
      </c>
      <c r="Z30" s="13">
        <v>16.5</v>
      </c>
      <c r="AA30" s="21"/>
      <c r="AB30" s="21"/>
      <c r="AC30" s="30" t="s">
        <v>320</v>
      </c>
      <c r="AD30" s="30" t="s">
        <v>311</v>
      </c>
      <c r="AE30" s="29"/>
      <c r="AF30" s="29"/>
      <c r="AG30" s="29"/>
    </row>
    <row r="31" spans="1:33" ht="22.5" x14ac:dyDescent="0.2">
      <c r="A31" s="13">
        <v>30</v>
      </c>
      <c r="B31" s="14">
        <v>56576</v>
      </c>
      <c r="C31" s="15" t="s">
        <v>132</v>
      </c>
      <c r="D31" s="14" t="s">
        <v>99</v>
      </c>
      <c r="E31" s="6" t="s">
        <v>18</v>
      </c>
      <c r="F31" s="32" t="s">
        <v>367</v>
      </c>
      <c r="G31" s="13" t="s">
        <v>20</v>
      </c>
      <c r="H31" s="16">
        <v>47209</v>
      </c>
      <c r="I31" s="18">
        <v>2029</v>
      </c>
      <c r="J31" s="16">
        <v>27074</v>
      </c>
      <c r="K31" s="7">
        <v>45657</v>
      </c>
      <c r="L31" s="39">
        <f t="shared" si="0"/>
        <v>50</v>
      </c>
      <c r="M31" s="17">
        <v>39448</v>
      </c>
      <c r="N31" s="16">
        <v>44743</v>
      </c>
      <c r="O31" s="18" t="s">
        <v>21</v>
      </c>
      <c r="P31" s="32" t="s">
        <v>367</v>
      </c>
      <c r="Q31" s="19" t="s">
        <v>342</v>
      </c>
      <c r="R31" s="19" t="s">
        <v>134</v>
      </c>
      <c r="S31" s="10" t="str">
        <f t="shared" si="1"/>
        <v>E</v>
      </c>
      <c r="T31" s="14">
        <v>95064069</v>
      </c>
      <c r="U31" s="32" t="s">
        <v>135</v>
      </c>
      <c r="V31" s="19" t="s">
        <v>118</v>
      </c>
      <c r="W31" s="19"/>
      <c r="X31" s="20">
        <v>17</v>
      </c>
      <c r="Y31" s="20">
        <v>17</v>
      </c>
      <c r="Z31" s="20">
        <v>16</v>
      </c>
      <c r="AA31" s="20"/>
      <c r="AB31" s="20"/>
      <c r="AC31" s="30" t="s">
        <v>332</v>
      </c>
      <c r="AD31" s="30" t="s">
        <v>328</v>
      </c>
      <c r="AE31" s="29"/>
      <c r="AF31" s="29"/>
      <c r="AG31" s="29"/>
    </row>
    <row r="32" spans="1:33" ht="33.75" x14ac:dyDescent="0.2">
      <c r="A32" s="4">
        <v>31</v>
      </c>
      <c r="B32" s="14">
        <v>67736</v>
      </c>
      <c r="C32" s="15" t="s">
        <v>85</v>
      </c>
      <c r="D32" s="14" t="s">
        <v>49</v>
      </c>
      <c r="E32" s="6" t="s">
        <v>18</v>
      </c>
      <c r="F32" s="15" t="s">
        <v>86</v>
      </c>
      <c r="G32" s="13" t="s">
        <v>37</v>
      </c>
      <c r="H32" s="16">
        <v>50314</v>
      </c>
      <c r="I32" s="18">
        <v>2037</v>
      </c>
      <c r="J32" s="16">
        <v>30204</v>
      </c>
      <c r="K32" s="7">
        <v>45657</v>
      </c>
      <c r="L32" s="39">
        <f t="shared" si="0"/>
        <v>42</v>
      </c>
      <c r="M32" s="17">
        <v>40056</v>
      </c>
      <c r="N32" s="16">
        <v>42068</v>
      </c>
      <c r="O32" s="18" t="s">
        <v>87</v>
      </c>
      <c r="P32" s="32" t="s">
        <v>368</v>
      </c>
      <c r="Q32" s="19" t="s">
        <v>343</v>
      </c>
      <c r="R32" s="19" t="s">
        <v>89</v>
      </c>
      <c r="S32" s="10" t="str">
        <f t="shared" si="1"/>
        <v>C</v>
      </c>
      <c r="T32" s="14">
        <v>97469461</v>
      </c>
      <c r="U32" s="32" t="s">
        <v>90</v>
      </c>
      <c r="V32" s="19" t="s">
        <v>91</v>
      </c>
      <c r="W32" s="19"/>
      <c r="X32" s="20">
        <v>17</v>
      </c>
      <c r="Y32" s="20">
        <v>17</v>
      </c>
      <c r="Z32" s="20">
        <v>16.5</v>
      </c>
      <c r="AA32" s="20"/>
      <c r="AB32" s="20"/>
      <c r="AC32" s="30" t="s">
        <v>309</v>
      </c>
      <c r="AD32" s="30" t="s">
        <v>319</v>
      </c>
      <c r="AE32" s="29"/>
      <c r="AF32" s="29"/>
      <c r="AG32" s="29"/>
    </row>
    <row r="33" spans="1:33" ht="33.75" x14ac:dyDescent="0.2">
      <c r="A33" s="13">
        <v>32</v>
      </c>
      <c r="B33" s="14">
        <v>56535</v>
      </c>
      <c r="C33" s="15" t="s">
        <v>238</v>
      </c>
      <c r="D33" s="14" t="s">
        <v>214</v>
      </c>
      <c r="E33" s="6" t="s">
        <v>18</v>
      </c>
      <c r="F33" s="15" t="s">
        <v>239</v>
      </c>
      <c r="G33" s="13" t="s">
        <v>20</v>
      </c>
      <c r="H33" s="16">
        <v>49675</v>
      </c>
      <c r="I33" s="18">
        <v>2036</v>
      </c>
      <c r="J33" s="16">
        <v>27394</v>
      </c>
      <c r="K33" s="7">
        <v>45657</v>
      </c>
      <c r="L33" s="39">
        <f t="shared" si="0"/>
        <v>50</v>
      </c>
      <c r="M33" s="17">
        <v>39448</v>
      </c>
      <c r="N33" s="16">
        <v>44164</v>
      </c>
      <c r="O33" s="18" t="s">
        <v>240</v>
      </c>
      <c r="P33" s="32" t="s">
        <v>365</v>
      </c>
      <c r="Q33" s="19" t="s">
        <v>81</v>
      </c>
      <c r="R33" s="19" t="s">
        <v>81</v>
      </c>
      <c r="S33" s="10" t="str">
        <f t="shared" si="1"/>
        <v>A</v>
      </c>
      <c r="T33" s="14">
        <v>97321288</v>
      </c>
      <c r="U33" s="32" t="s">
        <v>242</v>
      </c>
      <c r="V33" s="19" t="s">
        <v>243</v>
      </c>
      <c r="W33" s="19"/>
      <c r="X33" s="20">
        <v>17</v>
      </c>
      <c r="Y33" s="20">
        <v>17</v>
      </c>
      <c r="Z33" s="20">
        <v>17.5</v>
      </c>
      <c r="AA33" s="20"/>
      <c r="AB33" s="20"/>
      <c r="AC33" s="30" t="s">
        <v>333</v>
      </c>
      <c r="AD33" s="30" t="s">
        <v>297</v>
      </c>
      <c r="AE33" s="29"/>
      <c r="AF33" s="29"/>
      <c r="AG33" s="29"/>
    </row>
    <row r="34" spans="1:33" ht="33.75" x14ac:dyDescent="0.2">
      <c r="A34" s="4">
        <v>33</v>
      </c>
      <c r="B34" s="14">
        <v>73305</v>
      </c>
      <c r="C34" s="15" t="s">
        <v>43</v>
      </c>
      <c r="D34" s="14" t="s">
        <v>383</v>
      </c>
      <c r="E34" s="6" t="s">
        <v>18</v>
      </c>
      <c r="F34" s="5" t="s">
        <v>175</v>
      </c>
      <c r="G34" s="13" t="s">
        <v>37</v>
      </c>
      <c r="H34" s="16">
        <v>51227</v>
      </c>
      <c r="I34" s="18">
        <v>2040</v>
      </c>
      <c r="J34" s="16">
        <v>29248</v>
      </c>
      <c r="K34" s="7">
        <v>45657</v>
      </c>
      <c r="L34" s="39">
        <f t="shared" si="0"/>
        <v>44</v>
      </c>
      <c r="M34" s="17">
        <v>40011</v>
      </c>
      <c r="N34" s="16">
        <v>40011</v>
      </c>
      <c r="O34" s="18" t="s">
        <v>44</v>
      </c>
      <c r="P34" s="31" t="s">
        <v>362</v>
      </c>
      <c r="Q34" s="19" t="s">
        <v>248</v>
      </c>
      <c r="R34" s="19" t="s">
        <v>45</v>
      </c>
      <c r="S34" s="10" t="str">
        <f t="shared" si="1"/>
        <v>A</v>
      </c>
      <c r="T34" s="14">
        <v>97094746</v>
      </c>
      <c r="U34" s="32" t="s">
        <v>46</v>
      </c>
      <c r="V34" s="19" t="s">
        <v>47</v>
      </c>
      <c r="W34" s="19"/>
      <c r="X34" s="20">
        <v>17</v>
      </c>
      <c r="Y34" s="20">
        <v>17</v>
      </c>
      <c r="Z34" s="20">
        <v>16</v>
      </c>
      <c r="AA34" s="20"/>
      <c r="AB34" s="20"/>
      <c r="AC34" s="30" t="s">
        <v>334</v>
      </c>
      <c r="AD34" s="30" t="s">
        <v>316</v>
      </c>
      <c r="AE34" s="29"/>
      <c r="AF34" s="29"/>
      <c r="AG34" s="29"/>
    </row>
    <row r="35" spans="1:33" ht="22.5" x14ac:dyDescent="0.2">
      <c r="A35" s="13">
        <v>34</v>
      </c>
      <c r="B35" s="14">
        <v>56506</v>
      </c>
      <c r="C35" s="15" t="s">
        <v>136</v>
      </c>
      <c r="D35" s="14" t="s">
        <v>99</v>
      </c>
      <c r="E35" s="14" t="s">
        <v>18</v>
      </c>
      <c r="F35" s="32" t="s">
        <v>360</v>
      </c>
      <c r="G35" s="13" t="s">
        <v>20</v>
      </c>
      <c r="H35" s="16">
        <v>45658</v>
      </c>
      <c r="I35" s="18">
        <v>2025</v>
      </c>
      <c r="J35" s="16">
        <v>25568</v>
      </c>
      <c r="K35" s="7">
        <v>45657</v>
      </c>
      <c r="L35" s="39">
        <f t="shared" si="0"/>
        <v>55</v>
      </c>
      <c r="M35" s="17">
        <v>39448</v>
      </c>
      <c r="N35" s="16">
        <v>43893</v>
      </c>
      <c r="O35" s="18" t="s">
        <v>21</v>
      </c>
      <c r="P35" s="32" t="s">
        <v>360</v>
      </c>
      <c r="Q35" s="19" t="s">
        <v>116</v>
      </c>
      <c r="R35" s="19" t="s">
        <v>116</v>
      </c>
      <c r="S35" s="10" t="str">
        <f t="shared" si="1"/>
        <v>D</v>
      </c>
      <c r="T35" s="14">
        <v>97018592</v>
      </c>
      <c r="U35" s="32" t="s">
        <v>137</v>
      </c>
      <c r="V35" s="19" t="s">
        <v>118</v>
      </c>
      <c r="W35" s="19"/>
      <c r="X35" s="20">
        <v>17</v>
      </c>
      <c r="Y35" s="20">
        <v>17</v>
      </c>
      <c r="Z35" s="20">
        <v>15</v>
      </c>
      <c r="AA35" s="20"/>
      <c r="AB35" s="20"/>
      <c r="AC35" s="30" t="s">
        <v>318</v>
      </c>
      <c r="AD35" s="30" t="s">
        <v>319</v>
      </c>
      <c r="AE35" s="29"/>
      <c r="AF35" s="29"/>
      <c r="AG35" s="29"/>
    </row>
    <row r="36" spans="1:33" ht="33.75" x14ac:dyDescent="0.2">
      <c r="A36" s="4">
        <v>35</v>
      </c>
      <c r="B36" s="14">
        <v>86883</v>
      </c>
      <c r="C36" s="15" t="s">
        <v>48</v>
      </c>
      <c r="D36" s="14" t="s">
        <v>49</v>
      </c>
      <c r="E36" s="6" t="s">
        <v>18</v>
      </c>
      <c r="F36" s="15" t="s">
        <v>50</v>
      </c>
      <c r="G36" s="13" t="s">
        <v>37</v>
      </c>
      <c r="H36" s="16">
        <v>48761</v>
      </c>
      <c r="I36" s="18">
        <v>2033</v>
      </c>
      <c r="J36" s="16">
        <v>26837</v>
      </c>
      <c r="K36" s="7">
        <v>45657</v>
      </c>
      <c r="L36" s="39">
        <f t="shared" si="0"/>
        <v>51</v>
      </c>
      <c r="M36" s="17">
        <v>40011</v>
      </c>
      <c r="N36" s="16">
        <v>40011</v>
      </c>
      <c r="O36" s="18" t="s">
        <v>44</v>
      </c>
      <c r="P36" s="32" t="s">
        <v>366</v>
      </c>
      <c r="Q36" s="19" t="s">
        <v>248</v>
      </c>
      <c r="R36" s="19" t="s">
        <v>45</v>
      </c>
      <c r="S36" s="10" t="str">
        <f t="shared" si="1"/>
        <v>A</v>
      </c>
      <c r="T36" s="14">
        <v>66645134</v>
      </c>
      <c r="U36" s="32" t="s">
        <v>52</v>
      </c>
      <c r="V36" s="19" t="s">
        <v>53</v>
      </c>
      <c r="W36" s="19"/>
      <c r="X36" s="20">
        <v>17.5</v>
      </c>
      <c r="Y36" s="20">
        <v>17</v>
      </c>
      <c r="Z36" s="20">
        <v>16</v>
      </c>
      <c r="AA36" s="20"/>
      <c r="AB36" s="20"/>
      <c r="AC36" s="30" t="s">
        <v>335</v>
      </c>
      <c r="AD36" s="30" t="s">
        <v>312</v>
      </c>
      <c r="AE36" s="29"/>
      <c r="AF36" s="29"/>
      <c r="AG36" s="29"/>
    </row>
    <row r="37" spans="1:33" ht="22.5" x14ac:dyDescent="0.2">
      <c r="A37" s="13">
        <v>36</v>
      </c>
      <c r="B37" s="13">
        <v>85943</v>
      </c>
      <c r="C37" s="15" t="s">
        <v>144</v>
      </c>
      <c r="D37" s="14" t="s">
        <v>345</v>
      </c>
      <c r="E37" s="14" t="s">
        <v>18</v>
      </c>
      <c r="F37" s="15" t="s">
        <v>347</v>
      </c>
      <c r="G37" s="13" t="s">
        <v>37</v>
      </c>
      <c r="H37" s="16">
        <v>52688</v>
      </c>
      <c r="I37" s="18">
        <v>2044</v>
      </c>
      <c r="J37" s="16">
        <v>30766</v>
      </c>
      <c r="K37" s="7">
        <v>45657</v>
      </c>
      <c r="L37" s="39">
        <f t="shared" si="0"/>
        <v>40</v>
      </c>
      <c r="M37" s="17">
        <v>39609</v>
      </c>
      <c r="N37" s="16">
        <v>43081</v>
      </c>
      <c r="O37" s="18" t="s">
        <v>146</v>
      </c>
      <c r="P37" s="32" t="s">
        <v>369</v>
      </c>
      <c r="Q37" s="19" t="s">
        <v>40</v>
      </c>
      <c r="R37" s="19" t="s">
        <v>40</v>
      </c>
      <c r="S37" s="10" t="str">
        <f t="shared" si="1"/>
        <v>A</v>
      </c>
      <c r="T37" s="14">
        <v>97262448</v>
      </c>
      <c r="U37" s="32" t="s">
        <v>147</v>
      </c>
      <c r="V37" s="19" t="s">
        <v>148</v>
      </c>
      <c r="W37" s="19">
        <v>42515</v>
      </c>
      <c r="X37" s="20">
        <v>17.5</v>
      </c>
      <c r="Y37" s="20">
        <v>17.5</v>
      </c>
      <c r="Z37" s="20">
        <v>16</v>
      </c>
      <c r="AA37" s="20"/>
      <c r="AB37" s="20"/>
      <c r="AC37" s="30" t="s">
        <v>336</v>
      </c>
      <c r="AD37" s="30" t="s">
        <v>297</v>
      </c>
      <c r="AE37" s="29"/>
      <c r="AF37" s="29"/>
      <c r="AG37" s="29"/>
    </row>
    <row r="38" spans="1:33" ht="33.75" x14ac:dyDescent="0.2">
      <c r="A38" s="4">
        <v>37</v>
      </c>
      <c r="B38" s="14">
        <v>46312</v>
      </c>
      <c r="C38" s="15" t="s">
        <v>205</v>
      </c>
      <c r="D38" s="14" t="s">
        <v>28</v>
      </c>
      <c r="E38" s="4" t="s">
        <v>35</v>
      </c>
      <c r="F38" s="15" t="s">
        <v>206</v>
      </c>
      <c r="G38" s="13" t="s">
        <v>37</v>
      </c>
      <c r="H38" s="16">
        <v>48580</v>
      </c>
      <c r="I38" s="18">
        <v>2033</v>
      </c>
      <c r="J38" s="16">
        <v>28447</v>
      </c>
      <c r="K38" s="7">
        <v>45657</v>
      </c>
      <c r="L38" s="39">
        <f t="shared" si="0"/>
        <v>47</v>
      </c>
      <c r="M38" s="17">
        <v>37708</v>
      </c>
      <c r="N38" s="16">
        <v>41716</v>
      </c>
      <c r="O38" s="18" t="s">
        <v>207</v>
      </c>
      <c r="P38" s="32" t="s">
        <v>361</v>
      </c>
      <c r="Q38" s="19" t="s">
        <v>274</v>
      </c>
      <c r="R38" s="19" t="s">
        <v>274</v>
      </c>
      <c r="S38" s="10" t="str">
        <f t="shared" si="1"/>
        <v>C</v>
      </c>
      <c r="T38" s="14">
        <v>97602486</v>
      </c>
      <c r="U38" s="32" t="s">
        <v>208</v>
      </c>
      <c r="V38" s="19" t="s">
        <v>209</v>
      </c>
      <c r="W38" s="19"/>
      <c r="X38" s="20">
        <v>17.5</v>
      </c>
      <c r="Y38" s="20">
        <v>17.5</v>
      </c>
      <c r="Z38" s="20">
        <v>15</v>
      </c>
      <c r="AA38" s="20"/>
      <c r="AB38" s="20"/>
      <c r="AC38" s="30" t="s">
        <v>337</v>
      </c>
      <c r="AD38" s="30" t="s">
        <v>319</v>
      </c>
      <c r="AE38" s="29"/>
      <c r="AF38" s="29"/>
      <c r="AG38" s="29"/>
    </row>
    <row r="39" spans="1:33" ht="22.5" x14ac:dyDescent="0.2">
      <c r="A39" s="13">
        <v>38</v>
      </c>
      <c r="B39" s="14">
        <v>39301</v>
      </c>
      <c r="C39" s="15" t="s">
        <v>138</v>
      </c>
      <c r="D39" s="14" t="s">
        <v>99</v>
      </c>
      <c r="E39" s="4" t="s">
        <v>35</v>
      </c>
      <c r="F39" s="15" t="s">
        <v>139</v>
      </c>
      <c r="G39" s="13" t="s">
        <v>37</v>
      </c>
      <c r="H39" s="16">
        <v>49400</v>
      </c>
      <c r="I39" s="18">
        <v>2035</v>
      </c>
      <c r="J39" s="16">
        <v>27461</v>
      </c>
      <c r="K39" s="7">
        <v>45657</v>
      </c>
      <c r="L39" s="39">
        <f t="shared" si="0"/>
        <v>49</v>
      </c>
      <c r="M39" s="17">
        <v>36220</v>
      </c>
      <c r="N39" s="16">
        <v>44564</v>
      </c>
      <c r="O39" s="18" t="s">
        <v>140</v>
      </c>
      <c r="P39" s="32" t="s">
        <v>366</v>
      </c>
      <c r="Q39" s="19" t="s">
        <v>248</v>
      </c>
      <c r="R39" s="19" t="s">
        <v>45</v>
      </c>
      <c r="S39" s="10" t="str">
        <f t="shared" si="1"/>
        <v>A</v>
      </c>
      <c r="T39" s="14">
        <v>67145514</v>
      </c>
      <c r="U39" s="32" t="s">
        <v>142</v>
      </c>
      <c r="V39" s="19" t="s">
        <v>143</v>
      </c>
      <c r="W39" s="19">
        <v>42947</v>
      </c>
      <c r="X39" s="20">
        <v>17.5</v>
      </c>
      <c r="Y39" s="20">
        <v>17.5</v>
      </c>
      <c r="Z39" s="20">
        <v>17</v>
      </c>
      <c r="AA39" s="20"/>
      <c r="AB39" s="20"/>
      <c r="AC39" s="30" t="s">
        <v>338</v>
      </c>
      <c r="AD39" s="30" t="s">
        <v>339</v>
      </c>
      <c r="AE39" s="29"/>
      <c r="AF39" s="29"/>
      <c r="AG39" s="29"/>
    </row>
    <row r="40" spans="1:33" ht="22.5" x14ac:dyDescent="0.2">
      <c r="A40" s="4">
        <v>39</v>
      </c>
      <c r="B40" s="14">
        <v>45767</v>
      </c>
      <c r="C40" s="15" t="s">
        <v>251</v>
      </c>
      <c r="D40" s="14" t="s">
        <v>99</v>
      </c>
      <c r="E40" s="6" t="s">
        <v>18</v>
      </c>
      <c r="F40" s="32" t="s">
        <v>360</v>
      </c>
      <c r="G40" s="25" t="s">
        <v>37</v>
      </c>
      <c r="H40" s="16">
        <v>47849</v>
      </c>
      <c r="I40" s="18">
        <v>2031</v>
      </c>
      <c r="J40" s="16">
        <v>27750</v>
      </c>
      <c r="K40" s="7">
        <v>45657</v>
      </c>
      <c r="L40" s="39">
        <f t="shared" si="0"/>
        <v>49</v>
      </c>
      <c r="M40" s="17">
        <v>36164</v>
      </c>
      <c r="N40" s="16">
        <v>45166</v>
      </c>
      <c r="O40" s="18"/>
      <c r="P40" s="32" t="s">
        <v>360</v>
      </c>
      <c r="Q40" s="19" t="s">
        <v>252</v>
      </c>
      <c r="R40" s="19" t="s">
        <v>252</v>
      </c>
      <c r="S40" s="10" t="str">
        <f t="shared" si="1"/>
        <v>D</v>
      </c>
      <c r="T40" s="14">
        <v>90667740</v>
      </c>
      <c r="U40" s="43" t="s">
        <v>391</v>
      </c>
      <c r="V40" s="43" t="s">
        <v>390</v>
      </c>
      <c r="W40" s="19"/>
      <c r="X40" s="20">
        <v>16</v>
      </c>
      <c r="Y40" s="20">
        <v>16.5</v>
      </c>
      <c r="Z40" s="20">
        <v>16</v>
      </c>
      <c r="AA40" s="20"/>
      <c r="AB40" s="20"/>
      <c r="AC40" s="30" t="s">
        <v>313</v>
      </c>
      <c r="AD40" s="30" t="s">
        <v>312</v>
      </c>
      <c r="AE40" s="29"/>
      <c r="AF40" s="29"/>
      <c r="AG40" s="29"/>
    </row>
    <row r="41" spans="1:33" ht="45" x14ac:dyDescent="0.2">
      <c r="A41" s="13">
        <v>40</v>
      </c>
      <c r="B41" s="14">
        <v>67112</v>
      </c>
      <c r="C41" s="15" t="s">
        <v>92</v>
      </c>
      <c r="D41" s="14" t="s">
        <v>49</v>
      </c>
      <c r="E41" s="14" t="s">
        <v>18</v>
      </c>
      <c r="F41" s="15" t="s">
        <v>93</v>
      </c>
      <c r="G41" s="13" t="s">
        <v>37</v>
      </c>
      <c r="H41" s="16">
        <v>52140</v>
      </c>
      <c r="I41" s="18">
        <v>2042</v>
      </c>
      <c r="J41" s="16">
        <v>30169</v>
      </c>
      <c r="K41" s="7">
        <v>45657</v>
      </c>
      <c r="L41" s="39">
        <f t="shared" si="0"/>
        <v>42</v>
      </c>
      <c r="M41" s="17">
        <v>40011</v>
      </c>
      <c r="N41" s="17">
        <v>40011</v>
      </c>
      <c r="O41" s="18" t="s">
        <v>44</v>
      </c>
      <c r="P41" s="32" t="s">
        <v>370</v>
      </c>
      <c r="Q41" s="19" t="s">
        <v>23</v>
      </c>
      <c r="R41" s="19" t="s">
        <v>75</v>
      </c>
      <c r="S41" s="10" t="str">
        <f t="shared" si="1"/>
        <v>A</v>
      </c>
      <c r="T41" s="14">
        <v>97771957</v>
      </c>
      <c r="U41" s="32" t="s">
        <v>96</v>
      </c>
      <c r="V41" s="19" t="s">
        <v>97</v>
      </c>
      <c r="W41" s="19">
        <v>44109</v>
      </c>
      <c r="X41" s="20">
        <v>17.5</v>
      </c>
      <c r="Y41" s="20">
        <v>17.5</v>
      </c>
      <c r="Z41" s="20">
        <v>17.5</v>
      </c>
      <c r="AA41" s="20"/>
      <c r="AB41" s="20"/>
      <c r="AC41" s="30" t="s">
        <v>340</v>
      </c>
      <c r="AD41" s="30" t="s">
        <v>319</v>
      </c>
      <c r="AE41" s="29"/>
      <c r="AF41" s="29"/>
      <c r="AG41" s="29"/>
    </row>
    <row r="42" spans="1:33" ht="33.75" x14ac:dyDescent="0.2">
      <c r="A42" s="4">
        <v>41</v>
      </c>
      <c r="B42" s="14">
        <v>56538</v>
      </c>
      <c r="C42" s="15" t="s">
        <v>210</v>
      </c>
      <c r="D42" s="14" t="s">
        <v>99</v>
      </c>
      <c r="E42" s="14" t="s">
        <v>18</v>
      </c>
      <c r="F42" s="15" t="s">
        <v>377</v>
      </c>
      <c r="G42" s="13" t="s">
        <v>20</v>
      </c>
      <c r="H42" s="16">
        <v>46023</v>
      </c>
      <c r="I42" s="18">
        <v>2026</v>
      </c>
      <c r="J42" s="16">
        <v>25855</v>
      </c>
      <c r="K42" s="7">
        <v>45657</v>
      </c>
      <c r="L42" s="39">
        <f t="shared" si="0"/>
        <v>54</v>
      </c>
      <c r="M42" s="17">
        <v>39448</v>
      </c>
      <c r="N42" s="16">
        <v>43003</v>
      </c>
      <c r="O42" s="18" t="s">
        <v>211</v>
      </c>
      <c r="P42" s="32" t="s">
        <v>371</v>
      </c>
      <c r="Q42" s="19" t="s">
        <v>116</v>
      </c>
      <c r="R42" s="19" t="s">
        <v>116</v>
      </c>
      <c r="S42" s="10" t="str">
        <f t="shared" si="1"/>
        <v>D</v>
      </c>
      <c r="T42" s="14">
        <v>97251585</v>
      </c>
      <c r="U42" s="32" t="s">
        <v>212</v>
      </c>
      <c r="V42" s="19" t="s">
        <v>118</v>
      </c>
      <c r="W42" s="19"/>
      <c r="X42" s="20">
        <v>17.5</v>
      </c>
      <c r="Y42" s="20">
        <v>17</v>
      </c>
      <c r="Z42" s="20">
        <v>16.5</v>
      </c>
      <c r="AA42" s="20"/>
      <c r="AB42" s="20"/>
      <c r="AC42" s="30" t="s">
        <v>341</v>
      </c>
      <c r="AD42" s="30" t="s">
        <v>299</v>
      </c>
      <c r="AE42" s="29"/>
      <c r="AF42" s="29"/>
      <c r="AG42" s="29"/>
    </row>
    <row r="43" spans="1:33" ht="33.75" x14ac:dyDescent="0.2">
      <c r="A43" s="13">
        <v>42</v>
      </c>
      <c r="B43" s="14">
        <v>56522</v>
      </c>
      <c r="C43" s="15" t="s">
        <v>244</v>
      </c>
      <c r="D43" s="14" t="s">
        <v>383</v>
      </c>
      <c r="E43" s="14" t="s">
        <v>18</v>
      </c>
      <c r="F43" s="15" t="s">
        <v>348</v>
      </c>
      <c r="G43" s="13" t="s">
        <v>20</v>
      </c>
      <c r="H43" s="16">
        <v>46569</v>
      </c>
      <c r="I43" s="18">
        <v>2027</v>
      </c>
      <c r="J43" s="16">
        <v>24620</v>
      </c>
      <c r="K43" s="7">
        <v>45657</v>
      </c>
      <c r="L43" s="39">
        <f t="shared" si="0"/>
        <v>57</v>
      </c>
      <c r="M43" s="17">
        <v>36164</v>
      </c>
      <c r="N43" s="16">
        <v>36164</v>
      </c>
      <c r="O43" s="18" t="s">
        <v>246</v>
      </c>
      <c r="P43" s="32" t="s">
        <v>366</v>
      </c>
      <c r="Q43" s="19" t="s">
        <v>248</v>
      </c>
      <c r="R43" s="19" t="s">
        <v>95</v>
      </c>
      <c r="S43" s="10" t="str">
        <f t="shared" si="1"/>
        <v>A</v>
      </c>
      <c r="T43" s="14">
        <v>97174227</v>
      </c>
      <c r="U43" s="32" t="s">
        <v>249</v>
      </c>
      <c r="V43" s="19" t="s">
        <v>250</v>
      </c>
      <c r="W43" s="24"/>
      <c r="X43" s="20">
        <v>17</v>
      </c>
      <c r="Y43" s="20">
        <v>17</v>
      </c>
      <c r="Z43" s="20">
        <v>17</v>
      </c>
      <c r="AA43" s="20"/>
      <c r="AB43" s="20"/>
      <c r="AC43" s="30" t="s">
        <v>303</v>
      </c>
      <c r="AD43" s="30" t="s">
        <v>304</v>
      </c>
      <c r="AE43" s="29"/>
      <c r="AF43" s="29"/>
      <c r="AG43" s="29"/>
    </row>
    <row r="44" spans="1:33" ht="22.5" x14ac:dyDescent="0.2">
      <c r="A44" s="4">
        <v>43</v>
      </c>
      <c r="B44" s="14">
        <v>45680</v>
      </c>
      <c r="C44" s="15" t="s">
        <v>275</v>
      </c>
      <c r="D44" s="14" t="s">
        <v>383</v>
      </c>
      <c r="E44" s="14" t="s">
        <v>35</v>
      </c>
      <c r="F44" s="15" t="s">
        <v>349</v>
      </c>
      <c r="G44" s="13" t="s">
        <v>37</v>
      </c>
      <c r="H44" s="16">
        <v>48030</v>
      </c>
      <c r="I44" s="18">
        <v>2031</v>
      </c>
      <c r="J44" s="16">
        <v>26053</v>
      </c>
      <c r="K44" s="7">
        <v>45657</v>
      </c>
      <c r="L44" s="39">
        <f t="shared" si="0"/>
        <v>53</v>
      </c>
      <c r="M44" s="17">
        <v>36164</v>
      </c>
      <c r="N44" s="16">
        <v>45408</v>
      </c>
      <c r="O44" s="18" t="s">
        <v>278</v>
      </c>
      <c r="P44" s="32" t="s">
        <v>279</v>
      </c>
      <c r="Q44" s="19" t="s">
        <v>280</v>
      </c>
      <c r="R44" s="19" t="s">
        <v>281</v>
      </c>
      <c r="S44" s="10" t="str">
        <f t="shared" si="1"/>
        <v>B</v>
      </c>
      <c r="T44" s="14">
        <v>97777472</v>
      </c>
      <c r="U44" s="32" t="s">
        <v>289</v>
      </c>
      <c r="V44" s="19" t="s">
        <v>282</v>
      </c>
      <c r="W44" s="24"/>
      <c r="X44" s="20">
        <v>17.5</v>
      </c>
      <c r="Y44" s="20">
        <v>15.5</v>
      </c>
      <c r="Z44" s="20" t="s">
        <v>388</v>
      </c>
      <c r="AA44" s="20"/>
      <c r="AB44" s="20"/>
      <c r="AC44" s="29"/>
      <c r="AD44" s="29"/>
      <c r="AE44" s="29"/>
      <c r="AF44" s="29"/>
      <c r="AG44" s="29"/>
    </row>
    <row r="45" spans="1:33" ht="33.75" x14ac:dyDescent="0.2">
      <c r="A45" s="13">
        <v>44</v>
      </c>
      <c r="B45" s="14">
        <v>98269</v>
      </c>
      <c r="C45" s="15" t="s">
        <v>283</v>
      </c>
      <c r="D45" s="14" t="s">
        <v>28</v>
      </c>
      <c r="E45" s="14" t="s">
        <v>18</v>
      </c>
      <c r="F45" s="15" t="s">
        <v>290</v>
      </c>
      <c r="G45" s="13" t="s">
        <v>20</v>
      </c>
      <c r="H45" s="16">
        <v>50314</v>
      </c>
      <c r="I45" s="18">
        <v>2037</v>
      </c>
      <c r="J45" s="16">
        <v>28134</v>
      </c>
      <c r="K45" s="7">
        <v>45657</v>
      </c>
      <c r="L45" s="39">
        <f t="shared" si="0"/>
        <v>47</v>
      </c>
      <c r="M45" s="17">
        <v>39653</v>
      </c>
      <c r="N45" s="16">
        <v>45414</v>
      </c>
      <c r="O45" s="18" t="s">
        <v>284</v>
      </c>
      <c r="P45" s="32" t="s">
        <v>285</v>
      </c>
      <c r="Q45" s="19" t="s">
        <v>286</v>
      </c>
      <c r="R45" s="19" t="s">
        <v>286</v>
      </c>
      <c r="S45" s="10" t="str">
        <f t="shared" si="1"/>
        <v>A</v>
      </c>
      <c r="T45" s="14">
        <v>96944041</v>
      </c>
      <c r="U45" s="32" t="s">
        <v>287</v>
      </c>
      <c r="V45" s="19" t="s">
        <v>288</v>
      </c>
      <c r="W45" s="24"/>
      <c r="X45" s="20">
        <v>17.5</v>
      </c>
      <c r="Y45" s="20">
        <v>18</v>
      </c>
      <c r="Z45" s="20">
        <v>18</v>
      </c>
      <c r="AA45" s="20"/>
      <c r="AB45" s="20"/>
      <c r="AC45" s="29"/>
      <c r="AD45" s="29"/>
      <c r="AE45" s="29"/>
      <c r="AF45" s="29"/>
      <c r="AG45" s="29"/>
    </row>
    <row r="46" spans="1:33" ht="24" customHeight="1" x14ac:dyDescent="0.2">
      <c r="A46" s="13">
        <v>45</v>
      </c>
      <c r="B46" s="14">
        <v>43003</v>
      </c>
      <c r="C46" s="15" t="s">
        <v>344</v>
      </c>
      <c r="D46" s="14" t="s">
        <v>345</v>
      </c>
      <c r="E46" s="14" t="s">
        <v>18</v>
      </c>
      <c r="F46" s="15" t="s">
        <v>346</v>
      </c>
      <c r="G46" s="13" t="s">
        <v>37</v>
      </c>
      <c r="H46" s="16">
        <v>49400</v>
      </c>
      <c r="I46" s="18">
        <v>2035</v>
      </c>
      <c r="J46" s="16">
        <v>27484</v>
      </c>
      <c r="K46" s="7">
        <v>45657</v>
      </c>
      <c r="L46" s="39">
        <f t="shared" si="0"/>
        <v>49</v>
      </c>
      <c r="M46" s="17">
        <v>37109</v>
      </c>
      <c r="N46" s="16">
        <v>45481</v>
      </c>
      <c r="O46" s="18" t="s">
        <v>354</v>
      </c>
      <c r="P46" s="32" t="s">
        <v>372</v>
      </c>
      <c r="Q46" s="19" t="s">
        <v>352</v>
      </c>
      <c r="R46" s="19" t="s">
        <v>352</v>
      </c>
      <c r="S46" s="10" t="s">
        <v>351</v>
      </c>
      <c r="T46" s="14">
        <v>97046509</v>
      </c>
      <c r="U46" s="32" t="s">
        <v>355</v>
      </c>
      <c r="V46" s="19" t="s">
        <v>353</v>
      </c>
      <c r="W46" s="24"/>
      <c r="X46" s="45" t="s">
        <v>388</v>
      </c>
      <c r="Y46" s="45" t="s">
        <v>388</v>
      </c>
      <c r="Z46" s="45" t="s">
        <v>388</v>
      </c>
      <c r="AA46" s="20"/>
      <c r="AB46" s="20"/>
      <c r="AC46" s="29"/>
      <c r="AD46" s="29"/>
      <c r="AE46" s="29"/>
      <c r="AF46" s="29"/>
      <c r="AG46" s="29"/>
    </row>
    <row r="47" spans="1:33" ht="33.75" x14ac:dyDescent="0.2">
      <c r="A47" s="30">
        <v>46</v>
      </c>
      <c r="B47" s="29"/>
      <c r="C47" s="15" t="s">
        <v>382</v>
      </c>
      <c r="D47" s="30" t="s">
        <v>383</v>
      </c>
      <c r="E47" s="14" t="s">
        <v>18</v>
      </c>
      <c r="F47" s="15" t="s">
        <v>384</v>
      </c>
      <c r="G47" s="14" t="s">
        <v>385</v>
      </c>
      <c r="H47" s="16">
        <v>48853</v>
      </c>
      <c r="I47" s="18">
        <v>2033</v>
      </c>
      <c r="J47" s="16">
        <v>26863</v>
      </c>
      <c r="K47" s="16">
        <v>45657</v>
      </c>
      <c r="L47" s="44">
        <v>51</v>
      </c>
      <c r="M47" s="42">
        <v>45121</v>
      </c>
      <c r="N47" s="42">
        <v>45121</v>
      </c>
      <c r="O47" s="30" t="s">
        <v>386</v>
      </c>
      <c r="P47" s="32" t="s">
        <v>366</v>
      </c>
      <c r="Q47" s="29"/>
      <c r="R47" s="29"/>
      <c r="S47" s="19" t="s">
        <v>351</v>
      </c>
      <c r="T47" s="14">
        <v>52530000</v>
      </c>
      <c r="U47" s="32" t="s">
        <v>387</v>
      </c>
      <c r="V47" s="32" t="s">
        <v>387</v>
      </c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</row>
  </sheetData>
  <autoFilter ref="A1:AG47" xr:uid="{00000000-0009-0000-0000-000001000000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G45"/>
  <sheetViews>
    <sheetView workbookViewId="0">
      <pane xSplit="5" ySplit="1" topLeftCell="W2" activePane="bottomRight" state="frozen"/>
      <selection pane="topRight" activeCell="F1" sqref="F1"/>
      <selection pane="bottomLeft" activeCell="A2" sqref="A2"/>
      <selection pane="bottomRight" sqref="A1:AG1"/>
    </sheetView>
  </sheetViews>
  <sheetFormatPr baseColWidth="10" defaultColWidth="11.42578125" defaultRowHeight="13.5" x14ac:dyDescent="0.2"/>
  <cols>
    <col min="1" max="1" width="8" style="12" customWidth="1"/>
    <col min="2" max="2" width="9.85546875" style="12" customWidth="1"/>
    <col min="3" max="3" width="22.140625" style="12" customWidth="1"/>
    <col min="4" max="4" width="18.140625" style="12" customWidth="1"/>
    <col min="5" max="5" width="4.5703125" style="12" customWidth="1"/>
    <col min="6" max="6" width="19.28515625" style="12" customWidth="1"/>
    <col min="7" max="7" width="7.42578125" style="12" customWidth="1"/>
    <col min="8" max="8" width="16.140625" style="12" customWidth="1"/>
    <col min="9" max="9" width="16.140625" style="41" customWidth="1"/>
    <col min="10" max="10" width="10.7109375" style="12" customWidth="1"/>
    <col min="11" max="11" width="11.42578125" style="12" customWidth="1"/>
    <col min="12" max="12" width="12.5703125" style="12" customWidth="1"/>
    <col min="13" max="13" width="16.28515625" style="12" customWidth="1"/>
    <col min="14" max="14" width="15.85546875" style="12" customWidth="1"/>
    <col min="15" max="15" width="15" style="12" customWidth="1"/>
    <col min="16" max="16" width="18" style="12" customWidth="1"/>
    <col min="17" max="17" width="11.28515625" style="12" bestFit="1" customWidth="1"/>
    <col min="18" max="18" width="8.85546875" style="12" bestFit="1" customWidth="1"/>
    <col min="19" max="19" width="8.85546875" style="12" customWidth="1"/>
    <col min="20" max="20" width="19.42578125" style="28" customWidth="1"/>
    <col min="21" max="22" width="29.5703125" style="12" customWidth="1"/>
    <col min="23" max="23" width="10.85546875" style="12" bestFit="1" customWidth="1"/>
    <col min="24" max="28" width="8.85546875" style="12" bestFit="1" customWidth="1"/>
    <col min="29" max="29" width="20.5703125" style="12" bestFit="1" customWidth="1"/>
    <col min="30" max="30" width="11.85546875" style="12" bestFit="1" customWidth="1"/>
    <col min="31" max="31" width="18.42578125" style="12" customWidth="1"/>
    <col min="32" max="32" width="11.5703125" style="12" bestFit="1" customWidth="1"/>
    <col min="33" max="33" width="9.42578125" style="12" bestFit="1" customWidth="1"/>
    <col min="34" max="16384" width="11.42578125" style="12"/>
  </cols>
  <sheetData>
    <row r="1" spans="1:33" s="38" customFormat="1" ht="43.5" customHeight="1" x14ac:dyDescent="0.2">
      <c r="A1" s="47" t="s">
        <v>0</v>
      </c>
      <c r="B1" s="47" t="s">
        <v>1</v>
      </c>
      <c r="C1" s="47" t="s">
        <v>2</v>
      </c>
      <c r="D1" s="47" t="s">
        <v>3</v>
      </c>
      <c r="E1" s="47" t="s">
        <v>4</v>
      </c>
      <c r="F1" s="47" t="s">
        <v>5</v>
      </c>
      <c r="G1" s="47" t="s">
        <v>6</v>
      </c>
      <c r="H1" s="47" t="s">
        <v>7</v>
      </c>
      <c r="I1" s="48" t="s">
        <v>380</v>
      </c>
      <c r="J1" s="47" t="s">
        <v>8</v>
      </c>
      <c r="K1" s="47" t="s">
        <v>376</v>
      </c>
      <c r="L1" s="47" t="s">
        <v>381</v>
      </c>
      <c r="M1" s="47" t="s">
        <v>9</v>
      </c>
      <c r="N1" s="47" t="s">
        <v>10</v>
      </c>
      <c r="O1" s="47" t="s">
        <v>258</v>
      </c>
      <c r="P1" s="49" t="s">
        <v>11</v>
      </c>
      <c r="Q1" s="47" t="s">
        <v>12</v>
      </c>
      <c r="R1" s="47" t="s">
        <v>262</v>
      </c>
      <c r="S1" s="47" t="s">
        <v>350</v>
      </c>
      <c r="T1" s="47" t="s">
        <v>263</v>
      </c>
      <c r="U1" s="47" t="s">
        <v>13</v>
      </c>
      <c r="V1" s="47" t="s">
        <v>14</v>
      </c>
      <c r="W1" s="47" t="s">
        <v>15</v>
      </c>
      <c r="X1" s="47" t="s">
        <v>253</v>
      </c>
      <c r="Y1" s="47" t="s">
        <v>254</v>
      </c>
      <c r="Z1" s="47" t="s">
        <v>255</v>
      </c>
      <c r="AA1" s="47" t="s">
        <v>256</v>
      </c>
      <c r="AB1" s="47" t="s">
        <v>257</v>
      </c>
      <c r="AC1" s="50" t="s">
        <v>291</v>
      </c>
      <c r="AD1" s="50" t="s">
        <v>292</v>
      </c>
      <c r="AE1" s="50" t="s">
        <v>293</v>
      </c>
      <c r="AF1" s="50" t="s">
        <v>294</v>
      </c>
      <c r="AG1" s="50" t="s">
        <v>295</v>
      </c>
    </row>
    <row r="2" spans="1:33" ht="38.25" x14ac:dyDescent="0.2">
      <c r="A2" s="51">
        <v>1</v>
      </c>
      <c r="B2" s="52">
        <v>64720</v>
      </c>
      <c r="C2" s="53" t="s">
        <v>260</v>
      </c>
      <c r="D2" s="52" t="s">
        <v>383</v>
      </c>
      <c r="E2" s="52" t="s">
        <v>18</v>
      </c>
      <c r="F2" s="54" t="s">
        <v>259</v>
      </c>
      <c r="G2" s="51" t="s">
        <v>37</v>
      </c>
      <c r="H2" s="55">
        <v>48396</v>
      </c>
      <c r="I2" s="56">
        <v>2032</v>
      </c>
      <c r="J2" s="55">
        <v>26464</v>
      </c>
      <c r="K2" s="55">
        <v>45657</v>
      </c>
      <c r="L2" s="57">
        <f>DATEDIF(J2,K2,"Y")</f>
        <v>52</v>
      </c>
      <c r="M2" s="58">
        <v>40011</v>
      </c>
      <c r="N2" s="55">
        <v>40073</v>
      </c>
      <c r="O2" s="59" t="s">
        <v>44</v>
      </c>
      <c r="P2" s="60" t="s">
        <v>366</v>
      </c>
      <c r="Q2" s="61" t="s">
        <v>248</v>
      </c>
      <c r="R2" s="61" t="s">
        <v>45</v>
      </c>
      <c r="S2" s="61" t="str">
        <f>LEFT(Q2,1)</f>
        <v>A</v>
      </c>
      <c r="T2" s="46">
        <v>97694887</v>
      </c>
      <c r="U2" s="62" t="s">
        <v>177</v>
      </c>
      <c r="V2" s="61" t="s">
        <v>178</v>
      </c>
      <c r="W2" s="61"/>
      <c r="X2" s="63">
        <v>17</v>
      </c>
      <c r="Y2" s="63">
        <v>17</v>
      </c>
      <c r="Z2" s="63">
        <v>16</v>
      </c>
      <c r="AA2" s="63"/>
      <c r="AB2" s="63"/>
      <c r="AC2" s="64" t="s">
        <v>296</v>
      </c>
      <c r="AD2" s="64" t="s">
        <v>297</v>
      </c>
      <c r="AE2" s="65"/>
      <c r="AF2" s="65"/>
      <c r="AG2" s="65"/>
    </row>
    <row r="3" spans="1:33" ht="38.25" x14ac:dyDescent="0.2">
      <c r="A3" s="64">
        <v>2</v>
      </c>
      <c r="B3" s="64">
        <v>104885</v>
      </c>
      <c r="C3" s="54" t="s">
        <v>149</v>
      </c>
      <c r="D3" s="46" t="s">
        <v>150</v>
      </c>
      <c r="E3" s="52" t="s">
        <v>18</v>
      </c>
      <c r="F3" s="54" t="s">
        <v>151</v>
      </c>
      <c r="G3" s="64" t="s">
        <v>20</v>
      </c>
      <c r="H3" s="66">
        <v>53509</v>
      </c>
      <c r="I3" s="56">
        <v>2046</v>
      </c>
      <c r="J3" s="66">
        <v>31538</v>
      </c>
      <c r="K3" s="55">
        <v>45657</v>
      </c>
      <c r="L3" s="57">
        <f t="shared" ref="L3:L43" si="0">DATEDIF(J3,K3,"Y")</f>
        <v>38</v>
      </c>
      <c r="M3" s="67">
        <v>42032</v>
      </c>
      <c r="N3" s="66">
        <v>44067</v>
      </c>
      <c r="O3" s="56" t="s">
        <v>152</v>
      </c>
      <c r="P3" s="60" t="s">
        <v>366</v>
      </c>
      <c r="Q3" s="68" t="s">
        <v>30</v>
      </c>
      <c r="R3" s="68" t="s">
        <v>30</v>
      </c>
      <c r="S3" s="61" t="str">
        <f t="shared" ref="S3:S42" si="1">LEFT(Q3,1)</f>
        <v>A</v>
      </c>
      <c r="T3" s="46">
        <v>97537987</v>
      </c>
      <c r="U3" s="60" t="s">
        <v>154</v>
      </c>
      <c r="V3" s="68" t="s">
        <v>155</v>
      </c>
      <c r="W3" s="68"/>
      <c r="X3" s="69">
        <v>17</v>
      </c>
      <c r="Y3" s="69">
        <v>17</v>
      </c>
      <c r="Z3" s="69">
        <v>17.5</v>
      </c>
      <c r="AA3" s="69"/>
      <c r="AB3" s="69"/>
      <c r="AC3" s="64" t="s">
        <v>298</v>
      </c>
      <c r="AD3" s="64" t="s">
        <v>299</v>
      </c>
      <c r="AE3" s="65"/>
      <c r="AF3" s="65"/>
      <c r="AG3" s="65"/>
    </row>
    <row r="4" spans="1:33" ht="51" x14ac:dyDescent="0.2">
      <c r="A4" s="51">
        <v>3</v>
      </c>
      <c r="B4" s="46">
        <v>95603</v>
      </c>
      <c r="C4" s="54" t="s">
        <v>179</v>
      </c>
      <c r="D4" s="52" t="s">
        <v>28</v>
      </c>
      <c r="E4" s="52" t="s">
        <v>18</v>
      </c>
      <c r="F4" s="54" t="s">
        <v>180</v>
      </c>
      <c r="G4" s="51" t="s">
        <v>20</v>
      </c>
      <c r="H4" s="55">
        <v>50771</v>
      </c>
      <c r="I4" s="56">
        <v>2039</v>
      </c>
      <c r="J4" s="55">
        <v>29454</v>
      </c>
      <c r="K4" s="55">
        <v>45657</v>
      </c>
      <c r="L4" s="57">
        <f t="shared" si="0"/>
        <v>44</v>
      </c>
      <c r="M4" s="67">
        <v>39448</v>
      </c>
      <c r="N4" s="66">
        <v>45043</v>
      </c>
      <c r="O4" s="56" t="s">
        <v>181</v>
      </c>
      <c r="P4" s="60" t="s">
        <v>356</v>
      </c>
      <c r="Q4" s="61" t="s">
        <v>68</v>
      </c>
      <c r="R4" s="61" t="s">
        <v>68</v>
      </c>
      <c r="S4" s="61" t="str">
        <f t="shared" si="1"/>
        <v>B</v>
      </c>
      <c r="T4" s="46">
        <v>96202888</v>
      </c>
      <c r="U4" s="62" t="s">
        <v>183</v>
      </c>
      <c r="V4" s="61" t="s">
        <v>184</v>
      </c>
      <c r="W4" s="70"/>
      <c r="X4" s="64">
        <v>17</v>
      </c>
      <c r="Y4" s="64">
        <v>17</v>
      </c>
      <c r="Z4" s="51">
        <v>16.5</v>
      </c>
      <c r="AA4" s="70"/>
      <c r="AB4" s="70"/>
      <c r="AC4" s="64" t="s">
        <v>300</v>
      </c>
      <c r="AD4" s="64" t="s">
        <v>301</v>
      </c>
      <c r="AE4" s="65"/>
      <c r="AF4" s="65"/>
      <c r="AG4" s="65"/>
    </row>
    <row r="5" spans="1:33" ht="25.5" x14ac:dyDescent="0.2">
      <c r="A5" s="51">
        <v>4</v>
      </c>
      <c r="B5" s="46">
        <v>59696</v>
      </c>
      <c r="C5" s="54" t="s">
        <v>54</v>
      </c>
      <c r="D5" s="46" t="s">
        <v>49</v>
      </c>
      <c r="E5" s="46" t="s">
        <v>18</v>
      </c>
      <c r="F5" s="54" t="s">
        <v>55</v>
      </c>
      <c r="G5" s="64" t="s">
        <v>37</v>
      </c>
      <c r="H5" s="66">
        <v>51775</v>
      </c>
      <c r="I5" s="56">
        <v>2041</v>
      </c>
      <c r="J5" s="66">
        <v>29853</v>
      </c>
      <c r="K5" s="55">
        <v>45657</v>
      </c>
      <c r="L5" s="57">
        <f t="shared" si="0"/>
        <v>43</v>
      </c>
      <c r="M5" s="67">
        <v>40840</v>
      </c>
      <c r="N5" s="66">
        <v>40840</v>
      </c>
      <c r="O5" s="56" t="s">
        <v>56</v>
      </c>
      <c r="P5" s="60" t="s">
        <v>369</v>
      </c>
      <c r="Q5" s="68" t="s">
        <v>45</v>
      </c>
      <c r="R5" s="68" t="s">
        <v>45</v>
      </c>
      <c r="S5" s="61" t="str">
        <f t="shared" si="1"/>
        <v>A</v>
      </c>
      <c r="T5" s="46">
        <v>95223234</v>
      </c>
      <c r="U5" s="60" t="s">
        <v>58</v>
      </c>
      <c r="V5" s="68" t="s">
        <v>59</v>
      </c>
      <c r="W5" s="68"/>
      <c r="X5" s="69">
        <v>16</v>
      </c>
      <c r="Y5" s="69">
        <v>17</v>
      </c>
      <c r="Z5" s="69">
        <v>17</v>
      </c>
      <c r="AA5" s="69"/>
      <c r="AB5" s="69"/>
      <c r="AC5" s="64" t="s">
        <v>303</v>
      </c>
      <c r="AD5" s="64" t="s">
        <v>304</v>
      </c>
      <c r="AE5" s="65"/>
      <c r="AF5" s="65"/>
      <c r="AG5" s="65"/>
    </row>
    <row r="6" spans="1:33" ht="38.25" x14ac:dyDescent="0.2">
      <c r="A6" s="64">
        <v>5</v>
      </c>
      <c r="B6" s="46">
        <v>99263</v>
      </c>
      <c r="C6" s="54" t="s">
        <v>33</v>
      </c>
      <c r="D6" s="52" t="s">
        <v>383</v>
      </c>
      <c r="E6" s="51" t="s">
        <v>35</v>
      </c>
      <c r="F6" s="54" t="s">
        <v>36</v>
      </c>
      <c r="G6" s="64" t="s">
        <v>37</v>
      </c>
      <c r="H6" s="66">
        <v>50952</v>
      </c>
      <c r="I6" s="56">
        <v>2039</v>
      </c>
      <c r="J6" s="66">
        <v>29018</v>
      </c>
      <c r="K6" s="55">
        <v>45657</v>
      </c>
      <c r="L6" s="57">
        <f t="shared" si="0"/>
        <v>45</v>
      </c>
      <c r="M6" s="67">
        <v>40584</v>
      </c>
      <c r="N6" s="66">
        <v>40617</v>
      </c>
      <c r="O6" s="56" t="s">
        <v>38</v>
      </c>
      <c r="P6" s="60" t="s">
        <v>366</v>
      </c>
      <c r="Q6" s="68" t="s">
        <v>45</v>
      </c>
      <c r="R6" s="68" t="s">
        <v>45</v>
      </c>
      <c r="S6" s="61" t="str">
        <f t="shared" si="1"/>
        <v>A</v>
      </c>
      <c r="T6" s="46">
        <v>67258008</v>
      </c>
      <c r="U6" s="60" t="s">
        <v>41</v>
      </c>
      <c r="V6" s="68" t="s">
        <v>42</v>
      </c>
      <c r="W6" s="68"/>
      <c r="X6" s="69">
        <v>17</v>
      </c>
      <c r="Y6" s="69">
        <v>17</v>
      </c>
      <c r="Z6" s="69">
        <v>16</v>
      </c>
      <c r="AA6" s="69"/>
      <c r="AB6" s="69"/>
      <c r="AC6" s="64" t="s">
        <v>305</v>
      </c>
      <c r="AD6" s="64" t="s">
        <v>304</v>
      </c>
      <c r="AE6" s="65"/>
      <c r="AF6" s="65"/>
      <c r="AG6" s="65"/>
    </row>
    <row r="7" spans="1:33" ht="25.5" x14ac:dyDescent="0.2">
      <c r="A7" s="51">
        <v>6</v>
      </c>
      <c r="B7" s="46">
        <v>51191</v>
      </c>
      <c r="C7" s="91" t="s">
        <v>112</v>
      </c>
      <c r="D7" s="90" t="s">
        <v>99</v>
      </c>
      <c r="E7" s="90" t="s">
        <v>18</v>
      </c>
      <c r="F7" s="91" t="s">
        <v>378</v>
      </c>
      <c r="G7" s="92" t="s">
        <v>37</v>
      </c>
      <c r="H7" s="93">
        <v>46478</v>
      </c>
      <c r="I7" s="94">
        <v>2027</v>
      </c>
      <c r="J7" s="93">
        <v>26320</v>
      </c>
      <c r="K7" s="95">
        <v>45657</v>
      </c>
      <c r="L7" s="96">
        <f t="shared" si="0"/>
        <v>52</v>
      </c>
      <c r="M7" s="93">
        <v>37754</v>
      </c>
      <c r="N7" s="93">
        <v>43920</v>
      </c>
      <c r="O7" s="94" t="s">
        <v>114</v>
      </c>
      <c r="P7" s="97" t="s">
        <v>371</v>
      </c>
      <c r="Q7" s="99" t="s">
        <v>264</v>
      </c>
      <c r="R7" s="68" t="s">
        <v>264</v>
      </c>
      <c r="S7" s="61" t="str">
        <f t="shared" si="1"/>
        <v>D</v>
      </c>
      <c r="T7" s="46">
        <v>97070079</v>
      </c>
      <c r="U7" s="60" t="s">
        <v>117</v>
      </c>
      <c r="V7" s="68" t="s">
        <v>118</v>
      </c>
      <c r="W7" s="68"/>
      <c r="X7" s="69">
        <v>17</v>
      </c>
      <c r="Y7" s="69">
        <v>17</v>
      </c>
      <c r="Z7" s="69">
        <v>16</v>
      </c>
      <c r="AA7" s="69"/>
      <c r="AB7" s="69"/>
      <c r="AC7" s="64" t="s">
        <v>306</v>
      </c>
      <c r="AD7" s="64" t="s">
        <v>307</v>
      </c>
      <c r="AE7" s="65"/>
      <c r="AF7" s="65"/>
      <c r="AG7" s="65"/>
    </row>
    <row r="8" spans="1:33" ht="38.25" x14ac:dyDescent="0.2">
      <c r="A8" s="51">
        <v>7</v>
      </c>
      <c r="B8" s="46">
        <v>104001</v>
      </c>
      <c r="C8" s="54" t="s">
        <v>190</v>
      </c>
      <c r="D8" s="46" t="s">
        <v>28</v>
      </c>
      <c r="E8" s="52" t="s">
        <v>18</v>
      </c>
      <c r="F8" s="54" t="s">
        <v>191</v>
      </c>
      <c r="G8" s="64" t="s">
        <v>20</v>
      </c>
      <c r="H8" s="66">
        <v>54605</v>
      </c>
      <c r="I8" s="56">
        <v>2049</v>
      </c>
      <c r="J8" s="66">
        <v>32630</v>
      </c>
      <c r="K8" s="55">
        <v>45657</v>
      </c>
      <c r="L8" s="57">
        <f t="shared" si="0"/>
        <v>35</v>
      </c>
      <c r="M8" s="67">
        <v>42032</v>
      </c>
      <c r="N8" s="66">
        <v>42064</v>
      </c>
      <c r="O8" s="56" t="s">
        <v>152</v>
      </c>
      <c r="P8" s="60" t="s">
        <v>357</v>
      </c>
      <c r="Q8" s="68" t="s">
        <v>192</v>
      </c>
      <c r="R8" s="68" t="s">
        <v>265</v>
      </c>
      <c r="S8" s="61" t="str">
        <f t="shared" si="1"/>
        <v>A</v>
      </c>
      <c r="T8" s="46">
        <v>96742291</v>
      </c>
      <c r="U8" s="60" t="s">
        <v>193</v>
      </c>
      <c r="V8" s="68" t="s">
        <v>194</v>
      </c>
      <c r="W8" s="68"/>
      <c r="X8" s="69">
        <v>17.5</v>
      </c>
      <c r="Y8" s="69">
        <v>17.5</v>
      </c>
      <c r="Z8" s="69">
        <v>16</v>
      </c>
      <c r="AA8" s="69"/>
      <c r="AB8" s="69"/>
      <c r="AC8" s="64" t="s">
        <v>308</v>
      </c>
      <c r="AD8" s="64" t="s">
        <v>301</v>
      </c>
      <c r="AE8" s="65"/>
      <c r="AF8" s="65"/>
      <c r="AG8" s="65"/>
    </row>
    <row r="9" spans="1:33" ht="38.25" x14ac:dyDescent="0.2">
      <c r="A9" s="64">
        <v>8</v>
      </c>
      <c r="B9" s="46">
        <v>106415</v>
      </c>
      <c r="C9" s="54" t="s">
        <v>156</v>
      </c>
      <c r="D9" s="46" t="s">
        <v>150</v>
      </c>
      <c r="E9" s="52" t="s">
        <v>18</v>
      </c>
      <c r="F9" s="54" t="s">
        <v>379</v>
      </c>
      <c r="G9" s="64" t="s">
        <v>20</v>
      </c>
      <c r="H9" s="66">
        <v>53966</v>
      </c>
      <c r="I9" s="56">
        <v>2047</v>
      </c>
      <c r="J9" s="66">
        <v>32738</v>
      </c>
      <c r="K9" s="55">
        <v>45657</v>
      </c>
      <c r="L9" s="57">
        <f t="shared" si="0"/>
        <v>35</v>
      </c>
      <c r="M9" s="67">
        <v>42096</v>
      </c>
      <c r="N9" s="66">
        <v>43775</v>
      </c>
      <c r="O9" s="56" t="s">
        <v>158</v>
      </c>
      <c r="P9" s="60" t="s">
        <v>279</v>
      </c>
      <c r="Q9" s="68" t="s">
        <v>159</v>
      </c>
      <c r="R9" s="68" t="s">
        <v>122</v>
      </c>
      <c r="S9" s="61" t="str">
        <f t="shared" si="1"/>
        <v>B</v>
      </c>
      <c r="T9" s="46">
        <v>96098252</v>
      </c>
      <c r="U9" s="60" t="s">
        <v>160</v>
      </c>
      <c r="V9" s="68" t="s">
        <v>32</v>
      </c>
      <c r="W9" s="68"/>
      <c r="X9" s="69">
        <v>17</v>
      </c>
      <c r="Y9" s="69">
        <v>17</v>
      </c>
      <c r="Z9" s="69">
        <v>17.5</v>
      </c>
      <c r="AA9" s="69"/>
      <c r="AB9" s="69"/>
      <c r="AC9" s="64" t="s">
        <v>310</v>
      </c>
      <c r="AD9" s="64" t="s">
        <v>311</v>
      </c>
      <c r="AE9" s="65"/>
      <c r="AF9" s="65"/>
      <c r="AG9" s="65"/>
    </row>
    <row r="10" spans="1:33" ht="25.5" x14ac:dyDescent="0.2">
      <c r="A10" s="51">
        <v>9</v>
      </c>
      <c r="B10" s="46">
        <v>65695</v>
      </c>
      <c r="C10" s="54" t="s">
        <v>213</v>
      </c>
      <c r="D10" s="46" t="s">
        <v>214</v>
      </c>
      <c r="E10" s="52" t="s">
        <v>18</v>
      </c>
      <c r="F10" s="54" t="s">
        <v>215</v>
      </c>
      <c r="G10" s="64" t="s">
        <v>20</v>
      </c>
      <c r="H10" s="66">
        <v>52688</v>
      </c>
      <c r="I10" s="56">
        <v>2044</v>
      </c>
      <c r="J10" s="66">
        <v>30766</v>
      </c>
      <c r="K10" s="55">
        <v>45657</v>
      </c>
      <c r="L10" s="57">
        <f t="shared" si="0"/>
        <v>40</v>
      </c>
      <c r="M10" s="67">
        <v>39448</v>
      </c>
      <c r="N10" s="66">
        <v>41216</v>
      </c>
      <c r="O10" s="56" t="s">
        <v>21</v>
      </c>
      <c r="P10" s="71" t="s">
        <v>216</v>
      </c>
      <c r="Q10" s="68" t="s">
        <v>45</v>
      </c>
      <c r="R10" s="68" t="s">
        <v>45</v>
      </c>
      <c r="S10" s="61" t="str">
        <f t="shared" si="1"/>
        <v>A</v>
      </c>
      <c r="T10" s="46">
        <v>97717360</v>
      </c>
      <c r="U10" s="60" t="s">
        <v>217</v>
      </c>
      <c r="V10" s="68" t="s">
        <v>218</v>
      </c>
      <c r="W10" s="68">
        <v>44470</v>
      </c>
      <c r="X10" s="69">
        <v>17.5</v>
      </c>
      <c r="Y10" s="69">
        <v>17.5</v>
      </c>
      <c r="Z10" s="69">
        <v>17.5</v>
      </c>
      <c r="AA10" s="69"/>
      <c r="AB10" s="69"/>
      <c r="AC10" s="64" t="s">
        <v>314</v>
      </c>
      <c r="AD10" s="64" t="s">
        <v>312</v>
      </c>
      <c r="AE10" s="65"/>
      <c r="AF10" s="65"/>
      <c r="AG10" s="65"/>
    </row>
    <row r="11" spans="1:33" ht="25.5" x14ac:dyDescent="0.2">
      <c r="A11" s="51">
        <v>10</v>
      </c>
      <c r="B11" s="46">
        <v>83300</v>
      </c>
      <c r="C11" s="54" t="s">
        <v>161</v>
      </c>
      <c r="D11" s="46" t="s">
        <v>150</v>
      </c>
      <c r="E11" s="51" t="s">
        <v>35</v>
      </c>
      <c r="F11" s="54" t="s">
        <v>162</v>
      </c>
      <c r="G11" s="64" t="s">
        <v>37</v>
      </c>
      <c r="H11" s="66">
        <v>50679</v>
      </c>
      <c r="I11" s="56">
        <v>2038</v>
      </c>
      <c r="J11" s="66">
        <v>28725</v>
      </c>
      <c r="K11" s="55">
        <v>45657</v>
      </c>
      <c r="L11" s="57">
        <f t="shared" si="0"/>
        <v>46</v>
      </c>
      <c r="M11" s="67">
        <v>38509</v>
      </c>
      <c r="N11" s="66">
        <v>43668</v>
      </c>
      <c r="O11" s="56" t="s">
        <v>121</v>
      </c>
      <c r="P11" s="60" t="s">
        <v>366</v>
      </c>
      <c r="Q11" s="68" t="s">
        <v>248</v>
      </c>
      <c r="R11" s="68" t="s">
        <v>45</v>
      </c>
      <c r="S11" s="61" t="str">
        <f t="shared" si="1"/>
        <v>A</v>
      </c>
      <c r="T11" s="46">
        <v>97877030</v>
      </c>
      <c r="U11" s="60" t="s">
        <v>163</v>
      </c>
      <c r="V11" s="68" t="s">
        <v>164</v>
      </c>
      <c r="W11" s="68">
        <v>41388</v>
      </c>
      <c r="X11" s="69">
        <v>17</v>
      </c>
      <c r="Y11" s="69">
        <v>17</v>
      </c>
      <c r="Z11" s="69">
        <v>16</v>
      </c>
      <c r="AA11" s="69"/>
      <c r="AB11" s="69"/>
      <c r="AC11" s="64" t="s">
        <v>313</v>
      </c>
      <c r="AD11" s="64" t="s">
        <v>312</v>
      </c>
      <c r="AE11" s="65"/>
      <c r="AF11" s="65"/>
      <c r="AG11" s="65"/>
    </row>
    <row r="12" spans="1:33" ht="38.25" x14ac:dyDescent="0.2">
      <c r="A12" s="64">
        <v>11</v>
      </c>
      <c r="B12" s="46">
        <v>89566</v>
      </c>
      <c r="C12" s="54" t="s">
        <v>165</v>
      </c>
      <c r="D12" s="46" t="s">
        <v>150</v>
      </c>
      <c r="E12" s="46" t="s">
        <v>18</v>
      </c>
      <c r="F12" s="54" t="s">
        <v>166</v>
      </c>
      <c r="G12" s="64" t="s">
        <v>37</v>
      </c>
      <c r="H12" s="66">
        <v>51683</v>
      </c>
      <c r="I12" s="56">
        <v>2041</v>
      </c>
      <c r="J12" s="66">
        <v>29701</v>
      </c>
      <c r="K12" s="55">
        <v>45657</v>
      </c>
      <c r="L12" s="57">
        <f t="shared" si="0"/>
        <v>43</v>
      </c>
      <c r="M12" s="67">
        <v>40084</v>
      </c>
      <c r="N12" s="66">
        <v>44564</v>
      </c>
      <c r="O12" s="56" t="s">
        <v>167</v>
      </c>
      <c r="P12" s="60" t="s">
        <v>357</v>
      </c>
      <c r="Q12" s="68" t="s">
        <v>81</v>
      </c>
      <c r="R12" s="68" t="s">
        <v>75</v>
      </c>
      <c r="S12" s="61" t="str">
        <f t="shared" si="1"/>
        <v>A</v>
      </c>
      <c r="T12" s="46">
        <v>96302039</v>
      </c>
      <c r="U12" s="60" t="s">
        <v>169</v>
      </c>
      <c r="V12" s="68" t="s">
        <v>170</v>
      </c>
      <c r="W12" s="68"/>
      <c r="X12" s="69">
        <v>17</v>
      </c>
      <c r="Y12" s="69">
        <v>16</v>
      </c>
      <c r="Z12" s="69">
        <v>17</v>
      </c>
      <c r="AA12" s="69"/>
      <c r="AB12" s="69"/>
      <c r="AC12" s="64" t="s">
        <v>315</v>
      </c>
      <c r="AD12" s="64" t="s">
        <v>316</v>
      </c>
      <c r="AE12" s="65"/>
      <c r="AF12" s="65"/>
      <c r="AG12" s="65"/>
    </row>
    <row r="13" spans="1:33" ht="25.5" x14ac:dyDescent="0.2">
      <c r="A13" s="51">
        <v>12</v>
      </c>
      <c r="B13" s="64">
        <v>104814</v>
      </c>
      <c r="C13" s="54" t="s">
        <v>119</v>
      </c>
      <c r="D13" s="46" t="s">
        <v>99</v>
      </c>
      <c r="E13" s="64" t="s">
        <v>35</v>
      </c>
      <c r="F13" s="54" t="s">
        <v>120</v>
      </c>
      <c r="G13" s="64" t="s">
        <v>20</v>
      </c>
      <c r="H13" s="66">
        <v>54240</v>
      </c>
      <c r="I13" s="56">
        <v>2048</v>
      </c>
      <c r="J13" s="66">
        <v>33032</v>
      </c>
      <c r="K13" s="55">
        <v>45657</v>
      </c>
      <c r="L13" s="57">
        <f t="shared" si="0"/>
        <v>34</v>
      </c>
      <c r="M13" s="67">
        <v>42037</v>
      </c>
      <c r="N13" s="66">
        <v>43199</v>
      </c>
      <c r="O13" s="56" t="s">
        <v>389</v>
      </c>
      <c r="P13" s="60" t="s">
        <v>358</v>
      </c>
      <c r="Q13" s="68" t="s">
        <v>159</v>
      </c>
      <c r="R13" s="68" t="s">
        <v>122</v>
      </c>
      <c r="S13" s="61" t="str">
        <f t="shared" si="1"/>
        <v>B</v>
      </c>
      <c r="T13" s="46">
        <v>61656609</v>
      </c>
      <c r="U13" s="60" t="s">
        <v>123</v>
      </c>
      <c r="V13" s="68" t="s">
        <v>32</v>
      </c>
      <c r="W13" s="68"/>
      <c r="X13" s="69">
        <v>17</v>
      </c>
      <c r="Y13" s="69">
        <v>17</v>
      </c>
      <c r="Z13" s="69">
        <v>16</v>
      </c>
      <c r="AA13" s="69"/>
      <c r="AB13" s="69"/>
      <c r="AC13" s="64" t="s">
        <v>317</v>
      </c>
      <c r="AD13" s="64" t="s">
        <v>312</v>
      </c>
      <c r="AE13" s="65"/>
      <c r="AF13" s="65"/>
      <c r="AG13" s="65"/>
    </row>
    <row r="14" spans="1:33" ht="29.25" customHeight="1" x14ac:dyDescent="0.2">
      <c r="A14" s="51">
        <v>13</v>
      </c>
      <c r="B14" s="46">
        <v>100478</v>
      </c>
      <c r="C14" s="54" t="s">
        <v>27</v>
      </c>
      <c r="D14" s="52" t="s">
        <v>383</v>
      </c>
      <c r="E14" s="52" t="s">
        <v>18</v>
      </c>
      <c r="F14" s="54" t="s">
        <v>29</v>
      </c>
      <c r="G14" s="64" t="s">
        <v>20</v>
      </c>
      <c r="H14" s="66">
        <v>50131</v>
      </c>
      <c r="I14" s="56">
        <v>2037</v>
      </c>
      <c r="J14" s="66">
        <v>28860</v>
      </c>
      <c r="K14" s="55">
        <v>45657</v>
      </c>
      <c r="L14" s="57">
        <f t="shared" si="0"/>
        <v>45</v>
      </c>
      <c r="M14" s="67">
        <v>39448</v>
      </c>
      <c r="N14" s="66">
        <v>43003</v>
      </c>
      <c r="O14" s="56" t="s">
        <v>21</v>
      </c>
      <c r="P14" s="60" t="s">
        <v>359</v>
      </c>
      <c r="Q14" s="68" t="s">
        <v>30</v>
      </c>
      <c r="R14" s="68" t="s">
        <v>122</v>
      </c>
      <c r="S14" s="61" t="str">
        <f t="shared" si="1"/>
        <v>A</v>
      </c>
      <c r="T14" s="46">
        <v>97087359</v>
      </c>
      <c r="U14" s="60" t="s">
        <v>31</v>
      </c>
      <c r="V14" s="68" t="s">
        <v>32</v>
      </c>
      <c r="W14" s="68">
        <v>44186</v>
      </c>
      <c r="X14" s="69">
        <v>17.5</v>
      </c>
      <c r="Y14" s="69">
        <v>17.5</v>
      </c>
      <c r="Z14" s="69">
        <v>17.5</v>
      </c>
      <c r="AA14" s="69"/>
      <c r="AB14" s="69"/>
      <c r="AC14" s="64" t="s">
        <v>318</v>
      </c>
      <c r="AD14" s="64" t="s">
        <v>319</v>
      </c>
      <c r="AE14" s="65"/>
      <c r="AF14" s="65"/>
      <c r="AG14" s="65"/>
    </row>
    <row r="15" spans="1:33" ht="21.75" customHeight="1" x14ac:dyDescent="0.2">
      <c r="A15" s="64">
        <v>14</v>
      </c>
      <c r="B15" s="90">
        <v>56494</v>
      </c>
      <c r="C15" s="91" t="s">
        <v>219</v>
      </c>
      <c r="D15" s="90" t="s">
        <v>214</v>
      </c>
      <c r="E15" s="98" t="s">
        <v>18</v>
      </c>
      <c r="F15" s="97" t="s">
        <v>360</v>
      </c>
      <c r="G15" s="92" t="s">
        <v>20</v>
      </c>
      <c r="H15" s="93">
        <v>47027</v>
      </c>
      <c r="I15" s="94">
        <v>2028</v>
      </c>
      <c r="J15" s="93">
        <v>26916</v>
      </c>
      <c r="K15" s="95">
        <v>45657</v>
      </c>
      <c r="L15" s="96">
        <f t="shared" si="0"/>
        <v>51</v>
      </c>
      <c r="M15" s="93">
        <v>39448</v>
      </c>
      <c r="N15" s="93">
        <v>42892</v>
      </c>
      <c r="O15" s="94" t="s">
        <v>21</v>
      </c>
      <c r="P15" s="97" t="s">
        <v>360</v>
      </c>
      <c r="Q15" s="99" t="s">
        <v>116</v>
      </c>
      <c r="R15" s="68" t="s">
        <v>116</v>
      </c>
      <c r="S15" s="61" t="str">
        <f t="shared" si="1"/>
        <v>D</v>
      </c>
      <c r="T15" s="46">
        <v>97725590</v>
      </c>
      <c r="U15" s="60" t="s">
        <v>220</v>
      </c>
      <c r="V15" s="68" t="s">
        <v>221</v>
      </c>
      <c r="W15" s="68"/>
      <c r="X15" s="69">
        <v>17</v>
      </c>
      <c r="Y15" s="69">
        <v>17</v>
      </c>
      <c r="Z15" s="69">
        <v>17</v>
      </c>
      <c r="AA15" s="69"/>
      <c r="AB15" s="69"/>
      <c r="AC15" s="64" t="s">
        <v>320</v>
      </c>
      <c r="AD15" s="64" t="s">
        <v>311</v>
      </c>
      <c r="AE15" s="65"/>
      <c r="AF15" s="65"/>
      <c r="AG15" s="65"/>
    </row>
    <row r="16" spans="1:33" ht="51" x14ac:dyDescent="0.2">
      <c r="A16" s="51">
        <v>15</v>
      </c>
      <c r="B16" s="46">
        <v>82025</v>
      </c>
      <c r="C16" s="54" t="s">
        <v>60</v>
      </c>
      <c r="D16" s="46" t="s">
        <v>49</v>
      </c>
      <c r="E16" s="51" t="s">
        <v>35</v>
      </c>
      <c r="F16" s="54" t="s">
        <v>268</v>
      </c>
      <c r="G16" s="64" t="s">
        <v>37</v>
      </c>
      <c r="H16" s="66">
        <v>50771</v>
      </c>
      <c r="I16" s="56">
        <v>2039</v>
      </c>
      <c r="J16" s="66">
        <v>30604</v>
      </c>
      <c r="K16" s="55">
        <v>45657</v>
      </c>
      <c r="L16" s="57">
        <f t="shared" si="0"/>
        <v>41</v>
      </c>
      <c r="M16" s="67">
        <v>38131</v>
      </c>
      <c r="N16" s="66">
        <v>42600</v>
      </c>
      <c r="O16" s="56" t="s">
        <v>61</v>
      </c>
      <c r="P16" s="60" t="s">
        <v>361</v>
      </c>
      <c r="Q16" s="68" t="s">
        <v>269</v>
      </c>
      <c r="R16" s="68" t="s">
        <v>269</v>
      </c>
      <c r="S16" s="61" t="str">
        <f t="shared" si="1"/>
        <v>C</v>
      </c>
      <c r="T16" s="46">
        <v>96310906</v>
      </c>
      <c r="U16" s="60" t="s">
        <v>63</v>
      </c>
      <c r="V16" s="68" t="s">
        <v>64</v>
      </c>
      <c r="W16" s="68"/>
      <c r="X16" s="69">
        <v>17</v>
      </c>
      <c r="Y16" s="69">
        <v>16.5</v>
      </c>
      <c r="Z16" s="69">
        <v>17</v>
      </c>
      <c r="AA16" s="69"/>
      <c r="AB16" s="69"/>
      <c r="AC16" s="64" t="s">
        <v>321</v>
      </c>
      <c r="AD16" s="64" t="s">
        <v>316</v>
      </c>
      <c r="AE16" s="65"/>
      <c r="AF16" s="65"/>
      <c r="AG16" s="65"/>
    </row>
    <row r="17" spans="1:33" ht="25.5" x14ac:dyDescent="0.2">
      <c r="A17" s="51">
        <v>16</v>
      </c>
      <c r="B17" s="46">
        <v>77055</v>
      </c>
      <c r="C17" s="54" t="s">
        <v>124</v>
      </c>
      <c r="D17" s="46" t="s">
        <v>99</v>
      </c>
      <c r="E17" s="51" t="s">
        <v>35</v>
      </c>
      <c r="F17" s="54" t="s">
        <v>125</v>
      </c>
      <c r="G17" s="64" t="s">
        <v>37</v>
      </c>
      <c r="H17" s="66">
        <v>51867</v>
      </c>
      <c r="I17" s="56">
        <v>2042</v>
      </c>
      <c r="J17" s="66">
        <v>30674</v>
      </c>
      <c r="K17" s="55">
        <v>45657</v>
      </c>
      <c r="L17" s="57">
        <f t="shared" si="0"/>
        <v>41</v>
      </c>
      <c r="M17" s="67">
        <v>40084</v>
      </c>
      <c r="N17" s="66">
        <v>43598</v>
      </c>
      <c r="O17" s="56" t="s">
        <v>126</v>
      </c>
      <c r="P17" s="60" t="s">
        <v>279</v>
      </c>
      <c r="Q17" s="68" t="s">
        <v>187</v>
      </c>
      <c r="R17" s="68" t="s">
        <v>109</v>
      </c>
      <c r="S17" s="61" t="str">
        <f t="shared" si="1"/>
        <v>B</v>
      </c>
      <c r="T17" s="46">
        <v>97647925</v>
      </c>
      <c r="U17" s="60" t="s">
        <v>128</v>
      </c>
      <c r="V17" s="68" t="s">
        <v>128</v>
      </c>
      <c r="W17" s="68"/>
      <c r="X17" s="69">
        <v>17</v>
      </c>
      <c r="Y17" s="69">
        <v>17</v>
      </c>
      <c r="Z17" s="69">
        <v>16</v>
      </c>
      <c r="AA17" s="69"/>
      <c r="AB17" s="69"/>
      <c r="AC17" s="64" t="s">
        <v>322</v>
      </c>
      <c r="AD17" s="64" t="s">
        <v>299</v>
      </c>
      <c r="AE17" s="65"/>
      <c r="AF17" s="65"/>
      <c r="AG17" s="65"/>
    </row>
    <row r="18" spans="1:33" ht="25.5" x14ac:dyDescent="0.2">
      <c r="A18" s="64">
        <v>17</v>
      </c>
      <c r="B18" s="46">
        <v>56478</v>
      </c>
      <c r="C18" s="54" t="s">
        <v>129</v>
      </c>
      <c r="D18" s="46" t="s">
        <v>99</v>
      </c>
      <c r="E18" s="52" t="s">
        <v>18</v>
      </c>
      <c r="F18" s="60" t="s">
        <v>360</v>
      </c>
      <c r="G18" s="64" t="s">
        <v>20</v>
      </c>
      <c r="H18" s="66">
        <v>48214</v>
      </c>
      <c r="I18" s="56">
        <v>2032</v>
      </c>
      <c r="J18" s="66">
        <v>28047</v>
      </c>
      <c r="K18" s="55">
        <v>45657</v>
      </c>
      <c r="L18" s="57">
        <f t="shared" si="0"/>
        <v>48</v>
      </c>
      <c r="M18" s="67">
        <v>39448</v>
      </c>
      <c r="N18" s="66">
        <v>42430</v>
      </c>
      <c r="O18" s="56" t="s">
        <v>21</v>
      </c>
      <c r="P18" s="60" t="s">
        <v>360</v>
      </c>
      <c r="Q18" s="68" t="s">
        <v>116</v>
      </c>
      <c r="R18" s="68" t="s">
        <v>116</v>
      </c>
      <c r="S18" s="61" t="str">
        <f t="shared" si="1"/>
        <v>D</v>
      </c>
      <c r="T18" s="46">
        <v>95445287</v>
      </c>
      <c r="U18" s="60" t="s">
        <v>131</v>
      </c>
      <c r="V18" s="68" t="s">
        <v>118</v>
      </c>
      <c r="W18" s="68"/>
      <c r="X18" s="69">
        <v>17</v>
      </c>
      <c r="Y18" s="69">
        <v>17</v>
      </c>
      <c r="Z18" s="69">
        <v>16.5</v>
      </c>
      <c r="AA18" s="69"/>
      <c r="AB18" s="69"/>
      <c r="AC18" s="64" t="s">
        <v>323</v>
      </c>
      <c r="AD18" s="64" t="s">
        <v>297</v>
      </c>
      <c r="AE18" s="65"/>
      <c r="AF18" s="65"/>
      <c r="AG18" s="65"/>
    </row>
    <row r="19" spans="1:33" ht="25.5" x14ac:dyDescent="0.2">
      <c r="A19" s="51">
        <v>18</v>
      </c>
      <c r="B19" s="46">
        <v>64716</v>
      </c>
      <c r="C19" s="54" t="s">
        <v>222</v>
      </c>
      <c r="D19" s="46" t="s">
        <v>214</v>
      </c>
      <c r="E19" s="52" t="s">
        <v>18</v>
      </c>
      <c r="F19" s="54" t="s">
        <v>223</v>
      </c>
      <c r="G19" s="64" t="s">
        <v>37</v>
      </c>
      <c r="H19" s="66">
        <v>47484</v>
      </c>
      <c r="I19" s="56">
        <v>2030</v>
      </c>
      <c r="J19" s="66">
        <v>25519</v>
      </c>
      <c r="K19" s="55">
        <v>45657</v>
      </c>
      <c r="L19" s="57">
        <f t="shared" si="0"/>
        <v>55</v>
      </c>
      <c r="M19" s="67">
        <v>40011</v>
      </c>
      <c r="N19" s="66">
        <v>43018</v>
      </c>
      <c r="O19" s="56" t="s">
        <v>44</v>
      </c>
      <c r="P19" s="60" t="s">
        <v>366</v>
      </c>
      <c r="Q19" s="68" t="s">
        <v>248</v>
      </c>
      <c r="R19" s="68" t="s">
        <v>45</v>
      </c>
      <c r="S19" s="61" t="str">
        <f t="shared" si="1"/>
        <v>A</v>
      </c>
      <c r="T19" s="46">
        <v>95573206</v>
      </c>
      <c r="U19" s="72" t="s">
        <v>225</v>
      </c>
      <c r="V19" s="73" t="s">
        <v>226</v>
      </c>
      <c r="W19" s="68"/>
      <c r="X19" s="69">
        <v>17</v>
      </c>
      <c r="Y19" s="69">
        <v>16.5</v>
      </c>
      <c r="Z19" s="69">
        <v>16.5</v>
      </c>
      <c r="AA19" s="69"/>
      <c r="AB19" s="69"/>
      <c r="AC19" s="64" t="s">
        <v>303</v>
      </c>
      <c r="AD19" s="64" t="s">
        <v>304</v>
      </c>
      <c r="AE19" s="65"/>
      <c r="AF19" s="65"/>
      <c r="AG19" s="65"/>
    </row>
    <row r="20" spans="1:33" ht="38.25" x14ac:dyDescent="0.2">
      <c r="A20" s="51">
        <v>19</v>
      </c>
      <c r="B20" s="46">
        <v>56532</v>
      </c>
      <c r="C20" s="54" t="s">
        <v>227</v>
      </c>
      <c r="D20" s="46" t="s">
        <v>214</v>
      </c>
      <c r="E20" s="64" t="s">
        <v>35</v>
      </c>
      <c r="F20" s="54" t="s">
        <v>228</v>
      </c>
      <c r="G20" s="64" t="s">
        <v>20</v>
      </c>
      <c r="H20" s="66">
        <v>47484</v>
      </c>
      <c r="I20" s="56">
        <v>2030</v>
      </c>
      <c r="J20" s="66">
        <v>27314</v>
      </c>
      <c r="K20" s="55">
        <v>45657</v>
      </c>
      <c r="L20" s="57">
        <f t="shared" si="0"/>
        <v>50</v>
      </c>
      <c r="M20" s="67">
        <v>39448</v>
      </c>
      <c r="N20" s="66">
        <v>40857</v>
      </c>
      <c r="O20" s="56" t="s">
        <v>21</v>
      </c>
      <c r="P20" s="60" t="s">
        <v>363</v>
      </c>
      <c r="Q20" s="68" t="s">
        <v>116</v>
      </c>
      <c r="R20" s="68" t="s">
        <v>116</v>
      </c>
      <c r="S20" s="61" t="str">
        <f t="shared" si="1"/>
        <v>D</v>
      </c>
      <c r="T20" s="46">
        <v>97692116</v>
      </c>
      <c r="U20" s="60" t="s">
        <v>229</v>
      </c>
      <c r="V20" s="68" t="s">
        <v>230</v>
      </c>
      <c r="W20" s="68"/>
      <c r="X20" s="69">
        <v>17</v>
      </c>
      <c r="Y20" s="69">
        <v>16.5</v>
      </c>
      <c r="Z20" s="69">
        <v>16.5</v>
      </c>
      <c r="AA20" s="69"/>
      <c r="AB20" s="69"/>
      <c r="AC20" s="64" t="s">
        <v>324</v>
      </c>
      <c r="AD20" s="64" t="s">
        <v>311</v>
      </c>
      <c r="AE20" s="65"/>
      <c r="AF20" s="65"/>
      <c r="AG20" s="65"/>
    </row>
    <row r="21" spans="1:33" ht="38.25" x14ac:dyDescent="0.2">
      <c r="A21" s="64">
        <v>20</v>
      </c>
      <c r="B21" s="64">
        <v>83154</v>
      </c>
      <c r="C21" s="54" t="s">
        <v>98</v>
      </c>
      <c r="D21" s="46" t="s">
        <v>99</v>
      </c>
      <c r="E21" s="64" t="s">
        <v>35</v>
      </c>
      <c r="F21" s="54" t="s">
        <v>100</v>
      </c>
      <c r="G21" s="64" t="s">
        <v>37</v>
      </c>
      <c r="H21" s="66">
        <v>49766</v>
      </c>
      <c r="I21" s="56">
        <v>2036</v>
      </c>
      <c r="J21" s="66">
        <v>27770</v>
      </c>
      <c r="K21" s="55">
        <v>45657</v>
      </c>
      <c r="L21" s="57">
        <f t="shared" si="0"/>
        <v>48</v>
      </c>
      <c r="M21" s="67">
        <v>38446</v>
      </c>
      <c r="N21" s="66">
        <v>44564</v>
      </c>
      <c r="O21" s="56" t="s">
        <v>101</v>
      </c>
      <c r="P21" s="60" t="s">
        <v>359</v>
      </c>
      <c r="Q21" s="68" t="s">
        <v>248</v>
      </c>
      <c r="R21" s="68" t="s">
        <v>45</v>
      </c>
      <c r="S21" s="61" t="str">
        <f t="shared" si="1"/>
        <v>A</v>
      </c>
      <c r="T21" s="46">
        <v>97830747</v>
      </c>
      <c r="U21" s="60" t="s">
        <v>103</v>
      </c>
      <c r="V21" s="68" t="s">
        <v>104</v>
      </c>
      <c r="W21" s="68">
        <v>41019</v>
      </c>
      <c r="X21" s="69">
        <v>17.5</v>
      </c>
      <c r="Y21" s="69">
        <v>17.5</v>
      </c>
      <c r="Z21" s="69">
        <v>16</v>
      </c>
      <c r="AA21" s="69"/>
      <c r="AB21" s="69"/>
      <c r="AC21" s="64" t="s">
        <v>325</v>
      </c>
      <c r="AD21" s="64" t="s">
        <v>301</v>
      </c>
      <c r="AE21" s="65"/>
      <c r="AF21" s="65"/>
      <c r="AG21" s="65"/>
    </row>
    <row r="22" spans="1:33" ht="51" x14ac:dyDescent="0.2">
      <c r="A22" s="89">
        <v>21</v>
      </c>
      <c r="B22" s="90">
        <v>56498</v>
      </c>
      <c r="C22" s="91" t="s">
        <v>65</v>
      </c>
      <c r="D22" s="90" t="s">
        <v>49</v>
      </c>
      <c r="E22" s="98" t="s">
        <v>18</v>
      </c>
      <c r="F22" s="91" t="s">
        <v>66</v>
      </c>
      <c r="G22" s="92" t="s">
        <v>20</v>
      </c>
      <c r="H22" s="93">
        <v>46388</v>
      </c>
      <c r="I22" s="94">
        <v>2027</v>
      </c>
      <c r="J22" s="93">
        <v>25139</v>
      </c>
      <c r="K22" s="95">
        <v>45657</v>
      </c>
      <c r="L22" s="96">
        <f t="shared" si="0"/>
        <v>56</v>
      </c>
      <c r="M22" s="93">
        <v>39448</v>
      </c>
      <c r="N22" s="93">
        <v>43004</v>
      </c>
      <c r="O22" s="94" t="s">
        <v>21</v>
      </c>
      <c r="P22" s="97" t="s">
        <v>279</v>
      </c>
      <c r="Q22" s="68" t="s">
        <v>68</v>
      </c>
      <c r="R22" s="68" t="s">
        <v>68</v>
      </c>
      <c r="S22" s="61" t="str">
        <f t="shared" si="1"/>
        <v>B</v>
      </c>
      <c r="T22" s="46">
        <v>95812377</v>
      </c>
      <c r="U22" s="60" t="s">
        <v>69</v>
      </c>
      <c r="V22" s="68" t="s">
        <v>70</v>
      </c>
      <c r="W22" s="68"/>
      <c r="X22" s="69">
        <v>17</v>
      </c>
      <c r="Y22" s="69">
        <v>17</v>
      </c>
      <c r="Z22" s="69">
        <v>15</v>
      </c>
      <c r="AA22" s="69"/>
      <c r="AB22" s="69"/>
      <c r="AC22" s="64" t="s">
        <v>326</v>
      </c>
      <c r="AD22" s="64" t="s">
        <v>304</v>
      </c>
      <c r="AE22" s="65"/>
      <c r="AF22" s="65"/>
      <c r="AG22" s="65"/>
    </row>
    <row r="23" spans="1:33" ht="38.25" x14ac:dyDescent="0.2">
      <c r="A23" s="51">
        <v>22</v>
      </c>
      <c r="B23" s="46">
        <v>35984</v>
      </c>
      <c r="C23" s="54" t="s">
        <v>231</v>
      </c>
      <c r="D23" s="46" t="s">
        <v>214</v>
      </c>
      <c r="E23" s="52" t="s">
        <v>18</v>
      </c>
      <c r="F23" s="54" t="s">
        <v>232</v>
      </c>
      <c r="G23" s="64" t="s">
        <v>37</v>
      </c>
      <c r="H23" s="66">
        <v>47665</v>
      </c>
      <c r="I23" s="56">
        <v>2030</v>
      </c>
      <c r="J23" s="66">
        <v>25681</v>
      </c>
      <c r="K23" s="55">
        <v>45657</v>
      </c>
      <c r="L23" s="57">
        <f t="shared" si="0"/>
        <v>54</v>
      </c>
      <c r="M23" s="67">
        <v>35062</v>
      </c>
      <c r="N23" s="66">
        <v>42857</v>
      </c>
      <c r="O23" s="56" t="s">
        <v>233</v>
      </c>
      <c r="P23" s="60" t="s">
        <v>364</v>
      </c>
      <c r="Q23" s="68" t="s">
        <v>235</v>
      </c>
      <c r="R23" s="68" t="s">
        <v>235</v>
      </c>
      <c r="S23" s="61" t="str">
        <f t="shared" si="1"/>
        <v>A</v>
      </c>
      <c r="T23" s="46">
        <v>97441449</v>
      </c>
      <c r="U23" s="60" t="s">
        <v>236</v>
      </c>
      <c r="V23" s="68" t="s">
        <v>237</v>
      </c>
      <c r="W23" s="68">
        <v>39388</v>
      </c>
      <c r="X23" s="69">
        <v>17</v>
      </c>
      <c r="Y23" s="69">
        <v>16.5</v>
      </c>
      <c r="Z23" s="69">
        <v>16.5</v>
      </c>
      <c r="AA23" s="69"/>
      <c r="AB23" s="69"/>
      <c r="AC23" s="64" t="s">
        <v>327</v>
      </c>
      <c r="AD23" s="64" t="s">
        <v>328</v>
      </c>
      <c r="AE23" s="65"/>
      <c r="AF23" s="65"/>
      <c r="AG23" s="65"/>
    </row>
    <row r="24" spans="1:33" ht="51" x14ac:dyDescent="0.2">
      <c r="A24" s="64">
        <v>23</v>
      </c>
      <c r="B24" s="46">
        <v>84472</v>
      </c>
      <c r="C24" s="54" t="s">
        <v>71</v>
      </c>
      <c r="D24" s="46" t="s">
        <v>49</v>
      </c>
      <c r="E24" s="52" t="s">
        <v>18</v>
      </c>
      <c r="F24" s="54" t="s">
        <v>72</v>
      </c>
      <c r="G24" s="64" t="s">
        <v>37</v>
      </c>
      <c r="H24" s="66">
        <v>49949</v>
      </c>
      <c r="I24" s="56">
        <v>2036</v>
      </c>
      <c r="J24" s="66">
        <v>28033</v>
      </c>
      <c r="K24" s="55">
        <v>45657</v>
      </c>
      <c r="L24" s="57">
        <f t="shared" si="0"/>
        <v>48</v>
      </c>
      <c r="M24" s="67">
        <v>38544</v>
      </c>
      <c r="N24" s="66">
        <v>43173</v>
      </c>
      <c r="O24" s="56" t="s">
        <v>73</v>
      </c>
      <c r="P24" s="60" t="s">
        <v>375</v>
      </c>
      <c r="Q24" s="68" t="s">
        <v>75</v>
      </c>
      <c r="R24" s="68" t="s">
        <v>271</v>
      </c>
      <c r="S24" s="61" t="str">
        <f t="shared" si="1"/>
        <v>A</v>
      </c>
      <c r="T24" s="46">
        <v>95857799</v>
      </c>
      <c r="U24" s="60" t="s">
        <v>76</v>
      </c>
      <c r="V24" s="68" t="s">
        <v>77</v>
      </c>
      <c r="W24" s="68"/>
      <c r="X24" s="69">
        <v>17</v>
      </c>
      <c r="Y24" s="69">
        <v>16.5</v>
      </c>
      <c r="Z24" s="69">
        <v>17</v>
      </c>
      <c r="AA24" s="69"/>
      <c r="AB24" s="69"/>
      <c r="AC24" s="64" t="s">
        <v>329</v>
      </c>
      <c r="AD24" s="64" t="s">
        <v>304</v>
      </c>
      <c r="AE24" s="65"/>
      <c r="AF24" s="65"/>
      <c r="AG24" s="65"/>
    </row>
    <row r="25" spans="1:33" ht="51" x14ac:dyDescent="0.2">
      <c r="A25" s="78">
        <v>24</v>
      </c>
      <c r="B25" s="79">
        <v>56499</v>
      </c>
      <c r="C25" s="80" t="s">
        <v>78</v>
      </c>
      <c r="D25" s="79" t="s">
        <v>49</v>
      </c>
      <c r="E25" s="81" t="s">
        <v>18</v>
      </c>
      <c r="F25" s="80" t="s">
        <v>79</v>
      </c>
      <c r="G25" s="82" t="s">
        <v>20</v>
      </c>
      <c r="H25" s="83">
        <v>46478</v>
      </c>
      <c r="I25" s="84">
        <v>2027</v>
      </c>
      <c r="J25" s="83">
        <v>24556</v>
      </c>
      <c r="K25" s="85">
        <v>45657</v>
      </c>
      <c r="L25" s="86">
        <f t="shared" si="0"/>
        <v>57</v>
      </c>
      <c r="M25" s="83">
        <v>39448</v>
      </c>
      <c r="N25" s="83">
        <v>43922</v>
      </c>
      <c r="O25" s="84" t="s">
        <v>21</v>
      </c>
      <c r="P25" s="87" t="s">
        <v>365</v>
      </c>
      <c r="Q25" s="68" t="s">
        <v>40</v>
      </c>
      <c r="R25" s="68" t="s">
        <v>81</v>
      </c>
      <c r="S25" s="61" t="str">
        <f t="shared" si="1"/>
        <v>A</v>
      </c>
      <c r="T25" s="46">
        <v>97644848</v>
      </c>
      <c r="U25" s="60" t="s">
        <v>82</v>
      </c>
      <c r="V25" s="68" t="s">
        <v>83</v>
      </c>
      <c r="W25" s="68" t="s">
        <v>84</v>
      </c>
      <c r="X25" s="69">
        <v>17</v>
      </c>
      <c r="Y25" s="69">
        <v>16.5</v>
      </c>
      <c r="Z25" s="69">
        <v>17</v>
      </c>
      <c r="AA25" s="69"/>
      <c r="AB25" s="69"/>
      <c r="AC25" s="64" t="s">
        <v>330</v>
      </c>
      <c r="AD25" s="64" t="s">
        <v>316</v>
      </c>
      <c r="AE25" s="65"/>
      <c r="AF25" s="65"/>
      <c r="AG25" s="65"/>
    </row>
    <row r="26" spans="1:33" ht="25.5" x14ac:dyDescent="0.2">
      <c r="A26" s="51">
        <v>25</v>
      </c>
      <c r="B26" s="46">
        <v>45872</v>
      </c>
      <c r="C26" s="54" t="s">
        <v>171</v>
      </c>
      <c r="D26" s="46" t="s">
        <v>150</v>
      </c>
      <c r="E26" s="52" t="s">
        <v>18</v>
      </c>
      <c r="F26" s="54" t="s">
        <v>172</v>
      </c>
      <c r="G26" s="64" t="s">
        <v>37</v>
      </c>
      <c r="H26" s="66">
        <v>47849</v>
      </c>
      <c r="I26" s="56">
        <v>2031</v>
      </c>
      <c r="J26" s="66">
        <v>26276</v>
      </c>
      <c r="K26" s="55">
        <v>45657</v>
      </c>
      <c r="L26" s="57">
        <f t="shared" si="0"/>
        <v>53</v>
      </c>
      <c r="M26" s="67">
        <v>37683</v>
      </c>
      <c r="N26" s="66">
        <v>44879</v>
      </c>
      <c r="O26" s="56" t="s">
        <v>173</v>
      </c>
      <c r="P26" s="60" t="s">
        <v>366</v>
      </c>
      <c r="Q26" s="68" t="s">
        <v>95</v>
      </c>
      <c r="R26" s="68" t="s">
        <v>272</v>
      </c>
      <c r="S26" s="61" t="str">
        <f t="shared" si="1"/>
        <v>A</v>
      </c>
      <c r="T26" s="46">
        <v>97085034</v>
      </c>
      <c r="U26" s="60" t="s">
        <v>143</v>
      </c>
      <c r="V26" s="68" t="s">
        <v>174</v>
      </c>
      <c r="W26" s="68">
        <v>43029</v>
      </c>
      <c r="X26" s="69">
        <v>18</v>
      </c>
      <c r="Y26" s="69">
        <v>18</v>
      </c>
      <c r="Z26" s="69">
        <v>17</v>
      </c>
      <c r="AA26" s="69"/>
      <c r="AB26" s="69"/>
      <c r="AC26" s="64" t="s">
        <v>314</v>
      </c>
      <c r="AD26" s="64" t="s">
        <v>312</v>
      </c>
      <c r="AE26" s="65"/>
      <c r="AF26" s="65"/>
      <c r="AG26" s="65"/>
    </row>
    <row r="27" spans="1:33" ht="38.25" x14ac:dyDescent="0.2">
      <c r="A27" s="64">
        <v>26</v>
      </c>
      <c r="B27" s="46">
        <v>75351</v>
      </c>
      <c r="C27" s="54" t="s">
        <v>195</v>
      </c>
      <c r="D27" s="46" t="s">
        <v>214</v>
      </c>
      <c r="E27" s="52" t="s">
        <v>35</v>
      </c>
      <c r="F27" s="54" t="s">
        <v>245</v>
      </c>
      <c r="G27" s="64" t="s">
        <v>37</v>
      </c>
      <c r="H27" s="66">
        <v>52779</v>
      </c>
      <c r="I27" s="56">
        <v>2044</v>
      </c>
      <c r="J27" s="66">
        <v>30827</v>
      </c>
      <c r="K27" s="55">
        <v>45657</v>
      </c>
      <c r="L27" s="57">
        <f t="shared" si="0"/>
        <v>40</v>
      </c>
      <c r="M27" s="67">
        <v>40042</v>
      </c>
      <c r="N27" s="66">
        <v>42159</v>
      </c>
      <c r="O27" s="56">
        <v>2015</v>
      </c>
      <c r="P27" s="60" t="s">
        <v>373</v>
      </c>
      <c r="Q27" s="68" t="s">
        <v>23</v>
      </c>
      <c r="R27" s="68" t="s">
        <v>95</v>
      </c>
      <c r="S27" s="61" t="str">
        <f t="shared" si="1"/>
        <v>A</v>
      </c>
      <c r="T27" s="46">
        <v>97646888</v>
      </c>
      <c r="U27" s="60" t="s">
        <v>197</v>
      </c>
      <c r="V27" s="68" t="s">
        <v>198</v>
      </c>
      <c r="W27" s="68">
        <v>44074</v>
      </c>
      <c r="X27" s="69">
        <v>17.5</v>
      </c>
      <c r="Y27" s="69">
        <v>17.5</v>
      </c>
      <c r="Z27" s="69">
        <v>17.5</v>
      </c>
      <c r="AA27" s="69"/>
      <c r="AB27" s="69"/>
      <c r="AC27" s="64" t="s">
        <v>331</v>
      </c>
      <c r="AD27" s="64" t="s">
        <v>316</v>
      </c>
      <c r="AE27" s="65"/>
      <c r="AF27" s="65"/>
      <c r="AG27" s="65"/>
    </row>
    <row r="28" spans="1:33" ht="51" x14ac:dyDescent="0.2">
      <c r="A28" s="51">
        <v>27</v>
      </c>
      <c r="B28" s="46">
        <v>42981</v>
      </c>
      <c r="C28" s="54" t="s">
        <v>199</v>
      </c>
      <c r="D28" s="46" t="s">
        <v>28</v>
      </c>
      <c r="E28" s="52" t="s">
        <v>35</v>
      </c>
      <c r="F28" s="54" t="s">
        <v>200</v>
      </c>
      <c r="G28" s="64" t="s">
        <v>37</v>
      </c>
      <c r="H28" s="66">
        <v>50314</v>
      </c>
      <c r="I28" s="56">
        <v>2037</v>
      </c>
      <c r="J28" s="66">
        <v>28338</v>
      </c>
      <c r="K28" s="55">
        <v>45657</v>
      </c>
      <c r="L28" s="57">
        <f t="shared" si="0"/>
        <v>47</v>
      </c>
      <c r="M28" s="67">
        <v>37109</v>
      </c>
      <c r="N28" s="66">
        <v>45043</v>
      </c>
      <c r="O28" s="56" t="s">
        <v>201</v>
      </c>
      <c r="P28" s="60" t="s">
        <v>374</v>
      </c>
      <c r="Q28" s="68" t="s">
        <v>75</v>
      </c>
      <c r="R28" s="68" t="s">
        <v>75</v>
      </c>
      <c r="S28" s="61" t="str">
        <f t="shared" si="1"/>
        <v>A</v>
      </c>
      <c r="T28" s="46">
        <v>67353239</v>
      </c>
      <c r="U28" s="60" t="s">
        <v>203</v>
      </c>
      <c r="V28" s="68" t="s">
        <v>204</v>
      </c>
      <c r="W28" s="65"/>
      <c r="X28" s="64">
        <v>17</v>
      </c>
      <c r="Y28" s="64">
        <v>17.5</v>
      </c>
      <c r="Z28" s="64">
        <v>16.5</v>
      </c>
      <c r="AA28" s="65"/>
      <c r="AB28" s="65"/>
      <c r="AC28" s="64" t="s">
        <v>320</v>
      </c>
      <c r="AD28" s="64" t="s">
        <v>311</v>
      </c>
      <c r="AE28" s="65"/>
      <c r="AF28" s="65"/>
      <c r="AG28" s="65"/>
    </row>
    <row r="29" spans="1:33" ht="25.5" x14ac:dyDescent="0.2">
      <c r="A29" s="51">
        <v>28</v>
      </c>
      <c r="B29" s="46">
        <v>56576</v>
      </c>
      <c r="C29" s="54" t="s">
        <v>132</v>
      </c>
      <c r="D29" s="46" t="s">
        <v>99</v>
      </c>
      <c r="E29" s="52" t="s">
        <v>18</v>
      </c>
      <c r="F29" s="60" t="s">
        <v>367</v>
      </c>
      <c r="G29" s="64" t="s">
        <v>20</v>
      </c>
      <c r="H29" s="66">
        <v>47209</v>
      </c>
      <c r="I29" s="56">
        <v>2029</v>
      </c>
      <c r="J29" s="66">
        <v>27074</v>
      </c>
      <c r="K29" s="55">
        <v>45657</v>
      </c>
      <c r="L29" s="57">
        <f t="shared" si="0"/>
        <v>50</v>
      </c>
      <c r="M29" s="67">
        <v>39448</v>
      </c>
      <c r="N29" s="66">
        <v>44743</v>
      </c>
      <c r="O29" s="56" t="s">
        <v>21</v>
      </c>
      <c r="P29" s="60" t="s">
        <v>367</v>
      </c>
      <c r="Q29" s="68" t="s">
        <v>342</v>
      </c>
      <c r="R29" s="68" t="s">
        <v>134</v>
      </c>
      <c r="S29" s="61" t="str">
        <f t="shared" si="1"/>
        <v>E</v>
      </c>
      <c r="T29" s="46">
        <v>95064069</v>
      </c>
      <c r="U29" s="60" t="s">
        <v>135</v>
      </c>
      <c r="V29" s="68" t="s">
        <v>118</v>
      </c>
      <c r="W29" s="68"/>
      <c r="X29" s="69">
        <v>17</v>
      </c>
      <c r="Y29" s="69">
        <v>17</v>
      </c>
      <c r="Z29" s="69">
        <v>16</v>
      </c>
      <c r="AA29" s="69"/>
      <c r="AB29" s="69"/>
      <c r="AC29" s="64" t="s">
        <v>332</v>
      </c>
      <c r="AD29" s="64" t="s">
        <v>328</v>
      </c>
      <c r="AE29" s="65"/>
      <c r="AF29" s="65"/>
      <c r="AG29" s="65"/>
    </row>
    <row r="30" spans="1:33" ht="51" x14ac:dyDescent="0.2">
      <c r="A30" s="64">
        <v>29</v>
      </c>
      <c r="B30" s="46">
        <v>67736</v>
      </c>
      <c r="C30" s="54" t="s">
        <v>85</v>
      </c>
      <c r="D30" s="46" t="s">
        <v>49</v>
      </c>
      <c r="E30" s="52" t="s">
        <v>18</v>
      </c>
      <c r="F30" s="54" t="s">
        <v>86</v>
      </c>
      <c r="G30" s="64" t="s">
        <v>37</v>
      </c>
      <c r="H30" s="66">
        <v>50314</v>
      </c>
      <c r="I30" s="56">
        <v>2037</v>
      </c>
      <c r="J30" s="66">
        <v>30204</v>
      </c>
      <c r="K30" s="55">
        <v>45657</v>
      </c>
      <c r="L30" s="57">
        <f t="shared" si="0"/>
        <v>42</v>
      </c>
      <c r="M30" s="67">
        <v>40056</v>
      </c>
      <c r="N30" s="66">
        <v>42068</v>
      </c>
      <c r="O30" s="56" t="s">
        <v>87</v>
      </c>
      <c r="P30" s="60" t="s">
        <v>368</v>
      </c>
      <c r="Q30" s="68" t="s">
        <v>343</v>
      </c>
      <c r="R30" s="68" t="s">
        <v>89</v>
      </c>
      <c r="S30" s="61" t="str">
        <f t="shared" si="1"/>
        <v>C</v>
      </c>
      <c r="T30" s="46">
        <v>97469461</v>
      </c>
      <c r="U30" s="60" t="s">
        <v>90</v>
      </c>
      <c r="V30" s="68" t="s">
        <v>91</v>
      </c>
      <c r="W30" s="68"/>
      <c r="X30" s="69">
        <v>17</v>
      </c>
      <c r="Y30" s="69">
        <v>17</v>
      </c>
      <c r="Z30" s="69">
        <v>16.5</v>
      </c>
      <c r="AA30" s="69"/>
      <c r="AB30" s="69"/>
      <c r="AC30" s="64" t="s">
        <v>309</v>
      </c>
      <c r="AD30" s="64" t="s">
        <v>319</v>
      </c>
      <c r="AE30" s="65"/>
      <c r="AF30" s="65"/>
      <c r="AG30" s="65"/>
    </row>
    <row r="31" spans="1:33" ht="38.25" x14ac:dyDescent="0.2">
      <c r="A31" s="51">
        <v>30</v>
      </c>
      <c r="B31" s="46">
        <v>56535</v>
      </c>
      <c r="C31" s="54" t="s">
        <v>238</v>
      </c>
      <c r="D31" s="46" t="s">
        <v>214</v>
      </c>
      <c r="E31" s="52" t="s">
        <v>18</v>
      </c>
      <c r="F31" s="54" t="s">
        <v>239</v>
      </c>
      <c r="G31" s="64" t="s">
        <v>20</v>
      </c>
      <c r="H31" s="66">
        <v>49675</v>
      </c>
      <c r="I31" s="56">
        <v>2036</v>
      </c>
      <c r="J31" s="66">
        <v>27394</v>
      </c>
      <c r="K31" s="55">
        <v>45657</v>
      </c>
      <c r="L31" s="57">
        <f t="shared" si="0"/>
        <v>50</v>
      </c>
      <c r="M31" s="67">
        <v>39448</v>
      </c>
      <c r="N31" s="66">
        <v>44164</v>
      </c>
      <c r="O31" s="56" t="s">
        <v>240</v>
      </c>
      <c r="P31" s="60" t="s">
        <v>365</v>
      </c>
      <c r="Q31" s="68" t="s">
        <v>81</v>
      </c>
      <c r="R31" s="68" t="s">
        <v>81</v>
      </c>
      <c r="S31" s="61" t="str">
        <f t="shared" si="1"/>
        <v>A</v>
      </c>
      <c r="T31" s="46">
        <v>97321288</v>
      </c>
      <c r="U31" s="60" t="s">
        <v>242</v>
      </c>
      <c r="V31" s="68" t="s">
        <v>243</v>
      </c>
      <c r="W31" s="68"/>
      <c r="X31" s="69">
        <v>17</v>
      </c>
      <c r="Y31" s="69">
        <v>17</v>
      </c>
      <c r="Z31" s="69">
        <v>17.5</v>
      </c>
      <c r="AA31" s="69"/>
      <c r="AB31" s="69"/>
      <c r="AC31" s="64" t="s">
        <v>333</v>
      </c>
      <c r="AD31" s="64" t="s">
        <v>297</v>
      </c>
      <c r="AE31" s="65"/>
      <c r="AF31" s="65"/>
      <c r="AG31" s="65"/>
    </row>
    <row r="32" spans="1:33" ht="38.25" x14ac:dyDescent="0.2">
      <c r="A32" s="51">
        <v>31</v>
      </c>
      <c r="B32" s="46">
        <v>73305</v>
      </c>
      <c r="C32" s="54" t="s">
        <v>43</v>
      </c>
      <c r="D32" s="46" t="s">
        <v>383</v>
      </c>
      <c r="E32" s="52" t="s">
        <v>18</v>
      </c>
      <c r="F32" s="53" t="s">
        <v>175</v>
      </c>
      <c r="G32" s="64" t="s">
        <v>37</v>
      </c>
      <c r="H32" s="66">
        <v>51227</v>
      </c>
      <c r="I32" s="56">
        <v>2040</v>
      </c>
      <c r="J32" s="66">
        <v>29248</v>
      </c>
      <c r="K32" s="55">
        <v>45657</v>
      </c>
      <c r="L32" s="57">
        <f t="shared" si="0"/>
        <v>44</v>
      </c>
      <c r="M32" s="67">
        <v>40011</v>
      </c>
      <c r="N32" s="66">
        <v>40011</v>
      </c>
      <c r="O32" s="56" t="s">
        <v>44</v>
      </c>
      <c r="P32" s="60" t="s">
        <v>366</v>
      </c>
      <c r="Q32" s="68" t="s">
        <v>248</v>
      </c>
      <c r="R32" s="68" t="s">
        <v>45</v>
      </c>
      <c r="S32" s="61" t="str">
        <f t="shared" si="1"/>
        <v>A</v>
      </c>
      <c r="T32" s="46">
        <v>97094746</v>
      </c>
      <c r="U32" s="60" t="s">
        <v>46</v>
      </c>
      <c r="V32" s="68" t="s">
        <v>47</v>
      </c>
      <c r="W32" s="68"/>
      <c r="X32" s="69">
        <v>17</v>
      </c>
      <c r="Y32" s="69">
        <v>17</v>
      </c>
      <c r="Z32" s="69">
        <v>16</v>
      </c>
      <c r="AA32" s="69"/>
      <c r="AB32" s="69"/>
      <c r="AC32" s="64" t="s">
        <v>334</v>
      </c>
      <c r="AD32" s="64" t="s">
        <v>316</v>
      </c>
      <c r="AE32" s="65"/>
      <c r="AF32" s="65"/>
      <c r="AG32" s="65"/>
    </row>
    <row r="33" spans="1:33" ht="25.5" x14ac:dyDescent="0.2">
      <c r="A33" s="103">
        <v>32</v>
      </c>
      <c r="B33" s="100">
        <v>56506</v>
      </c>
      <c r="C33" s="101" t="s">
        <v>136</v>
      </c>
      <c r="D33" s="100" t="s">
        <v>99</v>
      </c>
      <c r="E33" s="100" t="s">
        <v>18</v>
      </c>
      <c r="F33" s="108" t="s">
        <v>360</v>
      </c>
      <c r="G33" s="103" t="s">
        <v>20</v>
      </c>
      <c r="H33" s="104">
        <v>45658</v>
      </c>
      <c r="I33" s="105">
        <v>2025</v>
      </c>
      <c r="J33" s="104">
        <v>25568</v>
      </c>
      <c r="K33" s="106">
        <v>45657</v>
      </c>
      <c r="L33" s="107">
        <f t="shared" si="0"/>
        <v>55</v>
      </c>
      <c r="M33" s="104">
        <v>39448</v>
      </c>
      <c r="N33" s="104">
        <v>43893</v>
      </c>
      <c r="O33" s="105" t="s">
        <v>21</v>
      </c>
      <c r="P33" s="108" t="s">
        <v>360</v>
      </c>
      <c r="Q33" s="109" t="s">
        <v>116</v>
      </c>
      <c r="R33" s="109" t="s">
        <v>116</v>
      </c>
      <c r="S33" s="110" t="str">
        <f t="shared" si="1"/>
        <v>D</v>
      </c>
      <c r="T33" s="100">
        <v>97018592</v>
      </c>
      <c r="U33" s="108" t="s">
        <v>137</v>
      </c>
      <c r="V33" s="109" t="s">
        <v>118</v>
      </c>
      <c r="W33" s="109"/>
      <c r="X33" s="111">
        <v>17</v>
      </c>
      <c r="Y33" s="111">
        <v>17</v>
      </c>
      <c r="Z33" s="111">
        <v>15</v>
      </c>
      <c r="AA33" s="111"/>
      <c r="AB33" s="111"/>
      <c r="AC33" s="103" t="s">
        <v>318</v>
      </c>
      <c r="AD33" s="103" t="s">
        <v>319</v>
      </c>
      <c r="AE33" s="65"/>
      <c r="AF33" s="65"/>
      <c r="AG33" s="65"/>
    </row>
    <row r="34" spans="1:33" ht="38.25" x14ac:dyDescent="0.2">
      <c r="A34" s="51">
        <v>33</v>
      </c>
      <c r="B34" s="46">
        <v>86883</v>
      </c>
      <c r="C34" s="54" t="s">
        <v>48</v>
      </c>
      <c r="D34" s="46" t="s">
        <v>49</v>
      </c>
      <c r="E34" s="52" t="s">
        <v>18</v>
      </c>
      <c r="F34" s="54" t="s">
        <v>50</v>
      </c>
      <c r="G34" s="64" t="s">
        <v>37</v>
      </c>
      <c r="H34" s="66">
        <v>48761</v>
      </c>
      <c r="I34" s="56">
        <v>2033</v>
      </c>
      <c r="J34" s="66">
        <v>26837</v>
      </c>
      <c r="K34" s="55">
        <v>45657</v>
      </c>
      <c r="L34" s="57">
        <f t="shared" si="0"/>
        <v>51</v>
      </c>
      <c r="M34" s="67">
        <v>40011</v>
      </c>
      <c r="N34" s="66">
        <v>40011</v>
      </c>
      <c r="O34" s="56" t="s">
        <v>44</v>
      </c>
      <c r="P34" s="60" t="s">
        <v>366</v>
      </c>
      <c r="Q34" s="68" t="s">
        <v>248</v>
      </c>
      <c r="R34" s="68" t="s">
        <v>45</v>
      </c>
      <c r="S34" s="61" t="str">
        <f t="shared" si="1"/>
        <v>A</v>
      </c>
      <c r="T34" s="46">
        <v>66645134</v>
      </c>
      <c r="U34" s="60" t="s">
        <v>52</v>
      </c>
      <c r="V34" s="68" t="s">
        <v>53</v>
      </c>
      <c r="W34" s="68"/>
      <c r="X34" s="69">
        <v>17.5</v>
      </c>
      <c r="Y34" s="69">
        <v>17</v>
      </c>
      <c r="Z34" s="69">
        <v>16</v>
      </c>
      <c r="AA34" s="69"/>
      <c r="AB34" s="69"/>
      <c r="AC34" s="64" t="s">
        <v>335</v>
      </c>
      <c r="AD34" s="64" t="s">
        <v>312</v>
      </c>
      <c r="AE34" s="65"/>
      <c r="AF34" s="65"/>
      <c r="AG34" s="65"/>
    </row>
    <row r="35" spans="1:33" ht="51" x14ac:dyDescent="0.2">
      <c r="A35" s="51">
        <v>34</v>
      </c>
      <c r="B35" s="100">
        <v>46312</v>
      </c>
      <c r="C35" s="101" t="s">
        <v>205</v>
      </c>
      <c r="D35" s="100" t="s">
        <v>28</v>
      </c>
      <c r="E35" s="102" t="s">
        <v>35</v>
      </c>
      <c r="F35" s="101" t="s">
        <v>206</v>
      </c>
      <c r="G35" s="103" t="s">
        <v>37</v>
      </c>
      <c r="H35" s="104">
        <v>48580</v>
      </c>
      <c r="I35" s="105">
        <v>2033</v>
      </c>
      <c r="J35" s="104">
        <v>28447</v>
      </c>
      <c r="K35" s="106">
        <v>45657</v>
      </c>
      <c r="L35" s="107">
        <f t="shared" si="0"/>
        <v>47</v>
      </c>
      <c r="M35" s="104">
        <v>37708</v>
      </c>
      <c r="N35" s="104">
        <v>41716</v>
      </c>
      <c r="O35" s="105" t="s">
        <v>207</v>
      </c>
      <c r="P35" s="108" t="s">
        <v>361</v>
      </c>
      <c r="Q35" s="109" t="s">
        <v>274</v>
      </c>
      <c r="R35" s="109" t="s">
        <v>274</v>
      </c>
      <c r="S35" s="110" t="str">
        <f t="shared" si="1"/>
        <v>C</v>
      </c>
      <c r="T35" s="100">
        <v>97602486</v>
      </c>
      <c r="U35" s="108" t="s">
        <v>208</v>
      </c>
      <c r="V35" s="109" t="s">
        <v>209</v>
      </c>
      <c r="W35" s="109"/>
      <c r="X35" s="111">
        <v>17.5</v>
      </c>
      <c r="Y35" s="111">
        <v>17.5</v>
      </c>
      <c r="Z35" s="111">
        <v>15</v>
      </c>
      <c r="AA35" s="111"/>
      <c r="AB35" s="111"/>
      <c r="AC35" s="103" t="s">
        <v>337</v>
      </c>
      <c r="AD35" s="103" t="s">
        <v>319</v>
      </c>
      <c r="AE35" s="112"/>
      <c r="AF35" s="112"/>
      <c r="AG35" s="112"/>
    </row>
    <row r="36" spans="1:33" ht="25.5" x14ac:dyDescent="0.2">
      <c r="A36" s="64">
        <v>35</v>
      </c>
      <c r="B36" s="100">
        <v>39301</v>
      </c>
      <c r="C36" s="101" t="s">
        <v>138</v>
      </c>
      <c r="D36" s="100" t="s">
        <v>99</v>
      </c>
      <c r="E36" s="102" t="s">
        <v>35</v>
      </c>
      <c r="F36" s="101" t="s">
        <v>139</v>
      </c>
      <c r="G36" s="103" t="s">
        <v>37</v>
      </c>
      <c r="H36" s="104">
        <v>49400</v>
      </c>
      <c r="I36" s="105">
        <v>2035</v>
      </c>
      <c r="J36" s="104">
        <v>27461</v>
      </c>
      <c r="K36" s="106">
        <v>45657</v>
      </c>
      <c r="L36" s="107">
        <f t="shared" si="0"/>
        <v>49</v>
      </c>
      <c r="M36" s="104">
        <v>36220</v>
      </c>
      <c r="N36" s="104">
        <v>44564</v>
      </c>
      <c r="O36" s="105" t="s">
        <v>140</v>
      </c>
      <c r="P36" s="108" t="s">
        <v>366</v>
      </c>
      <c r="Q36" s="109" t="s">
        <v>248</v>
      </c>
      <c r="R36" s="109" t="s">
        <v>45</v>
      </c>
      <c r="S36" s="110" t="str">
        <f t="shared" si="1"/>
        <v>A</v>
      </c>
      <c r="T36" s="100">
        <v>67145514</v>
      </c>
      <c r="U36" s="108" t="s">
        <v>142</v>
      </c>
      <c r="V36" s="109" t="s">
        <v>143</v>
      </c>
      <c r="W36" s="109">
        <v>42947</v>
      </c>
      <c r="X36" s="111">
        <v>17.5</v>
      </c>
      <c r="Y36" s="111">
        <v>17.5</v>
      </c>
      <c r="Z36" s="111">
        <v>17</v>
      </c>
      <c r="AA36" s="111"/>
      <c r="AB36" s="111"/>
      <c r="AC36" s="103" t="s">
        <v>338</v>
      </c>
      <c r="AD36" s="103" t="s">
        <v>339</v>
      </c>
      <c r="AE36" s="112"/>
      <c r="AF36" s="112"/>
      <c r="AG36" s="112"/>
    </row>
    <row r="37" spans="1:33" ht="25.5" x14ac:dyDescent="0.2">
      <c r="A37" s="51">
        <v>36</v>
      </c>
      <c r="B37" s="46">
        <v>45767</v>
      </c>
      <c r="C37" s="54" t="s">
        <v>251</v>
      </c>
      <c r="D37" s="46" t="s">
        <v>99</v>
      </c>
      <c r="E37" s="52" t="s">
        <v>18</v>
      </c>
      <c r="F37" s="60" t="s">
        <v>360</v>
      </c>
      <c r="G37" s="74" t="s">
        <v>37</v>
      </c>
      <c r="H37" s="66">
        <v>47849</v>
      </c>
      <c r="I37" s="56">
        <v>2031</v>
      </c>
      <c r="J37" s="66">
        <v>27750</v>
      </c>
      <c r="K37" s="55">
        <v>45657</v>
      </c>
      <c r="L37" s="57">
        <f t="shared" si="0"/>
        <v>49</v>
      </c>
      <c r="M37" s="67">
        <v>36164</v>
      </c>
      <c r="N37" s="66">
        <v>45166</v>
      </c>
      <c r="O37" s="56"/>
      <c r="P37" s="60" t="s">
        <v>360</v>
      </c>
      <c r="Q37" s="68" t="s">
        <v>252</v>
      </c>
      <c r="R37" s="68" t="s">
        <v>252</v>
      </c>
      <c r="S37" s="61" t="str">
        <f t="shared" si="1"/>
        <v>D</v>
      </c>
      <c r="T37" s="46">
        <v>90667740</v>
      </c>
      <c r="U37" s="72" t="s">
        <v>391</v>
      </c>
      <c r="V37" s="72" t="s">
        <v>390</v>
      </c>
      <c r="W37" s="68"/>
      <c r="X37" s="69">
        <v>16</v>
      </c>
      <c r="Y37" s="69">
        <v>16.5</v>
      </c>
      <c r="Z37" s="69">
        <v>16</v>
      </c>
      <c r="AA37" s="69"/>
      <c r="AB37" s="69"/>
      <c r="AC37" s="64" t="s">
        <v>313</v>
      </c>
      <c r="AD37" s="64" t="s">
        <v>312</v>
      </c>
      <c r="AE37" s="65"/>
      <c r="AF37" s="65"/>
      <c r="AG37" s="65"/>
    </row>
    <row r="38" spans="1:33" ht="51" x14ac:dyDescent="0.2">
      <c r="A38" s="51">
        <v>37</v>
      </c>
      <c r="B38" s="46">
        <v>67112</v>
      </c>
      <c r="C38" s="54" t="s">
        <v>92</v>
      </c>
      <c r="D38" s="46" t="s">
        <v>49</v>
      </c>
      <c r="E38" s="46" t="s">
        <v>18</v>
      </c>
      <c r="F38" s="54" t="s">
        <v>93</v>
      </c>
      <c r="G38" s="64" t="s">
        <v>37</v>
      </c>
      <c r="H38" s="66">
        <v>52140</v>
      </c>
      <c r="I38" s="56">
        <v>2042</v>
      </c>
      <c r="J38" s="66">
        <v>30169</v>
      </c>
      <c r="K38" s="55">
        <v>45657</v>
      </c>
      <c r="L38" s="57">
        <f t="shared" si="0"/>
        <v>42</v>
      </c>
      <c r="M38" s="67">
        <v>40011</v>
      </c>
      <c r="N38" s="67">
        <v>40011</v>
      </c>
      <c r="O38" s="56" t="s">
        <v>44</v>
      </c>
      <c r="P38" s="60" t="s">
        <v>370</v>
      </c>
      <c r="Q38" s="68" t="s">
        <v>23</v>
      </c>
      <c r="R38" s="68" t="s">
        <v>75</v>
      </c>
      <c r="S38" s="61" t="str">
        <f t="shared" si="1"/>
        <v>A</v>
      </c>
      <c r="T38" s="46">
        <v>97771957</v>
      </c>
      <c r="U38" s="60" t="s">
        <v>96</v>
      </c>
      <c r="V38" s="68" t="s">
        <v>97</v>
      </c>
      <c r="W38" s="68">
        <v>44109</v>
      </c>
      <c r="X38" s="69">
        <v>17.5</v>
      </c>
      <c r="Y38" s="69">
        <v>17.5</v>
      </c>
      <c r="Z38" s="69">
        <v>17.5</v>
      </c>
      <c r="AA38" s="69"/>
      <c r="AB38" s="69"/>
      <c r="AC38" s="64" t="s">
        <v>340</v>
      </c>
      <c r="AD38" s="64" t="s">
        <v>319</v>
      </c>
      <c r="AE38" s="65"/>
      <c r="AF38" s="65"/>
      <c r="AG38" s="65"/>
    </row>
    <row r="39" spans="1:33" ht="38.25" x14ac:dyDescent="0.2">
      <c r="A39" s="92">
        <v>38</v>
      </c>
      <c r="B39" s="90">
        <v>56538</v>
      </c>
      <c r="C39" s="91" t="s">
        <v>210</v>
      </c>
      <c r="D39" s="90" t="s">
        <v>99</v>
      </c>
      <c r="E39" s="90" t="s">
        <v>18</v>
      </c>
      <c r="F39" s="91" t="s">
        <v>377</v>
      </c>
      <c r="G39" s="92" t="s">
        <v>20</v>
      </c>
      <c r="H39" s="93">
        <v>46023</v>
      </c>
      <c r="I39" s="94">
        <v>2026</v>
      </c>
      <c r="J39" s="93">
        <v>25855</v>
      </c>
      <c r="K39" s="95">
        <v>45657</v>
      </c>
      <c r="L39" s="96">
        <f t="shared" si="0"/>
        <v>54</v>
      </c>
      <c r="M39" s="93">
        <v>39448</v>
      </c>
      <c r="N39" s="93">
        <v>43003</v>
      </c>
      <c r="O39" s="94" t="s">
        <v>211</v>
      </c>
      <c r="P39" s="97" t="s">
        <v>371</v>
      </c>
      <c r="Q39" s="68" t="s">
        <v>116</v>
      </c>
      <c r="R39" s="68" t="s">
        <v>116</v>
      </c>
      <c r="S39" s="61" t="str">
        <f t="shared" si="1"/>
        <v>D</v>
      </c>
      <c r="T39" s="46">
        <v>97251585</v>
      </c>
      <c r="U39" s="60" t="s">
        <v>212</v>
      </c>
      <c r="V39" s="68" t="s">
        <v>118</v>
      </c>
      <c r="W39" s="68"/>
      <c r="X39" s="69">
        <v>17.5</v>
      </c>
      <c r="Y39" s="69">
        <v>17</v>
      </c>
      <c r="Z39" s="69">
        <v>16.5</v>
      </c>
      <c r="AA39" s="69"/>
      <c r="AB39" s="69"/>
      <c r="AC39" s="64" t="s">
        <v>341</v>
      </c>
      <c r="AD39" s="64" t="s">
        <v>299</v>
      </c>
      <c r="AE39" s="65"/>
      <c r="AF39" s="65"/>
      <c r="AG39" s="65"/>
    </row>
    <row r="40" spans="1:33" ht="38.25" x14ac:dyDescent="0.2">
      <c r="A40" s="89">
        <v>39</v>
      </c>
      <c r="B40" s="90">
        <v>56522</v>
      </c>
      <c r="C40" s="91" t="s">
        <v>244</v>
      </c>
      <c r="D40" s="90" t="s">
        <v>383</v>
      </c>
      <c r="E40" s="90" t="s">
        <v>18</v>
      </c>
      <c r="F40" s="91" t="s">
        <v>348</v>
      </c>
      <c r="G40" s="92" t="s">
        <v>20</v>
      </c>
      <c r="H40" s="93">
        <v>46569</v>
      </c>
      <c r="I40" s="94">
        <v>2027</v>
      </c>
      <c r="J40" s="93">
        <v>24620</v>
      </c>
      <c r="K40" s="95">
        <v>45657</v>
      </c>
      <c r="L40" s="96">
        <f t="shared" si="0"/>
        <v>57</v>
      </c>
      <c r="M40" s="93">
        <v>36164</v>
      </c>
      <c r="N40" s="93">
        <v>36164</v>
      </c>
      <c r="O40" s="94" t="s">
        <v>246</v>
      </c>
      <c r="P40" s="97" t="s">
        <v>366</v>
      </c>
      <c r="Q40" s="68" t="s">
        <v>248</v>
      </c>
      <c r="R40" s="68" t="s">
        <v>95</v>
      </c>
      <c r="S40" s="61" t="str">
        <f t="shared" si="1"/>
        <v>A</v>
      </c>
      <c r="T40" s="46">
        <v>97174227</v>
      </c>
      <c r="U40" s="60" t="s">
        <v>249</v>
      </c>
      <c r="V40" s="68" t="s">
        <v>250</v>
      </c>
      <c r="W40" s="75"/>
      <c r="X40" s="69">
        <v>17</v>
      </c>
      <c r="Y40" s="69">
        <v>17</v>
      </c>
      <c r="Z40" s="69">
        <v>17</v>
      </c>
      <c r="AA40" s="69"/>
      <c r="AB40" s="69"/>
      <c r="AC40" s="64" t="s">
        <v>303</v>
      </c>
      <c r="AD40" s="64" t="s">
        <v>304</v>
      </c>
      <c r="AE40" s="65"/>
      <c r="AF40" s="65"/>
      <c r="AG40" s="65"/>
    </row>
    <row r="41" spans="1:33" ht="25.5" x14ac:dyDescent="0.2">
      <c r="A41" s="51">
        <v>40</v>
      </c>
      <c r="B41" s="46">
        <v>45680</v>
      </c>
      <c r="C41" s="54" t="s">
        <v>275</v>
      </c>
      <c r="D41" s="46" t="s">
        <v>383</v>
      </c>
      <c r="E41" s="46" t="s">
        <v>35</v>
      </c>
      <c r="F41" s="54" t="s">
        <v>349</v>
      </c>
      <c r="G41" s="64" t="s">
        <v>37</v>
      </c>
      <c r="H41" s="67">
        <v>47300</v>
      </c>
      <c r="I41" s="56">
        <v>2029</v>
      </c>
      <c r="J41" s="66">
        <v>26053</v>
      </c>
      <c r="K41" s="55">
        <v>45657</v>
      </c>
      <c r="L41" s="57">
        <f t="shared" si="0"/>
        <v>53</v>
      </c>
      <c r="M41" s="67">
        <v>36164</v>
      </c>
      <c r="N41" s="66">
        <v>45408</v>
      </c>
      <c r="O41" s="56" t="s">
        <v>278</v>
      </c>
      <c r="P41" s="60" t="s">
        <v>279</v>
      </c>
      <c r="Q41" s="68" t="s">
        <v>392</v>
      </c>
      <c r="R41" s="68" t="s">
        <v>392</v>
      </c>
      <c r="S41" s="61" t="str">
        <f t="shared" si="1"/>
        <v>B</v>
      </c>
      <c r="T41" s="46">
        <v>97777472</v>
      </c>
      <c r="U41" s="60" t="s">
        <v>289</v>
      </c>
      <c r="V41" s="68" t="s">
        <v>282</v>
      </c>
      <c r="W41" s="75"/>
      <c r="X41" s="69">
        <v>17.5</v>
      </c>
      <c r="Y41" s="69">
        <v>15.5</v>
      </c>
      <c r="Z41" s="69" t="s">
        <v>388</v>
      </c>
      <c r="AA41" s="69"/>
      <c r="AB41" s="69"/>
      <c r="AC41" s="65"/>
      <c r="AD41" s="65"/>
      <c r="AE41" s="65"/>
      <c r="AF41" s="65"/>
      <c r="AG41" s="65"/>
    </row>
    <row r="42" spans="1:33" ht="38.25" x14ac:dyDescent="0.2">
      <c r="A42" s="64">
        <v>41</v>
      </c>
      <c r="B42" s="46">
        <v>98269</v>
      </c>
      <c r="C42" s="54" t="s">
        <v>283</v>
      </c>
      <c r="D42" s="46" t="s">
        <v>28</v>
      </c>
      <c r="E42" s="46" t="s">
        <v>18</v>
      </c>
      <c r="F42" s="54" t="s">
        <v>290</v>
      </c>
      <c r="G42" s="64" t="s">
        <v>20</v>
      </c>
      <c r="H42" s="66">
        <v>50314</v>
      </c>
      <c r="I42" s="56">
        <v>2037</v>
      </c>
      <c r="J42" s="66">
        <v>28134</v>
      </c>
      <c r="K42" s="55">
        <v>45657</v>
      </c>
      <c r="L42" s="57">
        <f t="shared" si="0"/>
        <v>47</v>
      </c>
      <c r="M42" s="67">
        <v>39653</v>
      </c>
      <c r="N42" s="66">
        <v>45414</v>
      </c>
      <c r="O42" s="56" t="s">
        <v>284</v>
      </c>
      <c r="P42" s="60" t="s">
        <v>285</v>
      </c>
      <c r="Q42" s="68" t="s">
        <v>286</v>
      </c>
      <c r="R42" s="68" t="s">
        <v>286</v>
      </c>
      <c r="S42" s="61" t="str">
        <f t="shared" si="1"/>
        <v>A</v>
      </c>
      <c r="T42" s="46">
        <v>96944041</v>
      </c>
      <c r="U42" s="60" t="s">
        <v>287</v>
      </c>
      <c r="V42" s="68" t="s">
        <v>288</v>
      </c>
      <c r="W42" s="75"/>
      <c r="X42" s="69">
        <v>17.5</v>
      </c>
      <c r="Y42" s="69">
        <v>18</v>
      </c>
      <c r="Z42" s="69">
        <v>18</v>
      </c>
      <c r="AA42" s="69"/>
      <c r="AB42" s="69"/>
      <c r="AC42" s="65"/>
      <c r="AD42" s="65"/>
      <c r="AE42" s="65"/>
      <c r="AF42" s="65"/>
      <c r="AG42" s="65"/>
    </row>
    <row r="43" spans="1:33" ht="24" customHeight="1" x14ac:dyDescent="0.2">
      <c r="A43" s="51">
        <v>42</v>
      </c>
      <c r="B43" s="46">
        <v>43003</v>
      </c>
      <c r="C43" s="54" t="s">
        <v>344</v>
      </c>
      <c r="D43" s="46" t="s">
        <v>345</v>
      </c>
      <c r="E43" s="46" t="s">
        <v>18</v>
      </c>
      <c r="F43" s="54" t="s">
        <v>346</v>
      </c>
      <c r="G43" s="64" t="s">
        <v>37</v>
      </c>
      <c r="H43" s="66">
        <v>49400</v>
      </c>
      <c r="I43" s="56">
        <v>2035</v>
      </c>
      <c r="J43" s="66">
        <v>27484</v>
      </c>
      <c r="K43" s="55">
        <v>45657</v>
      </c>
      <c r="L43" s="57">
        <f t="shared" si="0"/>
        <v>49</v>
      </c>
      <c r="M43" s="67">
        <v>37109</v>
      </c>
      <c r="N43" s="66">
        <v>45481</v>
      </c>
      <c r="O43" s="56" t="s">
        <v>354</v>
      </c>
      <c r="P43" s="60" t="s">
        <v>372</v>
      </c>
      <c r="Q43" s="68" t="s">
        <v>352</v>
      </c>
      <c r="R43" s="68" t="s">
        <v>352</v>
      </c>
      <c r="S43" s="61" t="s">
        <v>351</v>
      </c>
      <c r="T43" s="46">
        <v>97046509</v>
      </c>
      <c r="U43" s="60" t="s">
        <v>355</v>
      </c>
      <c r="V43" s="68" t="s">
        <v>353</v>
      </c>
      <c r="W43" s="75"/>
      <c r="X43" s="76" t="s">
        <v>388</v>
      </c>
      <c r="Y43" s="76" t="s">
        <v>388</v>
      </c>
      <c r="Z43" s="76" t="s">
        <v>388</v>
      </c>
      <c r="AA43" s="69"/>
      <c r="AB43" s="69"/>
      <c r="AC43" s="65"/>
      <c r="AD43" s="65"/>
      <c r="AE43" s="65"/>
      <c r="AF43" s="65"/>
      <c r="AG43" s="65"/>
    </row>
    <row r="44" spans="1:33" ht="38.25" x14ac:dyDescent="0.2">
      <c r="A44" s="51">
        <v>43</v>
      </c>
      <c r="B44" s="46">
        <v>11111</v>
      </c>
      <c r="C44" s="54" t="s">
        <v>382</v>
      </c>
      <c r="D44" s="64" t="s">
        <v>383</v>
      </c>
      <c r="E44" s="46" t="s">
        <v>18</v>
      </c>
      <c r="F44" s="54" t="s">
        <v>384</v>
      </c>
      <c r="G44" s="46" t="s">
        <v>385</v>
      </c>
      <c r="H44" s="66">
        <v>48853</v>
      </c>
      <c r="I44" s="56">
        <v>2033</v>
      </c>
      <c r="J44" s="66">
        <v>26863</v>
      </c>
      <c r="K44" s="66">
        <v>45657</v>
      </c>
      <c r="L44" s="77">
        <v>51</v>
      </c>
      <c r="M44" s="66">
        <v>45121</v>
      </c>
      <c r="N44" s="66">
        <v>45121</v>
      </c>
      <c r="O44" s="64" t="s">
        <v>386</v>
      </c>
      <c r="P44" s="60" t="s">
        <v>366</v>
      </c>
      <c r="Q44" s="65"/>
      <c r="R44" s="65"/>
      <c r="S44" s="68" t="s">
        <v>351</v>
      </c>
      <c r="T44" s="46">
        <v>52530000</v>
      </c>
      <c r="U44" s="60" t="s">
        <v>387</v>
      </c>
      <c r="V44" s="60" t="s">
        <v>387</v>
      </c>
      <c r="W44" s="65"/>
      <c r="X44" s="65"/>
      <c r="Y44" s="65"/>
      <c r="Z44" s="65"/>
      <c r="AA44" s="65"/>
      <c r="AB44" s="65"/>
      <c r="AC44" s="65"/>
      <c r="AD44" s="65"/>
      <c r="AE44" s="65"/>
      <c r="AF44" s="65"/>
      <c r="AG44" s="65"/>
    </row>
    <row r="45" spans="1:33" x14ac:dyDescent="0.2">
      <c r="A45" s="12">
        <v>44</v>
      </c>
      <c r="B45" s="12">
        <v>86867</v>
      </c>
      <c r="C45" s="12" t="s">
        <v>393</v>
      </c>
      <c r="D45" s="12" t="s">
        <v>383</v>
      </c>
      <c r="E45" s="12" t="s">
        <v>18</v>
      </c>
      <c r="F45" s="12" t="s">
        <v>394</v>
      </c>
      <c r="G45" s="12" t="s">
        <v>37</v>
      </c>
      <c r="N45" s="88">
        <v>45566</v>
      </c>
    </row>
  </sheetData>
  <autoFilter ref="A1:AG45" xr:uid="{00000000-0009-0000-0000-000002000000}"/>
  <pageMargins left="0.23622047244094491" right="0.23622047244094491" top="0.74803149606299213" bottom="0.74803149606299213" header="0.31496062992125984" footer="0.31496062992125984"/>
  <pageSetup paperSize="9" scale="35" fitToWidth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3E80B-A0EA-4570-AFCB-11F83976E6D5}">
  <dimension ref="A1:Z1"/>
  <sheetViews>
    <sheetView tabSelected="1" workbookViewId="0">
      <selection activeCell="Z1" sqref="A1:Z1"/>
    </sheetView>
  </sheetViews>
  <sheetFormatPr baseColWidth="10" defaultRowHeight="15" x14ac:dyDescent="0.25"/>
  <cols>
    <col min="4" max="4" width="16.28515625" customWidth="1"/>
    <col min="23" max="23" width="22.42578125" bestFit="1" customWidth="1"/>
    <col min="24" max="24" width="20.5703125" bestFit="1" customWidth="1"/>
    <col min="25" max="25" width="12.5703125" bestFit="1" customWidth="1"/>
    <col min="26" max="26" width="10.140625" bestFit="1" customWidth="1"/>
  </cols>
  <sheetData>
    <row r="1" spans="1:26" ht="63.75" x14ac:dyDescent="0.25">
      <c r="A1" s="47" t="s">
        <v>0</v>
      </c>
      <c r="B1" s="47" t="s">
        <v>1</v>
      </c>
      <c r="C1" s="47" t="s">
        <v>2</v>
      </c>
      <c r="D1" s="47" t="s">
        <v>3</v>
      </c>
      <c r="E1" s="47" t="s">
        <v>4</v>
      </c>
      <c r="F1" s="47" t="s">
        <v>5</v>
      </c>
      <c r="G1" s="47" t="s">
        <v>6</v>
      </c>
      <c r="H1" s="47" t="s">
        <v>7</v>
      </c>
      <c r="I1" s="48" t="s">
        <v>380</v>
      </c>
      <c r="J1" s="47" t="s">
        <v>8</v>
      </c>
      <c r="K1" s="47" t="s">
        <v>395</v>
      </c>
      <c r="L1" s="47" t="s">
        <v>9</v>
      </c>
      <c r="M1" s="47" t="s">
        <v>10</v>
      </c>
      <c r="N1" s="47" t="s">
        <v>258</v>
      </c>
      <c r="O1" s="49" t="s">
        <v>11</v>
      </c>
      <c r="P1" s="47" t="s">
        <v>12</v>
      </c>
      <c r="Q1" s="47" t="s">
        <v>262</v>
      </c>
      <c r="R1" s="47" t="s">
        <v>350</v>
      </c>
      <c r="S1" s="47" t="s">
        <v>263</v>
      </c>
      <c r="T1" s="47" t="s">
        <v>13</v>
      </c>
      <c r="U1" s="47" t="s">
        <v>14</v>
      </c>
      <c r="V1" s="47" t="s">
        <v>15</v>
      </c>
      <c r="W1" s="50" t="s">
        <v>291</v>
      </c>
      <c r="X1" s="50" t="s">
        <v>293</v>
      </c>
      <c r="Y1" s="50" t="s">
        <v>294</v>
      </c>
      <c r="Z1" s="50" t="s">
        <v>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base</vt:lpstr>
      <vt:lpstr>BASE VF_ARCHIVE 29.07.2024</vt:lpstr>
      <vt:lpstr>BASE EN COURS 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Kouhontode Ernest</dc:creator>
  <cp:lastModifiedBy>ERNEST KOUHONTODE</cp:lastModifiedBy>
  <cp:lastPrinted>2025-03-03T16:32:09Z</cp:lastPrinted>
  <dcterms:created xsi:type="dcterms:W3CDTF">2024-05-06T13:16:49Z</dcterms:created>
  <dcterms:modified xsi:type="dcterms:W3CDTF">2026-08-18T15:46:32Z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2024-05-27T10:44:29Z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0541bbfa-49a7-4ea3-b751-0136ad43c1f8</vt:lpwstr>
  </property>
  <property fmtid="{D5CDD505-2E9C-101B-9397-08002B2CF9AE}" pid="7" name="MSIP_Label_defa4170-0d19-0005-0004-bc88714345d2_ActionId">
    <vt:lpwstr>59292d62-d6fd-4ed2-a151-3eb959933a3e</vt:lpwstr>
  </property>
  <property fmtid="{D5CDD505-2E9C-101B-9397-08002B2CF9AE}" pid="8" name="MSIP_Label_defa4170-0d19-0005-0004-bc88714345d2_ContentBits">
    <vt:lpwstr>0</vt:lpwstr>
  </property>
</Properties>
</file>